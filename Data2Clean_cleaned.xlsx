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EBBD780-F31F-4EB1-A047-DA4C4A7A6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1" r:id="rId1"/>
    <sheet name="Summary" sheetId="2" r:id="rId2"/>
    <sheet name="Review" sheetId="3" r:id="rId3"/>
    <sheet name="Publisher changes" sheetId="4" r:id="rId4"/>
    <sheet name="Journal changes" sheetId="5" r:id="rId5"/>
    <sheet name="ID changes" sheetId="6" r:id="rId6"/>
    <sheet name="Original" sheetId="7" r:id="rId7"/>
  </sheets>
  <externalReferences>
    <externalReference r:id="rId8"/>
  </externalReferences>
  <definedNames>
    <definedName name="_xlnm._FilterDatabase" localSheetId="0" hidden="1">Cleaned!$A$1:$O$2128</definedName>
    <definedName name="_xlnm._FilterDatabase" localSheetId="5" hidden="1">'ID changes'!$A$1:$E$497</definedName>
    <definedName name="_xlnm._FilterDatabase" localSheetId="4" hidden="1">'Journal changes'!$A$1:$C$308</definedName>
    <definedName name="_xlnm._FilterDatabase" localSheetId="3" hidden="1">'Publisher changes'!$A$1:$C$194</definedName>
    <definedName name="temp">'[1]univ apc spend 2012-13'!#REF!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2" l="1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E15" i="2"/>
  <c r="B8" i="2"/>
  <c r="B7" i="2"/>
  <c r="B6" i="2"/>
  <c r="B5" i="2"/>
  <c r="B10" i="2" l="1"/>
  <c r="C7" i="2"/>
  <c r="B11" i="2"/>
  <c r="B9" i="2"/>
  <c r="C6" i="2"/>
  <c r="C5" i="2" l="1"/>
  <c r="C8" i="2"/>
</calcChain>
</file>

<file path=xl/sharedStrings.xml><?xml version="1.0" encoding="utf-8"?>
<sst xmlns="http://schemas.openxmlformats.org/spreadsheetml/2006/main" count="25054" uniqueCount="7448">
  <si>
    <t>PMID</t>
  </si>
  <si>
    <t>PMCID</t>
  </si>
  <si>
    <t>ID type</t>
  </si>
  <si>
    <t>Publisher</t>
  </si>
  <si>
    <t>Journal title</t>
  </si>
  <si>
    <t>Code</t>
  </si>
  <si>
    <t>Article title</t>
  </si>
  <si>
    <t>COST</t>
  </si>
  <si>
    <t>Links</t>
  </si>
  <si>
    <t>Gender</t>
  </si>
  <si>
    <t>County</t>
  </si>
  <si>
    <t>% Int</t>
  </si>
  <si>
    <t>% Ext</t>
  </si>
  <si>
    <t>Replies</t>
  </si>
  <si>
    <t>Check</t>
  </si>
  <si>
    <t>PMC3378987</t>
  </si>
  <si>
    <t>PMC</t>
  </si>
  <si>
    <t>Elsevier</t>
  </si>
  <si>
    <t>Academy of Nutrition and Dietetics</t>
  </si>
  <si>
    <t>AND</t>
  </si>
  <si>
    <t>Parent support and parent mediated behaviours are associated with children's sugary beverage consumption</t>
  </si>
  <si>
    <t>PMC3780468</t>
  </si>
  <si>
    <t>American Chemical Society</t>
  </si>
  <si>
    <t>ACS Chemical Biology</t>
  </si>
  <si>
    <t>CB</t>
  </si>
  <si>
    <t>A Novel Allosteric Inhibitor of the Uridine Diphosphate N-Acetylglucosamine Pyrophosphorylase from Trypanosoma brucei.</t>
  </si>
  <si>
    <t>PMC3621575</t>
  </si>
  <si>
    <t>Chemical proteomic analysis reveals the drugability of the kinome of Trypanosoma brucei.</t>
  </si>
  <si>
    <t>Blank</t>
  </si>
  <si>
    <t>Discovery of β2 Adrenergic Receptor Ligands Using Biosensor Fragment Screening of Tagged Wild-Type Receptor</t>
  </si>
  <si>
    <t>PMC3833349</t>
  </si>
  <si>
    <t>PMID + PMC</t>
  </si>
  <si>
    <t>Discovery of an allosteric inhibitor binding site in 3-oxo-acyl-ACP reductase from Pseudomonas aeruginosa</t>
  </si>
  <si>
    <t>PMC3805332</t>
  </si>
  <si>
    <t>Synthesis of alpha-glucan in mycobacteria involves a hetero-octameric complex of trehalose synthase TreS and maltokinase Pep2</t>
  </si>
  <si>
    <t>PMC3656742</t>
  </si>
  <si>
    <t>ACS Chemical Neuroscience</t>
  </si>
  <si>
    <t>CN</t>
  </si>
  <si>
    <t>Continuous online microdialysis using microfluidic sensors: dynamic neuro-metabolic changes during spreading depolarisation</t>
  </si>
  <si>
    <t>PMC3584654</t>
  </si>
  <si>
    <t>ACS Nano</t>
  </si>
  <si>
    <t>NANO</t>
  </si>
  <si>
    <t>Hydroxy-terminated conjugated polymer nanoparticles have near-unity bright fraction</t>
  </si>
  <si>
    <t>Skin dendritic cell targeting via microneedle arrays laden with antigen-encapsulated poly-D,L-lactide-co-glycolide nanoparticles induces efficient antitumor and antiviral immune responses.</t>
  </si>
  <si>
    <t>PMC3727331</t>
  </si>
  <si>
    <t>International Union of Crystallography</t>
  </si>
  <si>
    <t>Acta Crystallographica Section D: Biological Crystallography</t>
  </si>
  <si>
    <t>BIOC</t>
  </si>
  <si>
    <t>Clustering procedures for the optimal selection of data sets from multiple crystals in macromolecular crystallography</t>
  </si>
  <si>
    <t>PMC3565438</t>
  </si>
  <si>
    <t>Intensity statistics in the presence of translational non-crystallographic symmetry</t>
  </si>
  <si>
    <t>PMC3668577</t>
  </si>
  <si>
    <t>Acta Crystallographica Section F: Structural Biology and Crystallization Communications</t>
  </si>
  <si>
    <t>STRUC</t>
  </si>
  <si>
    <t>Structure of diaminohydroxyphosphoribosylaminopyrimidine deaminase/5-amino-6-(5-phosphoribosylamino)uracil reductase from Acinetobacter baumannii.</t>
  </si>
  <si>
    <t>PMC3606566</t>
  </si>
  <si>
    <t>Structure of Pseudomonas aeruginosa inosine 5'-monophosphate dehydrogenase</t>
  </si>
  <si>
    <t>PMC3498934</t>
  </si>
  <si>
    <t>Nearest-cell: a fast and easy tool for locating crystal matches in the PDB.</t>
  </si>
  <si>
    <t>PMC3447403</t>
  </si>
  <si>
    <t>Crystallization, dehydration and experimental phasing of WbdD, a bifunctional kinase and methyltransferase from Escherichia coli O9a</t>
  </si>
  <si>
    <t>PMC3087623</t>
  </si>
  <si>
    <t>ACTD</t>
  </si>
  <si>
    <t>Structure of HLA-A*0301 in complex with a peptide of proteolipid protein: insights into the role of HLA-A alleles in susceptibility to multiple sclerosis.</t>
  </si>
  <si>
    <t>PMC3808818</t>
  </si>
  <si>
    <t>Society for Publication of Acta Dermato-Venereologica</t>
  </si>
  <si>
    <t>Acta Dermato-Venereologica</t>
  </si>
  <si>
    <t>ACTV</t>
  </si>
  <si>
    <t>The Importance of a Full Clinical Examination: Assessment of Index Lesions Referred to a Skin Cancer Clinic Without a Total Body Skin Examination Would Miss One in Three Melanomas</t>
  </si>
  <si>
    <t>Springer</t>
  </si>
  <si>
    <t>Acta Diabetologica</t>
  </si>
  <si>
    <t>A rare SNP in pre-miR-34a is associated with increased levels of miR-34a in pancreatic beta cells</t>
  </si>
  <si>
    <t>PMC3374517</t>
  </si>
  <si>
    <t>ACTF</t>
  </si>
  <si>
    <t>Crystallization and preliminary crystallographic analysis of the major capsid proteins VP16 and VP17 of bacteriophage P23-77</t>
  </si>
  <si>
    <t>PMC3549237</t>
  </si>
  <si>
    <t>Acta Neuropathologica</t>
  </si>
  <si>
    <t>ACTN</t>
  </si>
  <si>
    <t>Overexpression of human wild-type FUS causes progressive motor neuron degeneration in an age- and dose-dependent fashion</t>
  </si>
  <si>
    <t>α-Synucleinopathy associated with G51D SNCA mutation: A link between Parkinson's disease and multiple system atrophy?</t>
  </si>
  <si>
    <t>PMC3661931</t>
  </si>
  <si>
    <t>Insufficient OPC migration into demyelinated lesions is a cause of poor remyelination in MS and mouse models</t>
  </si>
  <si>
    <t>PMC3535376</t>
  </si>
  <si>
    <t>Unravelling the enigma o selective vulnerability in neurodegeneration: motor neurons resistant to degeneration in ALS show distinct gene expression characteristics and decreased susceptibility to excitotoxicity</t>
  </si>
  <si>
    <t>ERROR: implausible cost removed (original 7,299,879.12)</t>
  </si>
  <si>
    <t>PMC3798121</t>
  </si>
  <si>
    <t>Wiley</t>
  </si>
  <si>
    <t>Acta Ophthalmologica</t>
  </si>
  <si>
    <t>ACTO</t>
  </si>
  <si>
    <t>Visual and psychological morbidity among patients with autosomal dominant optic atrophy</t>
  </si>
  <si>
    <t>PMC3734623</t>
  </si>
  <si>
    <t>Acta Physiol</t>
  </si>
  <si>
    <t>ACTP</t>
  </si>
  <si>
    <t>Integration of transient receptor potential canonical channels with lipids</t>
  </si>
  <si>
    <t>Addiction</t>
  </si>
  <si>
    <t>ADCT</t>
  </si>
  <si>
    <t>Acute alcohol-related dysfunction as a predictor of employment status in a longitudinal study of working age men in Izhevsk, Russia.</t>
  </si>
  <si>
    <t>Childhood conduct disorder trajectories, prior risk factors and cannabis use at age 16: birth cohort study</t>
  </si>
  <si>
    <t>Advances in Experimental Medicine and Biology</t>
  </si>
  <si>
    <t>AEMB</t>
  </si>
  <si>
    <t>Wavelet cross-correlation to investigate regional variations in cerebral oxygenation in infants supported on extracorporeal membrane oxygenation</t>
  </si>
  <si>
    <t>Modelling Cerebrovascular Reactivity: A Novel Near-Infrared Biomarker of Cerebral Autoregulation?</t>
  </si>
  <si>
    <t>Normobaric hyperoxia does not change optical scattering or pathlength but does increase oxidised cytochrome C oxidase concentration in patients with brain injury</t>
  </si>
  <si>
    <t>Oscillations in cerebral haemodynamics in patients with falciparum malaria</t>
  </si>
  <si>
    <t>PMC3528370</t>
  </si>
  <si>
    <t>Age</t>
  </si>
  <si>
    <t>AGEA</t>
  </si>
  <si>
    <t>The dominant human conjunctival epithelial CD8αβ+ T cell population is maintained with age but the number of CD4+ T cells increases.</t>
  </si>
  <si>
    <t>Voluntary exercise can strengthen the circadian system in aged mice</t>
  </si>
  <si>
    <t>PMC3684112</t>
  </si>
  <si>
    <t>Oxford University Press</t>
  </si>
  <si>
    <t>Age and Ageing</t>
  </si>
  <si>
    <t>Early diagnosis and treatment of HIV infection: magnitude of benefit is greatest in older adults</t>
  </si>
  <si>
    <t>Cambridge University Press</t>
  </si>
  <si>
    <t>Ageing and Society</t>
  </si>
  <si>
    <t>AGES</t>
  </si>
  <si>
    <t>Who cares? Implications of care-giving and -receiving by HIV-infected or -affected older</t>
  </si>
  <si>
    <t>Aging Cell</t>
  </si>
  <si>
    <t>AGIC</t>
  </si>
  <si>
    <t>TORC1 signaling inhibition by rapamycin and caffeine affect lifespan, global gene expression and cell proliferation of fission yeast</t>
  </si>
  <si>
    <t>PMC3713766</t>
  </si>
  <si>
    <t>Wolters Kluwer</t>
  </si>
  <si>
    <t>AIDS</t>
  </si>
  <si>
    <t>AIDAIDS</t>
  </si>
  <si>
    <t>HIV infected adolescents in Southern Africa can achieve good treatment outcomes: Results from a large retrospective cohort study.</t>
  </si>
  <si>
    <t>PMC3748854</t>
  </si>
  <si>
    <t>Evaluation of an empiric risk screening score to identify acute and early HIV-1 infection among MSM in Coastal Kenya.</t>
  </si>
  <si>
    <t>PMC3647051</t>
  </si>
  <si>
    <t>Grassroots Community Organisations' Contribution to the Scale-Up of HIV Testing and Counselling Services in Zimbabwe</t>
  </si>
  <si>
    <t>PMC3633780</t>
  </si>
  <si>
    <t>AIDS and Behavior</t>
  </si>
  <si>
    <t>AIDB</t>
  </si>
  <si>
    <t>Adherence to antiretroviral therapy and clinical outcomes among young adults reporting high-risk sexual behavior, including men who have sex with men, in coastal Kenya.</t>
  </si>
  <si>
    <t>Taylor and Francis</t>
  </si>
  <si>
    <t>Aids Care</t>
  </si>
  <si>
    <t>AIDC</t>
  </si>
  <si>
    <t>Burden of HIV among primary school children and feasibility of primary school-linked HIV testing in Harare, Zimbabwe.</t>
  </si>
  <si>
    <t>PMC3590645</t>
  </si>
  <si>
    <t>Asset ownership among households caring for orphans and vulnerable children in rural Zimbabwe: The influence of ownership on children's health and social vulnerabilities</t>
  </si>
  <si>
    <t>PMC3613944</t>
  </si>
  <si>
    <t>Barriers to involvement of men in ANC and VCT in Khayelitsha, South Africa.</t>
  </si>
  <si>
    <t>PMC3687248</t>
  </si>
  <si>
    <t>WORLDBANK Special Issue: Evidence for a contribution of the Community Response to HIV decline in eastern Zimbabwe?</t>
  </si>
  <si>
    <t>PMC3819359</t>
  </si>
  <si>
    <t>AIDS Journal</t>
  </si>
  <si>
    <t>AIDJ</t>
  </si>
  <si>
    <t>Short title: TB and VL breakthrough and failure. Orig title: Temporal association between incident tuberculosis and poor virological outcomes in a South African antiretroviral treatment service.</t>
  </si>
  <si>
    <t>PMC3765690</t>
  </si>
  <si>
    <t>BioMed Central</t>
  </si>
  <si>
    <t>AIDS Research and Therapy</t>
  </si>
  <si>
    <t>AIDSRT</t>
  </si>
  <si>
    <t>Collective Patient behaviours derailing ART rool-out in KwaZulu-Natal: Perspectives of Health Care Providers</t>
  </si>
  <si>
    <t>PMC3815011</t>
  </si>
  <si>
    <t>AIDS UK</t>
  </si>
  <si>
    <t>AIDUK</t>
  </si>
  <si>
    <t>HIV incidence and survival from age-specific seroprevalence after antiretroviral treatment scale up in rural South Africa</t>
  </si>
  <si>
    <t>PMC3773237</t>
  </si>
  <si>
    <t>Sexual behaviour in a rural high HIV prevalence</t>
  </si>
  <si>
    <t>PMC3633361</t>
  </si>
  <si>
    <t>Alcohol and Alcoholism</t>
  </si>
  <si>
    <t>ALCA</t>
  </si>
  <si>
    <t>Post-treatment stage of change predicts 12-month outcome of treatment for alcohol problems</t>
  </si>
  <si>
    <t>PMC3761189</t>
  </si>
  <si>
    <t>Alimentary Pharmacology and Therapeutics</t>
  </si>
  <si>
    <t>APT</t>
  </si>
  <si>
    <t>Predicting the development of acute kidney injury in liver cirrhosis--an analysis of glomerular filtration rate, proteinuria and kidney injury biomarkers.</t>
  </si>
  <si>
    <t>PMC3761188</t>
  </si>
  <si>
    <t>Meta-analysis: the diagnostic accuracy of critical flicker frequency in minimal hepatic encephalopathy</t>
  </si>
  <si>
    <t>American Journal of Bioethics</t>
  </si>
  <si>
    <t>AMB</t>
  </si>
  <si>
    <t>The "difficult patient" conundrum in sickle cell disease in Kenya: complex sociopolitical problems need wide multidimensional solutions.</t>
  </si>
  <si>
    <t>PMC3516067</t>
  </si>
  <si>
    <t>The Sheridan Press</t>
  </si>
  <si>
    <t>American Journal of Tropical Medicine and Hygiene</t>
  </si>
  <si>
    <t>AJTMH</t>
  </si>
  <si>
    <t>Use of Rapid Diagnostic Tests in Malaria School Surveys in Kenya: Does their Under-performance Matter for Planning Malaria Control?</t>
  </si>
  <si>
    <t>American Psychiatric Publishing</t>
  </si>
  <si>
    <t>American Journal of Psychiatry</t>
  </si>
  <si>
    <t>AJP</t>
  </si>
  <si>
    <t>High Loading of Polygenic Risk for ADHD in Children with Comorbid Aggression</t>
  </si>
  <si>
    <t>PMC3466778</t>
  </si>
  <si>
    <t>AMES</t>
  </si>
  <si>
    <t>Characterizing the Fatty Acid Binding Site in the Cavity of Potassium Channel KcsA</t>
  </si>
  <si>
    <t>American Ethnologist</t>
  </si>
  <si>
    <t>AMEE</t>
  </si>
  <si>
    <t>This is our little Hajj? Muslim Holy sites and reappropriation of the sacred</t>
  </si>
  <si>
    <t>Public secrets in public health: knowing not to know while making scientific . ..</t>
  </si>
  <si>
    <t>PMC3639724</t>
  </si>
  <si>
    <t>American Journal of Epidemiology</t>
  </si>
  <si>
    <t>Using a nonparametric multilevel latent Markov model to evaluate diagnostics for trachoma.</t>
  </si>
  <si>
    <t>PMC3545681</t>
  </si>
  <si>
    <t>Dartmouth Journal Services</t>
  </si>
  <si>
    <t>American Journal of Clinical Nutrition</t>
  </si>
  <si>
    <t>AJCN</t>
  </si>
  <si>
    <t>Obesity is positively associated with dehydroepiandrosterone sulfate concentrations at 7 y in Chilean children of normal birth weight.</t>
  </si>
  <si>
    <t>PMC3590646</t>
  </si>
  <si>
    <t>American Journal of Bioethics--Neuroscience</t>
  </si>
  <si>
    <t>AJBN</t>
  </si>
  <si>
    <t>Just How Cognitive is 'Cognitive Enhancement'? On the Significance of Emotions in University Students' Experiences with Study Drugs</t>
  </si>
  <si>
    <t>PMC3652920</t>
  </si>
  <si>
    <t>DNA methylation potential: dietary intake and blood concentrations of one-carbon metabolites and cofactors in rural African women</t>
  </si>
  <si>
    <t>PMC3813311</t>
  </si>
  <si>
    <t>AJE</t>
  </si>
  <si>
    <t>Prenatal exposures and anti-Müllerian hormone in female adolescents: the Avon Longitudinal Study of Parents and Children</t>
  </si>
  <si>
    <t>PMC3132275</t>
  </si>
  <si>
    <t>Association between urban life-years and cardiometabolic risk: the Indian migration study</t>
  </si>
  <si>
    <t>PMC3783091</t>
  </si>
  <si>
    <t>Efficient design for Mendelian randomization studies: subsample and two-sample instrumental variable estimators</t>
  </si>
  <si>
    <t>PMC3837358</t>
  </si>
  <si>
    <t>American Journal of Geriatric Psychiatry</t>
  </si>
  <si>
    <t>AJGP</t>
  </si>
  <si>
    <t>The epidemiology of delirium: challenges and opportunities for population studies</t>
  </si>
  <si>
    <t>PMC3738821</t>
  </si>
  <si>
    <t>Cell Press</t>
  </si>
  <si>
    <t>American Journal of Human Genetics</t>
  </si>
  <si>
    <t>AJHG</t>
  </si>
  <si>
    <t>ELAC2 mutations cause a mitochondrial RNA processing defect associated with hypertrophic cardiomyopathy</t>
  </si>
  <si>
    <t>PMC3516598</t>
  </si>
  <si>
    <t>Mutations in ANO3 cause dominant cranio-cervical dystonia: ion channel implicated in pathogenesis</t>
  </si>
  <si>
    <t>PMC3769921</t>
  </si>
  <si>
    <t>Mutations in FBXL4 cause mitochondrial encephalopathy and a disorder of mitochondrial DNA maintenance</t>
  </si>
  <si>
    <t>PMC3591859</t>
  </si>
  <si>
    <t>Constitutional mutations in RTEL1 cause severe dyskeratosis congenita</t>
  </si>
  <si>
    <t>PMC3567269</t>
  </si>
  <si>
    <t>LRIG2 Mutations Cause Urofacial Syndrome</t>
  </si>
  <si>
    <t>PMC3470702</t>
  </si>
  <si>
    <t>American Journal of Medical Genetics</t>
  </si>
  <si>
    <t>AJMG</t>
  </si>
  <si>
    <t>A Novel Nonsense CDK5RAP2 Mutation in a Somali Child with Primary Microcephaly</t>
  </si>
  <si>
    <t>American Journal of Medical Genetics Part a</t>
  </si>
  <si>
    <t>AJMGPA</t>
  </si>
  <si>
    <t>A Distinct Mitochondrial Myopathy, Lactic Acidosis and Sideroblastic Anaemia (MLASA) Phenotype Associates with YARS2 Mutations</t>
  </si>
  <si>
    <t>PMC3947303</t>
  </si>
  <si>
    <t>American Society for Investigative Pathology</t>
  </si>
  <si>
    <t>American Journal of Pathology</t>
  </si>
  <si>
    <t>Trophoblast- and Vascular Smooth Muscle Cell-Derived MMP-12 Mediates Elastolysis during Uterine Spiral Artery Remodeling</t>
  </si>
  <si>
    <t>PMC3830178</t>
  </si>
  <si>
    <t>American Journal of Preventive Medicine</t>
  </si>
  <si>
    <t>AJPM</t>
  </si>
  <si>
    <t>Physical activity and transitioning to retirement: a systematic review</t>
  </si>
  <si>
    <t>PMC3834139</t>
  </si>
  <si>
    <t>Financial incentives to promote active travel: an evidence review and economic framework</t>
  </si>
  <si>
    <t>PMC3708126</t>
  </si>
  <si>
    <t>Sickle Cell Disease in Africa; a neglected cause of early childhood mortality</t>
  </si>
  <si>
    <t>American Psychiatric Association</t>
  </si>
  <si>
    <t>Methamphetamine-induced disruption of frontostriatal reward learning signals: relation to psychotic symptoms</t>
  </si>
  <si>
    <t>American Public Health Association</t>
  </si>
  <si>
    <t>American Journal of Public Health</t>
  </si>
  <si>
    <t>AJPH</t>
  </si>
  <si>
    <t>Health co-benefits and transportation-related reductions in greenhouse gas emissions in the San Francisco bay area</t>
  </si>
  <si>
    <t>American Journal of Transplantation</t>
  </si>
  <si>
    <t>AJT</t>
  </si>
  <si>
    <t>TNFa from classically activated macrophages accentuates epithelial to mesenchymal transitions in obliterative bronchiolitis</t>
  </si>
  <si>
    <t>PMC3746108</t>
  </si>
  <si>
    <t>Biliary epithelial senescence and plasticity in acute cellular rejection</t>
  </si>
  <si>
    <t>PMC3440570</t>
  </si>
  <si>
    <t>Low dose rapamycin treatment increases the ability of human regulatory T cells to inhibit transplant arteriosclerosis in vivo</t>
  </si>
  <si>
    <t>PMC3752812</t>
  </si>
  <si>
    <t>Selection of antimalarial drug resistance after intermittent preventive treatment of infants and children (IPTi/c) in Senegal</t>
  </si>
  <si>
    <t>PMC3752809</t>
  </si>
  <si>
    <t>Asymptomatic Plasmodium infection and cognition among primary schoolchildren in a high malaria transmission setting in Uganda</t>
  </si>
  <si>
    <t>PMC3516312</t>
  </si>
  <si>
    <t>Assessment of the Molecular Marker of Plasmodium falciparum Chloroquine Resistance in Senegal after several years of chloroquine withdrawal.</t>
  </si>
  <si>
    <t>American Society for Nutrition</t>
  </si>
  <si>
    <t>ASN</t>
  </si>
  <si>
    <t>The association between breastfeeding and HIV on postpartum maternal weight changes over 24 months in rural South Africa</t>
  </si>
  <si>
    <t>Review: very low cost (below 100)</t>
  </si>
  <si>
    <t>PMC3475971</t>
  </si>
  <si>
    <t>Analytical and Bioanalytical Chemistry</t>
  </si>
  <si>
    <t>ANAC</t>
  </si>
  <si>
    <t>Fragment screening of cyclin G-associated kinase by weak affinity chromatography.</t>
  </si>
  <si>
    <t>PMC3740237</t>
  </si>
  <si>
    <t>Analytical Biochemistry</t>
  </si>
  <si>
    <t>ANAB</t>
  </si>
  <si>
    <t>An expression system for screening of proteins for glycan and protein interactions.</t>
  </si>
  <si>
    <t>PMC3530960</t>
  </si>
  <si>
    <t>Analytical Chemistry</t>
  </si>
  <si>
    <t>Variable-Pitch Rectangular Cross-section Radiofrequency Coils for the Nitrogen-14 Nuclear Quadrupole Resonance Investigation of Sealed Medicines Packets</t>
  </si>
  <si>
    <t>Amphipathic polymers facilitate the study of functional membrane in the gas phase</t>
  </si>
  <si>
    <t>PMC3477822</t>
  </si>
  <si>
    <t>Quantitative dynamics of phosphorproteome: the devil is in the details</t>
  </si>
  <si>
    <t>PMC3738939</t>
  </si>
  <si>
    <t>Angewandte Chemie International Edition</t>
  </si>
  <si>
    <t>AIE</t>
  </si>
  <si>
    <t>Design and synthesis of cyclic ADP-4-thioribose as a stable equivalent of cyclic ADP-ribose, a calcium ion-mobilizing second messenger.</t>
  </si>
  <si>
    <t>PMC3749465</t>
  </si>
  <si>
    <t>ANGC</t>
  </si>
  <si>
    <t>Site-Specific Identification of the Abeta Fibril-Glycosaminoglycan Interaction Site using Solid State NMR Spectroscopy</t>
  </si>
  <si>
    <t>Cysteine Promoted C-terminal Hydrazinolysis of Native Peptides and Proteins</t>
  </si>
  <si>
    <t>PMC3547296</t>
  </si>
  <si>
    <t>ACIE</t>
  </si>
  <si>
    <t>Using ligand-mapping simulations to design a ligand selectively targeting a cryptic surface pocket of Polo-like kinase 1</t>
  </si>
  <si>
    <t>PMC3556687</t>
  </si>
  <si>
    <t>High-throughput interrogation of ligand binding mode using a fluorescence-based assay</t>
  </si>
  <si>
    <t>PMC3555362</t>
  </si>
  <si>
    <t>From crystal-packing to molecular recognition: prediction and discovery of a binding site on the surface of Polo-like Kinase 1</t>
  </si>
  <si>
    <t>PMC3791410</t>
  </si>
  <si>
    <t>Animal Behaviour</t>
  </si>
  <si>
    <t>ANIB</t>
  </si>
  <si>
    <t>Metabolic rate and body size are linked with perception of temporal information</t>
  </si>
  <si>
    <t>PMC3763379</t>
  </si>
  <si>
    <t>Faecal avoidance and selective foraging: Do wild mice have the luxury to avoid faeces?</t>
  </si>
  <si>
    <t>PMC3532623</t>
  </si>
  <si>
    <t>Annals of Human Genetics</t>
  </si>
  <si>
    <t>AHG</t>
  </si>
  <si>
    <t>Association of FTO gene variants with body composition in UK twins</t>
  </si>
  <si>
    <t>PMC3698700</t>
  </si>
  <si>
    <t>Annals of Neurology</t>
  </si>
  <si>
    <t>ANNN</t>
  </si>
  <si>
    <t>Optic radiation tractography and vision in anterior temporal lobe resection</t>
  </si>
  <si>
    <t>PMC3580047</t>
  </si>
  <si>
    <t>Mitochondrial DNA deletions and neurodegeneration in multiple sclerosis</t>
  </si>
  <si>
    <t>PMC3582024</t>
  </si>
  <si>
    <t>Ischaemic stroke is associated with the ABO locus: the Euroclot study</t>
  </si>
  <si>
    <t>PMC3638323</t>
  </si>
  <si>
    <t>Glucocerebrosidase deficiency in substantia nigra of Parkinson's disease brains</t>
  </si>
  <si>
    <t>PMC3698699</t>
  </si>
  <si>
    <t>Mutations in the autoregulatory domain of ?-tubulin 4a cause hereditary dystonia</t>
  </si>
  <si>
    <t>PMC3783897</t>
  </si>
  <si>
    <t>Annals of Science</t>
  </si>
  <si>
    <t>ANNS</t>
  </si>
  <si>
    <t>Systems, and How Linnaeus Looked At Them in Retrospect</t>
  </si>
  <si>
    <t>Annals of the New York Academy of Sciences</t>
  </si>
  <si>
    <t>ANYAS</t>
  </si>
  <si>
    <t>How serotonin shapes moral judgment and behavior</t>
  </si>
  <si>
    <t>PMC3495297</t>
  </si>
  <si>
    <t>What brain signals are suitable for feedback control of deep brain stimulation in Parkinson's disease</t>
  </si>
  <si>
    <t>PMC3535899</t>
  </si>
  <si>
    <t>Cadmus Journal Services</t>
  </si>
  <si>
    <t>Antimicrobial Agents and Chemotherapy</t>
  </si>
  <si>
    <t>AAC</t>
  </si>
  <si>
    <t>Elevated chitin content reduces the susceptibility of Candida species to caspofungin</t>
  </si>
  <si>
    <t>PMC3811480</t>
  </si>
  <si>
    <t>American Society for Microbiology</t>
  </si>
  <si>
    <t>The R Enantiomer of the Antitubercular Drug PA-824 as a Potential Oral Treatment for Visceral Leishmaniasis</t>
  </si>
  <si>
    <t>PMC3553740</t>
  </si>
  <si>
    <t>Assessing the Essentiality of Leishmania donovani Nitroreductase and Its Role in Nitro Drug Activation</t>
  </si>
  <si>
    <t>PMC3754341</t>
  </si>
  <si>
    <t>Immunoactivating peptide P4 augments alveolar macrophage phagocytosis in two diverse human populations</t>
  </si>
  <si>
    <t>PMC3697379</t>
  </si>
  <si>
    <t>Comparison of a high-throughput high-content intracellular Leishmania donovani assay with an axenic amastigote assay</t>
  </si>
  <si>
    <t>Cyclic AMP effectors in African Trypanosomes revealed by genome-scale RNA interference library screening for resistance to the phospphodiesterase inhibitor CpdA</t>
  </si>
  <si>
    <t>PMC3526897</t>
  </si>
  <si>
    <t>Mary Ann Liebert</t>
  </si>
  <si>
    <t>Antioxidants and Redox Signaling</t>
  </si>
  <si>
    <t>ARS</t>
  </si>
  <si>
    <t>Oxidation of the Yeast Mitochondrial Thioredoxin Promotes Cell Death</t>
  </si>
  <si>
    <t>Ybp1 and Gpx3 signalling in Candida albicans govern hydrogen peroxide-induced oxidation of the Cap 1 transcription factor and macrophage escape</t>
  </si>
  <si>
    <t>Does oxidative inactivation of CD45 phosphatase in rheumatoid arthritis underlie immune hyporesponsiveness?</t>
  </si>
  <si>
    <t>Applied Energy</t>
  </si>
  <si>
    <t>APPE</t>
  </si>
  <si>
    <t>Associations of individual, household and environmental characteristics with carbon dioxide emissions from motorised passenger travel</t>
  </si>
  <si>
    <t>BMJ Publishing Group</t>
  </si>
  <si>
    <t>Archives of Disease in Childhood</t>
  </si>
  <si>
    <t>ADC</t>
  </si>
  <si>
    <t>What causes attention deficit hyperactivity disorder ?</t>
  </si>
  <si>
    <t>Sleep patterns in children with autistic spectrum disorders: a prospective cohort study</t>
  </si>
  <si>
    <t>PMC3576918</t>
  </si>
  <si>
    <t>Psychometric profile of children with auditory processing disorder (APD) and children with dyslexia</t>
  </si>
  <si>
    <t>PMC3625741</t>
  </si>
  <si>
    <t>Arthritis and Rheumatism</t>
  </si>
  <si>
    <t>ARTR</t>
  </si>
  <si>
    <t>Lack of effect of a single injection of human C-reactive protein on murine lupus or nephrotoxic nephritis</t>
  </si>
  <si>
    <t>PMC3607248</t>
  </si>
  <si>
    <t>Distinct roles for complement in glomerulonephritis and atherosclerosis revealed in mice with a combination of lupus and hyperlipidemia</t>
  </si>
  <si>
    <t>The circadian clock in chondrocytes regulates genes controlling key aspects of cartilage homeostasis</t>
  </si>
  <si>
    <t>PMC3840700</t>
  </si>
  <si>
    <t>The impact of inflammation on metabolomic profiles in patients with arthritis</t>
  </si>
  <si>
    <t>PMC3715109</t>
  </si>
  <si>
    <t>Metabolic profiling predicts response to anti-TNFα therapy in patients with rheumatoid arthritis</t>
  </si>
  <si>
    <t>Arthritis Research and Therapy</t>
  </si>
  <si>
    <t>ART</t>
  </si>
  <si>
    <t>Transcriptomic signatures in cartilage ageing</t>
  </si>
  <si>
    <t>Myeloid related protein induces muscle derived inflammatory mediators in juvenile dermatomyositis</t>
  </si>
  <si>
    <t>Asian Journal of Psychiatry</t>
  </si>
  <si>
    <t>The explanatory models and coping strategies for alcohol use.</t>
  </si>
  <si>
    <t>PMC3683944</t>
  </si>
  <si>
    <t>Outcomes that matter: a qualitative study with persons with schizophrenia and their primary caregivers in India</t>
  </si>
  <si>
    <t>Portland Press</t>
  </si>
  <si>
    <t>ASN Neuro</t>
  </si>
  <si>
    <t>ASNN</t>
  </si>
  <si>
    <t>Astrocytes and glutamate homeostasis in Alzheimer’s disease: a decrease in glutamine synthetase but not in glutamate transporter-1 in the prefrontal cortex.</t>
  </si>
  <si>
    <t>Atherosclerosis</t>
  </si>
  <si>
    <t>ATRO</t>
  </si>
  <si>
    <t>HGF/c-Met Signaling Promotes Notch3 Activation and Human Vascular Smooth Muscle Cell Osteogenic Differentiation In Vitro</t>
  </si>
  <si>
    <t>PMC3566542</t>
  </si>
  <si>
    <t>Increased expression of fatty acid binding protein 4 and leptin in resident macrophages characterises atherosclerotic plaque rupture</t>
  </si>
  <si>
    <t>PMC3405838</t>
  </si>
  <si>
    <t>Landes Bioscience</t>
  </si>
  <si>
    <t>Autophagy</t>
  </si>
  <si>
    <t>AUPH</t>
  </si>
  <si>
    <t>A cyto-protective mechanism which prevents primary human hepatocyte apoptosis during oxidative stress</t>
  </si>
  <si>
    <t>Azania: Archaeological Research in Africa</t>
  </si>
  <si>
    <t>AARA</t>
  </si>
  <si>
    <t>Jebel Moya (Sudan): new dates from a mortuary complex at the southern Meroitic frontier</t>
  </si>
  <si>
    <t>PMC3787750</t>
  </si>
  <si>
    <t>Biochimica et Biophysica Acta - Molecular Basis of Disease</t>
  </si>
  <si>
    <t>BBAMBD</t>
  </si>
  <si>
    <t>Mutations in mitcochondrial ribosomal protein MRPL12 leads to growth retardation, neurological deterioration and mitochondrial translation deficiency</t>
  </si>
  <si>
    <t>PMC3051108</t>
  </si>
  <si>
    <t>Behaviour Research and Therapy</t>
  </si>
  <si>
    <t>BRT</t>
  </si>
  <si>
    <t>Clarifying boundaries of binge eating diorder and pyschiatric comorbidity: a latent sturcture analysis</t>
  </si>
  <si>
    <t>PMC3112491</t>
  </si>
  <si>
    <t>Therapist competence, therapy quality and therapist training</t>
  </si>
  <si>
    <t>PMC3462035</t>
  </si>
  <si>
    <t>American Psychological Association</t>
  </si>
  <si>
    <t>Behavioral Neuroscience</t>
  </si>
  <si>
    <t>Evidence that the rat hippocampus has contrasting roles in object recognition memory and object recency memory</t>
  </si>
  <si>
    <t>PMC3670620</t>
  </si>
  <si>
    <t>Dissociation of recognition and recency memory judgments after anterior thalamic nuclei lessions in rats</t>
  </si>
  <si>
    <t>PMC3569044</t>
  </si>
  <si>
    <t>The Neural Basis of Nonvisual Object Recognition</t>
  </si>
  <si>
    <t>PMC3662031</t>
  </si>
  <si>
    <t>Enhanced cognitive behaviour therapy for adolescents with anorexia nervosa</t>
  </si>
  <si>
    <t>PMC3662032</t>
  </si>
  <si>
    <t>Enhanced cognitive behaviour therapy for adolescents with anorexia nervosa: an alternative to family therapy?</t>
  </si>
  <si>
    <t>PMC3590452</t>
  </si>
  <si>
    <t>Behavioural Brain Research</t>
  </si>
  <si>
    <t>BEHR</t>
  </si>
  <si>
    <t>The telomeric part of the human chromosome 21 from Cstb to Prmt2 is not necessary for the locomotor and short-term memory deficits observed in the Tc1 mouse model of Down syndrome</t>
  </si>
  <si>
    <t>Bioinformatics</t>
  </si>
  <si>
    <t>BIFO</t>
  </si>
  <si>
    <t>mzMatch-ISO: an R tool for the annotation and relative quantification of isotope-labelled mass spectrometry data</t>
  </si>
  <si>
    <t>Biochemical Journal</t>
  </si>
  <si>
    <t>BIOJ</t>
  </si>
  <si>
    <t>Proteolytic Processing of QSOX1A Ensures Efficient Secretion of a Potent Disulfide Catalyst</t>
  </si>
  <si>
    <t>PMC3685328</t>
  </si>
  <si>
    <t>Biochemical Society Transactions</t>
  </si>
  <si>
    <t>BIOTRANS</t>
  </si>
  <si>
    <t>ZF-CXXC domain containing proteins, CpG islands and the chromatin connection</t>
  </si>
  <si>
    <t>PMC3759847</t>
  </si>
  <si>
    <t>Biochemical and Biophysical Research Communications</t>
  </si>
  <si>
    <t>BBRC</t>
  </si>
  <si>
    <t>Differential COX-2 induction by viral and bacterial PAMPs: consequences for cytokine and interferon responses and implications for anti-viral COX-2 directed therapies</t>
  </si>
  <si>
    <t>PMC3480643</t>
  </si>
  <si>
    <t>Biochemical characterization of recombinant Candida albicans mannosyltransferases Mnt1, Mnt2 and Mnt5 reveals functions in O- and N-mannan biosynthesis</t>
  </si>
  <si>
    <t>PMC3685266</t>
  </si>
  <si>
    <t>The dynamic action of SecA during the initiation of protein translocation</t>
  </si>
  <si>
    <t>PMC3685215</t>
  </si>
  <si>
    <t>Three dimensional structure of recombinant type 1 inositol 1,4,5-trisphosphate receptor</t>
  </si>
  <si>
    <t>PMC3685217</t>
  </si>
  <si>
    <t>Activation of IP3 receptors requires an endogenous 1-8-14 calmodulin-binding motif</t>
  </si>
  <si>
    <t>PMC3583032</t>
  </si>
  <si>
    <t>Structure and mechanism of the PilF DNA transformation ATPase from Thermus thermophilus</t>
  </si>
  <si>
    <t>PMC3632086</t>
  </si>
  <si>
    <t>The P-body component USP52/PAN2 is a novel regulator of HIF1A mRNA stability.</t>
  </si>
  <si>
    <t>PMC3635657</t>
  </si>
  <si>
    <t>Characterization of a pre-export enzyme-chaperone complex on the twin-arginine transport pathway</t>
  </si>
  <si>
    <t>PMC3778709</t>
  </si>
  <si>
    <t>Ube2W conjugates ubiquitin to α-amino groups of protein N-termini.</t>
  </si>
  <si>
    <t>PMC3778707</t>
  </si>
  <si>
    <t>Human cap methyltransferase (RNMT) N-terminal non-catalytic domain mediates recruitment to transcription initiation sites.</t>
  </si>
  <si>
    <t>PMC3526858</t>
  </si>
  <si>
    <t>Characterization of Staphylococcus aureus EssB, an integral membrane component of the Type VII secretion system: atomic resolution crystal structure of the cytoplasmic segment.</t>
  </si>
  <si>
    <t>PMC3631101</t>
  </si>
  <si>
    <t>The AMPK-related kinase SIK2 is regulated by cAMP via phosphorylation at Ser358 in adipocytes</t>
  </si>
  <si>
    <t>PMC3542821</t>
  </si>
  <si>
    <t>CFTR mutations altering CFTR fragmentation</t>
  </si>
  <si>
    <t>The proteasome cap RPT5/Rpt5p subunit prevents aggregation of unfolded ricin A Chain</t>
  </si>
  <si>
    <t>PMC3526116</t>
  </si>
  <si>
    <t>Generation and characterisation of a lysosomally targeted, genetically encoded Ca2+- sensor</t>
  </si>
  <si>
    <t>PMC3694296</t>
  </si>
  <si>
    <t>Biochemical Pharmacology</t>
  </si>
  <si>
    <t>BIOP</t>
  </si>
  <si>
    <t>11β-Hydroxysteroid dehydrogenase type 1 contributes to the balance between 7-keto- and 7-hydroxy-oxysterols in vivo</t>
  </si>
  <si>
    <t>PMC3561678</t>
  </si>
  <si>
    <t>BIOT</t>
  </si>
  <si>
    <t>End-resection at DNA double-strand breaks in the three domains of life</t>
  </si>
  <si>
    <t>PMC3685327</t>
  </si>
  <si>
    <t>CHD4 in the DNA-damage response and cell-cycle progression: not so NuRDy now</t>
  </si>
  <si>
    <t>PMC3554041</t>
  </si>
  <si>
    <t>Novel functions for Rab GTPases in multiple aspects of tumour progression</t>
  </si>
  <si>
    <t>PMC3413243</t>
  </si>
  <si>
    <t>Biochemistry</t>
  </si>
  <si>
    <t>BIHE</t>
  </si>
  <si>
    <t>Monomeric 14-3-3 has a chaperone-like activity and is stabilized by phosphorylated HSpB6</t>
  </si>
  <si>
    <t>Biochimica et Biophysica Acta - Gene Regulatory Mechanisms</t>
  </si>
  <si>
    <t>BBAGRM</t>
  </si>
  <si>
    <t>The social fabric of the RNA degradosome</t>
  </si>
  <si>
    <t>PMC3714738</t>
  </si>
  <si>
    <t>The hereditary spastic paraplegia protein strumpellin: characterisation in neurons and of the effect of disease mutations on WASH complex assembly and function</t>
  </si>
  <si>
    <t>PMC3793867</t>
  </si>
  <si>
    <t>Serotonin paracrine signalling in tissue fibrosis</t>
  </si>
  <si>
    <t>Biochimica et Biophysica Acta (BBA) - Molecular Cell Research</t>
  </si>
  <si>
    <t>BBABBAMCR</t>
  </si>
  <si>
    <t>Mitophagy and Parkinson's disease: the PINK1-parkin link</t>
  </si>
  <si>
    <t>PMC3585959</t>
  </si>
  <si>
    <t>Biochimie</t>
  </si>
  <si>
    <t>BIHI</t>
  </si>
  <si>
    <t>11β-Hydroxysteroid dehydrogenase type 1 contributes to the regulation of 7-oxysterol levels in the arterial wall through the inter-conversion of 7-ketocholesterol and 7β-hydroxycholesterol.</t>
  </si>
  <si>
    <t>PMC3630740</t>
  </si>
  <si>
    <t>Bioconjugate Chemistry</t>
  </si>
  <si>
    <t>Design, synthesis and functional activity of labelled CD'ld glycoupid agonists</t>
  </si>
  <si>
    <t>PMC3654172</t>
  </si>
  <si>
    <t>Bioethics</t>
  </si>
  <si>
    <t>BITH</t>
  </si>
  <si>
    <t>What Can History Do for Bioethics?</t>
  </si>
  <si>
    <t>PMC3579232</t>
  </si>
  <si>
    <t>Free Riders and Pious Sons - Why Science Research Remains Obligatory</t>
  </si>
  <si>
    <t>PMC3660781</t>
  </si>
  <si>
    <t>Presidential Address: The ethics of recognition, responsibility and respect</t>
  </si>
  <si>
    <t>PMC3709132</t>
  </si>
  <si>
    <t>Health, vital goals, and central human capabilities</t>
  </si>
  <si>
    <t>PMC3847282</t>
  </si>
  <si>
    <t>Biogerontology</t>
  </si>
  <si>
    <t>BIER</t>
  </si>
  <si>
    <t>Shared Ageing Research Models (ShARM): A new facility to support ageing</t>
  </si>
  <si>
    <t>PMC3546795</t>
  </si>
  <si>
    <t>BINF</t>
  </si>
  <si>
    <t>A Beta-Mixture Quantile Normalisation method for correcting probe design bias in Illumina Infinium 450k DNA methylation data</t>
  </si>
  <si>
    <t>PMC3570213</t>
  </si>
  <si>
    <t>The product of C9orf72, a gene strongly implicated in neurodegeneration, is structurally related to DENN Rab-GEFs</t>
  </si>
  <si>
    <t>PMC3476336</t>
  </si>
  <si>
    <t>A robust model for read count data in exome sequencing experiments and implications for copy number variant calling</t>
  </si>
  <si>
    <t>PMC3694669</t>
  </si>
  <si>
    <t>FYPO: the fission yeast phenotype ontology</t>
  </si>
  <si>
    <t>PMC3413389</t>
  </si>
  <si>
    <t>BIOO</t>
  </si>
  <si>
    <t>ChromoHub: a data hub for navigators of chromatin-mediated signalling.</t>
  </si>
  <si>
    <t>PMC3496338</t>
  </si>
  <si>
    <t>GREVE: Genomic Recurrent Event ViEwer to assist the identification of patterns across individual cancer samples.</t>
  </si>
  <si>
    <t>PMC3546802</t>
  </si>
  <si>
    <t>Scaffolding low quality genomes using orthologous protein sequences</t>
  </si>
  <si>
    <t>PMC3507208</t>
  </si>
  <si>
    <t>The Company of Biologists</t>
  </si>
  <si>
    <t>Biology Open</t>
  </si>
  <si>
    <t>BIOOPEN</t>
  </si>
  <si>
    <t>Drosophila SYNCRIP binds the Gurken mRNA localisation signal and regulates localised transcripts</t>
  </si>
  <si>
    <t>PMC3581401</t>
  </si>
  <si>
    <t>American Society for Biochemistry and Molecular Biology</t>
  </si>
  <si>
    <t>Biological Chemistry</t>
  </si>
  <si>
    <t>BIOCHEMISTRY</t>
  </si>
  <si>
    <t>Molecular architecture of a complex between adhesion protein from malaria parasite and intracellular adhesion</t>
  </si>
  <si>
    <t>PMC3314969</t>
  </si>
  <si>
    <t>Biological Psychiatry</t>
  </si>
  <si>
    <t>COMT Val158Met Genotyp Determines the Direction of Cognitive Effects Produced by Catechol-O-Methyltrasferse Inhibition</t>
  </si>
  <si>
    <t>Neural and behavioural aspects of a novel mu opeid receptor antagonist in binge-eating obese people</t>
  </si>
  <si>
    <t>Counterfactual processing of economic action-outcome alternatives in obsessive-compulsive disorder: further evidence of impaired goal-directed behaviour</t>
  </si>
  <si>
    <t>Enhanced avoidance habit learning in obsessive-compulsive disorder</t>
  </si>
  <si>
    <t>PMC3580283</t>
  </si>
  <si>
    <t>Biological Psychology</t>
  </si>
  <si>
    <t>BIOPSYCHOLOGY</t>
  </si>
  <si>
    <t>The catechol-O-methyltransferase gene (COMT) and cognitive function from childhood through adolescence</t>
  </si>
  <si>
    <t>PMC3591638</t>
  </si>
  <si>
    <t>Molecular Basis for Jagged-1 Serrate</t>
  </si>
  <si>
    <t>PMC3457933</t>
  </si>
  <si>
    <t>Public Library of Science</t>
  </si>
  <si>
    <t>Biology</t>
  </si>
  <si>
    <t>BIOG</t>
  </si>
  <si>
    <t>Independent Regulation of Basal Neurotransmitter Release Efficacy by Variable Ca2+ Influx and Bouton Size at Small Central Synapses</t>
  </si>
  <si>
    <t>PMC3639766</t>
  </si>
  <si>
    <t>The Royal Society</t>
  </si>
  <si>
    <t>Biology Letters</t>
  </si>
  <si>
    <t>BIOL</t>
  </si>
  <si>
    <t>Host nutrition alters the variance in parasite transmission potential.</t>
  </si>
  <si>
    <t>PMC3730629</t>
  </si>
  <si>
    <t>Anthelmintic treatment alters the parasite community in a wild mouse host</t>
  </si>
  <si>
    <t>PMC3639764</t>
  </si>
  <si>
    <t>Vaulting mechanics successfully predict decrease in walk-run transition speed with incline</t>
  </si>
  <si>
    <t>PMC3730652</t>
  </si>
  <si>
    <t>Constraints on muscle performance provide a novel explanation for the scaling of posture in terrestrial animals</t>
  </si>
  <si>
    <t>PMC3711043</t>
  </si>
  <si>
    <t>Olfactory ensheathing glia are required for embryonic olfactory axon targeting and the migration of gonadotrophin-releasing hormone neurons</t>
  </si>
  <si>
    <t>PMC3558749</t>
  </si>
  <si>
    <t>Highly efficient bi-allelic mutation rates using TALENs in Xenopus tropicalis</t>
  </si>
  <si>
    <t>Nrf2 impacts cellular bioenergetics by controlling substrate availability for mitochondrial respiration</t>
  </si>
  <si>
    <t>PMC3744072</t>
  </si>
  <si>
    <t>Analysis of the cartilage proteome from three different mouse models of genetic skeletal diseases reveal common and discrete disease signatures</t>
  </si>
  <si>
    <t>PMC3744075</t>
  </si>
  <si>
    <t>Intra-ER sorting of the peroxisomal membrane protein Pex3 relies on its luminal domain</t>
  </si>
  <si>
    <t>PMC3679557</t>
  </si>
  <si>
    <t>Biomacromolecules</t>
  </si>
  <si>
    <t>BIAC</t>
  </si>
  <si>
    <t>Structural characterization of a Model Gram-negative bacterial surface using lipopolysaccharides from rough strains of escherichia coli</t>
  </si>
  <si>
    <t>PMC3520009</t>
  </si>
  <si>
    <t>Biomaterials</t>
  </si>
  <si>
    <t>BIAT</t>
  </si>
  <si>
    <t>Incorporation of Paramagnetic, Fluorescent and PET/SPECT Contrast Agents into Liposomes for Multimodal Imaging</t>
  </si>
  <si>
    <t>PMC3605579</t>
  </si>
  <si>
    <t>The Effect of Microgrooved Culture Substrates on Calcium Cycling of Cardiac Myocytes Derived from Human Induced Pluripotent Stem Cells</t>
  </si>
  <si>
    <t>PMC3381227</t>
  </si>
  <si>
    <t>Long-term impact of systemic bacterial infection on the cerebral vasculature and microglia.</t>
  </si>
  <si>
    <t>PMC3764326</t>
  </si>
  <si>
    <t>Biomedical Microdevices</t>
  </si>
  <si>
    <t>BIOM</t>
  </si>
  <si>
    <t>Continuous in vivo blood pressure measurements using a fully implantable wireless SAW sensor</t>
  </si>
  <si>
    <t>Biomolecular NMR Assignments</t>
  </si>
  <si>
    <t>BIOA</t>
  </si>
  <si>
    <t>Resonance assignment of As-p18, a fatty acid binding protein secreted by developing larvae of the parasitic nematode Ascaris suum</t>
  </si>
  <si>
    <t>1H, 13C and 15N chemical shift assignments of Na-FAR-1, a helix-rich fatty acid and retinol binding protein of the parasitic nematode Necator americanus</t>
  </si>
  <si>
    <t>PMC3512037</t>
  </si>
  <si>
    <t>Biophysical Society</t>
  </si>
  <si>
    <t>Biophysical Journal</t>
  </si>
  <si>
    <t>GABA binding to an insect GABA receptor: a molecular dynamics and mutagenesis study</t>
  </si>
  <si>
    <t>PMC3525841</t>
  </si>
  <si>
    <t>Single-molecule observation of the induction of k-turn RNA structure on binding L7Ae protein</t>
  </si>
  <si>
    <t>PMC3736666</t>
  </si>
  <si>
    <t>Aggregation modulators interfer with membrane interactions of Beta2 microglobulin fibrils</t>
  </si>
  <si>
    <t>PMC3814418</t>
  </si>
  <si>
    <t>Biopolymers</t>
  </si>
  <si>
    <t>ATP-Driven molecular chaperone machines</t>
  </si>
  <si>
    <t>Particle Tracking Microrheology of Purified Gastrointestinal Mucins</t>
  </si>
  <si>
    <t>PMC3763426</t>
  </si>
  <si>
    <t>Bioscience Reports</t>
  </si>
  <si>
    <t>BIOR</t>
  </si>
  <si>
    <t>Genetic and structural validation of Aspergillus fumigatus N-acetylphosphoglucosamine mutase as an antifungal target.</t>
  </si>
  <si>
    <t>Nature Publishing Group</t>
  </si>
  <si>
    <t>Biosocieties</t>
  </si>
  <si>
    <t>"Creating the 'Ethics Industry': Mary Warnock, In Vitro Fertilization and the History of Bioethics in Britain"</t>
  </si>
  <si>
    <t>PMC3671369</t>
  </si>
  <si>
    <t>Palgrave Macmillan</t>
  </si>
  <si>
    <t>Health Economists, Tobacco Control and International Development: On the Economisation of Global Health beyond Neoliberal Structural Adjustment Policies</t>
  </si>
  <si>
    <t>PMC3677098</t>
  </si>
  <si>
    <t>Biosystems</t>
  </si>
  <si>
    <t>BIYS</t>
  </si>
  <si>
    <t>Information coding in vasopressin neurons-The role of asynchronous bistable burst firing.</t>
  </si>
  <si>
    <t>Birth Defects Research Part A: Clinical and Molecular Teratology</t>
  </si>
  <si>
    <t>BDRPACMT</t>
  </si>
  <si>
    <t>Knowledge and peri-conceptional use of folic acid for the prevention of neural tube defects in ethnic communities in the United Kingdom: Systematic review and meta-analysis</t>
  </si>
  <si>
    <t>Is LMNB1 a susceptibility gene for neural tube defects in humans?</t>
  </si>
  <si>
    <t>PMC3686250</t>
  </si>
  <si>
    <t>British Journal of Ophthalmology</t>
  </si>
  <si>
    <t>BJHT</t>
  </si>
  <si>
    <t>Near-infrared transillumination photography to detect anterior uveal melanomas through Black IOLs</t>
  </si>
  <si>
    <t>PMC3613719</t>
  </si>
  <si>
    <t>Royal College of Psychiatrists</t>
  </si>
  <si>
    <t>BJP</t>
  </si>
  <si>
    <t>BJPBJP</t>
  </si>
  <si>
    <t>Effect of psychosocial interventions on social functioning in depression and schizophrenia: meta-analysis</t>
  </si>
  <si>
    <t>American Society of Hematology</t>
  </si>
  <si>
    <t>Blood</t>
  </si>
  <si>
    <t>BLBL</t>
  </si>
  <si>
    <t>Disease-associated missense mutations in the EVH1 domain disrupt intrinsic WASp function causing dysregulated actin dynamics and impaired dendritic cell migration</t>
  </si>
  <si>
    <t>SAP gene transfer restores cellular and humoral immune function in a murine model of X-linked lymphoproliferative disease</t>
  </si>
  <si>
    <t>Super-resolution imaging of remodeled synaptic actin reveals different synergies between NK cell receptors and integrins.</t>
  </si>
  <si>
    <t>PMC3501641</t>
  </si>
  <si>
    <t>Induction of IL-4Ra-dependent microRNAs identifies PI3K/Akt signaling as essential for IL-4-driven murine macrophage proliferation in vivo</t>
  </si>
  <si>
    <t>PMC3596968</t>
  </si>
  <si>
    <t>Siglec-E is a negative regulator of acute pulmonary neutrophil inflammation and suppresses CD11b β2-integrin-dependent signaling</t>
  </si>
  <si>
    <t>PMC3790949</t>
  </si>
  <si>
    <t>Evaluation of participants with suspected heritable platelet function disorders including recommendation and validation of a streamlined agonist panel.</t>
  </si>
  <si>
    <t>PMC3689249</t>
  </si>
  <si>
    <t>Characterization of a novel NKG2D and NKp46 double-mutant mouse reveals subtle variations in the NK cell repertoire</t>
  </si>
  <si>
    <t>PMC3653566</t>
  </si>
  <si>
    <t>BLOJ</t>
  </si>
  <si>
    <t>Peptide Length Determines the Outcome of T Cell Receptor/Peptide-MHCI Engagement</t>
  </si>
  <si>
    <t>PMC3790942</t>
  </si>
  <si>
    <t>Epidermis instructs skin homing receptor expression in human T cells</t>
  </si>
  <si>
    <t>PMC3533981</t>
  </si>
  <si>
    <t>BMC Public Health</t>
  </si>
  <si>
    <t>BMCH</t>
  </si>
  <si>
    <t>Geographical access to care at birth n Ghana: a barrier to safe motherhood</t>
  </si>
  <si>
    <t>PMC3398262</t>
  </si>
  <si>
    <t>BMC Biology</t>
  </si>
  <si>
    <t>BMCB</t>
  </si>
  <si>
    <t>Detailed interrogation of trypanosome cell biology via differential organelle staining and automated image analysis</t>
  </si>
  <si>
    <t>PMC3846689</t>
  </si>
  <si>
    <t>BMC Genetics</t>
  </si>
  <si>
    <t>BMCG</t>
  </si>
  <si>
    <t>The physical capability of community-based mend and women from a British cohort: the European Prospective Investigation into Cancer (EPIC)-Norfolk study</t>
  </si>
  <si>
    <t>BMC Genome Biology</t>
  </si>
  <si>
    <t>Patterns of prokaryotic lateral gene transfers affecting parasitic microbial eukaryotes</t>
  </si>
  <si>
    <t>PMC2843621</t>
  </si>
  <si>
    <t>BMC Genomics</t>
  </si>
  <si>
    <t>Trichomonas vaginalis vast BspA-like gene family: evidence for functional diversity from sructural organization and transcriptomics</t>
  </si>
  <si>
    <t>PMC3636053</t>
  </si>
  <si>
    <t>Enhancing the utility of Proteomics Signature Profiling (PSP) with Pathway Derived Subnets (PDSs), performance analysis and specialised ontologies</t>
  </si>
  <si>
    <t>PMC3526451</t>
  </si>
  <si>
    <t>Advances in genome-wide RNAi cellular screens: a case study using the Drosophila JAK/STAT pathway</t>
  </si>
  <si>
    <t>PMC3681581</t>
  </si>
  <si>
    <t>Transcriptional adaptation of pneumococci and human pharyngeal cells in the presence of a virus infection.</t>
  </si>
  <si>
    <t>PMC3708772</t>
  </si>
  <si>
    <t>Phenotypic, genomic, and transcriptional characterization of Streptococcus pneumonia interacting with human pharyngeal cells.</t>
  </si>
  <si>
    <t>PMC3664635</t>
  </si>
  <si>
    <t>BMC Health Services Research</t>
  </si>
  <si>
    <t>BMCHSR</t>
  </si>
  <si>
    <t>Community groups as 'critical enablers' of the HIV response in Zimbabwe</t>
  </si>
  <si>
    <t>PMC3312863</t>
  </si>
  <si>
    <t>The development of a lay health worker delivered collaborative community based intervention for people with schizophrenia in India</t>
  </si>
  <si>
    <t>PMC3605375</t>
  </si>
  <si>
    <t>BMC Infectious Diseases</t>
  </si>
  <si>
    <t>BMCI</t>
  </si>
  <si>
    <t>Endotoxaemia is common in children with Plasmodium falciparum malaria</t>
  </si>
  <si>
    <t>PMC3716635</t>
  </si>
  <si>
    <t>The proportions of people living with HIV in low and middle-income countries who test tuberculin skin test positive using either ....</t>
  </si>
  <si>
    <t>PMC3639180</t>
  </si>
  <si>
    <t>BMCD</t>
  </si>
  <si>
    <t>The receptive versus current risks of Plasmodium falciparum transmission in Northern Namibia: implications for elimination.</t>
  </si>
  <si>
    <t>PMC3750443</t>
  </si>
  <si>
    <t>BMC Medical Ethics</t>
  </si>
  <si>
    <t>BMCE</t>
  </si>
  <si>
    <t>Taking ethical photos of children for medical and research purposes in low-resource settings: an exploratory qualitative study</t>
  </si>
  <si>
    <t>PMC3570299</t>
  </si>
  <si>
    <t>BMC Medical Genetics</t>
  </si>
  <si>
    <t>Maternal and offspring fasting glucose and type 2 diabetes-associated genetic variants and cognitive function at age 8: a Mendelian randomization study in the Avon Longitudinal Study of Parents and Children</t>
  </si>
  <si>
    <t>BMC Medical Imaging</t>
  </si>
  <si>
    <t>Correlation of automated IMT and BMI in an image database from India on a very low resolution carotid ultrasound.</t>
  </si>
  <si>
    <t>PMC3616814</t>
  </si>
  <si>
    <t>BMC Medicine</t>
  </si>
  <si>
    <t>BMCM</t>
  </si>
  <si>
    <t>Associations between selected immune-mediated diseases and tuberculosis: record-linkage studies</t>
  </si>
  <si>
    <t>PMC3566971</t>
  </si>
  <si>
    <t>Genetic environmental and stochastic factors in monozygotic twin discordance with a focus on epigenetic differences</t>
  </si>
  <si>
    <t>HIV-associated tuberculosis: relationship between disease severity and the sensitivity of new sputum-based and urine-based diagnostic assays</t>
  </si>
  <si>
    <t>PMC3726342</t>
  </si>
  <si>
    <t>BMC Microbiology</t>
  </si>
  <si>
    <t>Sub-inhibitory concentrations of some antibiotics drive diversification of Pseudomonas aeruginosa populations in artificial sputum medium</t>
  </si>
  <si>
    <t>PMC3640928</t>
  </si>
  <si>
    <t>BMC Molecular Biology</t>
  </si>
  <si>
    <t>Multiple tandem splicing silencer elements suppress aberrant splicing within the long exon 26 of the human Apolipoprotein B gene</t>
  </si>
  <si>
    <t>PMC3534503</t>
  </si>
  <si>
    <t>BMC Neurology</t>
  </si>
  <si>
    <t>BMCN</t>
  </si>
  <si>
    <t>Risk of fractures in patients with multiple sclerosis: record-linkage study</t>
  </si>
  <si>
    <t>PMC3579723</t>
  </si>
  <si>
    <t>BMC Neuroscience</t>
  </si>
  <si>
    <t>Steerable-filter based quantification of axonal populations at the developing optic chiasm reveal significant defects in Slit2(-/-) as well as Slit1(-/-)Slit2(-/-) embryos.</t>
  </si>
  <si>
    <t>PMC3599138</t>
  </si>
  <si>
    <t>BMC Pediatrics</t>
  </si>
  <si>
    <t>BMCP</t>
  </si>
  <si>
    <t>A retrospective study of Human Immunodeficincy Virus transmission mortality and loss to follow-up among infants in the first 18 months of life in prevention of mother-t-child transmission programme in an urban hospital in KwaZulu-Natal South Africa</t>
  </si>
  <si>
    <t>PMC3537519</t>
  </si>
  <si>
    <t>BMC Psychiatry</t>
  </si>
  <si>
    <t>Rates of undiagnosed attention deficit hyperactivity disorder in London drug and alcohol detoxification units</t>
  </si>
  <si>
    <t>PMC3637822</t>
  </si>
  <si>
    <t>Detecting depression among adolescents in Santiago, Chile: sex differences</t>
  </si>
  <si>
    <t>PMC3751660</t>
  </si>
  <si>
    <t>Implementation of an educational intervention to improve hand washing in primary schools: process evaluation within a randomised controlled trial</t>
  </si>
  <si>
    <t>PMC3637551</t>
  </si>
  <si>
    <t>Social acceptability and perceived impact of a community-led cash transfer programme in Zimbabwe</t>
  </si>
  <si>
    <t>PMC3637528</t>
  </si>
  <si>
    <t>The role of community conversations in facilitating local HIV competence: Case study from rural Zimbabwe</t>
  </si>
  <si>
    <t>PMC3570447</t>
  </si>
  <si>
    <t>Tuberculosis and poverty: the contribution of patients costs in sub-Saharan Africa - a systematic review</t>
  </si>
  <si>
    <t>Maternal HIV disclosure to HIV- uninfected children in rural South Africa: a pilot study of family-based intervention</t>
  </si>
  <si>
    <t>PMC3651303</t>
  </si>
  <si>
    <t>Older HIV-infected individuals present late and have a higher mortality: Brighton UK cohort study</t>
  </si>
  <si>
    <t>PMC3848687</t>
  </si>
  <si>
    <t>The effectiveness of mental health promotion interventions for young people in low and middle income countries: a systematic review.</t>
  </si>
  <si>
    <t>Intimate partner violence against women during and after pregnancy: a cross-sectional study in Mumbai slums</t>
  </si>
  <si>
    <t>PMC3844310</t>
  </si>
  <si>
    <t>Do accurate HIV and antiretroviral therapy knowledge and previous testing experiences increase the uptake o ....</t>
  </si>
  <si>
    <t>Alcohol assessment and feedback by e-mail for university student hazardous and harmful drinkers: study protocol for the AMADEUS-2 randomised controlled trials.</t>
  </si>
  <si>
    <t>Education is associated with lower levels of abdominal obesity in women with a non-agricultural occupation: an interaction study using China's Four Provinces survey</t>
  </si>
  <si>
    <t>PMC3735389</t>
  </si>
  <si>
    <t>Association between legume intake and self-reported diabetes among adult men and women in India.</t>
  </si>
  <si>
    <t>PMC3664085</t>
  </si>
  <si>
    <t>Evidence of improving antiretroviral therapy treatment delays: an analysis of eight years of programmatic outcomes in Blantyre, Malawi</t>
  </si>
  <si>
    <t>Effectiveness of alcohol brief intervention delivered by community pharmacists: study protocol of a two-arm randomised controlled trial.</t>
  </si>
  <si>
    <t>PMC3766112</t>
  </si>
  <si>
    <t>BMC Research Notes</t>
  </si>
  <si>
    <t>Prevalence of schistosome antibodies and hepatosplenic signs and symptoms among patients from Kaoma, Western Province, Zambia</t>
  </si>
  <si>
    <t>PMC3528429</t>
  </si>
  <si>
    <t>BMC Veterinary Research</t>
  </si>
  <si>
    <t>BMCR</t>
  </si>
  <si>
    <t>Prevalence of porcine cysticercosis and associated risk factors in Homa Bay District, Kenya</t>
  </si>
  <si>
    <t>PMC3612795</t>
  </si>
  <si>
    <t>BMJ</t>
  </si>
  <si>
    <t>BMJBMJ</t>
  </si>
  <si>
    <t>Study protocol for a randomised controlled double-blinded trial of the dose-dependent efficacy and safety of primaquine for clearance of gametocytes in children with uncomplicated falciparum malaria in Uganda.</t>
  </si>
  <si>
    <t>PMC3521646</t>
  </si>
  <si>
    <t>Heat and risk of myocardial infarction: hourly level case-crossover analysis of MINAP database</t>
  </si>
  <si>
    <t>Completeness and diagnostic validity of recording acute myocardial infarction events in primary care, hospital care, disease registry, and national mortality records: cohort study.</t>
  </si>
  <si>
    <t>PMC3586185</t>
  </si>
  <si>
    <t>Estimating the relative contribution of parasitic infections and nutrition for anaemia among school-aged children in Kenya.</t>
  </si>
  <si>
    <t>PMC3624963</t>
  </si>
  <si>
    <t>Orlistat and the risk of acute liver injury: a self-controlled case-series study in UK general practice research database.</t>
  </si>
  <si>
    <t>PMC3404183</t>
  </si>
  <si>
    <t>Use of risk assessment instruments to predict violence and antisocial behavior in 73 samples involving 24,827 people; systematic review and meta-analysis</t>
  </si>
  <si>
    <t>Could NICE guidance on the choice of blood pressure lowering drugs be simplified?</t>
  </si>
  <si>
    <t>Pragmatic randomised trials using routine electronic health records: putting them to the test.</t>
  </si>
  <si>
    <t>Improving vascular health: are pills the answer?</t>
  </si>
  <si>
    <t>Translating genomics into improved healthcare.</t>
  </si>
  <si>
    <t>PMC3533021</t>
  </si>
  <si>
    <t>BMJ Open</t>
  </si>
  <si>
    <t>BMJO</t>
  </si>
  <si>
    <t>Weekend Admission as an Independent Predictor of Mortality: An analysis of Scottish Hospital Admissions</t>
  </si>
  <si>
    <t>PMC3657677</t>
  </si>
  <si>
    <t>Development of an economic evaluation of diagnostic strategies: the case of monogenic diabetes</t>
  </si>
  <si>
    <t>PMC3731707</t>
  </si>
  <si>
    <t>The Small Eye Phenotype in the EPIC-Norfolk Eye Study: Prevalence and Visual Impairment in Microphthalmos and Nanophthalmos</t>
  </si>
  <si>
    <t>PMC3752053</t>
  </si>
  <si>
    <t>How active are our children? Findings from the Millennium Cohort Study</t>
  </si>
  <si>
    <t>PMC3612744</t>
  </si>
  <si>
    <t>Predictors of non-response in a uk-wide cohort study of children's accelerometer-determined physical activity using postal methods</t>
  </si>
  <si>
    <t>PMC3752057</t>
  </si>
  <si>
    <t>A qualitative study comparing experiences of the surgical safety checklist in hospitals in high- and low-income countries</t>
  </si>
  <si>
    <t>PMC3612817</t>
  </si>
  <si>
    <t>The EPIC-Norfolk Eye Study: rationale, methods and a cross-sectional analysis of visual impairment in a population-based cohort</t>
  </si>
  <si>
    <t>PMC3752052</t>
  </si>
  <si>
    <t>Cost-effectiveness of HCV case-finding for people who inject drugs via dried blood spot testing in specialist addiction services and prisons</t>
  </si>
  <si>
    <t>PMC3703578</t>
  </si>
  <si>
    <t>Psychosocial and Educational Outcomes of Weight Faltering in Infancy in ALSPAC</t>
  </si>
  <si>
    <t>BMJ Quality and Safety</t>
  </si>
  <si>
    <t>BMJQUALITYANDSAFETY</t>
  </si>
  <si>
    <t>Culture and behaviour in the English National Health Service: overview of lessons from a large multi-method study</t>
  </si>
  <si>
    <t>PMC3685541</t>
  </si>
  <si>
    <t>BMSG</t>
  </si>
  <si>
    <t>The significance of alternative transcripts for Caenerhabditis elegans transcription factor genes based on expression pattern analysis</t>
  </si>
  <si>
    <t>PMC3526774</t>
  </si>
  <si>
    <t>Bone</t>
  </si>
  <si>
    <t>BONB</t>
  </si>
  <si>
    <t>The High Bone Mass phenotype is characterised by a combined cortical and trabecular bone phenotype: findings from a pQCT case-control study</t>
  </si>
  <si>
    <t>PMC3607215</t>
  </si>
  <si>
    <t>Male mice housed in groups engage in frequent fighting and show a lower response to additional bone loading than females or individually housed males that do not fight</t>
  </si>
  <si>
    <t>PMC3590448</t>
  </si>
  <si>
    <t>Therapeutic Impact of Low Amplitude High Frequency Whole Body Vibrations on the Osteogenesis Imperfecta Mouse Bone</t>
  </si>
  <si>
    <t>PMC3692041</t>
  </si>
  <si>
    <t>Brain</t>
  </si>
  <si>
    <t>BRBR</t>
  </si>
  <si>
    <t>Letter to the Editor Reply: Snesorineural hearing loss in OPA1-linked disorders</t>
  </si>
  <si>
    <t>PMC3286332</t>
  </si>
  <si>
    <t>Clinico-pathological features in amyotrophic lateral sclerosis with expansions in C9ORF72</t>
  </si>
  <si>
    <t>PMC3673458</t>
  </si>
  <si>
    <t>A functional magnetic resonance imaging study mapping the episodic memory encoding network in temporal lobe epilepsy</t>
  </si>
  <si>
    <t>PMC3673465</t>
  </si>
  <si>
    <t>Memory reorganization following anterior temporal lobe resection: a longitudinal study</t>
  </si>
  <si>
    <t>PMC3754462</t>
  </si>
  <si>
    <t>Nucleotide precursors prevent folic acid-resistant neural tube defects in the mouse</t>
  </si>
  <si>
    <t>Reading therapy strengthens top-down connectivity in patients with pure alexia</t>
  </si>
  <si>
    <t>The role of human ventral visual cortex in motion perception</t>
  </si>
  <si>
    <t>Epilepsy, hippocampal sclerosis and febrile seizures linked by common genetic variation around SCN1A</t>
  </si>
  <si>
    <t>Atypical basic movement kinematics in autism spectrum conditions</t>
  </si>
  <si>
    <t>PMC3525058</t>
  </si>
  <si>
    <t>Abnormal thalamocortical structural and functional connectivity in juvenile myoclonic epilepsy</t>
  </si>
  <si>
    <t>PMC3692042</t>
  </si>
  <si>
    <t>A Journal of Neurology</t>
  </si>
  <si>
    <t>PMC3501977</t>
  </si>
  <si>
    <t>Autologous olfactory mucosal cell transplants in clinical spinal cord injury: a randomized, double-blinded trial in a canine translational model</t>
  </si>
  <si>
    <t>PMC3634199</t>
  </si>
  <si>
    <t>MRI evidence for presymptomatic change in thalamus and caudate in familial Alzheimer's disease</t>
  </si>
  <si>
    <t>PMC3159156</t>
  </si>
  <si>
    <t>The primary visual cortex, and feedback to it, are not necessary for conscious vision</t>
  </si>
  <si>
    <t>PMC3549493</t>
  </si>
  <si>
    <t>Brain and Cognition</t>
  </si>
  <si>
    <t>BRAC</t>
  </si>
  <si>
    <t>An fMRI Investigation of Posttraumatic Flashbacks</t>
  </si>
  <si>
    <t>PMC3661989</t>
  </si>
  <si>
    <t>Exploring the role of space-defining objects in constructing and maintaining imagined scenes</t>
  </si>
  <si>
    <t>PMC3730055</t>
  </si>
  <si>
    <t>Brain and Language</t>
  </si>
  <si>
    <t>BRAL</t>
  </si>
  <si>
    <t>Dissociating frontal regions that co-lateralize with different ventral occipitotemporal regions during word processing</t>
  </si>
  <si>
    <t>PMC3639368</t>
  </si>
  <si>
    <t>Current themes in neuroimaging studies of Reading</t>
  </si>
  <si>
    <t>PMC3525062</t>
  </si>
  <si>
    <t>BRAO</t>
  </si>
  <si>
    <t>The Charcot-Marie-Tooth diseases: how can we identify and develop novel therapeutic targets?</t>
  </si>
  <si>
    <t>PMC3580272</t>
  </si>
  <si>
    <t>The functional neuroimaging correlates of psychogenic versus organic dystonia</t>
  </si>
  <si>
    <t>PMC3170535</t>
  </si>
  <si>
    <t>Magnetoencephalography of frontotemporal dementia: spationtemprally localized changes during semantic decisions</t>
  </si>
  <si>
    <t>PMC3381722</t>
  </si>
  <si>
    <t>Social cognitive deficits and their neural correlates in progressive supranuclear palsy</t>
  </si>
  <si>
    <t>Brain Research</t>
  </si>
  <si>
    <t>BRAR</t>
  </si>
  <si>
    <t>Fibronectin supports neurite outgrowth and axonal regeneration of adult brain neurons in vitro</t>
  </si>
  <si>
    <t>PMC3573228</t>
  </si>
  <si>
    <t>Electrophysiological evidence for a neural substrate of morphological rule</t>
  </si>
  <si>
    <t>PMC3637647</t>
  </si>
  <si>
    <t>Brain Structure and Function</t>
  </si>
  <si>
    <t>BSF</t>
  </si>
  <si>
    <t>Predictions not commands: Active inference in the motor system</t>
  </si>
  <si>
    <t>PMC3536945</t>
  </si>
  <si>
    <t>Brain Topography</t>
  </si>
  <si>
    <t>"A novel method for reducing the effect of tonic muscle activity on the gamma band of the scalp EEG", DOI: 10.1007/s10548-012-0255-9</t>
  </si>
  <si>
    <t>Briefings in Bioinformatics</t>
  </si>
  <si>
    <t>BRIB</t>
  </si>
  <si>
    <t>Transcription factor interplay in T helper cell differentiation</t>
  </si>
  <si>
    <t>Briefings in Functional Genomics</t>
  </si>
  <si>
    <t>BFG</t>
  </si>
  <si>
    <t>Regulatory RNAs in the light of Drosophila genomics</t>
  </si>
  <si>
    <t>PMC3662891</t>
  </si>
  <si>
    <t>Epigenetic memory in the context of nuclear reprogramming and cancer</t>
  </si>
  <si>
    <t>British Journal of Pharmacology</t>
  </si>
  <si>
    <t>A single channel mutation alters agonist efficacy at 5-HT3A and 5-HT3AB receptors</t>
  </si>
  <si>
    <t>British Journal of the History of Science</t>
  </si>
  <si>
    <t>BJHS</t>
  </si>
  <si>
    <t>Writing, printing, speaking: Rhesus blood-group genetics and nomenclatures in the mid-twentieth century</t>
  </si>
  <si>
    <t>PMC3493860</t>
  </si>
  <si>
    <t>British Journal of Cancer</t>
  </si>
  <si>
    <t>BJC</t>
  </si>
  <si>
    <t>The FOXM1-PLK1 axis is commonly upregulated in oesophageal adenocarcinoma</t>
  </si>
  <si>
    <t>PMC3817338</t>
  </si>
  <si>
    <t>The potential contribution of tumour related factors to the development of FOLFOX induced sinusc obstruction syndrome</t>
  </si>
  <si>
    <t>PMC3612708</t>
  </si>
  <si>
    <t>British Journal of Clinical Pharmacology</t>
  </si>
  <si>
    <t>BJCP</t>
  </si>
  <si>
    <t>Human stem cell-derived astrocytes and their application to studying Nrf2-mediated neuroprotective pathways and therapeutics in neurodegeneration</t>
  </si>
  <si>
    <t>Prolonged ketamine infusion as a therapy for Complex Regional Pain Syndrome: Synergism with antagonism?</t>
  </si>
  <si>
    <t>British Journal of Dermatology</t>
  </si>
  <si>
    <t>BJD</t>
  </si>
  <si>
    <t>Immunohistochemical and ultrastructural features of congenital melanocytic naevus cells support a stem cell phenotype</t>
  </si>
  <si>
    <t>Resolution of the plantar hyperkeratosis of pachyonychia congenita during chemotherapy for Ewing's sarcoma</t>
  </si>
  <si>
    <t>PMC3557659</t>
  </si>
  <si>
    <t>British Journal of Haematology</t>
  </si>
  <si>
    <t>BJH</t>
  </si>
  <si>
    <t>Malaria: modification of the red blood cell and consequences in the human host</t>
  </si>
  <si>
    <t>PMC3632971</t>
  </si>
  <si>
    <t>BJO</t>
  </si>
  <si>
    <t>Eyescores : An open platform for secure electronic data and photographic evidence collection in ophthalmological field studies</t>
  </si>
  <si>
    <t>PMC3786664</t>
  </si>
  <si>
    <t>In vivo confocal microscopy and histopathology of the conjunctiva in trachomatous scarring and normal tissue: a systematic comparison</t>
  </si>
  <si>
    <t>PMC3596649</t>
  </si>
  <si>
    <t>Inhibition of endothelial cell calcium entry and transient receptor potential</t>
  </si>
  <si>
    <t>PMC3594681</t>
  </si>
  <si>
    <t>On the selectivity of neuronal nitric oxide synthase inhibitors</t>
  </si>
  <si>
    <t>In pursuit of small molecule chemistry for calcium-permeable non-selective TRPC channels - mirage or pot of gold?</t>
  </si>
  <si>
    <t>PMC3687655</t>
  </si>
  <si>
    <t>Discriminating between 5-HT3A and 5-HT3AB receptors</t>
  </si>
  <si>
    <t>PMC3724117</t>
  </si>
  <si>
    <t>Ca2+ signals evoked by histamine H1 receptors are attenuated by activation of prostaglandin EP2 and EP4 receptors in human aortic smooth muscle cells</t>
  </si>
  <si>
    <t>PMC3730114</t>
  </si>
  <si>
    <t>British Journal of Psychiatry</t>
  </si>
  <si>
    <t>A shared polygenic contribution between ADHD in childhood and adult schizophrena</t>
  </si>
  <si>
    <t>PMC3766126</t>
  </si>
  <si>
    <t>Alcohol assessment and feedback by email for university students: main findings from randomised controlled trial</t>
  </si>
  <si>
    <t>PMC3607278</t>
  </si>
  <si>
    <t>Experimental physiology, Everest and oxygen: from the ghastly kitchens to the gasping lung</t>
  </si>
  <si>
    <t>PMC3675899</t>
  </si>
  <si>
    <t>British Medical Bulletin</t>
  </si>
  <si>
    <t>Mitochondrial genetics</t>
  </si>
  <si>
    <t>PMC3489107</t>
  </si>
  <si>
    <t>BRIJ</t>
  </si>
  <si>
    <t>Opiate substitution treatment and HIV transmission in people who inject drugs: a systematic review and meta-analysis</t>
  </si>
  <si>
    <t>Management of trypanosomiasis and leishmaniasis</t>
  </si>
  <si>
    <t>Effective treatment of perinatal depression in a low-income country for women in debt and lacking financial empowerment</t>
  </si>
  <si>
    <t>PMC3853540</t>
  </si>
  <si>
    <t>The association between Parkinson's disease and anti-epilepsy drug carbamazepine: a case-control study using the UK General Practice Research Database</t>
  </si>
  <si>
    <t>PMC3477853</t>
  </si>
  <si>
    <t>Johns Hopkins University Press</t>
  </si>
  <si>
    <t>Bulletin of the History of Medicine</t>
  </si>
  <si>
    <t>BHM</t>
  </si>
  <si>
    <t>Beasts, Murrains and the British RAJ: Reassessing Colonial Medicine in India from the Veterinary Perspective, 1860-1900</t>
  </si>
  <si>
    <t>PMC3215872</t>
  </si>
  <si>
    <t>Calcified Tissue International</t>
  </si>
  <si>
    <t>CALI</t>
  </si>
  <si>
    <t>Influence of Polymorphisms in the RANKL/RANK/OPG Signaling Pathway on Volumetric Bone Mineral Density and Bone Geometry at the Forearm in Men</t>
  </si>
  <si>
    <t>Canadian Journal of African Studies</t>
  </si>
  <si>
    <t>CJAS</t>
  </si>
  <si>
    <t>Go back to the land! Negotiating space, framing governmentality in Lambwe Valley, Kenya 195475</t>
  </si>
  <si>
    <t>PMC3644682</t>
  </si>
  <si>
    <t>Cancer Letters</t>
  </si>
  <si>
    <t>CANL</t>
  </si>
  <si>
    <t>Snail2 promotes osteosarcoma cell motility through remodelling of the actin cytoskeleton and regulates tumor development</t>
  </si>
  <si>
    <t>PMC3491872</t>
  </si>
  <si>
    <t>Cancer Research</t>
  </si>
  <si>
    <t>CANR</t>
  </si>
  <si>
    <t>T cell trafficking facilitated by high endothelial venules is required for tumor control after regulatory T cell depletion</t>
  </si>
  <si>
    <t>Cardiovascular Research</t>
  </si>
  <si>
    <t>CARR</t>
  </si>
  <si>
    <t>T brucei cathepsinL increases arrhythmogenic sarcoplasmic reticulum - mediated calcium release in rat cardiomyocytes</t>
  </si>
  <si>
    <t>PMC3718323</t>
  </si>
  <si>
    <t>Gap junctions support the sustained phase of hypoxic pulmonary vasoconstriction by facilitating calcium sensitization</t>
  </si>
  <si>
    <t>PMC3714924</t>
  </si>
  <si>
    <t>Flecainide Reduces Ca2+ Spark and Wave Frequency Via Inhibition of The Sarcolemmal Sodium Current</t>
  </si>
  <si>
    <t>PMC3464430</t>
  </si>
  <si>
    <t>Cell</t>
  </si>
  <si>
    <t>CELC</t>
  </si>
  <si>
    <t>piRNAs can trigger a multigenerational epigeneitc memory in the gernline of C. elegans</t>
  </si>
  <si>
    <t>PMC3732391</t>
  </si>
  <si>
    <t>Genome sequencing reveals loci under artificial selection that underlie disease phenotypes in the laboratory rat</t>
  </si>
  <si>
    <t>PMC3420011</t>
  </si>
  <si>
    <t>Small-molecule inhibition of BRDT for male contraception, Cell, Elsevier</t>
  </si>
  <si>
    <t>PMC3326523</t>
  </si>
  <si>
    <t>Histone recognition and large-scale structural analysis of the human bromodomain family.</t>
  </si>
  <si>
    <t>PMC3650559</t>
  </si>
  <si>
    <t>Mapping the human miRNA interactome by CLASH reveals frequent non-canonical binding</t>
  </si>
  <si>
    <t>PMC3547901</t>
  </si>
  <si>
    <t>Cell Adhesion and Migration</t>
  </si>
  <si>
    <t>CAM</t>
  </si>
  <si>
    <t>Emerging roles for semaphorins and VEGFs in synaptogenesis and synaptic platicity</t>
  </si>
  <si>
    <t>PMC3505551</t>
  </si>
  <si>
    <t>Cell and Tissue Research</t>
  </si>
  <si>
    <t>CTR</t>
  </si>
  <si>
    <t>Differential localisation of BPIFA1 (SPLUNC1) and BPIFB1 (LPLUNC1) in the nasal and oral cavities of mice</t>
  </si>
  <si>
    <t>Cell Calcium</t>
  </si>
  <si>
    <t>TRPchannel lipid specificity and mechanisms of lipid regulation</t>
  </si>
  <si>
    <t>Cell Cycle</t>
  </si>
  <si>
    <t>Protein phosphatase 4 is phosphorylated and inactivated by Cdk in response to spindle toxins and interacts with γ-tubulin</t>
  </si>
  <si>
    <t>PMC3735711</t>
  </si>
  <si>
    <t>The deubiquitylase USP15 stabilizes newly synthesized REST and rescues its expression at mitotic exit</t>
  </si>
  <si>
    <t>NF-kB regulates expression of Polo-like kinase 4</t>
  </si>
  <si>
    <t>PMC3674087</t>
  </si>
  <si>
    <t>Mcm8 and Mcm9 form a dimeric complex in Xenopus laevis egg extract that is not essential for DNA replication initiation</t>
  </si>
  <si>
    <t>PMC3594270</t>
  </si>
  <si>
    <t>ATM-dependent phosphorylation of heterogeneous nuclear ribonucleoprotein K promotes p53 transcriptional activation in response to DNA damage</t>
  </si>
  <si>
    <t>PMC3637335</t>
  </si>
  <si>
    <t>Dma/RNF8 proteins are evolutionarily conserved E3 ubiquitin ligases that target septins</t>
  </si>
  <si>
    <t>PMC3674354</t>
  </si>
  <si>
    <t>Cell Death and Disease</t>
  </si>
  <si>
    <t>CDD</t>
  </si>
  <si>
    <t>Amyloid-β and Alzheimer’s disease type pathology differentially affects the calcium signalling toolkit in astrocytes from different brain regions</t>
  </si>
  <si>
    <t>PMC3730438</t>
  </si>
  <si>
    <t>Differentiation of adipose-derived stem cells into Schwann cell phenotype induces expression of P2X receptors that control cell death</t>
  </si>
  <si>
    <t>PMC3618382</t>
  </si>
  <si>
    <t>Taurine transport in human placental trophoblast is important for regulation of cell differentiation and survival</t>
  </si>
  <si>
    <t>PMC3619234</t>
  </si>
  <si>
    <t>Cell Death and Differentiation</t>
  </si>
  <si>
    <t>IF1 limits the apoptotic-signalling cascade by preventing mitochondrial remodelling</t>
  </si>
  <si>
    <t>PMC3563982</t>
  </si>
  <si>
    <t>Dopamine protects neurons against glutamat-induced excitotoxicity</t>
  </si>
  <si>
    <t>PMC3388244</t>
  </si>
  <si>
    <t>HtrA2 deficiency causes mitochondrial uncoupling through the F1F0-ATP synthase and consequent ATP depletion</t>
  </si>
  <si>
    <t>PMC3619236</t>
  </si>
  <si>
    <t>CELD</t>
  </si>
  <si>
    <t>SCAR/WAVE-mediated processing of engulfed apoptotic corpses is essential for effective macrophage migration in Drosophila.</t>
  </si>
  <si>
    <t>PMC3601332</t>
  </si>
  <si>
    <t>Cell Host and Microbe</t>
  </si>
  <si>
    <t>CHM</t>
  </si>
  <si>
    <t>Human cytomegalovirus UL141 targets the TRAIL death receptors to inhibit host innate defenses</t>
  </si>
  <si>
    <t>PMC3510437</t>
  </si>
  <si>
    <t>The Salmonella kinase SteC targets MEK to regulate the host actin cytoskeleton</t>
  </si>
  <si>
    <t>PMC3661979</t>
  </si>
  <si>
    <t>Cell Journal</t>
  </si>
  <si>
    <t>CELJ</t>
  </si>
  <si>
    <t>Exit from Pluripotency is Gated by Intracellular Redistribution of the bHLH transcription factor Tfe3</t>
  </si>
  <si>
    <t>PMC3791399</t>
  </si>
  <si>
    <t>Cell Metabolism</t>
  </si>
  <si>
    <t>CELM</t>
  </si>
  <si>
    <t>AMP Is a True Physiological Regulator of AMP-Activated Protein Kinase by Both Allosteric Activation and Enhancing Net Phosphorylation</t>
  </si>
  <si>
    <t>PMC3690479</t>
  </si>
  <si>
    <t>Dynamic Adipocyte Phosphoproteome Reveals Akt Directly Regulates mTORC2</t>
  </si>
  <si>
    <t>PMC3685808</t>
  </si>
  <si>
    <t>Improved insulin sensitivity despite increased visceral adiposity in mice deficient for the immune cell transcription factor T-bet</t>
  </si>
  <si>
    <t>PMC3644702</t>
  </si>
  <si>
    <t>Cell Reports</t>
  </si>
  <si>
    <t>CPCR</t>
  </si>
  <si>
    <t>Definition of RNA Polymerase ii CoTC Terminator Elements in the Human Genome</t>
  </si>
  <si>
    <t>CELR</t>
  </si>
  <si>
    <t>Localization-Dependent and -Independent Roles of SLX4 in Regulating Telomeres</t>
  </si>
  <si>
    <t>PMC3607254</t>
  </si>
  <si>
    <t>Tcf15 primes pluripotent cells for deifferentiation</t>
  </si>
  <si>
    <t>PMC3675675</t>
  </si>
  <si>
    <t>A role for cytosolic fumarate hydratase in urea cycle metabolism and renal neoplasia.</t>
  </si>
  <si>
    <t>PMC3607223</t>
  </si>
  <si>
    <t>Structure of a pestivirus envelope glycoprotein e2 clarifies its role in cell entry</t>
  </si>
  <si>
    <t>PMC3617368</t>
  </si>
  <si>
    <t>Inhibition of mitochondrial aconitase by succination in fumarate hydratase deficiency.</t>
  </si>
  <si>
    <t>PMC3778892</t>
  </si>
  <si>
    <t>c-Myc Induced Sebaceous Gland Differentiation is Controlled by an Androgen Receptor/p53 Axis</t>
  </si>
  <si>
    <t>PMC3808153</t>
  </si>
  <si>
    <t>The 5S RNP couples ribosome biogenesis to the home</t>
  </si>
  <si>
    <t>Developmental plasticity inbound by pluripotency and the FUF2Wnt signalling pathways</t>
  </si>
  <si>
    <t>PMC3607255</t>
  </si>
  <si>
    <t>Asymmetric localizatoin of Cdx2mRNA during the first cell fate decision in early mouse development</t>
  </si>
  <si>
    <t>PMC3629568</t>
  </si>
  <si>
    <t>Cell Stem Cell</t>
  </si>
  <si>
    <t>Short telomeres in ESCs lead to unstable differentiation</t>
  </si>
  <si>
    <t>PMC3510442</t>
  </si>
  <si>
    <t>Signalling from the sympathetic nervous system regulates hematopoietic stem cell emergence during embryogenesis</t>
  </si>
  <si>
    <t>PMC3689915</t>
  </si>
  <si>
    <t>Cellular and Molecular Life Sciences</t>
  </si>
  <si>
    <t>CMCS</t>
  </si>
  <si>
    <t>Reactivation of the inactive X chromosome in development and reprogramming</t>
  </si>
  <si>
    <t>PMC3753470</t>
  </si>
  <si>
    <t>CMLS</t>
  </si>
  <si>
    <t>Transcription regulation and nuclear reprograming: role of nuclear actin and actin binding proteins</t>
  </si>
  <si>
    <t>PMC3535400</t>
  </si>
  <si>
    <t>Tightrope act: autophagy in stem cell renewal, differentiation, proliferation, and aging</t>
  </si>
  <si>
    <t>PMC3632722</t>
  </si>
  <si>
    <t>Neurovascular Development and Links to Disease</t>
  </si>
  <si>
    <t>PMC3771402</t>
  </si>
  <si>
    <t>Regulation of microRNA biogenesis and turnover by animals and their viruses</t>
  </si>
  <si>
    <t>Developmental mechanisms directing early anterior forebrain specification in vertebrates</t>
  </si>
  <si>
    <t>Cellular Microbiology</t>
  </si>
  <si>
    <t>Modulation of activation-associated host cell gene expression by the apicomplexn parasite Theileria annulata</t>
  </si>
  <si>
    <t>PMC3638362</t>
  </si>
  <si>
    <t>Characterization of herpes simplex virus type 1 L-particle assembly and egress in hippocampal neurones by electron cryo-tomography.</t>
  </si>
  <si>
    <t>PMC3599488</t>
  </si>
  <si>
    <t>In silico directed mutagenesis identifies the CD81/claudin-1 hepatitis C virus</t>
  </si>
  <si>
    <t>Hepatoma polarization limits CD81 and hepatitis C virus dynamics.</t>
  </si>
  <si>
    <t>Mannan core branching of lipo(arabino)mannan is required for mycobacterial virulence in the context of innate immunity</t>
  </si>
  <si>
    <t>PMC3715701</t>
  </si>
  <si>
    <t>Cellular Signalling</t>
  </si>
  <si>
    <t>CELS</t>
  </si>
  <si>
    <t>Functional roles for myosin 1c in cellular signalling pathways</t>
  </si>
  <si>
    <t>PMC3590450</t>
  </si>
  <si>
    <t>Analysis of substrate specificity and cyclin Y binding of PCTAIRE-1 kinase.</t>
  </si>
  <si>
    <t>PMC3709121</t>
  </si>
  <si>
    <t>Centaurus</t>
  </si>
  <si>
    <t>CEAU</t>
  </si>
  <si>
    <t>Collecting knowledge for the family: recipes, gender and practical knowledge in the early modern English household</t>
  </si>
  <si>
    <t>Cerebral Cortex</t>
  </si>
  <si>
    <t>CERC</t>
  </si>
  <si>
    <t>The pathways for intelligible speech: multivariate and univariate perspectives</t>
  </si>
  <si>
    <t>The early fetal development of human neocortical gabaergic interneurons</t>
  </si>
  <si>
    <t>Direct evidence for attention-dependent influences of the frontal eye-fields on feature-responsive visual cortex</t>
  </si>
  <si>
    <t>Individual differences in laughter perception reveal roles for mentalising and sensorimotor systems in the evaluation of emotional authenticity</t>
  </si>
  <si>
    <t>PMC3377963</t>
  </si>
  <si>
    <t>Transgenic Overexpression of the Type I Isoform of Neuregulin 1 Affects Working Memory and Hippocampal Oscillations but not Long-term Potentiation</t>
  </si>
  <si>
    <t>MEG evidence for early feedback effects during word recognition</t>
  </si>
  <si>
    <t>Pharmacological dissociation of novelty responses in the human brain</t>
  </si>
  <si>
    <t>PMC3673173</t>
  </si>
  <si>
    <t>CERO</t>
  </si>
  <si>
    <t>Preservation and choice in Parkinson's disease: the impact of progressive frontostriatal dysfunctoin on action decisions</t>
  </si>
  <si>
    <t>Spatial attention, precision and Bayesian inference: a study of saccadic response speed</t>
  </si>
  <si>
    <t>Inter- and Intra-hemispheric connectivity differences when reading Japanese Kanji and Hiragana</t>
  </si>
  <si>
    <t>PMC3539454</t>
  </si>
  <si>
    <t>Image-invariant responses in face-selective regions do not explain the perceptual advantage for familiar face recognition.</t>
  </si>
  <si>
    <t>PMC3536734</t>
  </si>
  <si>
    <t>Channels</t>
  </si>
  <si>
    <t>CHNE</t>
  </si>
  <si>
    <t>State-independent intracellular access of quatemary ammonium blockers to the pore of TREK-1</t>
  </si>
  <si>
    <t>ChemBioChem</t>
  </si>
  <si>
    <t>CHEC</t>
  </si>
  <si>
    <t>The Development of Selective Inhibitors of NagZ: Increased Susceptibility of Gram-negative Bacteria to β-lactams</t>
  </si>
  <si>
    <t>PMC3625746</t>
  </si>
  <si>
    <t>An Enzymatic Route to Selenazolines</t>
  </si>
  <si>
    <t>PMC3792637</t>
  </si>
  <si>
    <t>tructural insights into the recovery of aidolase activity in N-acetyl neuraminic acid lyase by replacement of the catelytically active lysine with gamma-thialysin using a chemical mutagenisis strategy</t>
  </si>
  <si>
    <t>PMC3401426</t>
  </si>
  <si>
    <t>Using a fragment-based approach to target protein-protein interactions</t>
  </si>
  <si>
    <t>A Prototypical Small-Molecule Modulator Uncouples Mitochondria in Response to Endogenous Hydrogen Peroxide Production</t>
  </si>
  <si>
    <t>PMC3785133</t>
  </si>
  <si>
    <t>Royal Society of Chemistry</t>
  </si>
  <si>
    <t>Chemical Communication</t>
  </si>
  <si>
    <t>A new class of NO-donor pro-drugs triggered by γ-glutamyl transpeptidase with potential for reno-selective vasodilatation</t>
  </si>
  <si>
    <t>Chemical Society Reviews</t>
  </si>
  <si>
    <t>CHER</t>
  </si>
  <si>
    <t>Cellular Nanotechnology: making biological interfaces smarter</t>
  </si>
  <si>
    <t>PMC3569615</t>
  </si>
  <si>
    <t>Chemistry - European Journal</t>
  </si>
  <si>
    <t>CEJ</t>
  </si>
  <si>
    <t>The use of electrospray mass spectrometry to determine speciation in a dynamic combinatorial library for anion recognition</t>
  </si>
  <si>
    <t>ChemMedChem</t>
  </si>
  <si>
    <t>CHME</t>
  </si>
  <si>
    <t>Structure-Activity Relationship Studies of Pyrrolone Antimalarial Agents</t>
  </si>
  <si>
    <t>PMC3728731</t>
  </si>
  <si>
    <t>From On-Target to Off-Target Activity: Identification and Optimisation of Trypanosoma brucei GSK3 Inhibitors and Their Characterisation as Anti-Trypanosoma brucei Drug Discovery Lead Molecules</t>
  </si>
  <si>
    <t>PMC3743159</t>
  </si>
  <si>
    <t>Synthesis and structure-activity relationship studies of derivatives of the dual aromatase-sulfatase inhibitor 4-{[(4-cyanophenyl)(4H-1,2,4-triazol-4-yl)amino]methyl}phenyl sulfamate.</t>
  </si>
  <si>
    <t>PMC3650558</t>
  </si>
  <si>
    <t>Chemistry and Biology</t>
  </si>
  <si>
    <t>CHEB</t>
  </si>
  <si>
    <t>A Yeast Chemical Genetic Screen Identifies Inhibitors of Human Telomerase</t>
  </si>
  <si>
    <t>PMC3673662</t>
  </si>
  <si>
    <t>American College of Chest Physicians</t>
  </si>
  <si>
    <t>Chest</t>
  </si>
  <si>
    <t>CHCH</t>
  </si>
  <si>
    <t>Synthetic response of stimulated respiratory epithelium: modulation by prednisolone and iKK2 inhibition</t>
  </si>
  <si>
    <t>Child Neuropsychology</t>
  </si>
  <si>
    <t>CHIN</t>
  </si>
  <si>
    <t>The role of verbal and nonverbal memory in the Family Pictures Subtest: Data from children with specific language impairment</t>
  </si>
  <si>
    <t>PMC3484687</t>
  </si>
  <si>
    <t>Child Psychology Psychiatry</t>
  </si>
  <si>
    <t>CHIP</t>
  </si>
  <si>
    <t>The Affective Reactivity Index: A concise irritability scale for clinical and research settings</t>
  </si>
  <si>
    <t>PMC3437476</t>
  </si>
  <si>
    <t>Child: Care, Health and Development</t>
  </si>
  <si>
    <t>CCHD</t>
  </si>
  <si>
    <t>Parental depression and child outcomes - is marital conflict the missing link</t>
  </si>
  <si>
    <t>CHILDCHD</t>
  </si>
  <si>
    <t>A Home-Intervention Using Augmentative and Alternative Communication (AAC) Techniques in rural Kenya: What are care givers' experiences?</t>
  </si>
  <si>
    <t>PMC3657347</t>
  </si>
  <si>
    <t>Child's Nervous System</t>
  </si>
  <si>
    <t>CHIS</t>
  </si>
  <si>
    <t>The tympanic membrane displacement analyzer for monitoring intracranial pressure in children</t>
  </si>
  <si>
    <t>PMC3627038</t>
  </si>
  <si>
    <t>Chromosome Research</t>
  </si>
  <si>
    <t>CHRR</t>
  </si>
  <si>
    <t>Esperanto for histones: CENP-A, not CenH3, is the centromeric histone H3 variant</t>
  </si>
  <si>
    <t>SAGE Publications</t>
  </si>
  <si>
    <t>Chronic Illness</t>
  </si>
  <si>
    <t>CHRI</t>
  </si>
  <si>
    <t>'Just give me the best quality of life questionnaire': the Karnofsky scale and the history of quality of life measurements in cancer trials.</t>
  </si>
  <si>
    <t>Translating new knowledge into practices: reconceptualising stroke as an emergency condition</t>
  </si>
  <si>
    <t>The Hamilton Rating Scale for Depression: The making of a "gold standard" and the unmaking of a chronic illness, 1960-1980</t>
  </si>
  <si>
    <t>PMC2901593</t>
  </si>
  <si>
    <t>Circulation Research</t>
  </si>
  <si>
    <t>CIRR</t>
  </si>
  <si>
    <t>Mechanistic Links Between Na+ Channel (SCN5A) Mutations and Impaired Cardiac Pacemaking in Sick Sinus Syndrome</t>
  </si>
  <si>
    <t>PMC3563216</t>
  </si>
  <si>
    <t>Clinical and Experimental Allergy</t>
  </si>
  <si>
    <t>CEA</t>
  </si>
  <si>
    <t>Effects of geohelminth infection and age on the associations between allergen-specific IgE, skin test reactivity and wheeze: a case-control study</t>
  </si>
  <si>
    <t>PMC3675966</t>
  </si>
  <si>
    <t>Clinical and Vaccine Immunology</t>
  </si>
  <si>
    <t>CVI</t>
  </si>
  <si>
    <t>The Alveolar Microenvironment of patients infected with Human immunodeficiency virus does not modify alveolar macrophage interactions with Streptococcus pneumoniae</t>
  </si>
  <si>
    <t>PMC3654171</t>
  </si>
  <si>
    <t>Clinical Genetics</t>
  </si>
  <si>
    <t>CLIG</t>
  </si>
  <si>
    <t>Telamere length measurement can distinguish pathogenic from non-pathogenic var…</t>
  </si>
  <si>
    <t>PMC3669524</t>
  </si>
  <si>
    <t>Clinical Infectious Diseases</t>
  </si>
  <si>
    <t>CLID</t>
  </si>
  <si>
    <t>A review of self-testing for HIV: research and policy priorities in a new era of HIV prevention.</t>
  </si>
  <si>
    <t>Chickenpox and risk of stroke: a self-controlled case series analysis</t>
  </si>
  <si>
    <t>PMC3540040</t>
  </si>
  <si>
    <t>Frequency, severity and prediction of tuberculous meningitis immune reconstitution inflammatory syndrome</t>
  </si>
  <si>
    <t>Combination interventions to prevent HCV transmission among people who inject drugs: modeling the impact of antiviral treatment, needle and syringe programs, and opiate substitution therapy</t>
  </si>
  <si>
    <t>PMC3381638</t>
  </si>
  <si>
    <t>Rates of Pneumococcal Colonization and Transmission probabilities by serotype, among new born infants in Kilifi District</t>
  </si>
  <si>
    <t>PMC3552526</t>
  </si>
  <si>
    <t>CIDO</t>
  </si>
  <si>
    <t>Cardiac disease in adolescents with delayed diagnosis of vertically-acquired HIV infection.</t>
  </si>
  <si>
    <t>PMC3694302</t>
  </si>
  <si>
    <t>Clinical Neurology and Neurosurgery</t>
  </si>
  <si>
    <t>CNN</t>
  </si>
  <si>
    <t>Next generation sequencing for neurological diseases: New hope or new hype?</t>
  </si>
  <si>
    <t>PMC3460760</t>
  </si>
  <si>
    <t>Clinical Proteomics</t>
  </si>
  <si>
    <t>CLIP</t>
  </si>
  <si>
    <t>Detection of BK virus in urine from renal transplant subjects by mass spectrometry</t>
  </si>
  <si>
    <t>PMC3477630</t>
  </si>
  <si>
    <t>Clinical Radiology</t>
  </si>
  <si>
    <t>CLIR</t>
  </si>
  <si>
    <t>Chest radiographic patterns in 75 adolescents with vertically acquired HIV infection.</t>
  </si>
  <si>
    <t>PMC3465775</t>
  </si>
  <si>
    <t>Clinical Transcriptional Science</t>
  </si>
  <si>
    <t>CLIS</t>
  </si>
  <si>
    <t>Incidental diagnosis in healthy clinical trial subjects</t>
  </si>
  <si>
    <t>PMC3616517</t>
  </si>
  <si>
    <t>Association of Human Leukocyte Antigen Alleles and Nevirapine Hypersensitivity in a Malawian HIV-infected population</t>
  </si>
  <si>
    <t>Cognition</t>
  </si>
  <si>
    <t>COIT</t>
  </si>
  <si>
    <t>Belief-based action prediction in preverbal infants</t>
  </si>
  <si>
    <t>Cognitive Development</t>
  </si>
  <si>
    <t>COGD</t>
  </si>
  <si>
    <t>Developmental changes in effects of risk and valence on adolescent decision-making</t>
  </si>
  <si>
    <t>Cognitive Processing</t>
  </si>
  <si>
    <t>COGP</t>
  </si>
  <si>
    <t>Active inference, sensory attenuation and illusions</t>
  </si>
  <si>
    <t>PMC3490075</t>
  </si>
  <si>
    <t>Cognitive Therapy and Research</t>
  </si>
  <si>
    <t>How disorder-specific are depressive attributions? A comparison of individuals with depression, posttraumatic stress disorder and healthy controls.</t>
  </si>
  <si>
    <t>PMC3572961</t>
  </si>
  <si>
    <t>Computational Biology</t>
  </si>
  <si>
    <t>COMB</t>
  </si>
  <si>
    <t>Multi-population classical HLA type impuation</t>
  </si>
  <si>
    <t>PMC3719211</t>
  </si>
  <si>
    <t>Consciousness and Cognition</t>
  </si>
  <si>
    <t>CONC</t>
  </si>
  <si>
    <t>The development of metacognitive ability in adolescence</t>
  </si>
  <si>
    <t>PMC3807794</t>
  </si>
  <si>
    <t>Do infants provide evidence that the mirror system is involv</t>
  </si>
  <si>
    <t>PMC3566545</t>
  </si>
  <si>
    <t>Exploring implicit and explicit aspects of sense of agency</t>
  </si>
  <si>
    <t>Cortex</t>
  </si>
  <si>
    <t>COEX</t>
  </si>
  <si>
    <t>Assessing the mechanism of response in the retrosplenial cortex of good and poor navigators</t>
  </si>
  <si>
    <t>PMC3664921</t>
  </si>
  <si>
    <t>Working, declarative and procedural memory in specific language impairment</t>
  </si>
  <si>
    <t>Available processing resources influence encoding-related brain activity before an event</t>
  </si>
  <si>
    <t>The hippocampus extrapolates beyond the view in scenes: an fMRI study of boundary extension</t>
  </si>
  <si>
    <t>Sight and sound out of synch: Fragmentation and renormalisation of audiovisual integration and subjective timing</t>
  </si>
  <si>
    <t>PMC3701319</t>
  </si>
  <si>
    <t>PubMed</t>
  </si>
  <si>
    <t>Dynamic attentional modulation of vision across space and time after right hemisphere stroke and in ageing</t>
  </si>
  <si>
    <t>PMC3348006</t>
  </si>
  <si>
    <t>Cost Effectiveness and Resource Allocation</t>
  </si>
  <si>
    <t>CERA</t>
  </si>
  <si>
    <t>Cost and cost effectiveness of long-lasting insecticide-treated bed nets - a model-based analysis</t>
  </si>
  <si>
    <t>PMC3660786</t>
  </si>
  <si>
    <t>Criminal Behavior and Mental Health</t>
  </si>
  <si>
    <t>CBMH</t>
  </si>
  <si>
    <t>Testing the Cambridge Quality Checklists on a review of disrupted families and crime</t>
  </si>
  <si>
    <t>PMC3629559</t>
  </si>
  <si>
    <t>Current Biology</t>
  </si>
  <si>
    <t>CURB</t>
  </si>
  <si>
    <t>Calcium flashes orchestrate the wound inflammatory response through DUOX activation and hydrogen peroxide release.</t>
  </si>
  <si>
    <t>PMC3706957</t>
  </si>
  <si>
    <t>Bentham Science Publishers</t>
  </si>
  <si>
    <t>Current Analytical Chemistry</t>
  </si>
  <si>
    <t>CURC</t>
  </si>
  <si>
    <t>Ion mobility spectrometry-mass spectrometry of intrinsically unfolded proteins: trying to put order into disorder</t>
  </si>
  <si>
    <t>PMC3631116</t>
  </si>
  <si>
    <t>Current Atherosclerosis Reports</t>
  </si>
  <si>
    <t>CURR</t>
  </si>
  <si>
    <t>Modulation of 11β-Hydroxysteroid Dehydrogenase as a Strategy to Reduce Vascular Inflammation</t>
  </si>
  <si>
    <t>Oxidized lipids and vascular inflammation</t>
  </si>
  <si>
    <t>PMC3356578</t>
  </si>
  <si>
    <t>Disrupted Circadian Rhythms in a Mouse Model of Schizophrenia</t>
  </si>
  <si>
    <t>PMC3502867</t>
  </si>
  <si>
    <t>Substrate-borne vibratory communication during courtship in Drosophila melanogaster</t>
  </si>
  <si>
    <t>PMC3396843</t>
  </si>
  <si>
    <t>Neural circuitry underlying Drosophila female post-mating behavioural responses</t>
  </si>
  <si>
    <t>PMC3502862</t>
  </si>
  <si>
    <t>BLOC-3 mutated in Hermansky-Pudlak syndrom is a Rab32/38 guanine nucleotide exchange factor</t>
  </si>
  <si>
    <t>PMC3485558</t>
  </si>
  <si>
    <t>Distinct and overlapping roles for AP-1 and GGAs revealed by the 'knocksideways' system</t>
  </si>
  <si>
    <t>PMC3525857</t>
  </si>
  <si>
    <t>NAADP activates two-pore channels on T cell cytolytic granules to stimulate exocytosis and killing</t>
  </si>
  <si>
    <t>PMC3510434</t>
  </si>
  <si>
    <t>Brain structure links loneliness to social perception</t>
  </si>
  <si>
    <t>PMC3580286</t>
  </si>
  <si>
    <t>Vinculin regulates the recruitment and release of core focal adhesion proteins in a force-dependent manner</t>
  </si>
  <si>
    <t>PMC3566480</t>
  </si>
  <si>
    <t>M1 corticospinal mirror neurons and their role in movement suppression during action observation</t>
  </si>
  <si>
    <t>PMC3661981</t>
  </si>
  <si>
    <t>Locomotion Controls Spatial Integration in Mouse Visual Cortex</t>
  </si>
  <si>
    <t>A fovea for pain at the fingertips</t>
  </si>
  <si>
    <t>PMC3410033</t>
  </si>
  <si>
    <t>Current Obstetrics and Gynecology Reports</t>
  </si>
  <si>
    <t>COGR</t>
  </si>
  <si>
    <t>Insights into Assessing the Genetics in Endometriosis</t>
  </si>
  <si>
    <t>Current Opinion in Neurobiology</t>
  </si>
  <si>
    <t>CON</t>
  </si>
  <si>
    <t>Analysing connectivity with Granger causality and dynamic causal modelling</t>
  </si>
  <si>
    <t>Current Opinion in Microbiology</t>
  </si>
  <si>
    <t>The asexual cycle of apicomplexan parasites: new findings that raise new questions.</t>
  </si>
  <si>
    <t>Updating dopamine reward signals</t>
  </si>
  <si>
    <t>Current Topics in Medicinal Chemistry</t>
  </si>
  <si>
    <t>CTMC</t>
  </si>
  <si>
    <t>The Therapeutic Potential of Allosteric Ligands for Free Fatty Acid Sensitive GPCRs</t>
  </si>
  <si>
    <t>PMC3638371</t>
  </si>
  <si>
    <t>Cytoskeleton</t>
  </si>
  <si>
    <t>CYSK</t>
  </si>
  <si>
    <t>The kinetics of force-induced cell reorganization depend on microtubules and actin</t>
  </si>
  <si>
    <t>Dalton Transactions</t>
  </si>
  <si>
    <t>DALT</t>
  </si>
  <si>
    <t>Inframolecular acid-base and coordination properties towards Na(+) and Mg(2+) of myo-inositol 1,3,4,5,6-pentakisphosphate: a structural approach to biologically relevant species.</t>
  </si>
  <si>
    <t>Database</t>
  </si>
  <si>
    <t>DABA</t>
  </si>
  <si>
    <t>metabolicMine: an integrated genomics, genetics and proteomics data warehouse for common metabolic disease research</t>
  </si>
  <si>
    <t>Depression and Anxiety</t>
  </si>
  <si>
    <t>Mothers’ own recollections of being parented and risk of offspring’s depression 18 years later: A prospective cohort study</t>
  </si>
  <si>
    <t>Dermatologic Surgery</t>
  </si>
  <si>
    <t>DERS</t>
  </si>
  <si>
    <t>Infiltrative recurrent eccrine spiradenoma of the anterior neck treated by Mohs micrographic surgery</t>
  </si>
  <si>
    <t>PMC3662995</t>
  </si>
  <si>
    <t>Developing World Bioethics</t>
  </si>
  <si>
    <t>DEVB</t>
  </si>
  <si>
    <t>Feedback of research findings for vaccine trials: experiences from two malaria vaccine trials involving healthy children on the Kenyan coast.</t>
  </si>
  <si>
    <t>PMC3662994</t>
  </si>
  <si>
    <t>Working with community health workers as 'volunteers' in a vaccine trial: practical and ethical experiences and implications.</t>
  </si>
  <si>
    <t>PMC3662993</t>
  </si>
  <si>
    <t>Field workers at the interface.</t>
  </si>
  <si>
    <t>PMC3662996</t>
  </si>
  <si>
    <t>Evolving friendships and shifting ethical dilemmas: Fieldworkers' experiences in a short term community based study in Kenya.</t>
  </si>
  <si>
    <t>PMC3654571</t>
  </si>
  <si>
    <t>Engaging communities to strengthen research ethics in low-income settings: selection and perceptions of members of a network of representatives in coastal Kenya.</t>
  </si>
  <si>
    <t>Transcript Verlag</t>
  </si>
  <si>
    <t>Rethinking biomedicine and governance in Africa:Contributions from anthropology</t>
  </si>
  <si>
    <t>PMC3674534</t>
  </si>
  <si>
    <t>She's my sister-in-law, my visitor, my friend' -- challenges of staff identity in home follow-up in an HIV trial in Western Kenya.</t>
  </si>
  <si>
    <t>PMC3654560</t>
  </si>
  <si>
    <t>Ethical challenges that arise at the community interface of health research: village reports experiences in Western Kenya.</t>
  </si>
  <si>
    <t>PMC3509734</t>
  </si>
  <si>
    <t>Development</t>
  </si>
  <si>
    <t>DELO</t>
  </si>
  <si>
    <t>Dishevelled limits Notch signalling through inhibition of CSL</t>
  </si>
  <si>
    <t>PMC3621487</t>
  </si>
  <si>
    <t>A Cul-3-BTB ubiquitylation pathway regulates junctional levels and asymmetry of core planar polarity proteins</t>
  </si>
  <si>
    <t>PMC3152927</t>
  </si>
  <si>
    <t>VEGF signalling controls GnRH neuron survival via NRP1 independently of KDR and blood vessels</t>
  </si>
  <si>
    <t>Cell and tissue dynamics during Tribolium castaneum embryogenesis revealed by versatile fluorescence labeling approaches</t>
  </si>
  <si>
    <t>PMC3737725</t>
  </si>
  <si>
    <t>The Nm23-H1/H2 homolog NDK-1 is required for full activation of Ras signaling in C. elegans</t>
  </si>
  <si>
    <t>Eph/Ephrin signalling maintains the segregation of eye field cells from adjacent neural plate territories during forebrain morphogenesis</t>
  </si>
  <si>
    <t>PMC3699283</t>
  </si>
  <si>
    <t>Syndecan 4 interacts genetically with Vangl2 to regulate neural tube closure and planar cell polarity</t>
  </si>
  <si>
    <t>PMC3640218</t>
  </si>
  <si>
    <t>ProNGF promotes neurite growth from a subset of NGF-dependent neurons by a p75NTR-dependent mechanism</t>
  </si>
  <si>
    <t>PMC3583043</t>
  </si>
  <si>
    <t>The transcriptional co-factor RIP140 regulates mammary gland development by promoting the generation of key mitogenic signals.</t>
  </si>
  <si>
    <t>PMC3437444</t>
  </si>
  <si>
    <t>Developmental Cell</t>
  </si>
  <si>
    <t>DEVCELL</t>
  </si>
  <si>
    <t>SMCHD1-dependent and independent pathways determine development dynamics of CpG island methylation on the inactive X chromosome</t>
  </si>
  <si>
    <t>PMC3698701</t>
  </si>
  <si>
    <t>Developmental Dynamics</t>
  </si>
  <si>
    <t>Expression of glycosaminoglycan epitopes during zebrafish skeletogenesis</t>
  </si>
  <si>
    <t>PMC3644191</t>
  </si>
  <si>
    <t>Development Genes and Evolution</t>
  </si>
  <si>
    <t>DGE</t>
  </si>
  <si>
    <t>Snail-dependant repression of the RhoGEF pebble is required for gastrulation consistency in Drosophila melanogaster</t>
  </si>
  <si>
    <t>PMC3593001</t>
  </si>
  <si>
    <t>Developmental Science</t>
  </si>
  <si>
    <t>DEVS</t>
  </si>
  <si>
    <t>Nine-month-old infants do not need to know what the agent prefers in order to</t>
  </si>
  <si>
    <t>PMC3677094</t>
  </si>
  <si>
    <t>Developmental Biology</t>
  </si>
  <si>
    <t>The mechanisms of planar cell polarity, growth and the Hippo pathway: Some known unknowns</t>
  </si>
  <si>
    <t>PMC3603409</t>
  </si>
  <si>
    <t>DEVC</t>
  </si>
  <si>
    <t>Limk2 mediates semaphorin signalling in cortical interneurons migrating through the subpallium</t>
  </si>
  <si>
    <t>Chromosome engineering allows the efficient isolation of vertebrate neocentromeres.</t>
  </si>
  <si>
    <t>PMC3414849</t>
  </si>
  <si>
    <t>Forkhead transcription factor Fd3F cooperates with Rfx to regulate a gene expression program for mechanosensory cilia specialisation</t>
  </si>
  <si>
    <t>PMC3507630</t>
  </si>
  <si>
    <t>Rab25 and CLIC3 Collaborate to Promote Integrin Recycling from Late Endosomes/Lysosomes and Drive Cancer Progression</t>
  </si>
  <si>
    <t>Changes in Ect2 Localization Couple Actomyosin-Dependent Cell Shape Changes to Mitotic Progression</t>
  </si>
  <si>
    <t>PMC3521961</t>
  </si>
  <si>
    <t>Molecular basis for recognition of dilysine trafficking motifs by COPI</t>
  </si>
  <si>
    <t>The Neuropilin 1 Cytoplasmic Domain Is Required for VEGF-A-Dependent Arteriogenesis</t>
  </si>
  <si>
    <t>PMC3178012</t>
  </si>
  <si>
    <t>Brat promotes stem cell differentiation via control of a bistable switch that restricts BMP signaling</t>
  </si>
  <si>
    <t>PMC3782659</t>
  </si>
  <si>
    <t>Autoregulatory feedback controls sequential action of cis-regulatory modules at the brinker locus</t>
  </si>
  <si>
    <t>PMC3730058</t>
  </si>
  <si>
    <t>Daughter cell identity emerges from the interplay of Cdc42, septins, and exocytosis</t>
  </si>
  <si>
    <t>PMC3659288</t>
  </si>
  <si>
    <t>Hec1-dependent cyclin B2 stabilisation regulates the G2-M transition and early prometaphase in mouse oocytes</t>
  </si>
  <si>
    <t>PMC3605578</t>
  </si>
  <si>
    <t>Syndecan-4 phosphorylation is a control point for integrin recycling</t>
  </si>
  <si>
    <t>Developmental Cognitive Neuroscience</t>
  </si>
  <si>
    <t>DEVN</t>
  </si>
  <si>
    <t>The influence of reading ability on subsequent changes in verbal IQ in the teenage years</t>
  </si>
  <si>
    <t>PMC3682176</t>
  </si>
  <si>
    <t>Predicting IQ change from brain structure: A cross-validation study</t>
  </si>
  <si>
    <t>The relationship between puberty and social emotion processing</t>
  </si>
  <si>
    <t>PMC3586655</t>
  </si>
  <si>
    <t>Diabetic Medicine</t>
  </si>
  <si>
    <t>DIAM</t>
  </si>
  <si>
    <t>Sequencing PDX1 (insulin promoter factor 1) in 1788 UK individuals found 5% had a low frequency coding variant, but these variants are not associated with Type 2 diabetes.</t>
  </si>
  <si>
    <t>PMC3654556</t>
  </si>
  <si>
    <t>Biallelic PDX1 (insulin promoter factor 1) mutations causing neonatal diabetes without exocrine pancreatic insufficiency</t>
  </si>
  <si>
    <t>Urinary C-peptide Creatinine Ratio (UCPCR) detects absolute insulin deficiency in type 2 diabetes</t>
  </si>
  <si>
    <t>PMC3709123</t>
  </si>
  <si>
    <t>HLA class II gene associations in African American type 1 diabetes reveal a protective HLA-DRB*03 haplotype</t>
  </si>
  <si>
    <t>PMC3648684</t>
  </si>
  <si>
    <t>Diabetologia</t>
  </si>
  <si>
    <t>DIET</t>
  </si>
  <si>
    <t>Colocalisation and secretion of glucagon-like peptide-1 and peptide YY from promary cultutred human L-cells</t>
  </si>
  <si>
    <t>PMC3699707</t>
  </si>
  <si>
    <t>Predicted impact of extending the screening interval for diabetic retinopathy: the Scottish Diabetic Retinopathy Screening programme</t>
  </si>
  <si>
    <t>PMC3737433</t>
  </si>
  <si>
    <t>Improved genetic testing for monogenic diabetes using targeted next-generation sequencing</t>
  </si>
  <si>
    <t>PMC3525856</t>
  </si>
  <si>
    <t>Diagnostic Microbiology and Infectious Disease</t>
  </si>
  <si>
    <t>DMID</t>
  </si>
  <si>
    <t>Comparison of a Frozen Human Foreskin Fibroblast Cell Assay to an Enzyme Immunoassay and Toxigenic Culture for the Detection of Toxigenic Clostridium difficile</t>
  </si>
  <si>
    <t>PMC3597032</t>
  </si>
  <si>
    <t>Disease Models and Mechanisms</t>
  </si>
  <si>
    <t>DMM</t>
  </si>
  <si>
    <t>Inflammation drives wound hyperpigmentation in zebrafish by recruiting pigment cells to sites of tissue damage</t>
  </si>
  <si>
    <t>PMC3820264</t>
  </si>
  <si>
    <t>A novel transgenic mouse model of growth plate dysplasia reveals that decreased chondrocyte proliferation due to chronic ER stress is a key factor in reduced bone growth</t>
  </si>
  <si>
    <t>PMC3746115</t>
  </si>
  <si>
    <t>Drug and Alcohol Review</t>
  </si>
  <si>
    <t>DAR</t>
  </si>
  <si>
    <t>Brief intervention content matters.</t>
  </si>
  <si>
    <t>PMC3586630</t>
  </si>
  <si>
    <t>Ecology and Evolution</t>
  </si>
  <si>
    <t>ECOE</t>
  </si>
  <si>
    <t>The bacterial parasite Pasteuria ramosa is not killed if it fails to infect: implications for coevolution</t>
  </si>
  <si>
    <t>Ecology Letters</t>
  </si>
  <si>
    <t>ECOL</t>
  </si>
  <si>
    <t>Differential sources of host species heterogeneity influence the transmission and control of multi-host parasites</t>
  </si>
  <si>
    <t>Economic History Review</t>
  </si>
  <si>
    <t>ECOR</t>
  </si>
  <si>
    <t>The decline of adult smallpox in eighteenth-century London</t>
  </si>
  <si>
    <t>ELVI</t>
  </si>
  <si>
    <t>Age related changes in microglial phenotype vary between CNS regions: grey versus white matter differences.</t>
  </si>
  <si>
    <t>PMC3778978</t>
  </si>
  <si>
    <t>The role of self-structure and self-certainty in social anxiety</t>
  </si>
  <si>
    <t>PMC3849851</t>
  </si>
  <si>
    <t>Birth status, childgrowth nd adult outcomes in low and middle income countries</t>
  </si>
  <si>
    <t>PMC3638368</t>
  </si>
  <si>
    <t>Transformation of a plasmid-free, genital tract isolate of Chlamydia trachomatis with a plasmid vector carrying a deletion in CDS6 revealed that this gene regulates inclusion phenotype</t>
  </si>
  <si>
    <t>PMC3427858</t>
  </si>
  <si>
    <t>Are slum dwellers at heightened risk of HIV infection than other urban residents? Evidence from population-based HIV prevalence surveys in Kenya</t>
  </si>
  <si>
    <t>PMC3629561</t>
  </si>
  <si>
    <t>Clinician and service user perceptions of implementing contingency management: A focus group study</t>
  </si>
  <si>
    <t>PMC3744751</t>
  </si>
  <si>
    <t>Effects of relative weight gain and linear growth during early life on adult health and human capital in countries of low and middle income: findings from five birth cohort studies</t>
  </si>
  <si>
    <t>PMC3630358</t>
  </si>
  <si>
    <t>EMBO</t>
  </si>
  <si>
    <t>EMBEMBO</t>
  </si>
  <si>
    <t>Structure of a bacterial type IV secretion core complex at subnanometer resolution</t>
  </si>
  <si>
    <t>PMC3671254</t>
  </si>
  <si>
    <t>EMBO Journal</t>
  </si>
  <si>
    <t>EMBJ</t>
  </si>
  <si>
    <t>SENP3-mediated DeSUMOylation of dynamin-related protein 1 Promotes Cell Death Following Ischemia</t>
  </si>
  <si>
    <t>PMC3791366</t>
  </si>
  <si>
    <t>Identification of the missing pluripotency mediator downstream of leukaemia inhibitory factor</t>
  </si>
  <si>
    <t>PMC3545308</t>
  </si>
  <si>
    <t>Dissecting the mechanisms of Notch induced hyperplasia</t>
  </si>
  <si>
    <t>PMC3616287</t>
  </si>
  <si>
    <t>PDK1 regulates VDJ recombination, cell-cycle exit and survival during B-cell development</t>
  </si>
  <si>
    <t>PMC3770947</t>
  </si>
  <si>
    <t>A cyclic GMP-dependent signalling pathway regulates bacterial phytopathogenesis.</t>
  </si>
  <si>
    <t>PMC3642681</t>
  </si>
  <si>
    <t>Distinct roles for Sir2 and RNAi in centromeric heterochromatin nucleation, spreading and maintenance</t>
  </si>
  <si>
    <t>PMC3512392</t>
  </si>
  <si>
    <t>Molecular basis for SNX-BAR-mediated assembly of distinct endosomal sorting tubules</t>
  </si>
  <si>
    <t>PMC3377085</t>
  </si>
  <si>
    <t>EMBO Molecular Medicine</t>
  </si>
  <si>
    <t>EMBM</t>
  </si>
  <si>
    <t>Links between genetics and pathophysiology in the autism spectrum disorders</t>
  </si>
  <si>
    <t>PMC3531601</t>
  </si>
  <si>
    <t>Defining critical roles for NF-kB p65 and type I interferon in innate immunity to rhinovirus</t>
  </si>
  <si>
    <t>PMC3628103</t>
  </si>
  <si>
    <t>Long-term p110alpha PI3K inactivation exerts a beneficial effect on metabolism</t>
  </si>
  <si>
    <t>EMBO Reports</t>
  </si>
  <si>
    <t>EMBR</t>
  </si>
  <si>
    <t>Chemerin15 inhibits neutrophil-mediated vascular inflammation and myocardial ischemia-reperfusion injury through ChenR23</t>
  </si>
  <si>
    <t>PMC3701237</t>
  </si>
  <si>
    <t>Prdm14 promotes germline fate and naïve pluripotency by7 repressing FGF signalling and DNA methylation</t>
  </si>
  <si>
    <t>PMC3615658</t>
  </si>
  <si>
    <t>Physiological release of endogenous tau is stimulated by neuronal activity</t>
  </si>
  <si>
    <t>PMC3444304</t>
  </si>
  <si>
    <t>Emotion</t>
  </si>
  <si>
    <t>EMIO</t>
  </si>
  <si>
    <t>Subjective responses to emotional stimuli during labeling, reappraisal, and distraction</t>
  </si>
  <si>
    <t>Endeavour</t>
  </si>
  <si>
    <t>ENAV</t>
  </si>
  <si>
    <t>Family influence and psychiatric care: physical treatments in Devon mental hospitals, c. 1920 to the 1970s</t>
  </si>
  <si>
    <t>Understanding life together: a brief history of collaboration in biology</t>
  </si>
  <si>
    <t>PMC2828806</t>
  </si>
  <si>
    <t>Society for Endocrinology</t>
  </si>
  <si>
    <t>Endocrine Related Cancer</t>
  </si>
  <si>
    <t>ENDC</t>
  </si>
  <si>
    <t>Glucocorticoid receptor over expression promotes human small cell lung cancer apoptosis in vivo and thereby slows tumor growth</t>
  </si>
  <si>
    <t>PMC3480985</t>
  </si>
  <si>
    <t>The Endocrine Society</t>
  </si>
  <si>
    <t>Endocrinology</t>
  </si>
  <si>
    <t>ENCR</t>
  </si>
  <si>
    <t>Circadian and ultradian rhythms of free glucocorticoid hormone are highly synchronized between the blood, the subcutaneous tissue, and the brain</t>
  </si>
  <si>
    <t>PMC3724961</t>
  </si>
  <si>
    <t>Adaptive changes in basal and stress-induced HPA activity in lactating and post-lactating female rats</t>
  </si>
  <si>
    <t>PMC3724960</t>
  </si>
  <si>
    <t>Gastric expression of plasminogen activator inhibitor (PAI)-1 is associated with hyperphagia and obesity in mice</t>
  </si>
  <si>
    <t>PMC3568261</t>
  </si>
  <si>
    <t>The programming of cardiac hypertrophy in the offspring by maternal obesity is associated with hyperinsulinemia, AKT, ERK and mTOR activation</t>
  </si>
  <si>
    <t>PMC3544356</t>
  </si>
  <si>
    <t>Short-term pharmacological suppression of the hyperprolactinemia of infertile hCG overproducing female mice persistently restores their fertility</t>
  </si>
  <si>
    <t>PMC3507354</t>
  </si>
  <si>
    <t>Neurochemical characterization of body weight-regulating leptin receptor neurons in the nucleus of the solitary tract</t>
  </si>
  <si>
    <t>English Studies</t>
  </si>
  <si>
    <t>ENGS</t>
  </si>
  <si>
    <t>We Cannot Be Greek Now: Age Difference, Corruption of Youth and the Making of Sexual Inversion</t>
  </si>
  <si>
    <t>PMC3836409</t>
  </si>
  <si>
    <t>Pion</t>
  </si>
  <si>
    <t>Environment and Planning a</t>
  </si>
  <si>
    <t>EPA</t>
  </si>
  <si>
    <t>Transnational families and the family nexus: perspectives of Indonesian and Filipino children left behind by migrant parent(s)</t>
  </si>
  <si>
    <t>PMC3487483</t>
  </si>
  <si>
    <t>Epidemiology and Infection</t>
  </si>
  <si>
    <t>EPII</t>
  </si>
  <si>
    <t>Molecular epidemiology of human campylobacter jejuni shows association between seasonal and international patterns of disease</t>
  </si>
  <si>
    <t>PMC3757920</t>
  </si>
  <si>
    <t>Tracking sickness through social networks – the practical use of social network mapping in supporting the management of an E.coli O157 outbreak in a primary school in London</t>
  </si>
  <si>
    <t>PMC3469460</t>
  </si>
  <si>
    <t>Epigenetics</t>
  </si>
  <si>
    <t>EPEN</t>
  </si>
  <si>
    <t>Human-specific CpG "beacons" identify loci associated with human-specific traits and disease</t>
  </si>
  <si>
    <t>Integrated virus-host methylome analysis in head and neck squamous cell carcinoma</t>
  </si>
  <si>
    <t>PMC3741215</t>
  </si>
  <si>
    <t>On your histone mark, SET, methylate!</t>
  </si>
  <si>
    <t>PMC3592903</t>
  </si>
  <si>
    <t>SETD6 monomethylates H2AZ on lysine 7 and is required for the maintenance of embryonic stem cell self-renewal</t>
  </si>
  <si>
    <t>Epilepsia</t>
  </si>
  <si>
    <t>EPEP</t>
  </si>
  <si>
    <t>Structural correlates of impaired working memory in hippocampal sclerosis</t>
  </si>
  <si>
    <t>PMC3734649</t>
  </si>
  <si>
    <t>The Genetic Risk of Acute Seizures in African Children with Falciparum Malaria</t>
  </si>
  <si>
    <t>Incidence of convulsive epilepsy in a rural area in Kenya.</t>
  </si>
  <si>
    <t>PMC3682189</t>
  </si>
  <si>
    <t>Epilepsy Research</t>
  </si>
  <si>
    <t>EPIR</t>
  </si>
  <si>
    <t>Assessing hippocampal functional reserve in temporal lobe epilepsy: A multi-voxel pattern analysis of fMRI data</t>
  </si>
  <si>
    <t>PMC3707360</t>
  </si>
  <si>
    <t>Essays in Biochemistry</t>
  </si>
  <si>
    <t>ESSB</t>
  </si>
  <si>
    <t>Cells wars: regulation of cell survival and proliferation by cell competition</t>
  </si>
  <si>
    <t>PMC3534410</t>
  </si>
  <si>
    <t>Ethnicity and Health</t>
  </si>
  <si>
    <t>ETHH</t>
  </si>
  <si>
    <t>'All her children are born that way': gendered experiences of stigma in families affected by sickle cell disorder in rural Kenya.</t>
  </si>
  <si>
    <t>PMC3697472</t>
  </si>
  <si>
    <t>Eukaryotic Cell</t>
  </si>
  <si>
    <t>EUKC</t>
  </si>
  <si>
    <t>Discovery of a sexual cycle in Aspergillus lentulus, a close relative of A. fumigatus.</t>
  </si>
  <si>
    <t>PMC3571300</t>
  </si>
  <si>
    <t>Evidence for recycling of invariant surface trans-membrane domain proteins in African trypanosomes</t>
  </si>
  <si>
    <t>European Journal of Immunology</t>
  </si>
  <si>
    <t>EURI</t>
  </si>
  <si>
    <t>Long-lived Plasmodium falciparum-specific memory B cells in naturally exposed Swedish Travellers.</t>
  </si>
  <si>
    <t>PMC2361679</t>
  </si>
  <si>
    <t>European Child and Adolescent Psychiatry</t>
  </si>
  <si>
    <t>ECAP</t>
  </si>
  <si>
    <t>Autistic Traits in ADHD in index clinical and cognitive problems</t>
  </si>
  <si>
    <t>PMC3669511</t>
  </si>
  <si>
    <t>Are parental ADHD problems associated with a more severe clinical presentation and greater family adversity in children with ADHD ?</t>
  </si>
  <si>
    <t>European Heart Journal</t>
  </si>
  <si>
    <t>EHJO</t>
  </si>
  <si>
    <t>SCORE performance in Central and Eastern Europe and former Soviet Union: MONICA and HAPIEE results</t>
  </si>
  <si>
    <t>European History Quarterly</t>
  </si>
  <si>
    <t>EURQ</t>
  </si>
  <si>
    <t>Images and Meaning - Making in a World of Resemblance: The Bavarian-Saxon Kidney Stone Affair of 1580.</t>
  </si>
  <si>
    <t>PMC3526775</t>
  </si>
  <si>
    <t>European Journal of Cell Biology</t>
  </si>
  <si>
    <t>EJB</t>
  </si>
  <si>
    <t>Vinculin, an adapter protein in control of cell adhesion signalling</t>
  </si>
  <si>
    <t>PMC3414696</t>
  </si>
  <si>
    <t>European Journal of Clinical Pharmacology</t>
  </si>
  <si>
    <t>EJCP</t>
  </si>
  <si>
    <t>Pattern of asthma medication use among children in a large urban centre in Brazil.</t>
  </si>
  <si>
    <t>PMC3547489</t>
  </si>
  <si>
    <t>Bioscientifica</t>
  </si>
  <si>
    <t>European Journal of Endocrinology</t>
  </si>
  <si>
    <t>EJE</t>
  </si>
  <si>
    <t>Novel H6PDH mutations in two girls with premature adrenarche</t>
  </si>
  <si>
    <t>PMC3599069</t>
  </si>
  <si>
    <t>European Society of Endocrinology</t>
  </si>
  <si>
    <t>Clinical and Molecular Characterisation of 300 patients with Congenital Hyperinsulinism</t>
  </si>
  <si>
    <t>European Journal of English Studies</t>
  </si>
  <si>
    <t>EJES</t>
  </si>
  <si>
    <t>Obscurity and gender resistance in Patricia Duncker's James Miranda Barry</t>
  </si>
  <si>
    <t>PMC3672507</t>
  </si>
  <si>
    <t>European Journal of Epidemiology</t>
  </si>
  <si>
    <t>Hazardous alcohol consumption is associated with increased levels of B-type natriuretic peptide: evidence from two population-based studies</t>
  </si>
  <si>
    <t>PMC3696174</t>
  </si>
  <si>
    <t>High life in the sky? Mortality by floor of residence in Switzerland</t>
  </si>
  <si>
    <t>Brill</t>
  </si>
  <si>
    <t>European Journal of Health Law</t>
  </si>
  <si>
    <t>EJHL</t>
  </si>
  <si>
    <t>Adding value? : EU governance of organ donation and transplantation</t>
  </si>
  <si>
    <t>PMC3476715</t>
  </si>
  <si>
    <t>European Journal of Human Genetics</t>
  </si>
  <si>
    <t>EJHG</t>
  </si>
  <si>
    <t>CNVs leading to fusion-transcripts in individuals with autism spectrum disorder</t>
  </si>
  <si>
    <t>Whole exome sequencing, without prior linkage, identifies a mutation in LAMB3 as a cause of dominant hypoplastic amelogenesis imperfecta</t>
  </si>
  <si>
    <t>PMC3298641</t>
  </si>
  <si>
    <t>EJI</t>
  </si>
  <si>
    <t>CD6 attenuates early and late signaling events, setting thresholds for T-cell activation</t>
  </si>
  <si>
    <t>PMC3615169</t>
  </si>
  <si>
    <t>ICOS controls Foxp3+ regulatory T cell expansion, maintenance, and IL-10 production during helminth infection</t>
  </si>
  <si>
    <t>PMC3734624</t>
  </si>
  <si>
    <t>AMPKα1: A glucose sensor that controls CD8 T-cell memory.</t>
  </si>
  <si>
    <t>PMC3657127</t>
  </si>
  <si>
    <t>Avidity of influenza-specific memory CD8+ T cell populations decays over time</t>
  </si>
  <si>
    <t>PMC3781703</t>
  </si>
  <si>
    <t>Rapid early innate control of hepatitis C virus during IFN-a treatment compromises adaptive CD4+ T-cell immunity</t>
  </si>
  <si>
    <t>PMC3615172</t>
  </si>
  <si>
    <t>Dendritic cell modification as a route to inhibiting corneal graft rejection by the indirect pathway of allorecognition</t>
  </si>
  <si>
    <t>PMC3816330</t>
  </si>
  <si>
    <t>Salmonella polarises peptide-MHC-II presentation towards an unconventional Type B CD4+ T-cell response</t>
  </si>
  <si>
    <t>PMC3655539</t>
  </si>
  <si>
    <t>Ubiquitination of HLA-DO by MARCH family E3 ligases</t>
  </si>
  <si>
    <t>PMC3526772</t>
  </si>
  <si>
    <t>European Journal of Medical Genetics</t>
  </si>
  <si>
    <t>EJMG</t>
  </si>
  <si>
    <t>Array Comparative Genomic Hybridization: Results from an adult population with drug-resistant epilepsy and co-morbidities</t>
  </si>
  <si>
    <t>PMC3744815</t>
  </si>
  <si>
    <t>The internet is parents main source of information about psychiatric manifestationsof 22q11.2 deletion syndrome</t>
  </si>
  <si>
    <t>European Journal of Neuroscience</t>
  </si>
  <si>
    <t>EJN</t>
  </si>
  <si>
    <t>Parallelism in the brain's visual form system</t>
  </si>
  <si>
    <t>European Journal of Preventive Cardiology</t>
  </si>
  <si>
    <t>EJPC</t>
  </si>
  <si>
    <t>Smoking cessation interventions following acute coronary syndrome: a missed opportunity?</t>
  </si>
  <si>
    <t>PMC3784797</t>
  </si>
  <si>
    <t>European Journal of Public Health</t>
  </si>
  <si>
    <t>EJPH</t>
  </si>
  <si>
    <t>Family and home influences on children's after-school and weekend physical activity</t>
  </si>
  <si>
    <t>PMC3791403</t>
  </si>
  <si>
    <t>European Neuropsychopharmacology</t>
  </si>
  <si>
    <t>EURN</t>
  </si>
  <si>
    <t>Systematic Review and Meta Analysis of Serotonin Transporter Genotype and Discontinuation from Antidepressant Treatment</t>
  </si>
  <si>
    <t>PMC3738845</t>
  </si>
  <si>
    <t>European Radiology</t>
  </si>
  <si>
    <t>EURR</t>
  </si>
  <si>
    <t>The effect of a tuberculosis chest X-ray image reference set on non-expert reader performance</t>
  </si>
  <si>
    <t>European Respiratory Society</t>
  </si>
  <si>
    <t>European Respiratory Journal</t>
  </si>
  <si>
    <t>EURJ</t>
  </si>
  <si>
    <t>The impact of COPD on health status: findings from teh BOLD study</t>
  </si>
  <si>
    <t>PMC3472025</t>
  </si>
  <si>
    <t>Evaluation in Clinical Practice</t>
  </si>
  <si>
    <t>ECP</t>
  </si>
  <si>
    <t>Unreasonable reasons: normative judgements in the assessment of mental capacity</t>
  </si>
  <si>
    <t>Berghahn Books</t>
  </si>
  <si>
    <t>Evidence, Ethos and Experiment: the Anthropology and History of Medical Research in Africa</t>
  </si>
  <si>
    <t>EEETAHMRA</t>
  </si>
  <si>
    <t>Parasite lost - remembering modern times with Kenyan government medical scientists.</t>
  </si>
  <si>
    <t>Studying trial Communities: anthropological and historical enquiries and ethos, politics and economy of medical research in Africa.</t>
  </si>
  <si>
    <t>PMC3750810</t>
  </si>
  <si>
    <t>EvoDevo</t>
  </si>
  <si>
    <t>EVOD</t>
  </si>
  <si>
    <t>Early embryonic determination of the sexual dimorphism in segment number in geophilomorph centipedes</t>
  </si>
  <si>
    <t>PMC3795443</t>
  </si>
  <si>
    <t>Evolution</t>
  </si>
  <si>
    <t>EVUT</t>
  </si>
  <si>
    <t>Spite versus cheats: competition among social strategies shapes virulence in Pseudomonas aeruginosa</t>
  </si>
  <si>
    <t>Is HIV short-sighted? Insights from a multi-strain nested model</t>
  </si>
  <si>
    <t>PMC3684743</t>
  </si>
  <si>
    <t>Evolutionary Applications</t>
  </si>
  <si>
    <t>EVOA</t>
  </si>
  <si>
    <t>Costs of crowding for the transmission of malaria parasites</t>
  </si>
  <si>
    <t>PMC3745826</t>
  </si>
  <si>
    <t>Experimental Brain Research</t>
  </si>
  <si>
    <t>EXPR</t>
  </si>
  <si>
    <t>Cue integration and the perception of action in intentional binding</t>
  </si>
  <si>
    <t>PMC3745827</t>
  </si>
  <si>
    <t>The psychology of volition</t>
  </si>
  <si>
    <t>PMC3632754</t>
  </si>
  <si>
    <t>Experimental Cell Research</t>
  </si>
  <si>
    <t>Perturbation of invadolysin disrupts cell migration in zebrafish (Danio rerio)</t>
  </si>
  <si>
    <t>PMC3562441</t>
  </si>
  <si>
    <t>Experimental Eye Research</t>
  </si>
  <si>
    <t>Ccl2, Cx3r1 and Ccl2/Cx3cr1 chemokine deficiencies are not sufficient to cause age-related retinal degeneration</t>
  </si>
  <si>
    <t>PMC3630327</t>
  </si>
  <si>
    <t>Experimental Hematology</t>
  </si>
  <si>
    <t>EXPH</t>
  </si>
  <si>
    <t>Gene Set Control Analysis (GSCA) predicts haematopoietic control mechanisms from genome-wide transcription factor binding data</t>
  </si>
  <si>
    <t>PMC3782662</t>
  </si>
  <si>
    <t>Experimental Neurology</t>
  </si>
  <si>
    <t>EXPN</t>
  </si>
  <si>
    <t>The late response of rat subependymal zone stem and progenitor cells to stroke is restricted to directly affected areas of their niche</t>
  </si>
  <si>
    <t>PMC3556781</t>
  </si>
  <si>
    <t>ErbB1 epidermal growth factor receptor is a valid target for reducing the effects of multiple inhibitors of axonal regeneration</t>
  </si>
  <si>
    <t>Experimental Parasitology</t>
  </si>
  <si>
    <t>EXPP</t>
  </si>
  <si>
    <t>Development of a multiplex PCR assay for simultaneous detection of Theileria annulata, Babesia bovis and Anaplasma marginale in cattle</t>
  </si>
  <si>
    <t>PMC3659828</t>
  </si>
  <si>
    <t>Cell density-dependent ectopic expression in bloodstream form Trypanosoma brucei</t>
  </si>
  <si>
    <t>PMC3470925</t>
  </si>
  <si>
    <t>Experimental Physiology</t>
  </si>
  <si>
    <t>Remote Ischaemic pre- and delayed post conditioning</t>
  </si>
  <si>
    <t>Informa Healthcare</t>
  </si>
  <si>
    <t>Expert Reviews in Anti-infective Chemotherapy</t>
  </si>
  <si>
    <t>ERAC</t>
  </si>
  <si>
    <t>Advocacy, policies and practicalities of preventive chemotherapy campaigns for African children with schistosomiasis</t>
  </si>
  <si>
    <t>PMC3219211</t>
  </si>
  <si>
    <t>Expert Reviews in Molecular Medicine</t>
  </si>
  <si>
    <t>ERMM</t>
  </si>
  <si>
    <t>Pharmacological targets in the ubiquitin system offer new ways of treating cancer, neurodegenerative disorders and infectious diseases.</t>
  </si>
  <si>
    <t>Federation of American Societies for Experimental Biology</t>
  </si>
  <si>
    <t>FASEB Journal</t>
  </si>
  <si>
    <t>FASJ</t>
  </si>
  <si>
    <t>Chemically engineering ligand selectivity at the free fatty acid receptor 2 based on pharmacological variation between species orthologs</t>
  </si>
  <si>
    <t>Dysfunction of the autophagy/lysosomal degradation pathway is a shared feature of the genetic synucleinopathies</t>
  </si>
  <si>
    <t>The CB1 receptor mediates the peripheral effects of ghrelin on AMPK activity but not on growth hormone release</t>
  </si>
  <si>
    <t>PMC3819510</t>
  </si>
  <si>
    <t>Endothelial cell junctional adhesion molecule plays a key role in the development of tumours in a murine model…</t>
  </si>
  <si>
    <t>The immunoglobulin domain of the sodium channel β3 subunit contains a surface-localized disulfide bond that is required for homophilic binding</t>
  </si>
  <si>
    <t>PMC3767752</t>
  </si>
  <si>
    <t>The cellular prion protein traps Alzheimer's Alpha? In an oligomeric form and disassembles amyloid fibers</t>
  </si>
  <si>
    <t>PMC3513842</t>
  </si>
  <si>
    <t>Epididymal protein Rnase10 is required for post-testicular sperm maturation and male fertility</t>
  </si>
  <si>
    <t>PMC3572582</t>
  </si>
  <si>
    <t>FEBS Journal</t>
  </si>
  <si>
    <t>FEBJ</t>
  </si>
  <si>
    <t>Crystal structures of murine angiogenin-2 and -3-probing 'structure--function' relationships amongst angiogenin homologues.</t>
  </si>
  <si>
    <t>PMC3564407</t>
  </si>
  <si>
    <t>Structural basis of peptide recognition by the angiotensin-1 converting enzyme homologue AnCE from Drosophila melanogaster.</t>
  </si>
  <si>
    <t>PMC3734648</t>
  </si>
  <si>
    <t>Adenosin-5'-phosphosulfate (APS) - a multifaceted modulator of bifunctional PAPS synthases and related enzymes</t>
  </si>
  <si>
    <t>Recent progress in satellite cell/myoblast engraftment: relevance for therapy</t>
  </si>
  <si>
    <t>Substrate specificity and the effect of calcium on Trypanosoma brucei metacaspase 2</t>
  </si>
  <si>
    <t>PMC3806363</t>
  </si>
  <si>
    <t>The architecture of Trypanosoma brucei tubulin-binding cofactor B and implications for function</t>
  </si>
  <si>
    <t>FEBS Letters</t>
  </si>
  <si>
    <t>FEBL</t>
  </si>
  <si>
    <t>Ca2+-calmodulin inhibits tail-anchored protein insertion into the mammalian endoplasmic reticulum membrane</t>
  </si>
  <si>
    <t>PMC3640159</t>
  </si>
  <si>
    <t>Sialic acids acquired by Pseudomonas aeruginosa are involved in reduced complement deposition and siglec mediated host-cell recognition.</t>
  </si>
  <si>
    <t>Structural and functional evidence for a substrate exclusion mechanism in mammalian tolloid like-1 (TLL-1) proteinase</t>
  </si>
  <si>
    <t>PMC3655261</t>
  </si>
  <si>
    <t>IFNβ autocrine feedback is required to sustain TLR induced production of MCP-1 in macrophages</t>
  </si>
  <si>
    <t>PMC3476528</t>
  </si>
  <si>
    <t>Concerted action of the PHD, chromo and motor domains regulates the human chromatin remodelling ATPase CHD4.</t>
  </si>
  <si>
    <t>PMC3642154</t>
  </si>
  <si>
    <t>FEBS Open Bio</t>
  </si>
  <si>
    <t>FEBB</t>
  </si>
  <si>
    <t>'CD248 expression on mesenchymal stromal cells is required for post-natal and infection-dependent thymus remodelling and regeneration</t>
  </si>
  <si>
    <t>PMC3668512</t>
  </si>
  <si>
    <t>Crystal structure of human angiogenin with an engineered loop exhibits conformational flexibility at the functional regions of the molecule.</t>
  </si>
  <si>
    <t>FEMS Microbiology Letters</t>
  </si>
  <si>
    <t>FEML</t>
  </si>
  <si>
    <t>bkaR is a TetR-type repressor that controls an operon associated with branched-chain keto-acid metabolism in Mycobacteria.</t>
  </si>
  <si>
    <t>Identification of type II toxin-antitoxin modules in Burkholderia pseudomallei</t>
  </si>
  <si>
    <t>PMC3644883</t>
  </si>
  <si>
    <t>Stress signalling to fungal stress-activated protein kinase pathways</t>
  </si>
  <si>
    <t>PMC3500872</t>
  </si>
  <si>
    <t>Selective binding of virulence type III export chaperones by FliJ escort orthologues InvI and YscO</t>
  </si>
  <si>
    <t>PMC3502866</t>
  </si>
  <si>
    <t>Fertility and Sterility</t>
  </si>
  <si>
    <t>Is early age at menarche a risk factor for endometriosis? A systematic review and meta-analysis of case-control studies.</t>
  </si>
  <si>
    <t>PMC3679489</t>
  </si>
  <si>
    <t>Impact of endometriosis on quality of life and work productivity: a multicenter study across ten countries.</t>
  </si>
  <si>
    <t>PMC3679490</t>
  </si>
  <si>
    <t>Developing symptom-based predictive models of endometriosis as a clinical screening tool: results from a multicenter study.</t>
  </si>
  <si>
    <t>PMC3684770</t>
  </si>
  <si>
    <t>Free Radical Biology and Medicine</t>
  </si>
  <si>
    <t>FRBM</t>
  </si>
  <si>
    <t>S[+]apomorphine is a CNS penetrating activator of the Nrf2-ARE pathway with activity in mouse and patient fibroblast models of amyotrophic lateral sclerosis</t>
  </si>
  <si>
    <t>PMC3584288</t>
  </si>
  <si>
    <t>Frontiers</t>
  </si>
  <si>
    <t>FRTI</t>
  </si>
  <si>
    <t>Visual surround suppression in schizophrenia</t>
  </si>
  <si>
    <t>PMC3689257</t>
  </si>
  <si>
    <t>Frontiers Media</t>
  </si>
  <si>
    <t>Frontiers in Auditory Cognitive Neuroscience</t>
  </si>
  <si>
    <t>FACN</t>
  </si>
  <si>
    <t>The brain basis of musicophilia: evidence from frontotemporal lobar degeneration</t>
  </si>
  <si>
    <t>PMC3685810</t>
  </si>
  <si>
    <t>Frontiers in Behavioral Neuroscience</t>
  </si>
  <si>
    <t>FBN</t>
  </si>
  <si>
    <t>Flow parsing and heading perception show similar dependence on quality and quantity of optic flow</t>
  </si>
  <si>
    <t>PMC3689323</t>
  </si>
  <si>
    <t>Heading recovery from optic flow: comparing performance of humans and computational models</t>
  </si>
  <si>
    <t>PMC3677134</t>
  </si>
  <si>
    <t>Frontiers in Brain Imaging Methods</t>
  </si>
  <si>
    <t>FBIM</t>
  </si>
  <si>
    <t>Quantitative multiparameter mapping of R1, PD*, MT and R2* at 3T: a multicenter validation</t>
  </si>
  <si>
    <t>PMC3521128</t>
  </si>
  <si>
    <t>Measuring abnormal brains: building normative rules in Neuroimaging using one-class support vector machines</t>
  </si>
  <si>
    <t>Frontiers in Cellular Neuroscience</t>
  </si>
  <si>
    <t>FCN</t>
  </si>
  <si>
    <t>Wnts in action: from synapse formation to synaptic maintenance</t>
  </si>
  <si>
    <t>PMC3668263</t>
  </si>
  <si>
    <t>LRRK2: an Eminence grise of Wnt-mediated neurogenesis</t>
  </si>
  <si>
    <t>PMC3644713</t>
  </si>
  <si>
    <t>Frontiers in Cognition</t>
  </si>
  <si>
    <t>FROC</t>
  </si>
  <si>
    <t>Persistence of internal representations of alternative voluntary actions</t>
  </si>
  <si>
    <t>Frontiers in Cognitive Science</t>
  </si>
  <si>
    <t>FCS</t>
  </si>
  <si>
    <t>Exploration, Novelty, Surprise and Free Energy Minimisation</t>
  </si>
  <si>
    <t>PMC3715722</t>
  </si>
  <si>
    <t>Frontiers in Consciousness Research</t>
  </si>
  <si>
    <t>FCR</t>
  </si>
  <si>
    <t>Adaptation to implied tilt: extensive spatial extrapolation of orientation gradients.</t>
  </si>
  <si>
    <t>PMC3747673</t>
  </si>
  <si>
    <t>Frontiers in Decision Neuroscience</t>
  </si>
  <si>
    <t>FDN</t>
  </si>
  <si>
    <t>The chronometry of risk processing in the human cortex</t>
  </si>
  <si>
    <t>PMC3759789</t>
  </si>
  <si>
    <t>Frontiers in Developmental Psychology</t>
  </si>
  <si>
    <t>FDP</t>
  </si>
  <si>
    <t>Severity of specific language impairment predicts delayed development in number skills</t>
  </si>
  <si>
    <t>Frontiers in Electrophysiology</t>
  </si>
  <si>
    <t>FROE</t>
  </si>
  <si>
    <t>Bridging the gap between computation and clinical biology: validation of cable theory in humans</t>
  </si>
  <si>
    <t>PMC3567503</t>
  </si>
  <si>
    <t>Frontiers in Endocrinology</t>
  </si>
  <si>
    <t>The melanocortin receptors and their accessory protreins</t>
  </si>
  <si>
    <t>PMC3735983</t>
  </si>
  <si>
    <t>Frontiers in Genetics</t>
  </si>
  <si>
    <t>FROG</t>
  </si>
  <si>
    <t>The mysterious case of the C. elegans gut granule: death fluorescence, anthranilic acid and the kynurenine pathway</t>
  </si>
  <si>
    <t>Frontiers in Human Neuroscience</t>
  </si>
  <si>
    <t>FHN</t>
  </si>
  <si>
    <t>The anatomy of choice: active inference and agency</t>
  </si>
  <si>
    <t>Self-associations influence task-performance through Bayesian inference</t>
  </si>
  <si>
    <t>PMC3747448</t>
  </si>
  <si>
    <t>Characterising Ageing in the Human Brainstem Using Quantitative Multimodal MRI Analysis</t>
  </si>
  <si>
    <t>PMC3654214</t>
  </si>
  <si>
    <t>Graph network analysis of immediate motor learning</t>
  </si>
  <si>
    <t>PMC3590462</t>
  </si>
  <si>
    <t>Dysregulated but not decreased salience network activity in schizophrenia</t>
  </si>
  <si>
    <t>PMC3502006</t>
  </si>
  <si>
    <t>Frontiers in Immunological Memory</t>
  </si>
  <si>
    <t>FIM</t>
  </si>
  <si>
    <t>CD161+CD4+ T cells are enriched in teh liver during chronic hepatitis and associated with co-secretion of ill-22 and interferon-gamma</t>
  </si>
  <si>
    <t>PMC3693486</t>
  </si>
  <si>
    <t>Frontiers in Immunology</t>
  </si>
  <si>
    <t>FROI</t>
  </si>
  <si>
    <t>Increased peptide contacts govern high affinity binding of a Modified TCR whilst maintaining a native pMHC docking mode</t>
  </si>
  <si>
    <t>PMC3444764</t>
  </si>
  <si>
    <t>Frontiers in Inflammation</t>
  </si>
  <si>
    <t>NLRP3-inflammasome activating DAMPs stimulate an inflammatory response in glia in the absence of priming which contributes to brain inflammation after injury</t>
  </si>
  <si>
    <t>PMC3554956</t>
  </si>
  <si>
    <t>Frontiers in Integrative Neuroscience</t>
  </si>
  <si>
    <t>FIN</t>
  </si>
  <si>
    <t>What is social about social perception?</t>
  </si>
  <si>
    <t>PMC3564010</t>
  </si>
  <si>
    <t>Frontiers in Invertebrate Physiology</t>
  </si>
  <si>
    <t>FIP</t>
  </si>
  <si>
    <t>Exposure to acetylcholinesterase inhibitors alters the physiology and motor function on honeybees</t>
  </si>
  <si>
    <t>Frontiers in Molecular Neuroscience</t>
  </si>
  <si>
    <t>FMN</t>
  </si>
  <si>
    <t>Improved genetically-encoded, FlincG-type fluorescent biosensors for neural cGMP imaging</t>
  </si>
  <si>
    <t>PMC3540408</t>
  </si>
  <si>
    <t>Frontiers in Neural Circuits</t>
  </si>
  <si>
    <t>FNC</t>
  </si>
  <si>
    <t>Ionotropic receptors at hippocampal mossy fibres: roles in axonal excitability, synaptic transmission and plasticity</t>
  </si>
  <si>
    <t>PMC3487150</t>
  </si>
  <si>
    <t>Frontiers in Neurorobotics</t>
  </si>
  <si>
    <t>FRON</t>
  </si>
  <si>
    <t>What is value – accumulated reward or evidence?</t>
  </si>
  <si>
    <t>PMC3557415</t>
  </si>
  <si>
    <t>Frontiers in Perception Science</t>
  </si>
  <si>
    <t>FPS</t>
  </si>
  <si>
    <t>Attribution of intentional causation influences the perception of observed movements: behavioural evidence and neural correlates</t>
  </si>
  <si>
    <t>PMC3676342</t>
  </si>
  <si>
    <t>Frontiers in Schizophrenia</t>
  </si>
  <si>
    <t>FROS</t>
  </si>
  <si>
    <t>The computational anatomy of psychosis</t>
  </si>
  <si>
    <t>PMC3639404</t>
  </si>
  <si>
    <t>Frontiers in Systems Neuroscience</t>
  </si>
  <si>
    <t>FSN</t>
  </si>
  <si>
    <t>A unified framework for the organisation of the primate auditory cortex</t>
  </si>
  <si>
    <t>PMC3696884</t>
  </si>
  <si>
    <t>Frontiers in T Cell Biology</t>
  </si>
  <si>
    <t>FTCB</t>
  </si>
  <si>
    <t>Re-directing CD4+ T cell responses with the flanking residues of MHC class II-bound peptides: the core is not enough</t>
  </si>
  <si>
    <t>PMC3730937</t>
  </si>
  <si>
    <t>Frontline Gastroenterology</t>
  </si>
  <si>
    <t>Sexually Transmitted Infections manifestering as proctitis</t>
  </si>
  <si>
    <t>PMC3724198</t>
  </si>
  <si>
    <t>Measurement of faecal calprotectin and lactoferin in inflammatory bowel disease</t>
  </si>
  <si>
    <t>PMC3724199</t>
  </si>
  <si>
    <t>Developing an endoscopic mucosal resection (EMR) service in a district general hospital</t>
  </si>
  <si>
    <t>PMC3605576</t>
  </si>
  <si>
    <t>Fungal Biology</t>
  </si>
  <si>
    <t>FUNB</t>
  </si>
  <si>
    <t>Expression and secretion of Aspergillus fumigatus proteases is regulated in response to different protein substrates</t>
  </si>
  <si>
    <t>PMC3809933</t>
  </si>
  <si>
    <t>Fungal Ecology</t>
  </si>
  <si>
    <t>FUNE</t>
  </si>
  <si>
    <t>Species-specific PCR to describe local-scale distributions of four cryptic species in the Penicillium chrysogenum complex</t>
  </si>
  <si>
    <t>Future Science</t>
  </si>
  <si>
    <t>Future Medicinal Chemistry</t>
  </si>
  <si>
    <t>FUTC</t>
  </si>
  <si>
    <t>Small molecule inhibitors of myosin proteins</t>
  </si>
  <si>
    <t>Targeting the Mitochondrial Electron Transport Chain of Plasmodium falciparum: New Strategies Towards the Development of Improved Antimalarials for the Elimination Era</t>
  </si>
  <si>
    <t>PMC3492750</t>
  </si>
  <si>
    <t>Future Medicine</t>
  </si>
  <si>
    <t>Future Microbiology</t>
  </si>
  <si>
    <t>Evolutionary and genomic insights into meningococal biology</t>
  </si>
  <si>
    <t>PMC3717328</t>
  </si>
  <si>
    <t>Future Neurology</t>
  </si>
  <si>
    <t>FUTN</t>
  </si>
  <si>
    <t>Advances in the treatment of visual hallucinations on neurodegenerative diseases</t>
  </si>
  <si>
    <t>Future Virology</t>
  </si>
  <si>
    <t>FUTV</t>
  </si>
  <si>
    <t>Disclosure issues with HIV+ parents and HIV- children</t>
  </si>
  <si>
    <t>PMC3646239</t>
  </si>
  <si>
    <t>Viral Hepatitis in resource-limited countries and access to antiviral therapies: current and future challenges</t>
  </si>
  <si>
    <t>PMC3564995</t>
  </si>
  <si>
    <t>G3: Genes, Genomes, Genetics</t>
  </si>
  <si>
    <t>GGGG</t>
  </si>
  <si>
    <t>How to design a genetic mating scheme: a basic training package for Drosophila genetics</t>
  </si>
  <si>
    <t>PMC3572711</t>
  </si>
  <si>
    <t>AGA Institute</t>
  </si>
  <si>
    <t>Gastroenterology</t>
  </si>
  <si>
    <t>GARO</t>
  </si>
  <si>
    <t>Much of the genetic risk of colorectal cancer is likely to be mediated through susceptibility to adenomas</t>
  </si>
  <si>
    <t>PMC3507624</t>
  </si>
  <si>
    <t>Intestinal Dendritic Cells Specialize to Activate Transforming Growth Factor-β and Induce Foxp3+ Regulatory T Cells via Integrin αvβ8</t>
  </si>
  <si>
    <t>PMC3688188</t>
  </si>
  <si>
    <t>Gene</t>
  </si>
  <si>
    <t>GENG</t>
  </si>
  <si>
    <t>Identification of multiple binding sites for the THAP domain of the Galileo transposase in the long terminal inverted-repeats</t>
  </si>
  <si>
    <t>PMC3611593</t>
  </si>
  <si>
    <t>Dissecting the mechanisms responsible for the multiple insecticide resistance phenotype in Anopheles gambiae s.s., M form, from Vallée de Kou, Burkina Faso</t>
  </si>
  <si>
    <t>PMC3725413</t>
  </si>
  <si>
    <t>Identification of a SLC19A2 nonsense mutation in Persian families with thiamineresponsive megaloblastic anemia</t>
  </si>
  <si>
    <t>PMC3725417</t>
  </si>
  <si>
    <t>Gene Therapy</t>
  </si>
  <si>
    <t>GENT</t>
  </si>
  <si>
    <t>Gene therapy for PIDs: Progress, pitfalls and prospects</t>
  </si>
  <si>
    <t>Inhibition of Neointimal Hyperplasia in a Rabbit Vein Graft Model Following Non-Viral Transfection with Human iNOS cDNA</t>
  </si>
  <si>
    <t>PMC3418585</t>
  </si>
  <si>
    <t>Cold Spring Harbor Laboratory Press</t>
  </si>
  <si>
    <t>Genes and Development</t>
  </si>
  <si>
    <t>GEND</t>
  </si>
  <si>
    <t>Autoregulation of TDP-43 mRNA levels involves interplay between transcription, splicing and alternative polyA site selection</t>
  </si>
  <si>
    <t>PMC3489999</t>
  </si>
  <si>
    <t>Brr2p-mediated conformational rearrangements in the spliceosome during activation and substrate repositioning</t>
  </si>
  <si>
    <t>Genes Brain Behaviour</t>
  </si>
  <si>
    <t>GENB</t>
  </si>
  <si>
    <t>A genome-wide association study for reading and language abilities in two population cohorts</t>
  </si>
  <si>
    <t>PMC3664024</t>
  </si>
  <si>
    <t>Steroid sulfatase is a potential modifier of cognition in Attention Deficit Hyperactivity Disorder</t>
  </si>
  <si>
    <t>PMC3638342</t>
  </si>
  <si>
    <t>Genesis: Journal of Genetics</t>
  </si>
  <si>
    <t>JG</t>
  </si>
  <si>
    <t>The Caenorhabditis elegans homeobox gene ceh-19 is required for MC motoneuron function</t>
  </si>
  <si>
    <t>PMC3674525</t>
  </si>
  <si>
    <t>Genetic Epidemiology</t>
  </si>
  <si>
    <t>GENE</t>
  </si>
  <si>
    <t>A simple and fast two-locus quality control test to detect false positives due to batch effects in genome-wide association studies.</t>
  </si>
  <si>
    <t>PMC3460225</t>
  </si>
  <si>
    <t>Transethnic meta-analysis of genome-wide association studies</t>
  </si>
  <si>
    <t>PMC3569874</t>
  </si>
  <si>
    <t>Genome-wide association analyis of imputed rare variants: application to seven common complex diseases.</t>
  </si>
  <si>
    <t>PMC3842118</t>
  </si>
  <si>
    <t>Identification of grouped rare and common variants via penalized logisitc regression</t>
  </si>
  <si>
    <t>PMC2881129</t>
  </si>
  <si>
    <t>Genetics</t>
  </si>
  <si>
    <t>GETI</t>
  </si>
  <si>
    <t>Distinct regulation of Mlh1p heterodimers in meiosis and mitosis in Saccharomyces cerevisae</t>
  </si>
  <si>
    <t>PMC3584010</t>
  </si>
  <si>
    <t>Estimating selection coefficients in spatially structured populations from time series data of allele frequencies.</t>
  </si>
  <si>
    <t>Genetics in Medicine</t>
  </si>
  <si>
    <t>GENM</t>
  </si>
  <si>
    <t>Population-based estimates of the prevalence of FMR1 expansion mutations in women with early menopause and primary ovarian insufficiency</t>
  </si>
  <si>
    <t>Behavioral genetics and population health interventions for alcohol problems: at odds or oddly in agreement?</t>
  </si>
  <si>
    <t>Genome Biology</t>
  </si>
  <si>
    <t>The genome and transcriptome of the enteric parasite Entamoeba invadens, a model for encystation</t>
  </si>
  <si>
    <t>PMC3439969</t>
  </si>
  <si>
    <t>The fine-scale architecture of structural variants in 17 mouse genomes.</t>
  </si>
  <si>
    <t>PMC3580495</t>
  </si>
  <si>
    <t>The multidrug-resistant PMEN1 pneeumococcus is a paradigm for genetic success</t>
  </si>
  <si>
    <t>PMC3706778</t>
  </si>
  <si>
    <t>Genome Medicine</t>
  </si>
  <si>
    <t>Identification and Functional Validation of HPV-mediated Hypermethylation in Head and Neck Squamous Cell Carcinoma</t>
  </si>
  <si>
    <t>Targeted next-generation sequencing of head and neck squamous cell carcinoma identifies novel genetic alterations in HPV+ and HPV- tumors</t>
  </si>
  <si>
    <t>PMC3460180</t>
  </si>
  <si>
    <t>Genome Research</t>
  </si>
  <si>
    <t>GENR</t>
  </si>
  <si>
    <t>Copy number variation leads to considerable diversity for B but not A haplotypes of the human KIR genes encoding NK cell receptors</t>
  </si>
  <si>
    <t>PMC3561869</t>
  </si>
  <si>
    <t>Differentially expressed, variant U1 snRNAs regulate gene expression in human cells</t>
  </si>
  <si>
    <t>PMC3644876</t>
  </si>
  <si>
    <t>Glia</t>
  </si>
  <si>
    <t>GLIG</t>
  </si>
  <si>
    <t>Microglia and macrophages differentially modulate cell death after brain injury caused by oxygen-glucose deprivation in organotypic brain slices</t>
  </si>
  <si>
    <t>PMC3580049</t>
  </si>
  <si>
    <t>Injury and differentiation following inhibition of mitochondrial respiratory chain complex IV in rat oligodendrocytes</t>
  </si>
  <si>
    <t>Glycobiology</t>
  </si>
  <si>
    <t>GLOB</t>
  </si>
  <si>
    <t>A novel role for Gtb1p in glucose trimming of N-linked glycans</t>
  </si>
  <si>
    <t>PMC3671775</t>
  </si>
  <si>
    <t>Organization of the extracellular portion of the macrophage galactose receptor: a trimeric cluster of simple binding sites for N-acetylgalactosamine</t>
  </si>
  <si>
    <t>PMC3551213</t>
  </si>
  <si>
    <t>Gut</t>
  </si>
  <si>
    <t>GUTG</t>
  </si>
  <si>
    <t>A basal gradient of Wnt and stem-cell number influences regional tumour distribution in human and mouse intestinal tracts.</t>
  </si>
  <si>
    <t>The paradox of NKp46+ NK cells: drivers of severe HCV-induced pathology but in vivo resistance to IFNa treatment</t>
  </si>
  <si>
    <t>Obese patients after gastric bypass surgery have lower brain hedonic responses to food than after gastric banding</t>
  </si>
  <si>
    <t>PMC3659926</t>
  </si>
  <si>
    <t>Ferrata Storti Foundation</t>
  </si>
  <si>
    <t>Haematologica</t>
  </si>
  <si>
    <t>HAAT</t>
  </si>
  <si>
    <t>Mutations in the telomere capping complex in bone marrow failure and related syndromes</t>
  </si>
  <si>
    <t>PMC3487588</t>
  </si>
  <si>
    <t>HAEJ</t>
  </si>
  <si>
    <t>Production of the effector cytokine interleukin-17, rather than interferon-y, is more strongly asociated with autoimmune hemolytic anaemia</t>
  </si>
  <si>
    <t>Human Brain Mapping</t>
  </si>
  <si>
    <t>HBMJNLHBM</t>
  </si>
  <si>
    <t>Phase informed model for motion and susceptibility (PIMMS)</t>
  </si>
  <si>
    <t>Scientific Research Publishing</t>
  </si>
  <si>
    <t>Health</t>
  </si>
  <si>
    <t>HETH</t>
  </si>
  <si>
    <t>Suicide ideation, depression and HIV among pregnant women in rural South Africa</t>
  </si>
  <si>
    <t>Health and Place</t>
  </si>
  <si>
    <t>HEAP</t>
  </si>
  <si>
    <t>Determinants and spatial patterns</t>
  </si>
  <si>
    <t>PMC3591252</t>
  </si>
  <si>
    <t>Is the environmental setting associated with the intensity and duration of children’s physical activity? Findings from the SPEEDY GPS study</t>
  </si>
  <si>
    <t>PMC3584993</t>
  </si>
  <si>
    <t>Health Policy and Planning</t>
  </si>
  <si>
    <t>Willingness to pay for a rapid malaria diagnostic test and artemisinin-based combination therapy from private drug shops in Mukono District, Uganda.</t>
  </si>
  <si>
    <t>Health Promotion International</t>
  </si>
  <si>
    <t>HEAI</t>
  </si>
  <si>
    <t>In what ways do communities support optimal antiretroviral treatment in Zimbabwe?</t>
  </si>
  <si>
    <t>PMC3727344</t>
  </si>
  <si>
    <t>Health Psychology</t>
  </si>
  <si>
    <t>Behavior change techniques used to promote walking and cycling: a systematic review</t>
  </si>
  <si>
    <t>Health: an Interdisciplinary Journal for the Social Study of Health, Illness and Medicine</t>
  </si>
  <si>
    <t>HAIJSSHIM</t>
  </si>
  <si>
    <t>Re-valuing donor and recipient bodies in the globalised blood economy: transitions in public policy on blood safety in the UK</t>
  </si>
  <si>
    <t>Heart</t>
  </si>
  <si>
    <t>HEHE</t>
  </si>
  <si>
    <t>South Asians and coronary disease: Is there discordance between effects on incidence and prognosis?</t>
  </si>
  <si>
    <t>PMC3330789</t>
  </si>
  <si>
    <t>Heart and Circulatory Physiology</t>
  </si>
  <si>
    <t>HCP</t>
  </si>
  <si>
    <t>Altered sinoatrial node function and intra-atrial conduction in murine gain-of-function Scn5a+/ΔKPQ hearts suggest an overlap syndrome.</t>
  </si>
  <si>
    <t>PMC3744754</t>
  </si>
  <si>
    <t>Hepatology</t>
  </si>
  <si>
    <t>HETO</t>
  </si>
  <si>
    <t>Heterogeneous claudin-1 expression in human liver</t>
  </si>
  <si>
    <t>Paracrine signals from liver sinusoidal endothelium regulate hepatitis C virus replication</t>
  </si>
  <si>
    <t>Proteome-wide analyses of human hepatocytes during differentiation and de-differentiation</t>
  </si>
  <si>
    <t>HCV treatment for prevention among people who inject drugs: modelling teatment scale-up in the age of direct-acting antivirals</t>
  </si>
  <si>
    <t>PMC3638324</t>
  </si>
  <si>
    <t>Osteopontin is a novel downstream target of SOX9 with diagnostic implications for progression of liver fibrosis in humans</t>
  </si>
  <si>
    <t>PMC3592994</t>
  </si>
  <si>
    <t>Intrahepatic cholestasis of pregnancy levels of sulfated progesterone metabolites inhibit FXR resulting in a pro-cholestatic phenotype</t>
  </si>
  <si>
    <t>Tumor progression locus 2/Cot is required for activation of extracellular regulated kinase in liver injury and toll like receptor induced TIMP-1 gene transcription in hepatic stellate cells in mice</t>
  </si>
  <si>
    <t>PMC3867604</t>
  </si>
  <si>
    <t>Inhibition of RelA-Ser536 phosphorylation by a completing peptide reduces mouse liver fibrosis wothout blocking the innate immune response</t>
  </si>
  <si>
    <t>PMC3427885</t>
  </si>
  <si>
    <t>HEOL</t>
  </si>
  <si>
    <t>Transcriptiome sequencing, microarray and proteomic analyses reveal cellular and metabolic impact of Hepatitis C virus in vitro</t>
  </si>
  <si>
    <t>Hernia</t>
  </si>
  <si>
    <t>HEIA</t>
  </si>
  <si>
    <t>Use of antibiotic prophylaxis in elective inguinal hernia repair in adults in London and south-east England: a cross sectional survey</t>
  </si>
  <si>
    <t>Hippocampus</t>
  </si>
  <si>
    <t>HIOC</t>
  </si>
  <si>
    <t>Pituitary adenylate cyclase-activating polypeptide (PACAP) inhibits the slow afterhyperpolarizing current sIsubAHPsubin CA1 pyramidal neurons by activating multiple signaling pathways</t>
  </si>
  <si>
    <t>Representations of recent and remote autobiographical memories in hippocampal subfields</t>
  </si>
  <si>
    <t>Transitivity Performance, Relational Hierarchy Knowledge and Awareness: Results of an Instructional Framing Manipulation</t>
  </si>
  <si>
    <t>PMC3505796</t>
  </si>
  <si>
    <t>Patterning of Retinoic Acid Signaling and and Cell Proliferation in the Hippocampus</t>
  </si>
  <si>
    <t>PMC3506972</t>
  </si>
  <si>
    <t>Hippocampal lesions can enhance discrimination learning despite normal sensitivity to interference from incidental information</t>
  </si>
  <si>
    <t>PMC3757918</t>
  </si>
  <si>
    <t>History of the Human Sciences</t>
  </si>
  <si>
    <t>HHS</t>
  </si>
  <si>
    <t>How autism became autism: the radical transformation of a central concept of child development in Britain</t>
  </si>
  <si>
    <t>PMC3724273</t>
  </si>
  <si>
    <t>The pursuit of happiness: the social and scientific origins of Hans Selye’s natural philosophy of life’</t>
  </si>
  <si>
    <t>PMC3627513</t>
  </si>
  <si>
    <t>War on fear: Solly Zuckerman and civilian nerve in World War II</t>
  </si>
  <si>
    <t>PMC3652708</t>
  </si>
  <si>
    <t>Making the cut: the production of 'self-harm' in post-1945 Anglo-Saxon psychiatry</t>
  </si>
  <si>
    <t>PMC3627511</t>
  </si>
  <si>
    <t>The invention of the psychosocial: an introduction</t>
  </si>
  <si>
    <t>PMC3415954</t>
  </si>
  <si>
    <t>History Workshop Journal</t>
  </si>
  <si>
    <t>HISJ</t>
  </si>
  <si>
    <t>A marble embryo: meanings of a portrait from 1900</t>
  </si>
  <si>
    <t>PMC3731578</t>
  </si>
  <si>
    <t>HPB</t>
  </si>
  <si>
    <t>HPBHPB</t>
  </si>
  <si>
    <t>An experimental study to identify the potential role of pharmacogenomics in determining the occurrence of oxaliplatin-induced liver injury</t>
  </si>
  <si>
    <t>PMC3721994</t>
  </si>
  <si>
    <t>Human Resources for Health</t>
  </si>
  <si>
    <t>HUMH</t>
  </si>
  <si>
    <t>Absenteeism amongst health workers - developing a typology to support empiric work in low-income countries and characterizing reported associations.</t>
  </si>
  <si>
    <t>HUMM</t>
  </si>
  <si>
    <t>A Novel Approach to Probabilistic Biomarker-Based Classification Using Functional Near-Infrared Spectroscopy</t>
  </si>
  <si>
    <t>PMC3652415</t>
  </si>
  <si>
    <t>Human Molecular Genetics</t>
  </si>
  <si>
    <t>HMGO</t>
  </si>
  <si>
    <t>Dopaminergic expression of the Parkinsonian gene LRRK2-G2019S leads to non-autonomous visual neurodegeneration, accelerated by increased neural demands for energy</t>
  </si>
  <si>
    <t>PMC3510758</t>
  </si>
  <si>
    <t>HUMG</t>
  </si>
  <si>
    <t>Genome Wide Meta-analysis points to CTC1 and ZNF676 as genes regulating telomere homeostasis in humans</t>
  </si>
  <si>
    <t>PMC3596849</t>
  </si>
  <si>
    <t>Genome-wide association study identifies loci on 12q24 and 13q32 associated with Tetralogy of Fallot</t>
  </si>
  <si>
    <t>Altered 2-thiouridylation impairs mitochondrial translation in reversible infantile repiratory chain deficiency</t>
  </si>
  <si>
    <t>PMC3842181</t>
  </si>
  <si>
    <t>Armet/Manf and Creld2 are components of a specialised ER stress response provoked by inappropriate</t>
  </si>
  <si>
    <t>Age-associated epigenetic drift: implications, and a case of epigenetic thrift?</t>
  </si>
  <si>
    <t>Folliculin interacts with p0071 (plakophilin-4) and deficiency is associated with disordered RhoA signalling, epithelial polarization and cytokinesis</t>
  </si>
  <si>
    <t>PMC3177649</t>
  </si>
  <si>
    <t>Allelic heterogeneity and more detailed analyses of known loci explain additional phenotypic variation and reveal complex patterns of association</t>
  </si>
  <si>
    <t>PMC3596848</t>
  </si>
  <si>
    <t>A genome-wide association study of early menopause and the combined impact of identified</t>
  </si>
  <si>
    <t>PMC3749866</t>
  </si>
  <si>
    <t>Genome-Wide Association Study of Primary Tooth Eruption Identifies Pleiotropic Loci Associated With Height and Craniofacial Distances</t>
  </si>
  <si>
    <t>PMC3406756</t>
  </si>
  <si>
    <t>Vitmain D Receptor Binding, Chromatin States and Association with Multiple Sclerosis</t>
  </si>
  <si>
    <t>PMC3613160</t>
  </si>
  <si>
    <t>Protein profiles in Tc1 mice implicate novel pathway perturbations in the Down syndrome brain</t>
  </si>
  <si>
    <t>PMC3263993</t>
  </si>
  <si>
    <t>Next generatin sequencing identifies mutations in Atonal homolog 7 (ATOH7) in families with global eye developmental defects.</t>
  </si>
  <si>
    <t>PMC3313792</t>
  </si>
  <si>
    <t>Impaired neural development in a zebrafish model for Lowe syndrome</t>
  </si>
  <si>
    <t>PMC3441120</t>
  </si>
  <si>
    <t>G2019S leucine-rich repeat kinase 2 causes uncoupling protein-mediated mitochondrial depolarization</t>
  </si>
  <si>
    <t>PMC3583518</t>
  </si>
  <si>
    <t>Mitofusin 1 and mitofusin 2 are ubiquitinated in a PINK1/parkin-dependent manner upon induction of mitophagy</t>
  </si>
  <si>
    <t>IGF-1 receptor antagonism inhibits autophagy</t>
  </si>
  <si>
    <t>PMC3842180</t>
  </si>
  <si>
    <t>Myc inhibition impairs autophagosome formation</t>
  </si>
  <si>
    <t>PMC3674800</t>
  </si>
  <si>
    <t>Trans-splicing correction of tau isoform imbalance in a mouse model of tau mis-splicing</t>
  </si>
  <si>
    <t>PMC3674807</t>
  </si>
  <si>
    <t>ALS mutant FUS disrupts nuclear localisation and sequesters wild-type FUS within cytoplasmic stress granules</t>
  </si>
  <si>
    <t>PMC3690967</t>
  </si>
  <si>
    <t>DNA polymerase {varepsilon} and o exonuclease domain mutations in endometrial cancer.</t>
  </si>
  <si>
    <t>PMC3272220</t>
  </si>
  <si>
    <t>Human Mutation</t>
  </si>
  <si>
    <t>Pseudoachondroplasia and multiple epiphyseal dysplasia: A 7-year comprehensive analysis of the known disease genes identify novel and recurrent mutations and provides an accurate assessment of their relative contribution</t>
  </si>
  <si>
    <t>Pathogenic mitochondrial tRNA point mutations: nine novel mutations affirm their importance as a couse of mitochondrial disease</t>
  </si>
  <si>
    <t>PMC3746110</t>
  </si>
  <si>
    <t>Human Mutation: Variation, Informatics, and Disease</t>
  </si>
  <si>
    <t>HMVID</t>
  </si>
  <si>
    <t>Associations among genotype, clinical phenotype, and intracellular localization of trafficking proteins in ARC syndrome</t>
  </si>
  <si>
    <t>PMC3600839</t>
  </si>
  <si>
    <t>Human Reproduction</t>
  </si>
  <si>
    <t>HUMR</t>
  </si>
  <si>
    <t>The incidence and clinical significance of defects in calcium signalling pathways mediating human sperm hyperactivation in donors and sub fertile patients.</t>
  </si>
  <si>
    <t>PMC3529683</t>
  </si>
  <si>
    <t>HRH</t>
  </si>
  <si>
    <t>Human resources needs for universal access to antiretroviral therapy in South Africa: A time-motion study</t>
  </si>
  <si>
    <t>International Union Against Tuberculosis and Lung Disease</t>
  </si>
  <si>
    <t>International Journal of Tuberculosis and Lung Disease</t>
  </si>
  <si>
    <t>IJIJ</t>
  </si>
  <si>
    <t>Socio-economic patterning of tobacco use in Indian states.</t>
  </si>
  <si>
    <t>PMC3690473</t>
  </si>
  <si>
    <t>Immunobiology</t>
  </si>
  <si>
    <t>IMUN</t>
  </si>
  <si>
    <t>Regulation of TGFbeta in the immune system: an emerging role for integrins and dendritic cells</t>
  </si>
  <si>
    <t>PMC3556782</t>
  </si>
  <si>
    <t>Immunity</t>
  </si>
  <si>
    <t>IMNI</t>
  </si>
  <si>
    <t>The Transcription Factor STAT-1 Couples Macrophage Synthesis of 25-Hydroxycholesterol to the Interferon Antiviral Response</t>
  </si>
  <si>
    <t>PMC3664922</t>
  </si>
  <si>
    <t>Dysregulated Hematopoietic Stem and Progenitor Cell Activity Promotes Interleukin-23-Driven Chronic Intestinal Inflammation</t>
  </si>
  <si>
    <t>PMC3710569</t>
  </si>
  <si>
    <t>Immunogenetics</t>
  </si>
  <si>
    <t>IMNO</t>
  </si>
  <si>
    <t>The peptide motif of the single dominantly-expressed class I molecule of the chicken MHC can explain the response to a molecular defined vaccine of infectious bursal disease virus (IBDV)</t>
  </si>
  <si>
    <t>PMC3824577</t>
  </si>
  <si>
    <t>Killer cell immunoglobin-like receptor (KIR) genes and their HLA-C ligands in a Ugandan population</t>
  </si>
  <si>
    <t>Immunological Reviews</t>
  </si>
  <si>
    <t>IMMR</t>
  </si>
  <si>
    <t>Actin cytoskeletal defects in immunodeficiency</t>
  </si>
  <si>
    <t>PMC3530087</t>
  </si>
  <si>
    <t>Immunology</t>
  </si>
  <si>
    <t>Increased HLA-E expression in white matter lesions in multiple sclerosis</t>
  </si>
  <si>
    <t>Human dendritic cell subsets</t>
  </si>
  <si>
    <t>PMC3684771</t>
  </si>
  <si>
    <t>Immunology Letters</t>
  </si>
  <si>
    <t>IMML</t>
  </si>
  <si>
    <t>Sources of heterogeneity in human monocyte subsets</t>
  </si>
  <si>
    <t>PMC3620707</t>
  </si>
  <si>
    <t>Implementation Science</t>
  </si>
  <si>
    <t>IMPS</t>
  </si>
  <si>
    <t>Designing a theory-informed, contextually appropriate intervention strategy to improve delivery of pediatric services in Kenyan hospitals.</t>
  </si>
  <si>
    <t>PMC3497410</t>
  </si>
  <si>
    <t>Infection and Immunity</t>
  </si>
  <si>
    <t>INFI</t>
  </si>
  <si>
    <t>Dectin-1 is not required for controlling Candida albicans colonisation of the murine gastrointestinal tract</t>
  </si>
  <si>
    <t>Analysis of antibodies to newly described plasmodium falciparum merozoite antigens supports ...</t>
  </si>
  <si>
    <t>PMC3497412</t>
  </si>
  <si>
    <t>Progressive cross-reactivity in IgE responses: an explanation for the slow development of human immunity to schistosomiasis</t>
  </si>
  <si>
    <t>PMC3811811</t>
  </si>
  <si>
    <t>Zebrafish as a novel vertebrate model to dissect enterococcal pathogenesis</t>
  </si>
  <si>
    <t>PMC3536122</t>
  </si>
  <si>
    <t>Growth of Candida albicans celles on the physiologically relevent carbon source, lactate, affects their recognition and phagocytosis by immune cells</t>
  </si>
  <si>
    <t>PMC3438445</t>
  </si>
  <si>
    <t>Infection Genetics and Evolution</t>
  </si>
  <si>
    <t>IGE</t>
  </si>
  <si>
    <t>The emergence and maintenance of sickle cell hotspots in the mediterranean</t>
  </si>
  <si>
    <t>PMC3625409</t>
  </si>
  <si>
    <t>Inflammation Research</t>
  </si>
  <si>
    <t>INFR</t>
  </si>
  <si>
    <t>Myocardial infarction causes inflammation and leukocyte recruitment at remote sites in the myocardium and in the renal glomerulus</t>
  </si>
  <si>
    <t>PMC3532612</t>
  </si>
  <si>
    <t>Inflammatory Bowel Diseases</t>
  </si>
  <si>
    <t>INFD</t>
  </si>
  <si>
    <t>Defective TNF release from Crohn’s disease macrophages in response to Toll-like receptor activation: relationship to phenotype and genome-wide association susceptibility loci</t>
  </si>
  <si>
    <t>Influenza and Other Respiratory Viruses</t>
  </si>
  <si>
    <t>IORV</t>
  </si>
  <si>
    <t>Identification of RSV Group B Viruses that lack the 60-Nucleotide duplication after 6 Consecutive Epidemics of total BA dominance in Coastal Kenya</t>
  </si>
  <si>
    <t>PMC3396314</t>
  </si>
  <si>
    <t>International Journal of Epidemiology</t>
  </si>
  <si>
    <t>INTE</t>
  </si>
  <si>
    <t>Status of epidemiology in the WHO South-East Asia region: burden of disease, determinants of health and epidemiological research, workforce and training capacity.</t>
  </si>
  <si>
    <t>International Journal for Parasitology</t>
  </si>
  <si>
    <t>IJP</t>
  </si>
  <si>
    <t>Flow cytometry-assisted rapid isolation of recombinant Plasmodium berghei parasites exemplified by functional analysis of aquaglyceroporin.</t>
  </si>
  <si>
    <t>PMC3730697</t>
  </si>
  <si>
    <t>Journal of the Royal Society Interface</t>
  </si>
  <si>
    <t>INRF</t>
  </si>
  <si>
    <t>A rule-based kinetic model of RNA polymerase II C-terminal domain phosphorylation</t>
  </si>
  <si>
    <t>PMC3407873</t>
  </si>
  <si>
    <t>International Health</t>
  </si>
  <si>
    <t>INTH</t>
  </si>
  <si>
    <t>Treatment of schistosomiasis in African infants and preschool-aged children: downward extension and biometric optimisation of the current praziquantel dose pole</t>
  </si>
  <si>
    <t>PMC3631001</t>
  </si>
  <si>
    <t>International Immunology</t>
  </si>
  <si>
    <t>INTI</t>
  </si>
  <si>
    <t>The Dectin-2 family of C-type lectin-like receptors: and update</t>
  </si>
  <si>
    <t>IJE</t>
  </si>
  <si>
    <t>Estimating the coverage of mental health programmes: a systematic review</t>
  </si>
  <si>
    <t>PMC3751770</t>
  </si>
  <si>
    <t>International Journal for Equity in Health</t>
  </si>
  <si>
    <t>IJEH</t>
  </si>
  <si>
    <t>Socio-economic position and childhood multimorbidity: a study using linkage between the Avon Longitudinal Study of Parents and Children and the General Practice Research Database</t>
  </si>
  <si>
    <t>Functional expression of TcoAT1 reveals it to be a P1-type nucleoside transporter with no capacity for diminazene uptake</t>
  </si>
  <si>
    <t>International Journal of Applied Earth Observation and Geoinformation</t>
  </si>
  <si>
    <t>INRN</t>
  </si>
  <si>
    <t>Mapping the distribution of the main host for plague in a complex landscape in Kazakhstan: An object-based approach using SPOT-5 XS, Landsat 7 ETM+, SRTM and multiple Random Forests</t>
  </si>
  <si>
    <t>PMC3672092</t>
  </si>
  <si>
    <t>International Journal of Behavioral Nutrition and Physical Activity</t>
  </si>
  <si>
    <t>IJBNPA</t>
  </si>
  <si>
    <t>Do predictors of change differ for moderate and vigorous intensity physical activity and for weekdays and weekends? A longitudinal analysis</t>
  </si>
  <si>
    <t>PMC3765385</t>
  </si>
  <si>
    <t>Developing and testing a street audit tool using Google Street View to measure environmental supportiveness for physical activity</t>
  </si>
  <si>
    <t>International Journal of Biochemistry and Cell Biology</t>
  </si>
  <si>
    <t>IJBCB</t>
  </si>
  <si>
    <t>Lipidomic profiling in Crohn's disease: Abnormalities in phosphatidylinositols, with preservation of ceramide, phosphatidylcholine and phosphatidylserine composition</t>
  </si>
  <si>
    <t>PMC3819990</t>
  </si>
  <si>
    <t>International Journal of Cardiology</t>
  </si>
  <si>
    <t>IJC</t>
  </si>
  <si>
    <t>Mortality from Ischaemic Heart Disease by Country, Region, and Age: Statistics from World Health Organisation and United Nations data</t>
  </si>
  <si>
    <t>PMC3819621</t>
  </si>
  <si>
    <t>Defining cardiac adaptations and safety of endurance training in patients with m.3243A&gt;G-related mitochondrial disease</t>
  </si>
  <si>
    <t>PMC3819985</t>
  </si>
  <si>
    <t>Cardioprotective SUR2A promotes stem cell properties of cardiomyocytes</t>
  </si>
  <si>
    <t>University of the Basque Country Press</t>
  </si>
  <si>
    <t>International Journal of Developmental Biology</t>
  </si>
  <si>
    <t>IJDB</t>
  </si>
  <si>
    <t>The Dictyostelium prestalk inducer DIF-1 directs phosphorylation of a bZIP transcription factor.</t>
  </si>
  <si>
    <t>PMC3780998</t>
  </si>
  <si>
    <t>Time series regression studies in environmental epidemiology.</t>
  </si>
  <si>
    <t>Cohort profile: Andhra Pradesh children and parents study.</t>
  </si>
  <si>
    <t>PMC3535749</t>
  </si>
  <si>
    <t>Data Resource Profile: Cardiovascular disease research using Linked Bespoke studies and Electronic health Records (CALIBER)</t>
  </si>
  <si>
    <t>Cohort Profile: - A prospective cohort study of objective physical and cognitive capability and visual health in an ageing population of men and women in Norfolk (EPIC-Norfolk 3)</t>
  </si>
  <si>
    <t>PMC3780999</t>
  </si>
  <si>
    <t>Use of allele scores as instrumental variables for Mendelian randomization</t>
  </si>
  <si>
    <t>International Journal of Experimental Pathology</t>
  </si>
  <si>
    <t>IJEP</t>
  </si>
  <si>
    <t>Fatigue loading of tendon</t>
  </si>
  <si>
    <t>Sciedu Press</t>
  </si>
  <si>
    <t>International Journal of Financial Research</t>
  </si>
  <si>
    <t>IJFR</t>
  </si>
  <si>
    <t>Determinants of Enrolment in Voluntary Health Insurance: Evidences from a Mixed Method Study, Kerala, India</t>
  </si>
  <si>
    <t>PMC3504977</t>
  </si>
  <si>
    <t>International Journal of Geriatric Psychiatry</t>
  </si>
  <si>
    <t>IJGP</t>
  </si>
  <si>
    <t>Strain and its correlates among carers of people with dementia in low and middle income countries. A 10/66 Dementia Research population-based survey</t>
  </si>
  <si>
    <t>PMC3566929</t>
  </si>
  <si>
    <t>International Journal of Health Geographics</t>
  </si>
  <si>
    <t>IJHG</t>
  </si>
  <si>
    <t>Comparing the accuracy of two secondary food environment data sources in the UK across socio-economic and urban/rural divides</t>
  </si>
  <si>
    <t>International Journal of Law in Context</t>
  </si>
  <si>
    <t>IJLC</t>
  </si>
  <si>
    <t>Capacity, value neutrality and the ability to consider the future</t>
  </si>
  <si>
    <t>PMC3821636</t>
  </si>
  <si>
    <t>MDPI</t>
  </si>
  <si>
    <t>International Journal of Molecular Sciences</t>
  </si>
  <si>
    <t>Absolute Quantification of selected proteins in the Human Osteoarthritic Secretome</t>
  </si>
  <si>
    <t>PMC3734734</t>
  </si>
  <si>
    <t>International Journal of Obesity</t>
  </si>
  <si>
    <t>IJO</t>
  </si>
  <si>
    <t>Catch-up growth following intra-uterine growth restriction programmes an insulin-resistant phenotype in adipose tissue</t>
  </si>
  <si>
    <t>PMC3572392</t>
  </si>
  <si>
    <t>Proteome analysis of the Theileria annulata schizont</t>
  </si>
  <si>
    <t>PMC3504370</t>
  </si>
  <si>
    <t>Hindawi</t>
  </si>
  <si>
    <t>International Journal of Rheumatology</t>
  </si>
  <si>
    <t>IJR</t>
  </si>
  <si>
    <t>Quantitative sensory testing in painful hand osteorthritis demonstrates features of peripheral sensitisation</t>
  </si>
  <si>
    <t>International Journal of Stroke</t>
  </si>
  <si>
    <t>IJS</t>
  </si>
  <si>
    <t>Length of carotid stenosis predicts peri-procedural stroke or death and restenosis in patients randomized to endovascular treatment or endarterectomy</t>
  </si>
  <si>
    <t>IJTLD</t>
  </si>
  <si>
    <t>Prevalence and risk factors for self-reported asthma in an adult Indian population: a cross-sectional survey</t>
  </si>
  <si>
    <t>PMC3819183</t>
  </si>
  <si>
    <t>International Psychogeriatrics</t>
  </si>
  <si>
    <t>INTP</t>
  </si>
  <si>
    <t>Covariant perfusion patterns provide clues to the origin of cognitive fluctuations and attentional dysfunctional in dementia with Lewy bodies</t>
  </si>
  <si>
    <t>PMC3634610</t>
  </si>
  <si>
    <t>Copyright Clearance Center</t>
  </si>
  <si>
    <t>International Reviews of Immunology</t>
  </si>
  <si>
    <t>IRI</t>
  </si>
  <si>
    <t>C-type lectin-like receptors of the Dectin-1 cluster: ligands and signalling pathways</t>
  </si>
  <si>
    <t>PMC3733698</t>
  </si>
  <si>
    <t>Inequalities in the uptake of human papillomavirus vaccination: a systematic review and meta-analysis</t>
  </si>
  <si>
    <t>PMC3481300</t>
  </si>
  <si>
    <t>Journal of Biological Chemistry</t>
  </si>
  <si>
    <t>JBC</t>
  </si>
  <si>
    <t>Structure of the BMP receptor ALK2 and implications for fibrodysplasia ossificans progressiva (Manuscript # M365932</t>
  </si>
  <si>
    <t>PMC3234852</t>
  </si>
  <si>
    <t>Inhibitory member of the apoptosis-stimulating proteins of the p53 family (iASPP) interacts with protein phosphatase 1 via a noncanonical binding motif.</t>
  </si>
  <si>
    <t>PMC3438964</t>
  </si>
  <si>
    <t>Structure and mechanism of human UDP-xylose synthase: evidence for a promoting role of sugar ring distortion in a three-step catalytic conversion of UDP-glucuronic acid.</t>
  </si>
  <si>
    <t>PMC3308871</t>
  </si>
  <si>
    <t>Structural and evolutionary basis for the dual substrate selectivity of human KDM4 histone demethylase family.</t>
  </si>
  <si>
    <t>PMC3265891</t>
  </si>
  <si>
    <t>Structural and kinetic evidence that catalytic reaction of human UDP-glucose 6-dehydrogenase involves covalent thiohemiacetal and thioester enzyme intermediates.</t>
  </si>
  <si>
    <t>PMC3597819</t>
  </si>
  <si>
    <t>Structural Basis for Cul3 Protein Assembly with the BTB-Kelch Family of E3 Ubiquitin Ligases</t>
  </si>
  <si>
    <t>PMC3106451</t>
  </si>
  <si>
    <t>Research Media Ltd</t>
  </si>
  <si>
    <t>Journal of Cardiovascular Magnetic Resonance</t>
  </si>
  <si>
    <t>JCMR</t>
  </si>
  <si>
    <t>Assessment of in vivo metabolism in failing hearts using hyperpolarised 13C magnetic resonance</t>
  </si>
  <si>
    <t>PMC3730248</t>
  </si>
  <si>
    <t>Journal of Cell Science</t>
  </si>
  <si>
    <t>JCS</t>
  </si>
  <si>
    <t>A dual role for the βPS integrin myospheroid in mediating Drosophila embryonic macrophage migration.</t>
  </si>
  <si>
    <t>PMC3421817</t>
  </si>
  <si>
    <t>Journal of Clinical Microbiology</t>
  </si>
  <si>
    <t>JCM</t>
  </si>
  <si>
    <t>Resolution of a meningococcal disease outbreak from whole-genome sequence data with rapid web-based analysis methods</t>
  </si>
  <si>
    <t>PMC3549224</t>
  </si>
  <si>
    <t>Journal of Immunology</t>
  </si>
  <si>
    <t>JII</t>
  </si>
  <si>
    <t>Chronic Exposure to Plasmodium falciparum Is Associated with Phenotypic Evidence of B and T Cell Exhaustion</t>
  </si>
  <si>
    <t>PMC3672848</t>
  </si>
  <si>
    <t>Mitochondrial superoxide generation enhances P2X7R-mediated loss of cell surface CD62L on naive human CD4+ T lymphocytes.</t>
  </si>
  <si>
    <t>PMC3475639</t>
  </si>
  <si>
    <t>Journal of Infectious Diseases</t>
  </si>
  <si>
    <t>JID</t>
  </si>
  <si>
    <t>Genetic Relatedness of Infecting and Reinfecting Respiratory Syncytial Virus Strains Identified in a Birth Cohort From Rural Kenya</t>
  </si>
  <si>
    <t>PMC3506128</t>
  </si>
  <si>
    <t>Journal of Medicinal Chemistry</t>
  </si>
  <si>
    <t>JMC</t>
  </si>
  <si>
    <t>Fumaroylamino-4,5-epoxymorphinans and related opioids with irreversible μ opioid receptor antagonist effects.</t>
  </si>
  <si>
    <t>PMC3646402</t>
  </si>
  <si>
    <t>Orvinols with mixed kappa/mu opioid receptor agonist activity.</t>
  </si>
  <si>
    <t>PMC3545483</t>
  </si>
  <si>
    <t>The American Chemical Society Petroleum Research Trust</t>
  </si>
  <si>
    <t>Novel inverse binding mode of indirubin derivatives yields improved selectivity for DYRK kinases</t>
  </si>
  <si>
    <t>PMC3621106</t>
  </si>
  <si>
    <t>Crystal Structure of Human Aurora B in Complex with INCENP and VX-680</t>
  </si>
  <si>
    <t>PMC3506127</t>
  </si>
  <si>
    <t>Identification of a chemical probe for bromo and extra C-terminal bromodomain inhibition through optimization of a fragment-derived hit.</t>
  </si>
  <si>
    <t>PMC3257585</t>
  </si>
  <si>
    <t>7,8-dichloro-1-oxo-β-carbolines as a versatile scaffold for the development of potent and selective kinase inhibitors with unusual binding modes.</t>
  </si>
  <si>
    <t>PMC3510731</t>
  </si>
  <si>
    <t>JMIR Publications</t>
  </si>
  <si>
    <t>Journal of Medical Internet Research</t>
  </si>
  <si>
    <t>JMIR</t>
  </si>
  <si>
    <t>How should debriefing be undertaken in web-based studies? Findings from randomised controlled trial.</t>
  </si>
  <si>
    <t>PMC3472557</t>
  </si>
  <si>
    <t>Journal of Molecular Biology</t>
  </si>
  <si>
    <t>Structural Basis for ASPP2 Recognition by the Tumor Suppressor p73.</t>
  </si>
  <si>
    <t>PMC3601604</t>
  </si>
  <si>
    <t>Journal of Organic Chemistry</t>
  </si>
  <si>
    <t>JOC</t>
  </si>
  <si>
    <t>Regioselective opening of myo-inositol orthoesters: mechanism and synthetic utility.</t>
  </si>
  <si>
    <t>Journal of Steroid Biochemistry and Molecular Biology</t>
  </si>
  <si>
    <t>JSBMB</t>
  </si>
  <si>
    <t>The structural biology of oestrogen metabolism.</t>
  </si>
  <si>
    <t>PMC3083914</t>
  </si>
  <si>
    <t>Journal of Synchrotron Radiation</t>
  </si>
  <si>
    <t>JSR</t>
  </si>
  <si>
    <t>Assessment of radiation damage behaviour in a large collection of empirically optimized datasets highlights the importance of unmeasured complicating effects.</t>
  </si>
  <si>
    <t>PMC3805356</t>
  </si>
  <si>
    <t>JAIDS Journal of Acquired Immune Deficiency Syndromes</t>
  </si>
  <si>
    <t>JAIDSJAIDS</t>
  </si>
  <si>
    <t>Accelerated biological ageing in HIV-infected individuals in South Africa: a case-control study</t>
  </si>
  <si>
    <t>PMC3717731</t>
  </si>
  <si>
    <t>International Journal of Environmental Research and Public Health</t>
  </si>
  <si>
    <t>JEJE</t>
  </si>
  <si>
    <t>Tobacco use and nicotine dependence among conflict-affected men in Georgia.</t>
  </si>
  <si>
    <t>JNLC</t>
  </si>
  <si>
    <t>Biochemical and immunological characterisation of Toxoplasma gondii macrophage migration inhibitory factor</t>
  </si>
  <si>
    <t>Distinct roles in autophagy and importance in infectivity of the two ATG4 cysteine peptidases of Leishmania major</t>
  </si>
  <si>
    <t>PMC3268392</t>
  </si>
  <si>
    <t>Photoaffinity labelling of high affinity nicotinic acid adenine dinucleotide 2'-phosphate (NAADP) proteins in sea urchin egg</t>
  </si>
  <si>
    <t>Journal of the International Neuropsychological Society</t>
  </si>
  <si>
    <t>JINS</t>
  </si>
  <si>
    <t>Effects of Maternal Worm Infections and Anthelminthic Treatment during Pregnancy on Infant Motor and Neurocognitive Functioning</t>
  </si>
  <si>
    <t>PMC3697654</t>
  </si>
  <si>
    <t>Evaluation of Xpert MTB/RIF for the detection of TB from blood of HIV2-infected adults confirms MTB-bacteremia as indicator of poor prognosis</t>
  </si>
  <si>
    <t>PMC3391134</t>
  </si>
  <si>
    <t>JOUC</t>
  </si>
  <si>
    <t>Defining the requirements for collagenase cleavage in collagen type III using a bacterial collagen system.</t>
  </si>
  <si>
    <t>Journal of Clinical Endocrinology and Metabolism</t>
  </si>
  <si>
    <t>JCE</t>
  </si>
  <si>
    <t>Corticotropin releasing hormone interacts with Interleukin;-1 to Regulate Prostaglandin H Synthase- 2 Expression in Human Myometrium During Pregnancy and Labor</t>
  </si>
  <si>
    <t>PMC3357114</t>
  </si>
  <si>
    <t>Journal of Abnormal Psychology</t>
  </si>
  <si>
    <t>JAP</t>
  </si>
  <si>
    <t>Lightening the Load: Perceptual Load Impairs Visual Detection in Typical Adults but not in Autism</t>
  </si>
  <si>
    <t>JAIDS</t>
  </si>
  <si>
    <t>A novel community health worker tool outperforms WHO clinical staging for assessment of antiretroviral therapy eligibility in a resource-limited setting</t>
  </si>
  <si>
    <t>Reduction in early mortality on antiretroviral therapy for adults in rural Southe Africa since change in CD4+ cell count eligibility criteria</t>
  </si>
  <si>
    <t>PMC3343258</t>
  </si>
  <si>
    <t>Journal of Affective Disorders</t>
  </si>
  <si>
    <t>JAD</t>
  </si>
  <si>
    <t>Predictors of maternal psychological distress in rural India: A cross-sectional community-based study</t>
  </si>
  <si>
    <t>PMC3161178</t>
  </si>
  <si>
    <t>The effects of postnatal maternal depression and anxiety on the processing of baby faces</t>
  </si>
  <si>
    <t>PMC3161179</t>
  </si>
  <si>
    <t>Healthcare costs of paternal depression in the postnatal period</t>
  </si>
  <si>
    <t>PMC3781323</t>
  </si>
  <si>
    <t>Prevalence and correlates of depression among HIV- infected and -affected older people in rural South Africa</t>
  </si>
  <si>
    <t>PMC3707567</t>
  </si>
  <si>
    <t>Journal of Aids</t>
  </si>
  <si>
    <t>Risk factors for seropositivity to Kaposi sarcoma-associated herpesvirus among children in Uganda</t>
  </si>
  <si>
    <t>PMC3613096</t>
  </si>
  <si>
    <t>Journal of Allergy</t>
  </si>
  <si>
    <t>JOUALLERGY</t>
  </si>
  <si>
    <t>Airway smooth muscle hypercontractility in asthma</t>
  </si>
  <si>
    <t>PMC3526791</t>
  </si>
  <si>
    <t>Journal of Allergy and Clinical Immunology</t>
  </si>
  <si>
    <t>JOURNALOFALLERGYCLINICALIMMUNOLOGY</t>
  </si>
  <si>
    <t>Functional KCa3.1 K+ channels are required for human fibrocyte migration</t>
  </si>
  <si>
    <t>PMC3526795</t>
  </si>
  <si>
    <t>CRACM/ Orai ion channel expression and function in human lung mast cells</t>
  </si>
  <si>
    <t>PMC3629941</t>
  </si>
  <si>
    <t>JACI</t>
  </si>
  <si>
    <t>Inflammation in common variable immunodeficiency is associated with a distinct CD8(+) response to cytomegalovirus</t>
  </si>
  <si>
    <t>Prenatal alcohol exposure and childhood atopic disease: a Mendelian randomization approach</t>
  </si>
  <si>
    <t>Reduced type I interferon production by dendritic cells and weakened antiviral immunity in patients with Wiskott-Aldrich syndrome protein deficiency</t>
  </si>
  <si>
    <t>IOS Press</t>
  </si>
  <si>
    <t>Journal of Alzheimer's Disease</t>
  </si>
  <si>
    <t>The Presenilin 1 P264L mutation presenting as non-fluent/agrammatic primary progressive aphasia</t>
  </si>
  <si>
    <t>Journal of Anthropological Archaeology</t>
  </si>
  <si>
    <t>JAA</t>
  </si>
  <si>
    <t>Food and social complexity at Çayönü Tepesi, southeastern Anatolia: Stable isotope evidence of differentiation in diet according to burial practice and sex in the early Neolithic</t>
  </si>
  <si>
    <t>PMC3797641</t>
  </si>
  <si>
    <t>Journal of Antimicrobial Chemotherapy</t>
  </si>
  <si>
    <t>JAC</t>
  </si>
  <si>
    <t>Flucytosine and cryptococcosis: time to urgently address the worldwide accessibility of a 50-year-old antifungal</t>
  </si>
  <si>
    <t>PMC3594497</t>
  </si>
  <si>
    <t>An analysis of the development and implementation of a Smartphone Application for the delivery of Antimicrobial Prescribing Policy: Lessons Learnt</t>
  </si>
  <si>
    <t>PMC3627410</t>
  </si>
  <si>
    <t>Journal of Applied Crystallography</t>
  </si>
  <si>
    <t>Liesegang-like patterns of Toll crystals grown in gel</t>
  </si>
  <si>
    <t>PMC3798815</t>
  </si>
  <si>
    <t>American Physiological Society</t>
  </si>
  <si>
    <t>Journal of Applied Physiology</t>
  </si>
  <si>
    <t>Development and validation of anthropometric prediction equation for estimation of lean body mass and appendicular lean soft tissue in Indian mean and women.</t>
  </si>
  <si>
    <t>PMC3617599</t>
  </si>
  <si>
    <t>Journal of Archaeological Science</t>
  </si>
  <si>
    <t>JAS</t>
  </si>
  <si>
    <t>Organic geochemical analysis of archaeological medicine pots from Northern Ghana. The multi-functionality of pottery</t>
  </si>
  <si>
    <t>Journal of Autism and Developmental Disorders</t>
  </si>
  <si>
    <t>JADD</t>
  </si>
  <si>
    <t>Factor Structure of Autism Traits in children with ADHD</t>
  </si>
  <si>
    <t>PMC3676640</t>
  </si>
  <si>
    <t>Communication and Social Deficits in Relatives of Individuals with SLI and Relatives of Individuals with ASD</t>
  </si>
  <si>
    <t>PMC3754575</t>
  </si>
  <si>
    <t>Journal of Bacteriology</t>
  </si>
  <si>
    <t>JOUB</t>
  </si>
  <si>
    <t>The agr locus sregulates virulence and colonization genes in clostridium difficile 027</t>
  </si>
  <si>
    <t>PMC3415497</t>
  </si>
  <si>
    <t>The Escherichia coli SMC complex, MukBEF, shapes nucleoid organisation independently DNA replication</t>
  </si>
  <si>
    <t>Journal of Behavior Therapy and Experimental Psychiatry</t>
  </si>
  <si>
    <t>JBTEP</t>
  </si>
  <si>
    <t>Contextualisation in the Revised Dual Representation Theory of PTSD</t>
  </si>
  <si>
    <t>PMC3545201</t>
  </si>
  <si>
    <t>Imagery in the aftermath of viewing a traumatic film: Using cognitive tasks to modulate the development of involuntary memory</t>
  </si>
  <si>
    <t>PMC3566479</t>
  </si>
  <si>
    <t>JBEP</t>
  </si>
  <si>
    <t>Cognitive behavioural treatment of insomnia in patients with persecutory delusions: a pilot trial</t>
  </si>
  <si>
    <t>Journal of Bioenergetics and Biomembranes</t>
  </si>
  <si>
    <t>JBB</t>
  </si>
  <si>
    <t>AMPK modulates glucose-sensing in insulin-secreting cells by altered phosphotransfer to KATP channels</t>
  </si>
  <si>
    <t>PMC3508276</t>
  </si>
  <si>
    <t>Journal of Bioethical Inquiry</t>
  </si>
  <si>
    <t>JBI</t>
  </si>
  <si>
    <t>Textual Practices in the Craft of Bioethics Cases</t>
  </si>
  <si>
    <t>Defining the molecular basis for the first potent and selective orthosteric agonists of the FFA2 free fatty acid receptor</t>
  </si>
  <si>
    <t>Annexin-1 interaction with FPR2/ALX</t>
  </si>
  <si>
    <t>PMC3576085</t>
  </si>
  <si>
    <t>Understanding how noncatalytic carbohydrate binding modules can display specificity for xyloglucan</t>
  </si>
  <si>
    <t>PMC3561570</t>
  </si>
  <si>
    <t>Molecular architecture and functional analysis of NetB, a pore-forming toxin from Clostridium perfringens</t>
  </si>
  <si>
    <t>PMC3481303</t>
  </si>
  <si>
    <t>The sigma-1 receptor binds to the Nav1.5 voltage gated Na+ channel with four-fold symmetry</t>
  </si>
  <si>
    <t>PMC3789947</t>
  </si>
  <si>
    <t>Mechanism for Recognition of an Unusual Mycobacterial Glycolipid</t>
  </si>
  <si>
    <t>PMC3642348</t>
  </si>
  <si>
    <t>Human and viral golgi anti-apoptotic protein (GAAP) oligomerize via different mechanisms and monomeric GAAP inhibits apoptosis and modulates calcium</t>
  </si>
  <si>
    <t>PMC3493908</t>
  </si>
  <si>
    <t>Dynamic exchange of myosin VI on endocytic structures</t>
  </si>
  <si>
    <t>PMC3531748</t>
  </si>
  <si>
    <t>Uncoupling proteostasis and development in vitro with a small molecule inhibitor of the pancreatic endoplasmic reticulum kinase, PERK</t>
  </si>
  <si>
    <t>PMC3436574</t>
  </si>
  <si>
    <t>Structural Requirements for Recognition of Major Histocompatibility Complex Class II by Membrane-associated RING-CH (MARCH) Protein E3 Ligases</t>
  </si>
  <si>
    <t>PMC3543027</t>
  </si>
  <si>
    <t>Visualization of structural changes accompanying activation of NMDA receptors using fast-scan AFM imaging</t>
  </si>
  <si>
    <t>PMC3795252</t>
  </si>
  <si>
    <t>SLP-76 sterile alpha motif (SAM) and individual H alpha helix mediates oligomer formation for microclusters and T-cell activation</t>
  </si>
  <si>
    <t>PMC3724652</t>
  </si>
  <si>
    <t>α-Amino-3-hydroxy-5-methyl-4-isoxazole propionic acid (AMPA) and N-methyl-D-aspartate (NMDA) receptors adopt different subunit arrangements.</t>
  </si>
  <si>
    <t>PMC3597794</t>
  </si>
  <si>
    <t>The HsiB1C1 (TssB/TssC) complex of the Pseudomonas aeruginosa type VI secretion system forms a bacteriophage tail sheath-like structure</t>
  </si>
  <si>
    <t>PMC3522294</t>
  </si>
  <si>
    <t>Transcription Factor Positive Regulatory Domain 4 (PRDM4) recruits Protein Arginine Methyltransferase 5 (PRMT5) to mediate histone arginine methylation and control neural stem cell proliferation and differentiation</t>
  </si>
  <si>
    <t>PMC3774408</t>
  </si>
  <si>
    <t>P2X receptor chimeras highlight roles of the amino terminus to partial agonist efficacy, the carboxyl terminus to recovery from desensitization, and independent regulation of channel transitions</t>
  </si>
  <si>
    <t>PMC3610987</t>
  </si>
  <si>
    <t>Caspase inhibitors protect neurons by enabling selective necroptosis of inflamed microglia</t>
  </si>
  <si>
    <t>PMC3610976</t>
  </si>
  <si>
    <t>Estrogen receptor á mediates proliferation of osteoblastic cells stimulated by estrogen and mechanical strain, but their acute down regulation of the Wnt antagonist Sost is mediated by Estrogen Receptor â</t>
  </si>
  <si>
    <t>PMC3696691</t>
  </si>
  <si>
    <t>Zinc-induced self-association of complement C3b and factor H: Implications for inflammation and age-related macular degeneration</t>
  </si>
  <si>
    <t>PMC3585060</t>
  </si>
  <si>
    <t>ca2+ signalling through catsper and ca2+ stores regulate different behaviours in human sperm</t>
  </si>
  <si>
    <t>PMC3137072</t>
  </si>
  <si>
    <t>Characterisation of GAS2-like 3, a new microtubule and actin-binding protein related to spectraplakins</t>
  </si>
  <si>
    <t>PMC3522295</t>
  </si>
  <si>
    <t>Direct and indirect control of MAPK pathway associated components, BRAP/IMP and CRAF, by the deubiquitylating enzyme USP15*</t>
  </si>
  <si>
    <t>PMC3711325</t>
  </si>
  <si>
    <t>Glycoprotein biosynthesis in a eukaryote lacking the membrane protein rft1</t>
  </si>
  <si>
    <t>PMC3531760</t>
  </si>
  <si>
    <t>Contrasting Effects of a-synuclein and y-synuclein on the Phenotype of Cysteine String Protein alpha (CSPa) Null Mutant Mice Suggest Distinct Function of these Proteins in Neuronal Synapses</t>
  </si>
  <si>
    <t>PMC3516716</t>
  </si>
  <si>
    <t>Novel keto-phospholipids are generated by monocytes and macrophages. Detected in Cystic Fibrosis, and activate peroxisome proliferator-activated receptor-? (Manuscript #M405409)</t>
  </si>
  <si>
    <t>PMC3581394</t>
  </si>
  <si>
    <t>Immobilization of Heparan Sulfate on Electrospun Meshes to Support Embryonic Stem Cell Culture and Differentiation</t>
  </si>
  <si>
    <t>PMC3554938</t>
  </si>
  <si>
    <t>Deubiquitinases regulate the activity of caspase-1 and IL-1β secretion via assembly of the inflammasome</t>
  </si>
  <si>
    <t>PMC2757965</t>
  </si>
  <si>
    <t>Mechanisms of activity-dependent plasticity in cellular nitric oxide-cGMP signaling</t>
  </si>
  <si>
    <t>Matrilin-1 A-domains: structural and functional investigations reveal insights into their role in cartilage ecm assembly</t>
  </si>
  <si>
    <t>PMC3234717</t>
  </si>
  <si>
    <t>Methionine Oxidation of Sup35 Protein Induces Formation of the [PSI+] Prion in a Yeast Peroxiredoxin Mutant</t>
  </si>
  <si>
    <t>PMC3173209</t>
  </si>
  <si>
    <t>The T cell receptor triggering apparatus is composed of monovalent or monomeric proteins.</t>
  </si>
  <si>
    <t>PMC3696646</t>
  </si>
  <si>
    <t>Comparative Proteomic Analysis of Supportive and Unsupportive Extracellular Matrix Substrates for Human Embryonic Stem Cell Maintenance.</t>
  </si>
  <si>
    <t>PMC3234811</t>
  </si>
  <si>
    <t>Picomolar nitric oxide signals from central neurons recorded using ultrasensitive detector cells</t>
  </si>
  <si>
    <t>PMC3682544</t>
  </si>
  <si>
    <t>Structural analysis of collagen type I interactions with human fibronectin reveals a cooperative bonding mode</t>
  </si>
  <si>
    <t>PMC3431625</t>
  </si>
  <si>
    <t>Opticin Exerts Its Anti-Angiogenic Activity by Regulating Extracellular Matrix Adhesiveness</t>
  </si>
  <si>
    <t>PMC3488092</t>
  </si>
  <si>
    <t>Solution NMR Structure of the Ca2+- Bound N-Terminal Domain of Calcium Binding Protein 7 (CaBP7): A regulator of Golgi trafficking</t>
  </si>
  <si>
    <t>PMC3591641</t>
  </si>
  <si>
    <t>Expanding the repertoire of amyloiod polymorphs by co-polymerization of related protein precursors</t>
  </si>
  <si>
    <t>PMC3630886</t>
  </si>
  <si>
    <t>The Sec7 Guanine Nucleotide Exchange Factor GBF1 Regulates Membrane Recruitment of BIG1 and BIG2 Guanine Nucleotide Exchange Factors to the Trans-Golgi Network (TGN).</t>
  </si>
  <si>
    <t>PMC3121340</t>
  </si>
  <si>
    <t>Preferential Targeting of a Signal Recognition Particle-dependent Precursor</t>
  </si>
  <si>
    <t>PMC2952269</t>
  </si>
  <si>
    <t>SSS1p is required to complete protein translocon activation</t>
  </si>
  <si>
    <t>PMC3567677</t>
  </si>
  <si>
    <t>Talin 1 has unique expression versus Talin 2 in the heart and modifies the hypertrophic response to pressure overload</t>
  </si>
  <si>
    <t>PMC3774368</t>
  </si>
  <si>
    <t>Functional properties of five Dictyostelium discoideum P2X receptors</t>
  </si>
  <si>
    <t>PMC3630861</t>
  </si>
  <si>
    <t>Cross-species Analysis Reveals Evolving And Conserved Features of the Nuclear Factor kB (NF-kB) Proteins.</t>
  </si>
  <si>
    <t>PMC3668706</t>
  </si>
  <si>
    <t>Highly divergent T cell receptor binding models underlie specific recognition of a bulged viral peptide bound to HLA</t>
  </si>
  <si>
    <t>PMC3488048</t>
  </si>
  <si>
    <t>Biophysical analysis of Kindlin-3 reveals an elongated conformation and maps integrin binding to the membrane-distal ?-subunit NPXY motif.</t>
  </si>
  <si>
    <t>PMC3724654</t>
  </si>
  <si>
    <t>Differential Virulence of Candida glabrata Glycosylation Mutants</t>
  </si>
  <si>
    <t>PMC2797226</t>
  </si>
  <si>
    <t>Nucleotide Binding by Lhs1p Is Essential for Its Nucleotide Exchange Activity and for Function in Vivo</t>
  </si>
  <si>
    <t>PMC3442528</t>
  </si>
  <si>
    <t>Hypoxia-inducible factor-1a (HIF1a) switches on transient receptor potential ankryn repeat 1 (TRPA1) gene expression via a hypoxia response element-like motif to modulate cytokine release</t>
  </si>
  <si>
    <t>PMC2898433</t>
  </si>
  <si>
    <t>Interactions between Kar2p and its nucleotide exchange factors Sil1p and Lhs1p are mechanistically distinct</t>
  </si>
  <si>
    <t>PMC3397837</t>
  </si>
  <si>
    <t>Specific β-containing integrins exert differential control on proliferation and 2D collective cell migration in mammary epithelial cells</t>
  </si>
  <si>
    <t>PMC3750171</t>
  </si>
  <si>
    <t>Hepatitis C virus NS5 inhibits mixed lineage kinase 3 to block apoptosis</t>
  </si>
  <si>
    <t>PMC2975197</t>
  </si>
  <si>
    <t>Cell Cycle-dependent Regulation of the Forkhead Transcription Factor FOXK2 by CDK·Cyclin Complexes</t>
  </si>
  <si>
    <t>PMC3757190</t>
  </si>
  <si>
    <t>Fused in Sarcoma (FUS) Protein Lacking Nuclear Localization Signal (NLS) and Major RNA Binding Motifs Triggers Proteinopathy</t>
  </si>
  <si>
    <t>PMC3576117</t>
  </si>
  <si>
    <t>Critical role for an acidic amino acid region in platelet signalling by the hemITAM (hemi-Immunoreceptor Tyrosine-based Activation Motif) containing receptor CLEC-2 (C-type Lectin receptor-2)</t>
  </si>
  <si>
    <t>PMC3662417</t>
  </si>
  <si>
    <t>Journal of Biological Physics</t>
  </si>
  <si>
    <t>JBP</t>
  </si>
  <si>
    <t>Packaging signals in single-stranded RNA viruses: Nature's alternative to a purely electrostatic assembly mechanism</t>
  </si>
  <si>
    <t>Journal of Biomedical Graphics and Computing</t>
  </si>
  <si>
    <t>JBGC</t>
  </si>
  <si>
    <t>Functional MRI demonstrates pain perception in hand osteoarthritis has features of central pain processing</t>
  </si>
  <si>
    <t>PMC3607410</t>
  </si>
  <si>
    <t>Journal of Bone and Mineral Research</t>
  </si>
  <si>
    <t>JBMR</t>
  </si>
  <si>
    <t>Regulation of human bone marrow stromal cell proliferation and differentiation</t>
  </si>
  <si>
    <t>PMC3746124</t>
  </si>
  <si>
    <t>Journal of Cell Physiology</t>
  </si>
  <si>
    <t>JCP</t>
  </si>
  <si>
    <t>The dynamics of PKC-induced phosphorylation triggered by Ca2+ oscillations in mouse eggs</t>
  </si>
  <si>
    <t>PMC3828593</t>
  </si>
  <si>
    <t>A new kind of membrane-tethered eukaryotic transcription factor that shares an auto-proteolytic processing mechanism with bacteriophage tail-spike proteins</t>
  </si>
  <si>
    <t>PMC3533396</t>
  </si>
  <si>
    <t>PKA isoforms coordinate mRNA fate during nutrient starvation</t>
  </si>
  <si>
    <t>PMC3613178</t>
  </si>
  <si>
    <t>Positional editing of transmembrane domains during ion channel assembly</t>
  </si>
  <si>
    <t>PMC3613179</t>
  </si>
  <si>
    <t>Get3 is a holdase chaperone and moves to deposition sites for aggregated proteins when membrane targeting is blocked</t>
  </si>
  <si>
    <t>PMC3757329</t>
  </si>
  <si>
    <t>The antagonistic modulation of Arp2/3 activity by N-WASP/WAVE2 and PICK1 defines dynamic changes in astrocyte morphology</t>
  </si>
  <si>
    <t>Expression of OA1 limits the fusion of a subset of MVBs with lysosomes; a mechanism likely involved in the initial biogenesis of melanosomes</t>
  </si>
  <si>
    <t>Cell wall stress induces alternative fungal cytokinesis and septation strategies</t>
  </si>
  <si>
    <t>PMC3672941</t>
  </si>
  <si>
    <t>A short bifunctional element operates to positively or negatively regulate ESAG9 expression in different developmental forms of Trypanosoma brucei</t>
  </si>
  <si>
    <t>Journal of Cellular Biochemistry</t>
  </si>
  <si>
    <t>JCB</t>
  </si>
  <si>
    <t>The U5 snRNA internal loop 1 is a platform for Brr2, Snu114 and Prp8 protein binding during U5 snRNP assembly</t>
  </si>
  <si>
    <t>PMC3790930</t>
  </si>
  <si>
    <t>Journal of Cerebral Blood Flow and Metabolism</t>
  </si>
  <si>
    <t>JCBFM</t>
  </si>
  <si>
    <t>The effects of focal epileptic activity on regional sensory-evoked neurovascular coupling and post-ictal modulation of bilateral sensory processing</t>
  </si>
  <si>
    <t>PMC3597375</t>
  </si>
  <si>
    <t>Is myelin a mitochondrion?</t>
  </si>
  <si>
    <t>PMC3739413</t>
  </si>
  <si>
    <t>Journal of Chemical Information and Modeling</t>
  </si>
  <si>
    <t>JCIM</t>
  </si>
  <si>
    <t>Locating Sweet Spots for Screening Hits and Evaluating Pan-Assay Interference Filters from the Performance Analysis of Two Lead-like Libraries</t>
  </si>
  <si>
    <t>PMC3505738</t>
  </si>
  <si>
    <t>Journal of Cheminformatics</t>
  </si>
  <si>
    <t>USRCAT: Ultrafast Shape Recognition with pharmacophoric constraints</t>
  </si>
  <si>
    <t>PMC3796855</t>
  </si>
  <si>
    <t>Journal of Child Psychology and Psychiatry</t>
  </si>
  <si>
    <t>JCPP</t>
  </si>
  <si>
    <t>Parental depressive and anxiety symptoms during pregnancy and attention problems in children. A cross-cohort consistency study</t>
  </si>
  <si>
    <t>PMC3593170</t>
  </si>
  <si>
    <t>Research Review: Emanuel Miller Memorial Lecture 2012 - Neuroscientific studies of intervention for language impairment in children: interpretive and methodological problems</t>
  </si>
  <si>
    <t>PMC3562487</t>
  </si>
  <si>
    <t>Brain structure abnormalities in adolescent girls with Conduct Disorder</t>
  </si>
  <si>
    <t>PMC3708033</t>
  </si>
  <si>
    <t>Structural pituitary abnormalities associated with CHARGE syndrome</t>
  </si>
  <si>
    <t>PMC3589712</t>
  </si>
  <si>
    <t>Cenveo Publisher Services</t>
  </si>
  <si>
    <t>JCEM</t>
  </si>
  <si>
    <t>Analysis of Body Composition in Individuals With High Bone Mass Reveals a Marked Increase in Fat Mass in Women But Not Men</t>
  </si>
  <si>
    <t>PMC3612801</t>
  </si>
  <si>
    <t>Variations in PROKR2, but not PROK2, are associated with hypopituitarism and septo-optic dysplasia</t>
  </si>
  <si>
    <t>PMC3462937</t>
  </si>
  <si>
    <t>A Cross-Sectional Study of the Relationship between Cortical Bone and High-Impact Activity in Young Adult Males and Females</t>
  </si>
  <si>
    <t>PMC3752522</t>
  </si>
  <si>
    <t>Distinct relationships of intramuscular and subcutaneous fat with cortical bone: findings from a cross-sectional study of young adult males and females</t>
  </si>
  <si>
    <t>PMC3651585</t>
  </si>
  <si>
    <t>Genotype and phenotype correlation</t>
  </si>
  <si>
    <t>PMC3784648</t>
  </si>
  <si>
    <t>Metformin inhibits FSH action in human granulosa cells: relevance to polycystic ovary syndrome</t>
  </si>
  <si>
    <t>PMC3813945</t>
  </si>
  <si>
    <t>How changes in affinity of corticosteroid-binding globulin modulate free cortisol concentration</t>
  </si>
  <si>
    <t>PMC3708032</t>
  </si>
  <si>
    <t>Prenatal diagnosis of congenital adrenal hyperplasia caused by p450</t>
  </si>
  <si>
    <t>Journal of Clinical Epidemiology</t>
  </si>
  <si>
    <t>Systematic Reveiw of the Hawthorn effect: New concepts are ....</t>
  </si>
  <si>
    <t>PMC3697714</t>
  </si>
  <si>
    <t>Development and evaluation of a next-generation digital PCR diagnostic assay for ocular chlamydia trachomatis infections.</t>
  </si>
  <si>
    <t>PMC3697669</t>
  </si>
  <si>
    <t>Molecular Analysis of an Outbreak of Lethal Postpartum Sepsis Caused by Streptococcus pyogenes [Lethal Streptococcus pyogenes post-partum sepsis: Molecular analysis of an outbreak]</t>
  </si>
  <si>
    <t>PMC3756517</t>
  </si>
  <si>
    <t>Journal of Clinical Pathology</t>
  </si>
  <si>
    <t>Development of a robust protocol for gene expression analysis using formalin-fixed, paraffin-embedded liver transplant biopsy specimens</t>
  </si>
  <si>
    <t>PMC3793856</t>
  </si>
  <si>
    <t>Journal of Clinical Virology</t>
  </si>
  <si>
    <t>JCV</t>
  </si>
  <si>
    <t>Ecological and taxonomic variations among human RNA viruses</t>
  </si>
  <si>
    <t>PMC3077429</t>
  </si>
  <si>
    <t>MIT Press</t>
  </si>
  <si>
    <t>Journal of Cognitive Neuroscience</t>
  </si>
  <si>
    <t>JCN</t>
  </si>
  <si>
    <t>Executive-semantic processing is underpinned by a large-scale network: Revealing the contribution of left prefrontal, posterior temporal and parietal cortex to controlled retrieval and selection using TMS</t>
  </si>
  <si>
    <t>Journal of Comparative Neurology</t>
  </si>
  <si>
    <t>Axon diversity of lamina I local-circuit neurons in the lumbar spinal cord</t>
  </si>
  <si>
    <t>PMC3650242</t>
  </si>
  <si>
    <t>Journal of Computational Neuroscience</t>
  </si>
  <si>
    <t>The spatial pattern of light determines the kinetics and modulates backpropagation of optogenetic action potentials</t>
  </si>
  <si>
    <t>PMC3450431</t>
  </si>
  <si>
    <t>Journal of Consulting and Clinical Psychology</t>
  </si>
  <si>
    <t>JCCP</t>
  </si>
  <si>
    <t>A randomized clinical trial of mindfulness-based cognitive therapy versus unrestricted services for health anxiety (hypochondriasis).</t>
  </si>
  <si>
    <t>PMC3729250</t>
  </si>
  <si>
    <t>Journal of Cultural Economy</t>
  </si>
  <si>
    <t>Transport to where? Reflections on the problem of value and time .</t>
  </si>
  <si>
    <t>PMC3851688</t>
  </si>
  <si>
    <t>Journal of Cystic Fibrosis</t>
  </si>
  <si>
    <t>JONA</t>
  </si>
  <si>
    <t>Extensive diversification is a common feature of Pseudomonas aeruginosa populations during respiratory infections in cystic fibrosis</t>
  </si>
  <si>
    <t>PMC3429856</t>
  </si>
  <si>
    <t>Journal of Depression and Anxiety</t>
  </si>
  <si>
    <t>JDA</t>
  </si>
  <si>
    <t>Clinical Predictors of Familial Depression in Han Chinese Women</t>
  </si>
  <si>
    <t>PMC3429859</t>
  </si>
  <si>
    <t>A Comparison of Melancholic and Non-Melancholic Recurrent Major Depression in Han Chinese Women</t>
  </si>
  <si>
    <t>PMC3535885</t>
  </si>
  <si>
    <t>Journal of Endocrinology</t>
  </si>
  <si>
    <t>JOUE</t>
  </si>
  <si>
    <t>Stress-dependent and gender-specific neuroregulatory roles of the apelin receptor in the hypothalamic-pituitary-adrenal axis response to acute stress</t>
  </si>
  <si>
    <t>PMC3596772</t>
  </si>
  <si>
    <t>Journal of Epidemiology and Community Health</t>
  </si>
  <si>
    <t>JECH</t>
  </si>
  <si>
    <t>Trajectories of Socioeconomic Inequalities in health, behaviours and academic achievement across childhood and adolescence</t>
  </si>
  <si>
    <t>Socioeconomic inequalities in all-cause mortality in the Czech Republic, Russia, Poland and Lithuania in the 2000s: findings from the HAPIEE study</t>
  </si>
  <si>
    <t>PMC3756433</t>
  </si>
  <si>
    <t>Economic determinants of diet in older adults: systematic review</t>
  </si>
  <si>
    <t>Journal of Evaluation in Clinical Practice</t>
  </si>
  <si>
    <t>JECP</t>
  </si>
  <si>
    <t>Evaluating care pathways for community psychiatry in England: a qualitative study</t>
  </si>
  <si>
    <t>PMC3708113</t>
  </si>
  <si>
    <t>Mental Disorders are not Brain Disorders</t>
  </si>
  <si>
    <t>PMC3798115</t>
  </si>
  <si>
    <t>Journal of Evolutionary Biology</t>
  </si>
  <si>
    <t>JEB</t>
  </si>
  <si>
    <t>Fecundity compensation and tolerance to a sterilizing pathogen in Daphnia.</t>
  </si>
  <si>
    <t>PMC3836354</t>
  </si>
  <si>
    <t>Journal of Experimental Nanoscience</t>
  </si>
  <si>
    <t>JEN</t>
  </si>
  <si>
    <t>Application of Nanotechnology to Control Bacterial Adhesion and Patterning on Material Surfaces</t>
  </si>
  <si>
    <t>Journal of Experimental Psychology: Animal Behaviour Process</t>
  </si>
  <si>
    <t>JEPABP</t>
  </si>
  <si>
    <t>Asymmetry in the Discrimination of Length During Spatial Learning</t>
  </si>
  <si>
    <t>PMC3607463</t>
  </si>
  <si>
    <t>Journal of Experimental Psychology: Human Perception and Performance</t>
  </si>
  <si>
    <t>JEPHPP</t>
  </si>
  <si>
    <t>Collective enumeration</t>
  </si>
  <si>
    <t>PMC3725889</t>
  </si>
  <si>
    <t>Dissociable Roles of Different Types of Working Memory Load in Visual Detection</t>
  </si>
  <si>
    <t>PMC3576129</t>
  </si>
  <si>
    <t>Journal of Family Psychology</t>
  </si>
  <si>
    <t>JFP</t>
  </si>
  <si>
    <t>The nature of nuture: Disentangling passive geneotype-environment correlation from family relationship influences on children's externalising problems</t>
  </si>
  <si>
    <t>PMC3749055</t>
  </si>
  <si>
    <t>Society for General Microbiology</t>
  </si>
  <si>
    <t>Journal of General Virology</t>
  </si>
  <si>
    <t>JGV</t>
  </si>
  <si>
    <t>Vaccinia virus protein N2 is a nuclear IRF3 inhibitor that promotes virulence</t>
  </si>
  <si>
    <t>PMC3541790</t>
  </si>
  <si>
    <t>Vaccinia virus protein C4 inhibits NF-kB activation and promotes virus virulence</t>
  </si>
  <si>
    <t>PMC3709586</t>
  </si>
  <si>
    <t>Deletion of immunomodulator C6 from vaccine virus strain western reserve enhances virus immunogenicity and vaccine efficacy</t>
  </si>
  <si>
    <t>PMC3709636</t>
  </si>
  <si>
    <t>An essential RNA element resides in a central region of hepatitis E virus ORF2</t>
  </si>
  <si>
    <t>PMC3709573</t>
  </si>
  <si>
    <t>Protein B5 is required on extracellular enveloped vaccinia virus for repulsion of superinfecting virions</t>
  </si>
  <si>
    <t>PMC3709624</t>
  </si>
  <si>
    <t>Mutations in hemagglutinin that affect receptor binding and pH stability increase replication of a PR8 influenza virus with H5 HA in the upper respiratory tract of ferrets and may contribute to transmissibility</t>
  </si>
  <si>
    <t>PMC3709587</t>
  </si>
  <si>
    <t>The C terminus of NS5A domain II is a key determinant of hepatitis C virus genome replication, but is not required for virion assembly and release</t>
  </si>
  <si>
    <t>G8 rotaviruses with conserved genotype constellations detected in Malawi over 10 years 1 (1997-2007) display frequent gene reassortment among strains co-circulating in humans</t>
  </si>
  <si>
    <t>PMC3542733</t>
  </si>
  <si>
    <t>The small genome segment of Bunyamwera orthobunyavirus harbours a single transcription-termination signal</t>
  </si>
  <si>
    <t>PMC3709688</t>
  </si>
  <si>
    <t>Establishment of a reverse genetics system for Schmallenberg virus, a newly emerged orthobunyavirus in Europe</t>
  </si>
  <si>
    <t>PMC3347798</t>
  </si>
  <si>
    <t>The natural history of early hepatitis C virus evolution; lessons from a global outbreak in human immunodeficiency virus-1-infected individuals</t>
  </si>
  <si>
    <t>PMC3403862</t>
  </si>
  <si>
    <t>Journal of Gerontology Series A: Medical Sciences</t>
  </si>
  <si>
    <t>JGSAMS</t>
  </si>
  <si>
    <t>The association of dementia with upper arm and waist circumference in seven low and middle-income countries: the 10/66 cross-sectional surveys</t>
  </si>
  <si>
    <t>PMC3625113</t>
  </si>
  <si>
    <t>Journal of Hepatology</t>
  </si>
  <si>
    <t>JOUH</t>
  </si>
  <si>
    <t>Gamma H2AX+CD8+ T-lymphocytes cannot respond to Interferon-alpha, Il-2 or Il-6 in chronic hepatitis C virus infection</t>
  </si>
  <si>
    <t>PMC3710969</t>
  </si>
  <si>
    <t>Pathogenesis of FOLFOX induced sinisoidal obstruction syndrome in murine chemotherapy model</t>
  </si>
  <si>
    <t>PMC3524560</t>
  </si>
  <si>
    <t>Journal of Histochemistry and Cytochemistry</t>
  </si>
  <si>
    <t>JHC</t>
  </si>
  <si>
    <t>Hyaluronan and hyaluronan-binding proteins are normal components of mouse pancreatic islets and are differentially expressed by islet endocrine cell types</t>
  </si>
  <si>
    <t>Journal of Historical Geography</t>
  </si>
  <si>
    <t>JHG</t>
  </si>
  <si>
    <t>The making of urban ‘healtheries’: Lord Brabazon and the transformation of cemeteries and burial grounds in late-Victorian East London</t>
  </si>
  <si>
    <t>PMC3580288</t>
  </si>
  <si>
    <t>Journal of Hospital Infections</t>
  </si>
  <si>
    <t>JHI</t>
  </si>
  <si>
    <t>Evaluation of surveillance for surgical site infections in Thika Hospital, Kenya</t>
  </si>
  <si>
    <t>PMC3586974</t>
  </si>
  <si>
    <t>American Association of Immunologists</t>
  </si>
  <si>
    <t>JOUI</t>
  </si>
  <si>
    <t>Sialoadhesin ligand expression identifies a subset of CD4+Foxp3- T cells with a distinct activation and glycosylation profile.</t>
  </si>
  <si>
    <t>PMC3607399</t>
  </si>
  <si>
    <t>Regulation of Foxp3+ Inducible Regulatory T Cell Stability by SOCS2</t>
  </si>
  <si>
    <t>PMC3619528</t>
  </si>
  <si>
    <t>Candida albicans primes the Toll-like receptor cytokine responses through a dectin-1/Ref-1-mediated pathway</t>
  </si>
  <si>
    <t>PMC3540259</t>
  </si>
  <si>
    <t>Journal of Infection</t>
  </si>
  <si>
    <t>The prevalence of cryptococcal antigenemia in newly diagnosed HIV patients in a Southwest London cohort</t>
  </si>
  <si>
    <t>PMC3654748</t>
  </si>
  <si>
    <t>The Phenotype of the Cryptococcus-specific CD4 Memory T-cell Response is Associated with Disease Severity and Outcome in HIV-associated Cryptococcal Meningitis</t>
  </si>
  <si>
    <t>Viral suppression following switch to second-line antiretroviral therapy: associations with NRTI resistance and 'sub-therapeutic' drug concentrations prior to switch</t>
  </si>
  <si>
    <t>Cryptococcus neoformans ex vivo capsule size is associated with intracranial pressure and host immune response in HIV−associated cryptococcal meningitis</t>
  </si>
  <si>
    <t>PMC3274377</t>
  </si>
  <si>
    <t>Therapeutic vaccination with recombinant adenovirus reduces splenic parasite burden in experimental visceral leishmaniasis</t>
  </si>
  <si>
    <t>Persistent endothelial activation after Plasmodium falciparum infection in Malawian children.</t>
  </si>
  <si>
    <t>PMC3749005</t>
  </si>
  <si>
    <t>T-cell immunophenotyping distinguishes active from latent tuberculosis</t>
  </si>
  <si>
    <t>PMC3583273</t>
  </si>
  <si>
    <t>The role of interleukin−10 family of cytokines in HIV−tuberculosis associated immune reconstitution inflammatory syndrome</t>
  </si>
  <si>
    <t>PMC3109261</t>
  </si>
  <si>
    <t>Journal of Inherited Metabolic</t>
  </si>
  <si>
    <t>JIM</t>
  </si>
  <si>
    <t>Structural basis of fumarate hydratase deficiency</t>
  </si>
  <si>
    <t>PMC3505369</t>
  </si>
  <si>
    <t>Journal of Internal Medicine</t>
  </si>
  <si>
    <t>Acute infection and venous thromboembolism</t>
  </si>
  <si>
    <t>PMC3678977</t>
  </si>
  <si>
    <t>Journal of Investigative Dermatology</t>
  </si>
  <si>
    <t>Multiple Congenital Melanocytic Naevi and Neurocutaneous Melanosis are Caused by Post-Zygotic Mutations in Codon 61 of NRAS.</t>
  </si>
  <si>
    <t>Heterozygous mutations in AAGAB cause type 1 punctate palmoplantar keratoderma with evidence for increased growth factor signalling</t>
  </si>
  <si>
    <t>Keratin 9 is Required for the Structural Integrity and Terminal Differentiation of Palmoplantar Epidermis</t>
  </si>
  <si>
    <t>PMC3778837</t>
  </si>
  <si>
    <t>The IL23R A/Gln381 allele promotes IL-23 unresponsiveness in human memory T helper17 cells and impairs Th17 responses in psoriasis patients</t>
  </si>
  <si>
    <t>PMC3685014</t>
  </si>
  <si>
    <t>Journal of Leukocyte Biology</t>
  </si>
  <si>
    <t>JLB</t>
  </si>
  <si>
    <t>Autofluoresence-based sorting: rapid and non-perturbing isolation of ultra-pure neutrophils to determine cytokine production</t>
  </si>
  <si>
    <t>Society for Leukocyte Biology</t>
  </si>
  <si>
    <t>Kidney transplantation: analysis of the expression and T cell-mediated activation of latent TGF-B</t>
  </si>
  <si>
    <t>PMC3513931</t>
  </si>
  <si>
    <t>The dectin-1/inflammasome pathway is responsible for the induction of protective T-helper 17 responses that discriminate between yeasts and hyphae of Candida albicans</t>
  </si>
  <si>
    <t>PMC3466423</t>
  </si>
  <si>
    <t>Mechanisms of Ageing and Development</t>
  </si>
  <si>
    <t>JMAD</t>
  </si>
  <si>
    <t>Frequency distribution analysis of activation times and regional fibrosis in murine Scn5a+/- hearts: the effects of ageing and sex</t>
  </si>
  <si>
    <t>Journal of Medical Ethics</t>
  </si>
  <si>
    <t>JME</t>
  </si>
  <si>
    <t>Elective ventilation for organ donation: law, policy and public ethics</t>
  </si>
  <si>
    <t>PMC3812898</t>
  </si>
  <si>
    <t>Moral responsibility for (un)healthy behaviour</t>
  </si>
  <si>
    <t>Journal of Medical Genetics</t>
  </si>
  <si>
    <t>JMG</t>
  </si>
  <si>
    <t>Combined exome and whole-genome sequencing identifies mutations in ARMC4 as a cause of primary ciliary dyskinesia with defects in the outer dynein arm</t>
  </si>
  <si>
    <t>PMC3756527</t>
  </si>
  <si>
    <t>Can the diagnosis of NF1 be excluded clinically? A lack of Pigmentary findings in families with spinal neurofibromatosis demonstrates a limitation of clinical diagnosis</t>
  </si>
  <si>
    <t>Journal of Medical Virology</t>
  </si>
  <si>
    <t>JMV</t>
  </si>
  <si>
    <t>High level of HIV-2 false positivity in KwaZulu-Natal province: A region of South Africa with a very high HIV-1 subtype C prevalence</t>
  </si>
  <si>
    <t>PMC3798117</t>
  </si>
  <si>
    <t>The Kinetics of the Neutralizing antibody response to respiratory syncytial infections in a birth cohort</t>
  </si>
  <si>
    <t>PMC3579457</t>
  </si>
  <si>
    <t>Comparative Structural and Functional Studies of 4-(Thiazol-5-yl)-2-(phenylamino) pyrimidine-5-carbonitrile CDK9 inhibitors suggest the basis for Isotype Slectivity</t>
  </si>
  <si>
    <t>PMC3530961</t>
  </si>
  <si>
    <t>Synthesis and evaluation of α-thymidine analogues as novel antimalarials.</t>
  </si>
  <si>
    <t>PMC3624797</t>
  </si>
  <si>
    <t>Discovery and structure-activity relationships of pyrrolone antimalarials.</t>
  </si>
  <si>
    <t>PMC3694353</t>
  </si>
  <si>
    <t>Synthesis and in vitro and in vivo characterization of highly β1-selective β-adrenoceptor partial agonists.</t>
  </si>
  <si>
    <t>Toward biophysical probes for the 5-HT3 receptor: structure-activity relationship study of granisetron derivatives</t>
  </si>
  <si>
    <t>PMC3504484</t>
  </si>
  <si>
    <t>Design, synthesis and structure-activity relationships of highly potent 5-HT3 receptor ligands</t>
  </si>
  <si>
    <t>PMC3579312</t>
  </si>
  <si>
    <t>A class of 5-nitro-2-furancarboxylamides with potent trypanocidal activity against Trypanosoma brucei in vitro</t>
  </si>
  <si>
    <t>PMC3709824</t>
  </si>
  <si>
    <t>Journal of Microbiology</t>
  </si>
  <si>
    <t>JOUM</t>
  </si>
  <si>
    <t>Disruption of the serine/threonine protein kinase H affects phthiocerol dimycocerosates synthesis in Mycobacterium tuberculosis</t>
  </si>
  <si>
    <t>PMC3838626</t>
  </si>
  <si>
    <t>Journal of Microscopy</t>
  </si>
  <si>
    <t>Regulation of contact inhibition of locomotion by Eph-ephrin signalling</t>
  </si>
  <si>
    <t>PMC3437440</t>
  </si>
  <si>
    <t>JMB</t>
  </si>
  <si>
    <t>Selective Deactivation of Serum IgG: A General Strategy for the Enhancement of Monoclonal Antibody Receptor Interactions</t>
  </si>
  <si>
    <t>PMC3593212</t>
  </si>
  <si>
    <t>Sequence-specific, RNA-protein interactions overcome electrostatic barriers preventing assembly of Satellite Tobacco Necrosis Virus coat protein</t>
  </si>
  <si>
    <t>PMC3605589</t>
  </si>
  <si>
    <t>A “mechanistic” explanation of the multiple helical forms adopted by bacterial flagellar filaments</t>
  </si>
  <si>
    <t>Structural basis of substrate binding in WsaF</t>
  </si>
  <si>
    <t>PMC3672996</t>
  </si>
  <si>
    <t>Journal of Molecular Endocrinology</t>
  </si>
  <si>
    <t>Stable conditional expression and effect of C/EBPβ-LIP in adipocytes using the pSLIK system</t>
  </si>
  <si>
    <t>PMC3535724</t>
  </si>
  <si>
    <t>A SULT2A1 genetic variant identified by GWAS as associated with low serum</t>
  </si>
  <si>
    <t>PMC3695676</t>
  </si>
  <si>
    <t>Journal of Molecular Medicine</t>
  </si>
  <si>
    <t>JMM</t>
  </si>
  <si>
    <t>Functional expression of Rab escort protein 1 following AAV2-mediated gene delivery in the retina of choroideremia mice and human cells ex vivo</t>
  </si>
  <si>
    <t>Journal of Molecular Neuroscience</t>
  </si>
  <si>
    <t>JMN</t>
  </si>
  <si>
    <t>Pramipexole Reduces Phosphorylation of Alpha-synuclein at Serine 129</t>
  </si>
  <si>
    <t>PMC3664183</t>
  </si>
  <si>
    <t>Journal of Neural Transmission</t>
  </si>
  <si>
    <t>JNT</t>
  </si>
  <si>
    <t>Cellular Localization and Trafficking of Vascular Adhesion Protein-1 as Revealed by an N-terminal GFP Fusion Protein</t>
  </si>
  <si>
    <t>PMC3644170</t>
  </si>
  <si>
    <t>Journal of Neurochemistry</t>
  </si>
  <si>
    <t>JOUN</t>
  </si>
  <si>
    <t>A nicotinic acetylcholine receptor transmembrane point mutation...</t>
  </si>
  <si>
    <t>PMC3557719</t>
  </si>
  <si>
    <t>Pituitary adenylate cyclase-activating peptide induces long-lasting neuroprotection through the induction of activity-dependent signaling via the cyclic AMP response element-binding protein-regulated transcription co-activator 1</t>
  </si>
  <si>
    <t>PMC3557716</t>
  </si>
  <si>
    <t>SMRT-mediated co-shuttling enables export of class IIa HDACs independent of their CaM kinase phosphorylation sites</t>
  </si>
  <si>
    <t>PMC3532615</t>
  </si>
  <si>
    <t>Mass spectrometry analysis of human P2X1 receptors: insight into phosphorylation, modelling and conformational changes</t>
  </si>
  <si>
    <t>PMC3664422</t>
  </si>
  <si>
    <t>Quality control parameters on a large dataset of control, regionally dissected human brains for whole genome expression</t>
  </si>
  <si>
    <t>PMC3488597</t>
  </si>
  <si>
    <t>Journal of Neuroendocrinology</t>
  </si>
  <si>
    <t>Changes in the brain accumulation of glucocorticoids in abcb1a-deficient CF-1 mice.</t>
  </si>
  <si>
    <t>PMC3520704</t>
  </si>
  <si>
    <t>Journal of Neuroinflammation</t>
  </si>
  <si>
    <t>TLR-4 ligation of dendritic cells is sufficient to drive pathogenic T cell function in experimental autoimmune encephalomyelitis</t>
  </si>
  <si>
    <t>Journal of Neurology</t>
  </si>
  <si>
    <t>Exome sequencing expands the mutational spectrum of SPG8 in a family with spasticity responsive to L-DOPA treatment</t>
  </si>
  <si>
    <t>PMC3642358</t>
  </si>
  <si>
    <t>How often does music and rhythm improve patients' perception of motor symptoms in Parkinson's disease</t>
  </si>
  <si>
    <t>Discrete gait characterisitcs are associated with m.3243A&gt;G and m.8344A&gt;G variants of mitochondrial disease and its pathological consequences</t>
  </si>
  <si>
    <t>PMC3691478</t>
  </si>
  <si>
    <t>Copper deficiency myeopathy</t>
  </si>
  <si>
    <t>JSciMed Central</t>
  </si>
  <si>
    <t>Journal of Neurology and Translational Neuroscience</t>
  </si>
  <si>
    <t>JNTN</t>
  </si>
  <si>
    <t>Parkinson's Disease: The Catabolic Theory</t>
  </si>
  <si>
    <t>Journal of Neurology, Neurosurgery and Psychiatry</t>
  </si>
  <si>
    <t>JNNP</t>
  </si>
  <si>
    <t>A clinical and family history study of Parkinson's disease in heterozygous glucocerebrosidase mutation carriers</t>
  </si>
  <si>
    <t>PMC3646288</t>
  </si>
  <si>
    <t>The Val158Met COMT polymorphism is a modifier of the age at onset in Parkinson's disease with a sexual dimorphism</t>
  </si>
  <si>
    <t>PMC3623030</t>
  </si>
  <si>
    <t>Olfactory impairment in posterior cortical atrophy</t>
  </si>
  <si>
    <t>PMC3646287</t>
  </si>
  <si>
    <t>The long-term safety and efficacy of bilateral transplantation of human fetal striatal tissue in patients with mild to moderate Huntingdon’s disease</t>
  </si>
  <si>
    <t>PMC3623037</t>
  </si>
  <si>
    <t>The Addenbrooke's cognitive examination for the differential diagnosis and longitudinal assessment of patients with Parkinsonian disorders</t>
  </si>
  <si>
    <t>PMC3534254</t>
  </si>
  <si>
    <t>Flavour identification in frontotemporal lobar degeneration</t>
  </si>
  <si>
    <t>PMC3574980</t>
  </si>
  <si>
    <t>Journal of Neurophysiology</t>
  </si>
  <si>
    <t>Reliable evaluation of the quantal determinants of synaptic efficacy using Bayesian analysis</t>
  </si>
  <si>
    <t>PMC3680818</t>
  </si>
  <si>
    <t>Responses of single corticospinal neurons to intracortical stimulation of primary motor and premotor cortex in the anesthetized macaque monkey" (JN-01080-2012R1)</t>
  </si>
  <si>
    <t>PMC3602834</t>
  </si>
  <si>
    <t>Interaction of temporal and ordinal representations in movement sequences</t>
  </si>
  <si>
    <t>PMC3234094</t>
  </si>
  <si>
    <t>Endogenous modulation of low frequency oscillations by temporal expectations</t>
  </si>
  <si>
    <t>PMC3653044</t>
  </si>
  <si>
    <t>The effect of contextual cues on the encoding of motor memories</t>
  </si>
  <si>
    <t>PMC3544867</t>
  </si>
  <si>
    <t>Intra and interhemispheric connectivity between face-selective regions in the human brain</t>
  </si>
  <si>
    <t>PMC3664272</t>
  </si>
  <si>
    <t>Journal of Neuroscience</t>
  </si>
  <si>
    <t>Triple cysteine module within M-type K+ channels mediates reciprocal channel modulation by nitric oxide and reactive oxygen species</t>
  </si>
  <si>
    <t>Society for Neuroscience</t>
  </si>
  <si>
    <t>Effect of limb lengthening on internodal length and conduction velocity of peripheral nerve</t>
  </si>
  <si>
    <t>PMC3601669</t>
  </si>
  <si>
    <t>GABA(B) receptors regulate extrasynaptic GABA(A) receptors</t>
  </si>
  <si>
    <t>PMC3676539</t>
  </si>
  <si>
    <t>Otoferlin couples to clathrin-mediated endocytosis in mature cochlear inner hair cells</t>
  </si>
  <si>
    <t>PMC3593678</t>
  </si>
  <si>
    <t>Serotonin modulates striatal responses to fairness and retaliation in humans</t>
  </si>
  <si>
    <t>alpha2delta-1 gene deletion affects somatosensory neuron function and delays mechanical hypersensitivity in response to peripheral nerve damage</t>
  </si>
  <si>
    <t>PMC3724995</t>
  </si>
  <si>
    <t>The temporal evolution of feedback gains rapidly update to task demands</t>
  </si>
  <si>
    <t>Spinal Commissural Connections to Motorneurons controlling the primate hand and wrist</t>
  </si>
  <si>
    <t>PMC3655688</t>
  </si>
  <si>
    <t>Depletion of perineuronal nets enhances recognition memory and long-term depression in the perirhinal cortex</t>
  </si>
  <si>
    <t>A distinct contribution of short wavelength sensitive cones to light evoked activity in the mouse pretectal olivary nucleus (PON)</t>
  </si>
  <si>
    <t>PMC3586675</t>
  </si>
  <si>
    <t>Segregated encoding of reward-identity and stimulus-reward associations in human orbitofrontal cortex</t>
  </si>
  <si>
    <t>Auditory artificial grammar learing in macaque and marmoset monkeys</t>
  </si>
  <si>
    <t>PMC3196626</t>
  </si>
  <si>
    <t>Calcineurin mediates activity-dependent relocation of the axon initial segment</t>
  </si>
  <si>
    <t>PMC3759848</t>
  </si>
  <si>
    <t>Journal of Neuroscience Methods</t>
  </si>
  <si>
    <t>JNM</t>
  </si>
  <si>
    <t>A Comparison of Automated Anatomical-Behavioural Mapping Methods in a Rodent Model of Stroke</t>
  </si>
  <si>
    <t>PMC3683149</t>
  </si>
  <si>
    <t>Registration of Challenging Pre-clinical Brain Images</t>
  </si>
  <si>
    <t>PMC3738233</t>
  </si>
  <si>
    <t>Journal of Nutrition</t>
  </si>
  <si>
    <t>Genetic variants influencing biomarkers of nutrition are not associated with cognitive capability in middle-aged and older adults</t>
  </si>
  <si>
    <t>PMC3383891</t>
  </si>
  <si>
    <t>Journal of Nutrition Education and Behaviour</t>
  </si>
  <si>
    <t>JNEB</t>
  </si>
  <si>
    <t>Examining multiple parenting behaviours on young children’s dietary fat consumption</t>
  </si>
  <si>
    <t>PMC3736148</t>
  </si>
  <si>
    <t>Journal of Orthopedic Research</t>
  </si>
  <si>
    <t>JOR</t>
  </si>
  <si>
    <t>Hip abduction can prevent posterior edge loading of hip replacements</t>
  </si>
  <si>
    <t>Journal of Paediatric Urology</t>
  </si>
  <si>
    <t>JU</t>
  </si>
  <si>
    <t>Persistent unexplained congenital clitoromegaly in females born extremely premature</t>
  </si>
  <si>
    <t>Journal of Parasitology Research</t>
  </si>
  <si>
    <t>JPR</t>
  </si>
  <si>
    <t>Mast Cell subsets and their functional modulation by the Acanthocheilonema vitae product, ES-62 J Parasitol Res. 2013;2013:961268. doi: 10.1155/2013/961268. Epub 2013 Feb 7.</t>
  </si>
  <si>
    <t>PMC3588155</t>
  </si>
  <si>
    <t>Journal of Pathology</t>
  </si>
  <si>
    <t>JOUP</t>
  </si>
  <si>
    <t>Use of multivariate analysis to suggest a new molecular classification of colorectal cancer.</t>
  </si>
  <si>
    <t>LRIG1 regulates cadherin-dependent contact inhibition directing epithelial homeostasis and pre-invasive squamous cell carcinoma development</t>
  </si>
  <si>
    <t>PMC3609073</t>
  </si>
  <si>
    <t>The peritoneal microenvironment of hig-grade serous ovarian cancer</t>
  </si>
  <si>
    <t>PMC3472478</t>
  </si>
  <si>
    <t>Journal of Physiology</t>
  </si>
  <si>
    <t>Bimodal collagen fibril diameter distributions direct age-related variations in tendon resilience and resistance to rupture</t>
  </si>
  <si>
    <t>Plasticity of spatial hearing: behavioural effects of cortical inactivation</t>
  </si>
  <si>
    <t>PMC3591715</t>
  </si>
  <si>
    <t>Suppressed cellular oscillations in after-hours mutant mice are associated with enhanced circadian phase-resetting</t>
  </si>
  <si>
    <t>PMC3764640</t>
  </si>
  <si>
    <t>Nitric oxide dependent LTD but not endocannabinoid LTP is crucial for visual recognition memory</t>
  </si>
  <si>
    <t>PMC3678035</t>
  </si>
  <si>
    <t>A functional role for both GABA transporter-1 and GABA transporter-3 in the modulation of extracellular GABA and GABAergic tonic conductances in the rat hippocampus</t>
  </si>
  <si>
    <t>Redefining the component of cenral CO2 chemosensitivity</t>
  </si>
  <si>
    <t>PMC3779110</t>
  </si>
  <si>
    <t>Action potential wavelength restitution predicts alternans and arrhythmia in murine Scn5a+/- hearts</t>
  </si>
  <si>
    <t>PMC3764630</t>
  </si>
  <si>
    <t>Burst activity and ultrafast activation kinetics of CaV1.3 Ca2+ channels support presynaptic activity in adult gerbil hair cell ribbon synapses</t>
  </si>
  <si>
    <t>Policy Press</t>
  </si>
  <si>
    <t>Journal of Poverty and Social Justice</t>
  </si>
  <si>
    <t>JPSJ</t>
  </si>
  <si>
    <t>Subjective wellbeing: a primer for poverty analysts</t>
  </si>
  <si>
    <t>PMC3709265</t>
  </si>
  <si>
    <t>Journal of Proteome Research</t>
  </si>
  <si>
    <t>Mapping Proteolytic Processing in the Secretome of Gastric Cancer-Associated Myofibroblasts Reveals Activation of MMP-1, MMP-2, and MMP‑3</t>
  </si>
  <si>
    <t>PMC3411196</t>
  </si>
  <si>
    <t>Proteomic analysis of extracellular matrix from the hepatic stellate cell line LX-2 identifies CYR61 and Wnt-5a as novel constituents of fibrotic liver</t>
  </si>
  <si>
    <t>PMC3714598</t>
  </si>
  <si>
    <t>Journal of Proteomics</t>
  </si>
  <si>
    <t>Cleaning up the masses: Exclusion lists to reduce contamination with HPLC-MS/MS.</t>
  </si>
  <si>
    <t>PMC3714596</t>
  </si>
  <si>
    <t>Quantitative cross-linking/mass spectrometry using isotope-labelled cross-linkers.</t>
  </si>
  <si>
    <t>Journal of Psychopharmacology</t>
  </si>
  <si>
    <t>NK1 (TACR1) receptor gene 'knockout' mouse phenotype predicts genetic association with ADHD</t>
  </si>
  <si>
    <t>Journal of Public Health</t>
  </si>
  <si>
    <t>JPH</t>
  </si>
  <si>
    <t>Examining inequalities in the uptake of the school-based HPV vaccination programme in England: a retrospective cohort study</t>
  </si>
  <si>
    <t>PMC3786528</t>
  </si>
  <si>
    <t>Journal of Sleep Research</t>
  </si>
  <si>
    <t>Sleep patterns in children with ADHD: a population-based cohort study from birth to 11 years</t>
  </si>
  <si>
    <t>PMC3708104</t>
  </si>
  <si>
    <t>Journal of Small Animal Practice</t>
  </si>
  <si>
    <t>JSAP</t>
  </si>
  <si>
    <t>Prevalence, outcome and risk factors for post-operative pyothorax in 232 dogs undergoing thoracic surgery</t>
  </si>
  <si>
    <t>PMC3477320</t>
  </si>
  <si>
    <t>Journal of Structural Biology</t>
  </si>
  <si>
    <t>JSB</t>
  </si>
  <si>
    <t>From SPINE to SPINE-2 complexes and beyond</t>
  </si>
  <si>
    <t>PMC3137789</t>
  </si>
  <si>
    <t>Cells under siege: Viral glycoprotein interactions at the cell surface</t>
  </si>
  <si>
    <t>PMC3477310</t>
  </si>
  <si>
    <t>How vaccinia virus has evolved to subvert the host immune response</t>
  </si>
  <si>
    <t>PMC3477309</t>
  </si>
  <si>
    <t>Automation of large scale transient protein expression in mammalian cells</t>
  </si>
  <si>
    <t>PMC3477311</t>
  </si>
  <si>
    <t>Recording information on protein complexes in an information management system</t>
  </si>
  <si>
    <t>PMC3477317</t>
  </si>
  <si>
    <t>xtalPiMS: A PiMS-based web application for the management and monitoring of crystallization trials</t>
  </si>
  <si>
    <t>PMC3355306</t>
  </si>
  <si>
    <t>Cryo-electron tomography and 3-D analysis of the intact flagellum in trypanosoma brucei</t>
  </si>
  <si>
    <t>PMC3698441</t>
  </si>
  <si>
    <t>A method to achieve homogeneous dispersion of large transmembrane complexes within the holes of carbon films for electron cryomicroscopy</t>
  </si>
  <si>
    <t>PMC3728563</t>
  </si>
  <si>
    <t>Journal of the American Academy of Child and Adolescent Psychiatry</t>
  </si>
  <si>
    <t>JAACAP</t>
  </si>
  <si>
    <t>Irritable Mood as a Symptom of Depression in Youth: Prevalence, Developmental, and Clinical Correlates in the Great Smoky Mountains Study</t>
  </si>
  <si>
    <t>PMC3593610</t>
  </si>
  <si>
    <t>Journal of the American Chemical Society</t>
  </si>
  <si>
    <t>JACS</t>
  </si>
  <si>
    <t>Chemical and structural analysis of an antibody folding intermediate trapped during glycan biosynthesis</t>
  </si>
  <si>
    <t>PMC3677086</t>
  </si>
  <si>
    <t>Journal of the American College of Cardiology</t>
  </si>
  <si>
    <t>JACC</t>
  </si>
  <si>
    <t>The Relationship Between Metabolic Risk Factors and Incident Cardiovascular Disease in Europeans, South Asians, and African Caribbeans</t>
  </si>
  <si>
    <t>PMC3586169</t>
  </si>
  <si>
    <t>Journal of the American Society for Mass Spectrometry</t>
  </si>
  <si>
    <t>JTASMS</t>
  </si>
  <si>
    <t>Probing the complementarity of FAIMS and strong cation exchange chromatography in shotgun proteomics</t>
  </si>
  <si>
    <t>PMC3214239</t>
  </si>
  <si>
    <t>Journal of the Association for Research in Otolaryngology</t>
  </si>
  <si>
    <t>JARO</t>
  </si>
  <si>
    <t>The Frequency Following Response (FFR) May Reflect Pitch-Bearing Information But is Not a Direct Representation of Pitch</t>
  </si>
  <si>
    <t>PMC3580885</t>
  </si>
  <si>
    <t>Journal of the History of the Behavioral Sciences</t>
  </si>
  <si>
    <t>JHBS</t>
  </si>
  <si>
    <t>Normalizing the supernormal: The formation of the “Gesellschaft für Psychologische Forschung” (“Society for Psychological Research”), c. 1886-1890</t>
  </si>
  <si>
    <t>Journal of the International African Institute</t>
  </si>
  <si>
    <t>JIAI</t>
  </si>
  <si>
    <t>Stuck in ruins, or up and coming?</t>
  </si>
  <si>
    <t>Pharmacy, money and public health in Dakar.</t>
  </si>
  <si>
    <t>Tarmacking in the mellinum city: spatial and temporal tralectories of empowerment in Kenya.</t>
  </si>
  <si>
    <t>PMC3503237</t>
  </si>
  <si>
    <t>Coaction</t>
  </si>
  <si>
    <t>Journal of the International AIDS Society</t>
  </si>
  <si>
    <t>JIAIDSS</t>
  </si>
  <si>
    <t>Quantifying losses from the care pathway for people living with infection in sub-Saharan Africa.</t>
  </si>
  <si>
    <t>PMC3535694</t>
  </si>
  <si>
    <t>International AIDS Society</t>
  </si>
  <si>
    <t>Barriers and facilitators to linkage to ART in primary care: a qualitiative study of patients and providers in Blantyre, Malawi</t>
  </si>
  <si>
    <t>PMC3564972</t>
  </si>
  <si>
    <t>Childrens role in the community response to HIV in Zimbabwe</t>
  </si>
  <si>
    <t>PMC3736456</t>
  </si>
  <si>
    <t>Open Access Reg Ltd</t>
  </si>
  <si>
    <t>Sexual risk after HIV diagnosis: a comparison of pre-ART individuals with CD4_500 cells/ml and ART-eligible individuals in a HIV treatment and care programme in rural KwaZulu-Natal, South Africa</t>
  </si>
  <si>
    <t>PMC3352832</t>
  </si>
  <si>
    <t>Journal of the National Cancer Institute</t>
  </si>
  <si>
    <t>JNCI</t>
  </si>
  <si>
    <t>Association between genetic variants on chromosome 15q25 locus and objective measures of tobacco exposure</t>
  </si>
  <si>
    <t>PMC3536641</t>
  </si>
  <si>
    <t>Effect of SMURF2 Targeting on Susceptibility to MEK Inhibitors in Melanoma</t>
  </si>
  <si>
    <t>PMC3560033</t>
  </si>
  <si>
    <t>Journal of the Neurological Sciences</t>
  </si>
  <si>
    <t>JNS</t>
  </si>
  <si>
    <t>The m.3291T&gt;C mt-tRNA mutation is definitely pathogenic and causes multisystem mitochondrial disease</t>
  </si>
  <si>
    <t>PMC3627078</t>
  </si>
  <si>
    <t>JRSI</t>
  </si>
  <si>
    <t>Function-valued traits in evolution</t>
  </si>
  <si>
    <t>PMC3730703</t>
  </si>
  <si>
    <t>Cell-type-specific modelling of intracellular calcium signalling: a urothelial cell model</t>
  </si>
  <si>
    <t>PMC3565701</t>
  </si>
  <si>
    <t>A gene regulatory motif that generates oscillatory or multiway switch outputs</t>
  </si>
  <si>
    <t>Life as we know it</t>
  </si>
  <si>
    <t>Computational modelling of the piglet brain to simulate near-infrared spectroscopy and magnetic resonance spectroscopy data collected during oxygen deprivation</t>
  </si>
  <si>
    <t>The structure of latherin, a surfactant allergen protein from horse sweat and saliva</t>
  </si>
  <si>
    <t>PMC3767061</t>
  </si>
  <si>
    <t>Journal of the Royal Society of Medicine Short Reports</t>
  </si>
  <si>
    <t>JRSMSR</t>
  </si>
  <si>
    <t>Evidence and ideology as a rationale for light-therapy in Russia: from the Soviet Union to the present day.</t>
  </si>
  <si>
    <t>PMC3641420</t>
  </si>
  <si>
    <t>Juvenile Huntington's disease: A population-based study using the general practice research database.</t>
  </si>
  <si>
    <t>PMC3565725</t>
  </si>
  <si>
    <t>Generating super-shedders: co-infection increases bacterial load and egg production of a gastrointestinal helminth.</t>
  </si>
  <si>
    <t>PMC3813975</t>
  </si>
  <si>
    <t>Journal of the Royal Statistical Society: Series C (Applied Statistics)</t>
  </si>
  <si>
    <t>JRSSSCAS</t>
  </si>
  <si>
    <t>A coupled hidden Markov model for disease interactions</t>
  </si>
  <si>
    <t>Journal of Transport Geography</t>
  </si>
  <si>
    <t>JTG</t>
  </si>
  <si>
    <t>The factors influencing car use in a cycle-friendly city: the case of Cambridge</t>
  </si>
  <si>
    <t>Journal of Viral Hepatitis</t>
  </si>
  <si>
    <t>JVH</t>
  </si>
  <si>
    <t>Canine hepacivirus is not associated with chronic liver disease in dogs</t>
  </si>
  <si>
    <t>PMC3754066</t>
  </si>
  <si>
    <t>Journal of Virology</t>
  </si>
  <si>
    <t>Acute CD8 Tcell response tat select for escape variants are needed to control live attenuted SIV</t>
  </si>
  <si>
    <t>PMC3470038</t>
  </si>
  <si>
    <t>Journal of Virological Methods</t>
  </si>
  <si>
    <t>JVM</t>
  </si>
  <si>
    <t>A plate-based high-throughput assay for virus stability and vaccine formulation.</t>
  </si>
  <si>
    <t>JOUV</t>
  </si>
  <si>
    <t>The human adenovirus type 5 L4 promoter is activated by cellular stress response protein p53</t>
  </si>
  <si>
    <t>PMC3554137</t>
  </si>
  <si>
    <t>Novel, potentially zoonotic paramyxoviruses from the African straw-coloured fruit bat (Eidolon helvum)</t>
  </si>
  <si>
    <t>PMC3648151</t>
  </si>
  <si>
    <t>Structures of the Compact Helical Core Domains of Feline Calicivirus and Murine Norovirus VPg Proteins</t>
  </si>
  <si>
    <t>PMC3457148</t>
  </si>
  <si>
    <t>Structure, function and evolution of the Crimean-C ongo hemorrhagic fever virus nucleocapsid protein</t>
  </si>
  <si>
    <t>PMC3624379</t>
  </si>
  <si>
    <t>Genetic variability and the classification of hepatitis E virus</t>
  </si>
  <si>
    <t>PMC3571495</t>
  </si>
  <si>
    <t>Estimating the Rate of Intersubtype Recombination in Early HIV-1 Group M Strains</t>
  </si>
  <si>
    <t>PMC3807398</t>
  </si>
  <si>
    <t>Herpes simplex virus 1 targets the murine olfactory neuroepithelium for host entry</t>
  </si>
  <si>
    <t>PMC3807390</t>
  </si>
  <si>
    <t>Glycoprotein B cleavage is important for murid herpesvirus 4 to infect myeloid cells</t>
  </si>
  <si>
    <t>PMC3554100</t>
  </si>
  <si>
    <t>Unstable Polymerase-Nucleoprotein Interaction Is Not Responsible for Avian Influenza Virus Polymerase Restriction in Human Cells</t>
  </si>
  <si>
    <t>PMC3826327</t>
  </si>
  <si>
    <t>Association for Research in Vision and Ophthalmology</t>
  </si>
  <si>
    <t>Journal of Vision</t>
  </si>
  <si>
    <t>Does optic flow parsing depend on prior estimation of heading?</t>
  </si>
  <si>
    <t>PMC3641668</t>
  </si>
  <si>
    <t>Journal of Visualized Experiments</t>
  </si>
  <si>
    <t>JVE</t>
  </si>
  <si>
    <t>An Injury Paradigm to Investigate Central Nervous System Repair in Drosophila</t>
  </si>
  <si>
    <t>Use of Galleria mellonella as a model organism to study Legionella pneumophila infection</t>
  </si>
  <si>
    <t>Mouse hindbrain ex vivo culture to study facial branchiomotor neuron migration.</t>
  </si>
  <si>
    <t>A flow adhesion assay to study leucocyte recruitment to human hepatic sinusoidal endothelium under conditions of shear stress</t>
  </si>
  <si>
    <t>PMC3640431</t>
  </si>
  <si>
    <t>Chicken Embryo Spinal Cord Slice Culture Protocol</t>
  </si>
  <si>
    <t>A decellularization methodology for the production of a natural acellular intestinal matrix</t>
  </si>
  <si>
    <t>JV</t>
  </si>
  <si>
    <t>FILM - to be filmed in November</t>
  </si>
  <si>
    <t>PMC3675710</t>
  </si>
  <si>
    <t>Kidney International</t>
  </si>
  <si>
    <t>KIDI</t>
  </si>
  <si>
    <t>Leukocyte and serum S100A8/S100A9 expression reflects disease activity in ANCA-associated vasculitis and glomerulophritis</t>
  </si>
  <si>
    <t>PMC3674403</t>
  </si>
  <si>
    <t>Albuminuria: too much testosterone, too few nephrons</t>
  </si>
  <si>
    <t>Lancet</t>
  </si>
  <si>
    <t>LAET</t>
  </si>
  <si>
    <t>Global trends in antiretroviral resistance in treatment-naive individuals with HIV after rollout of antiretroviral treatment in resource-limited settings: a global collaborative study and meta-regression analysis</t>
  </si>
  <si>
    <t>PMC3507620</t>
  </si>
  <si>
    <t>Managing Severe infection in infancy in resource poor settings</t>
  </si>
  <si>
    <t>Lancet Global Health</t>
  </si>
  <si>
    <t>LANH</t>
  </si>
  <si>
    <t>Stroke risk factors within an incident population in urban and rural Tanzania: A prospective, community based case control study</t>
  </si>
  <si>
    <t>PMC3771416</t>
  </si>
  <si>
    <t>Lancet Infectious Diseases</t>
  </si>
  <si>
    <t>LAND</t>
  </si>
  <si>
    <t>Efficacy of RTS,S malaria vaccines: individual-participant pooled analysis of phase 2 data.</t>
  </si>
  <si>
    <t>PMC3617601</t>
  </si>
  <si>
    <t>Learning and Individual Differences</t>
  </si>
  <si>
    <t>LID</t>
  </si>
  <si>
    <t>Understanding the science-learning environment: a genetically sensitive approach</t>
  </si>
  <si>
    <t>PMC3533127</t>
  </si>
  <si>
    <t>Learning and Memory</t>
  </si>
  <si>
    <t>LEAM</t>
  </si>
  <si>
    <t>The medial dorsal thalamic nucleus and the medial prefrontal cortex of the rat function together to support associative recognition and recency but not item recognition</t>
  </si>
  <si>
    <t>PMC3687256</t>
  </si>
  <si>
    <t>Schema-driven facilitation of new hierarchy learning in the transitive inference paradigm</t>
  </si>
  <si>
    <t>PMC3505832</t>
  </si>
  <si>
    <t>Leukemia</t>
  </si>
  <si>
    <t>LEEM</t>
  </si>
  <si>
    <t>Quantification of subclonal distributions of recurrent genomic aberrations in paired pre-treatment and relapse samples from patients with B-cell chronic lymphocytic leukemia.</t>
  </si>
  <si>
    <t>PMC3677138</t>
  </si>
  <si>
    <t>Bivalent promoter marks and a latent enhancer may prime the leukaemia oncogene LMO1 for ectopic expression in T-cell leukaemia</t>
  </si>
  <si>
    <t>PMC3598237</t>
  </si>
  <si>
    <t>Lipids in Health and Disease</t>
  </si>
  <si>
    <t>LHD</t>
  </si>
  <si>
    <t>Evaluation of seven common lipid associated loci in a large indian sib pair study</t>
  </si>
  <si>
    <t>PMC3792745</t>
  </si>
  <si>
    <t>Magnetic Resonance in Medicine</t>
  </si>
  <si>
    <t>MRM</t>
  </si>
  <si>
    <t>Retrospective correction of physiological noise in DTI using an extended tensor model and peripheral measurements</t>
  </si>
  <si>
    <t>Orthogonalizing crusher and diffusion-encoding gradients to suppress undesired echo pathways in the twice-refocused spin echo diffusion sequence</t>
  </si>
  <si>
    <t>PMC3655824</t>
  </si>
  <si>
    <t>Malaria Journal</t>
  </si>
  <si>
    <t>MALJ</t>
  </si>
  <si>
    <t>Artemisinin resistance in rodent malaria - mutation in the AP2 adaptor u-chain suggest involvment of endocytos is and membrane protein trafficking</t>
  </si>
  <si>
    <t>PMC3639825</t>
  </si>
  <si>
    <t>Urbanization and the global malaria recession</t>
  </si>
  <si>
    <t>PMC3444429</t>
  </si>
  <si>
    <t>Funding for Malaria control 2006-2010: A comprehensive global assessment</t>
  </si>
  <si>
    <t>PMC3468404</t>
  </si>
  <si>
    <t>Sub-optimal delivery of intermittent preventive treatment for malaria in pregnancy in Nigeria: influence of provider factors.</t>
  </si>
  <si>
    <t>PMC3691584</t>
  </si>
  <si>
    <t>Tools for mass screening of G6PD deficiency: validation of the WSTB/1-methoxy-PMS enzymatic assay in Uganda.</t>
  </si>
  <si>
    <t>PMC3605132</t>
  </si>
  <si>
    <t>Measurement of Plasmodium falciparum transmission intensity using serological cohort data from Indonesian schoolchildren</t>
  </si>
  <si>
    <t>PMC3502539</t>
  </si>
  <si>
    <t>Rationale for short course primaquine in Africa to interrupt malaria transmission</t>
  </si>
  <si>
    <t>PMC3662599</t>
  </si>
  <si>
    <t>PubMed Central</t>
  </si>
  <si>
    <t>Providing open access data online to advance malaria research and control</t>
  </si>
  <si>
    <t>PMC3544599</t>
  </si>
  <si>
    <t>Shifts in malaria vector species composition and transmission dynamics along the Kenyan coast over the past 20 years</t>
  </si>
  <si>
    <t>PMC3614520</t>
  </si>
  <si>
    <t>The effect of an anti-malarial subsidy programme on the quality of service provision of artemisinin-based combination therapy in Kenya: a cluster-randomized, controlled trial.</t>
  </si>
  <si>
    <t>PMC3463788</t>
  </si>
  <si>
    <t>Mammalian Genome</t>
  </si>
  <si>
    <t>MAMG</t>
  </si>
  <si>
    <t>Association studies in outbred mice in a new era of full-genome sequencing</t>
  </si>
  <si>
    <t>PMC3440593</t>
  </si>
  <si>
    <t>Maternal and Child Nutrition</t>
  </si>
  <si>
    <t>MARN</t>
  </si>
  <si>
    <t>The Burden and consequences of inherited blood disorders among young children in Western Kenya</t>
  </si>
  <si>
    <t>MCN</t>
  </si>
  <si>
    <t>Diet patterns are associated with demographic factors and nutritional status in South Indian Children</t>
  </si>
  <si>
    <t>PMC3724053</t>
  </si>
  <si>
    <t>Mathematical Biosciences</t>
  </si>
  <si>
    <t>MATB</t>
  </si>
  <si>
    <t>Understanding the transmission dynamics of respiratory syncytial virus using multiple time series and nested models.</t>
  </si>
  <si>
    <t>PMC3611596</t>
  </si>
  <si>
    <t>Matrix Biology</t>
  </si>
  <si>
    <t>An experimental model for studying the biomechanics of embryonic tendon: Evidence that the development of mechanical properties depends on the actinomyosin machinery</t>
  </si>
  <si>
    <t>PMC3611595</t>
  </si>
  <si>
    <t>Synthesis of embryonic tendon-like tissue by human marrow stromal/mesenchymal stem cells requires a three-dimensional environment and transforming growth factor b3</t>
  </si>
  <si>
    <t>The cell biology of suturing tendons</t>
  </si>
  <si>
    <t>Maturitas</t>
  </si>
  <si>
    <t>MARI</t>
  </si>
  <si>
    <t>Age at natural menopause in three Central and Eastern European urban populations: the HAPIEE study</t>
  </si>
  <si>
    <t>PMC3518918</t>
  </si>
  <si>
    <t>mBio</t>
  </si>
  <si>
    <t>MBIM</t>
  </si>
  <si>
    <t>EspZ of enteropathogenic and enterohemorrhagic E. coli regulates type III secretion system protein translocation</t>
  </si>
  <si>
    <t>PMC3520108</t>
  </si>
  <si>
    <t>The Evolutionary Rewiring of Ubiquitination Targets Has Reprogrammed the Regulation of Carbon Assimilation in the Pathogenic Yeast Candida albicans</t>
  </si>
  <si>
    <t>PMC3591657</t>
  </si>
  <si>
    <t>Molecular and Cellular Proteomics</t>
  </si>
  <si>
    <t>MCPMCP</t>
  </si>
  <si>
    <t>Global Subcellular Characterisation of Protein Degradation using Quantitative Proteomics</t>
  </si>
  <si>
    <t>PMC3710972</t>
  </si>
  <si>
    <t>MAD</t>
  </si>
  <si>
    <t>Assessment of candidate ocular biomarkers of ageing in a South African adult population: relationship with chronological age and systemic biomarkers.</t>
  </si>
  <si>
    <t>PMC3818088</t>
  </si>
  <si>
    <t>Ocular parameters of biological ageing in HIV infected individual.</t>
  </si>
  <si>
    <t>Medical Anthropology</t>
  </si>
  <si>
    <t>MEDA</t>
  </si>
  <si>
    <t>Precarious projects conversions of biomedical knowledge in an East African city.</t>
  </si>
  <si>
    <t>Medical History</t>
  </si>
  <si>
    <t>MEDH</t>
  </si>
  <si>
    <t>The Research Council System and The Politics of Medical and Agricultural Research for the British Colonial Empire 1940-1952</t>
  </si>
  <si>
    <t>A Textbook Pattern? Malarai Eradication and Control, Jamaica 1910-1965</t>
  </si>
  <si>
    <t>International health and the limits of its global influence: Bhutan and the worldwide smallpox eradication</t>
  </si>
  <si>
    <t>PMC3483757</t>
  </si>
  <si>
    <t>Mrs Killer and Dr Crook: birth attendants and birth outcomes in early twentieth century Derbyshire</t>
  </si>
  <si>
    <t>PMC3566749</t>
  </si>
  <si>
    <t>'I've Never Found Doctors to be a Difficult Bunch': Doctors, Managers and NHS Reorganisations in Manchester and Salford, 1948-2007</t>
  </si>
  <si>
    <t>Medical Humanities</t>
  </si>
  <si>
    <t>Ideology and Disease Identity: The Politics of Rickets, 1929 - 1982.</t>
  </si>
  <si>
    <t>PMC3818966</t>
  </si>
  <si>
    <t>Medical Law Review</t>
  </si>
  <si>
    <t>MEDR</t>
  </si>
  <si>
    <t>Nudging for health: On Public Policy and Designing Choice Architecture</t>
  </si>
  <si>
    <t>PMC3575118</t>
  </si>
  <si>
    <t>Regulatory or regulating publics? The European Union's regulation of emerging health technologies and citizen participation.</t>
  </si>
  <si>
    <t>PMC3608890</t>
  </si>
  <si>
    <t>Metabolomics</t>
  </si>
  <si>
    <t>MEBO</t>
  </si>
  <si>
    <t>Targeted Metabolomics Metabolomic Profiles Are Strongly Correlated with Nutritional Patterns in Women</t>
  </si>
  <si>
    <t>Methods in Molecular Biology</t>
  </si>
  <si>
    <t>MMB</t>
  </si>
  <si>
    <t>The Amoebozoa.</t>
  </si>
  <si>
    <t>PMC3839404</t>
  </si>
  <si>
    <t>Microbes and Infection</t>
  </si>
  <si>
    <t>MICI</t>
  </si>
  <si>
    <t>Dectin-1 plays a redundant role in the immunomodulatory activities of glucanrrich ligands in vivo</t>
  </si>
  <si>
    <t>PMC3484397</t>
  </si>
  <si>
    <t>The role of cGMP signalling in regulating life cycle progression of plasmodium</t>
  </si>
  <si>
    <t>PMC3836489</t>
  </si>
  <si>
    <t>Microbiology</t>
  </si>
  <si>
    <t>MIOB</t>
  </si>
  <si>
    <t>A synthetic system for expression of components of a bacterial microcompartment.</t>
  </si>
  <si>
    <t>PMC3709561</t>
  </si>
  <si>
    <t>Overexpression of Escherichia coli udk mimics the absence of T7 Gp2 function and thereby abrogates successful infection by T7 phage</t>
  </si>
  <si>
    <t>PMC3541766</t>
  </si>
  <si>
    <t>Substitutions in the Escherichia coli RNA polymerase inhibitor T7 Gp2 that allow inhibition of transcription when the primary interaction interface between Gp2 and RNA polymerase becomes compromised.</t>
  </si>
  <si>
    <t>Molecular Biology</t>
  </si>
  <si>
    <t>MOLB</t>
  </si>
  <si>
    <t>Sirtuins of parasitic protozoa: in search of function(s)</t>
  </si>
  <si>
    <t>Molecular Biology and Evolution</t>
  </si>
  <si>
    <t>MBE</t>
  </si>
  <si>
    <t>The impact of point mutation and gene conversion on the local diversification of antigen genes in African Trypanosomes</t>
  </si>
  <si>
    <t>PMC3495574</t>
  </si>
  <si>
    <t>Molecular Pharmaceutics</t>
  </si>
  <si>
    <t>MOLP</t>
  </si>
  <si>
    <t>Quantitative silencing of EGFP reporter gene by self-assembled siRNA lipoplexes of LinOS and cholesterol.</t>
  </si>
  <si>
    <t>PMC3581773</t>
  </si>
  <si>
    <t>Molecular and Cellular Endocrinology</t>
  </si>
  <si>
    <t>MCE</t>
  </si>
  <si>
    <t>Periconceptional changes in maternal exposure to sewage sludge chemicals disturbs fetal thyroid gland development in sheep</t>
  </si>
  <si>
    <t>PMC3694310</t>
  </si>
  <si>
    <t>Molecular and Biochemical Parasitology</t>
  </si>
  <si>
    <t>MBP</t>
  </si>
  <si>
    <t>Translational repression controls temporal expression of the Plasmodium berghei LCCL protein complex.</t>
  </si>
  <si>
    <t>PMC3473356</t>
  </si>
  <si>
    <t>Conformational co-dependence between plasmodium berghai LCCL proteins promotes complex formation and stability</t>
  </si>
  <si>
    <t>PMC3518124</t>
  </si>
  <si>
    <t>MCP</t>
  </si>
  <si>
    <t>Observing the binding site and dynamics of protein S1 on a bacterial Ribosome with cross-linking and mass spectrometry</t>
  </si>
  <si>
    <t>PMC3634978</t>
  </si>
  <si>
    <t>Molecular and Cellular Biochemistry</t>
  </si>
  <si>
    <t>MCB</t>
  </si>
  <si>
    <t>Folate metabolite profiling of different cell types and embryos suggests variation in folate one-carbon metabolism, including developmental changes in human embryonic brain</t>
  </si>
  <si>
    <t>PMC3624257</t>
  </si>
  <si>
    <t>Molecular and Cellular Biology</t>
  </si>
  <si>
    <t>The mouse cytosine-5 RNA methyltranferase Nsun2 is a component of the chromatoid body and required for testis differentiation</t>
  </si>
  <si>
    <t>PMC3820028</t>
  </si>
  <si>
    <t>Endocrine disorders in mitochondrial disease</t>
  </si>
  <si>
    <t>PMC3566541</t>
  </si>
  <si>
    <t>Ghrelin and cannabinoids require the Ghrelin receptor to affect cellular energy metabolism</t>
  </si>
  <si>
    <t>PMC3650577</t>
  </si>
  <si>
    <t>FGF signalling through Fgfr2 isoform IIIb regulates adrenal cortex development</t>
  </si>
  <si>
    <t>PMC3734580</t>
  </si>
  <si>
    <t>Heterogeneity in neutrophil microparticles reveals distinct proteome and function properties</t>
  </si>
  <si>
    <t>PMC3715698</t>
  </si>
  <si>
    <t>Full-length recmbinant Plasmodium VAR2CSA binds specifically to CSPG and induses potent parasite adhesion-blocking antibodies</t>
  </si>
  <si>
    <t>PMC3739937</t>
  </si>
  <si>
    <t>The unstructured domain of colicin N kills Escherichia coli</t>
  </si>
  <si>
    <t>The impact of mutation and gene conversion on the local diversification of antigen genes in African trypanosomes</t>
  </si>
  <si>
    <t>PMC3494269</t>
  </si>
  <si>
    <t>Evolution of Viral Proteins Originated De Novo by Overprinting</t>
  </si>
  <si>
    <t>PMC3765893</t>
  </si>
  <si>
    <t>Molecular Brain</t>
  </si>
  <si>
    <t>Identification of key structural elements for neuronal calcium sensor-1 function in the regulation of the temperature-dependency of locomotion in C. elegans</t>
  </si>
  <si>
    <t>PMC3723448</t>
  </si>
  <si>
    <t>Weaker control of the electrical properties of cerebellar granule cells by tonically active GABAA receptors in the Ts65Dn mouse model on Down's syndrome</t>
  </si>
  <si>
    <t>Molecular Cell</t>
  </si>
  <si>
    <t>ERdj5 is the ER Reductase that Catalyses the Removal of Non-Native Disulfides and Correct Folding of the LDL-Receptor</t>
  </si>
  <si>
    <t>PMC3473360</t>
  </si>
  <si>
    <t>Endoplasmic reticulum thiol oxidase deficiency leads to ascorbic acid depletion and non-canonical scurvy in mice</t>
  </si>
  <si>
    <t>PMC3594749</t>
  </si>
  <si>
    <t>Bax Exists in a Dynamic Equilibrium between the Cytosol and Mitochondria to Control Apoptotic Priming</t>
  </si>
  <si>
    <t>PMC3679449</t>
  </si>
  <si>
    <t>Kinetochores coordinate pericentromeric cohesion and early DNA replication by Cdc7-Dbf4 kinase recruitment.</t>
  </si>
  <si>
    <t>PMC3594747</t>
  </si>
  <si>
    <t>Identification and Functional Characterization of FMN2, a Regulator of the Cyclin-Dependent Kinase Inhibitor p21</t>
  </si>
  <si>
    <t>PMC3507519</t>
  </si>
  <si>
    <t>Molecular Endocrinology</t>
  </si>
  <si>
    <t>MOLE</t>
  </si>
  <si>
    <t>Oxytocin-Stimulated NFAT Transcriptional Activation in Human Myometrial Cells</t>
  </si>
  <si>
    <t>Minireview: The effects of species ortholog and SNP variation on receptors for free fatty acids.</t>
  </si>
  <si>
    <t>Molecular Genetics and Genomic Medicine</t>
  </si>
  <si>
    <t>MGGM</t>
  </si>
  <si>
    <t>Whole exome sequencing identifies a novel variant in APOB causing accumulation of circulating mutant LDL in a family with autosomal dominant hypercholesterolaemia</t>
  </si>
  <si>
    <t>PMC3682181</t>
  </si>
  <si>
    <t>Molecular Genetics and Metabolism</t>
  </si>
  <si>
    <t>MGM</t>
  </si>
  <si>
    <t>Retinal thinning in Gaucher disease patients and carriers: results of a pilot study</t>
  </si>
  <si>
    <t>Molecular Immunology</t>
  </si>
  <si>
    <t>MOLI</t>
  </si>
  <si>
    <t>Antigen processing and presentation: evolution from a bird's eye view</t>
  </si>
  <si>
    <t>A tale of two tumours: comparison of the immune escape strategies of contagious cancers</t>
  </si>
  <si>
    <t>PMC3625108</t>
  </si>
  <si>
    <t>A novel post-transcriptional role for ubiquitin in the differential regulation of MHC class I allotypes</t>
  </si>
  <si>
    <t>PMC3587388</t>
  </si>
  <si>
    <t>Molecular Membrane Biology</t>
  </si>
  <si>
    <t>Use of molecular modelling to probe the mechanism of the nucleoside transporter NupG</t>
  </si>
  <si>
    <t>Molecular Microbiology</t>
  </si>
  <si>
    <t>MOLM</t>
  </si>
  <si>
    <t>Structure of a Translocation Signal Domain Mediating Conjugative Transfer</t>
  </si>
  <si>
    <t>Morphogenesis of plasmodium zoites is uncoupled from tensile strength.</t>
  </si>
  <si>
    <t>Mannosylation in Candida albicans: role in cell wall function and immune recognition.</t>
  </si>
  <si>
    <t>PMC3828870</t>
  </si>
  <si>
    <t>The evidence that transport of iron from the lysosome to the cytosol in African trypanosomes is mediated by a mucolipin orthologue.</t>
  </si>
  <si>
    <t>Trypanosoma brucei (UMP synthase null mutants) are avirulent in mice, but recover virulence upon prolonged culture in vitro while retaining pyrimidine auxotrophy.</t>
  </si>
  <si>
    <t>Genetic and structural validation of Aspergillus fumigatus UDP-N-acetylglucosamine pyrophosphorylase as an antifungal target.</t>
  </si>
  <si>
    <t>A mechanical signal transmitted by the flagellum controls signalling in Bacillus subtilis</t>
  </si>
  <si>
    <t>PMC3575693</t>
  </si>
  <si>
    <t>Shigella IpaD has a Dual Role: Signal Transduction from the T3SS Needle Tip and Intracellular Secretion Regulation</t>
  </si>
  <si>
    <t>PMC3545919</t>
  </si>
  <si>
    <t>Molecular Pain</t>
  </si>
  <si>
    <t>Galanin-expression and galanin-dependent sensory neurons are not required for itch</t>
  </si>
  <si>
    <t>PMC3650584</t>
  </si>
  <si>
    <t>Molecular Phylogenetics and Evolution</t>
  </si>
  <si>
    <t>MPE</t>
  </si>
  <si>
    <t>Adaptin evolution in kinetoplastids and emergence of the variant surface glycoprotein coat in African trypanosomatids</t>
  </si>
  <si>
    <t>PMC3739940</t>
  </si>
  <si>
    <t>Movement Disorders</t>
  </si>
  <si>
    <t>MOVD</t>
  </si>
  <si>
    <t>Somatic alpha-synuclein mutations in Parkinson's disease: hypothesis and preliminary data</t>
  </si>
  <si>
    <t>PMC3660780</t>
  </si>
  <si>
    <t>Is transcranial sonography useful to distinguish SWEDDs patients from Parkinson`s disease?</t>
  </si>
  <si>
    <t>PMC3664414</t>
  </si>
  <si>
    <t>Identical Twins with Leucine Rich Repeat Kinase type 2 Mutations Discordant for Parkinsons Disease</t>
  </si>
  <si>
    <t>PMC3672686</t>
  </si>
  <si>
    <t>Ability to cycle despite severe freezing of gait in atypical parkinsonism in Fahr's syndrome</t>
  </si>
  <si>
    <t>PMC3664415</t>
  </si>
  <si>
    <t>Sensory tricks in primary cervical dystonia depend on visuo-tactile temporal discrimination</t>
  </si>
  <si>
    <t>PMC3664409</t>
  </si>
  <si>
    <t>Limb amputations in fixed dystonia: a form of body integrity identity disorder</t>
  </si>
  <si>
    <t>PMC3664426</t>
  </si>
  <si>
    <t>Dystonia with brain manganese accumulation due to SLC30A10 mutations: a new treatable disorder</t>
  </si>
  <si>
    <t>PMC3664430</t>
  </si>
  <si>
    <t>THAP1 mutations and dystonia phenotypes: a metanalysis and genotype phenotypecorrelations</t>
  </si>
  <si>
    <t>PMC3664413</t>
  </si>
  <si>
    <t>Moving towards ?laboratory-supported? criteria for psychogenic tremor.</t>
  </si>
  <si>
    <t>PMC3633239</t>
  </si>
  <si>
    <t>Psychogenic facial movement disorders: Clinical features and associated conditions</t>
  </si>
  <si>
    <t>PMC3748791</t>
  </si>
  <si>
    <t>Primary progressive aphasia with parkinsonism</t>
  </si>
  <si>
    <t>Botulinum toxin injections reduce associative plasticity in patients with primary dystonia</t>
  </si>
  <si>
    <t>Hyposmia and cognitive impairment in Gaucher disease patients and carriers</t>
  </si>
  <si>
    <t>PMC3739929</t>
  </si>
  <si>
    <t>Parkin disease and the Lewy body conundrum</t>
  </si>
  <si>
    <t>Genotype and Phenotype in Parkinson's disease- lessons in heterogeneity from Deep Brain Stimulation</t>
  </si>
  <si>
    <t>PMC3574974</t>
  </si>
  <si>
    <t>Mucosal Immunology</t>
  </si>
  <si>
    <t>MUCI</t>
  </si>
  <si>
    <t>CTLA-4 promotes Foxp3 induction and regulatory T cell accumulation in the intestinal lamina propria</t>
  </si>
  <si>
    <t>PMC3806405</t>
  </si>
  <si>
    <t>γδ T cells suppress inflammation and disease during rhinovirus-induced asthma exacerbations</t>
  </si>
  <si>
    <t>PMC3684776</t>
  </si>
  <si>
    <t>Impaired innate interferon induction in severe therapy resistant atopic</t>
  </si>
  <si>
    <t>PMC3610641</t>
  </si>
  <si>
    <t>Endogenous IL-21 regulates pathogenic mucosal CD4 T-cell responses during enhanced RSV disease in mice</t>
  </si>
  <si>
    <t>Muscle and Nerve</t>
  </si>
  <si>
    <t>MUSN</t>
  </si>
  <si>
    <t>Heterogeneity of quadriceps muscle phenotype in chronic obstructive pulmonary disease (COPD); implications for stratified medicine?</t>
  </si>
  <si>
    <t>PMC3383991</t>
  </si>
  <si>
    <t>New Biotechnology</t>
  </si>
  <si>
    <t>NBB</t>
  </si>
  <si>
    <t>Expressing the human proteome for affinity proteomics: optimising expression of soluble protein domains and in vivo biotinylation.</t>
  </si>
  <si>
    <t>Fungal Disease in Britain and the United States 1850-2000</t>
  </si>
  <si>
    <t>Review: very high cost (above 5422)</t>
  </si>
  <si>
    <t>IOP Publishing</t>
  </si>
  <si>
    <t>Nanotechnology</t>
  </si>
  <si>
    <t>NATE</t>
  </si>
  <si>
    <t>Directed surface attachment of nanomaterials via coiled-coil-friven self-assembly</t>
  </si>
  <si>
    <t>Fabrication and characterization of gold nano-wires templated on virus-like arrays of tobacco mosaic coat proteins</t>
  </si>
  <si>
    <t>PMC3529057</t>
  </si>
  <si>
    <t>National Academy of Sciences</t>
  </si>
  <si>
    <t>NAS</t>
  </si>
  <si>
    <t>Morphing between expressions dissociates continuous from categorical representations of facial expression in the human brain</t>
  </si>
  <si>
    <t>PMC3528594</t>
  </si>
  <si>
    <t>Direct three-dimensional visualization of membrane disruption by amyloid fibrils</t>
  </si>
  <si>
    <t>PMC3538203</t>
  </si>
  <si>
    <t>Directionally selected P450 alleles are driving the spread of pyrethroid resistance in the major malaria vector Anopheles funestus</t>
  </si>
  <si>
    <t>PMC3535331</t>
  </si>
  <si>
    <t>Nature Communications</t>
  </si>
  <si>
    <t>NARE</t>
  </si>
  <si>
    <t>Factors determining the occurrence of submicroscopic malaria infections and their relevance for control</t>
  </si>
  <si>
    <t>PMC3709474</t>
  </si>
  <si>
    <t>Primary Sensory Cortices Contain Distinguishable Spatial Patterns of Activity for Each Sense</t>
  </si>
  <si>
    <t>PMC3644070</t>
  </si>
  <si>
    <t>A role for piezo2 in EPAC1 –dependent mechanical allodynia</t>
  </si>
  <si>
    <t>PMC3709478</t>
  </si>
  <si>
    <t>Picornavirus uncoating intermediate captured in atomic detail.</t>
  </si>
  <si>
    <t>PMC3562455</t>
  </si>
  <si>
    <t>Signaling properties of inorganic polyphosphate in the mammalian brain</t>
  </si>
  <si>
    <t>Meta-analysis of IDH-mutant cancers identifies EBF1 as an interaction partner for TET2</t>
  </si>
  <si>
    <t>PMC3731653</t>
  </si>
  <si>
    <t>Variability in visual cortex size reflects tradeoff between local orientation sensitivity and global orientation modulation</t>
  </si>
  <si>
    <t>AMA1 of Apicomplexa mediates parasite attachment but is dispensable for host cell invasion</t>
  </si>
  <si>
    <t>PMC3535338</t>
  </si>
  <si>
    <t>T-bet and GATA3 orchestrate Th1 and Th2 differentiation through lineage-specific targeting of distal regulatory elements.</t>
  </si>
  <si>
    <t>PMC3674234</t>
  </si>
  <si>
    <t>Spatial segregation of polarity factors into distinct cortical clusters is required for cell polarity control</t>
  </si>
  <si>
    <t>PMC3826647</t>
  </si>
  <si>
    <t>Bod1 regulates protein phosphatase 2A at mitotic kinetochores.</t>
  </si>
  <si>
    <t>PMC3514496</t>
  </si>
  <si>
    <t>The Hedgehog signalling pathway regulates autophagy</t>
  </si>
  <si>
    <t>PMC3293425</t>
  </si>
  <si>
    <t>Dynamics of anterior-posterior axis formation in the developing mouse embryo</t>
  </si>
  <si>
    <t>PMC3615473</t>
  </si>
  <si>
    <t>Topoisomerase IIα promotes activation of RNA polymerase I transcription by facilitating pre-initiation complex formation</t>
  </si>
  <si>
    <t>PMC3709497</t>
  </si>
  <si>
    <t>Restricted perinatal retinal degeneration induces retina reshaping and correlated structural rearrangement of the retinotopic map</t>
  </si>
  <si>
    <t>PMC3741640</t>
  </si>
  <si>
    <t>Angiomotin prevents pluripotent lineage differentiation in mouse embryos via Hippo pathway dependent and independent mechanisms</t>
  </si>
  <si>
    <t>PMC3778765</t>
  </si>
  <si>
    <t>Control of synaptic vesicle endocytosis by an extracellular signalling molecule</t>
  </si>
  <si>
    <t>PMC3621422</t>
  </si>
  <si>
    <t>SynGAP isoforms exert opposing effects on synaptic strength.</t>
  </si>
  <si>
    <t>PMC3674235</t>
  </si>
  <si>
    <t>The pore of voltage-gated potassium ion channels is strained when closed</t>
  </si>
  <si>
    <t>PMC3378494</t>
  </si>
  <si>
    <t>Nature Neuroscience</t>
  </si>
  <si>
    <t>NATN</t>
  </si>
  <si>
    <t>Mechanisms underlying cortical activity during value-guided choice</t>
  </si>
  <si>
    <t>PMC3604800</t>
  </si>
  <si>
    <t>Scientific Reports</t>
  </si>
  <si>
    <t>NATR</t>
  </si>
  <si>
    <t>Using False Discovery Rates to Benchmark SNP-callers in next-generation sequencing projects</t>
  </si>
  <si>
    <t>PMC3413714</t>
  </si>
  <si>
    <t>Neglected Tropical Disease</t>
  </si>
  <si>
    <t>NEGD</t>
  </si>
  <si>
    <t>Refining the global spatial limits of dengue virus transmission by evidenced-based</t>
  </si>
  <si>
    <t>PMC3435256</t>
  </si>
  <si>
    <t>A long neglected world malaria map: Plasmodium vivax endemicity in 2010</t>
  </si>
  <si>
    <t>PMC3685308</t>
  </si>
  <si>
    <t>Nephrology Dialysis and Transplantation</t>
  </si>
  <si>
    <t>NDT</t>
  </si>
  <si>
    <t>Unexpected clinical sequelae of Gitelman syndrome: hypertension in adulthood is common and females have higher potassium requirements</t>
  </si>
  <si>
    <t>PMC3572772</t>
  </si>
  <si>
    <t>NEPT</t>
  </si>
  <si>
    <t>Conversion to sirolimus in kidney transplant recipients with squamous cell cancer and changes in immune phenotype</t>
  </si>
  <si>
    <t>PMC3782194</t>
  </si>
  <si>
    <t>Karger</t>
  </si>
  <si>
    <t>Nephron Physiology</t>
  </si>
  <si>
    <t>NEPP</t>
  </si>
  <si>
    <t>Nephrocalcinosis (Enamel Renal Syndrome) caused by autosomal recessive FAM20A mutations</t>
  </si>
  <si>
    <t>PMC3532594</t>
  </si>
  <si>
    <t>Neurobiology of Aging</t>
  </si>
  <si>
    <t>NEUA</t>
  </si>
  <si>
    <t>A touch screen-automated cognitive test battery reveals impaired attention, memory abnormalities, and increased response inhibition in the TgCRND8 mouse model of Alzheimer's disease</t>
  </si>
  <si>
    <t>Frailty and mortality are not influenced by mitochondrial DNA haplotypes in the very old</t>
  </si>
  <si>
    <t>PMC3601331</t>
  </si>
  <si>
    <t>White matter tract signatures of the progressive aphasias</t>
  </si>
  <si>
    <t>PMC3713434</t>
  </si>
  <si>
    <t>Structural integrity of the substantia nigra and subthalamic nucleus predicts the flexibility of instrumental learning in older age</t>
  </si>
  <si>
    <t>PMC3657696</t>
  </si>
  <si>
    <t>Widespread Lewy body and tau accumulation in childhood and adult onset dystonia-parkinsonism cases with PLA2G6 mutations</t>
  </si>
  <si>
    <t>PMC3629567</t>
  </si>
  <si>
    <t>Screening for VPS35 mutations in Parkinson's disease</t>
  </si>
  <si>
    <t>PMC3629571</t>
  </si>
  <si>
    <t>Tau acts as an independent genetic risk factor in pathologically proven PD</t>
  </si>
  <si>
    <t>PMC3684773</t>
  </si>
  <si>
    <t>Tau phosphorylation impacts on its axonal transport and degradation</t>
  </si>
  <si>
    <t>Neurobiology of Disease</t>
  </si>
  <si>
    <t>NEUD</t>
  </si>
  <si>
    <t>The val158met COMT polymorphism's effect on atrophy in healthy aging and Parkinson's disease</t>
  </si>
  <si>
    <t>PMC3757163</t>
  </si>
  <si>
    <t>Neurobiology of Learning and Memory</t>
  </si>
  <si>
    <t>NLM</t>
  </si>
  <si>
    <t>Dissociation between memory retention across a delay and pattern separation following medial prefrontal cortex lesions in the touchscreen TUNL task</t>
  </si>
  <si>
    <t>PMC3550523</t>
  </si>
  <si>
    <t>Neurochemistry International</t>
  </si>
  <si>
    <t>NEUI</t>
  </si>
  <si>
    <t>Glucocerebrosidase inhibition causes mitochondrial dysfunction and free radical damage</t>
  </si>
  <si>
    <t>Rasagiline protects against alpha-synuclein induced sensitivity to oxidative stress in dopaminergic cells</t>
  </si>
  <si>
    <t>Neurodegenerative Diseases</t>
  </si>
  <si>
    <t>A hypnic hypothesis of Alzheimer's disease</t>
  </si>
  <si>
    <t>PMC3707011</t>
  </si>
  <si>
    <t>Neuroepidemiology</t>
  </si>
  <si>
    <t>NEOE</t>
  </si>
  <si>
    <t>Patent foramen ovale, ischemic stroke and migraine: systematic review and stratified meta-analysis of association studies</t>
  </si>
  <si>
    <t>PMC3569589</t>
  </si>
  <si>
    <t>Neurogenetics</t>
  </si>
  <si>
    <t>NEOG</t>
  </si>
  <si>
    <t>Comprehensive cytogenomic profile of the in vitro neuronal model SH-SY5Y.</t>
  </si>
  <si>
    <t>NeuroImage</t>
  </si>
  <si>
    <t>NEOI</t>
  </si>
  <si>
    <t>Gearing up for action: attentive tracking dynamically tunes sensory and motor oscillations in the alpha and beta band</t>
  </si>
  <si>
    <t>Good practice for conducting and reporting MEG research</t>
  </si>
  <si>
    <t>PMC3734349</t>
  </si>
  <si>
    <t>Connectivity-based neurofeedback: dynamic causal modeling for real-time fMRI</t>
  </si>
  <si>
    <t>PMC3734350</t>
  </si>
  <si>
    <t>The impact of distractor congruency on stimulus processing in retinotopic visual cortex</t>
  </si>
  <si>
    <t>PMC3734351</t>
  </si>
  <si>
    <t>Distinct encoding of risk and value in economic choice between multiple risky options</t>
  </si>
  <si>
    <t>PMC3734352</t>
  </si>
  <si>
    <t>Parcellation of the human substantia nigra based on anatomical connectivity to the striatum</t>
  </si>
  <si>
    <t>Characterising reward outcome signals in sensory cortex</t>
  </si>
  <si>
    <t>PMC3677092</t>
  </si>
  <si>
    <t>Neural correlates of working memory in Temporal Lobe Epilepsy - An fMRI study</t>
  </si>
  <si>
    <t>PMC3021391</t>
  </si>
  <si>
    <t>Dynamic causal modelling of effective connectivity from fMRI: are results reproducible and sensitive to Parkinson's disease and its treatment?</t>
  </si>
  <si>
    <t>PMC2877799</t>
  </si>
  <si>
    <t>Action selection: a race model for selected and non-selected actions distinguishes the contribution of premotor and prefrontal areas</t>
  </si>
  <si>
    <t>PMC3459091</t>
  </si>
  <si>
    <t>Consistency and interpretation of changes in millimeter-scale cortical intrinsic curvature across three independent datasets in schizophrenia</t>
  </si>
  <si>
    <t>PMC3549495</t>
  </si>
  <si>
    <t>Identification of gene pathways implicated in Alzheimer's disease using longitudinal imaging phenotypes with sparse regression</t>
  </si>
  <si>
    <t>PMC3480648</t>
  </si>
  <si>
    <t>5-HTTLPR – environment interplay and its effects on neural reactivity in adolescents</t>
  </si>
  <si>
    <t>PMC3590453</t>
  </si>
  <si>
    <t>Structural correlates of active-staining following magnetic resonance microscopy in the mouse brain</t>
  </si>
  <si>
    <t>PMC3520011</t>
  </si>
  <si>
    <t>Anatomical connectivity and the resting state activity of large cortical networks</t>
  </si>
  <si>
    <t>PMC3547173</t>
  </si>
  <si>
    <t>Dynamic Causal Modelling of lateral interactions in the visual cortex</t>
  </si>
  <si>
    <t>Complex spatiotemporal haemodynamic response following sensory stimulation in the awake rat</t>
  </si>
  <si>
    <t>PMC3708127</t>
  </si>
  <si>
    <t>Articulatory movements modulate auditory responses to speech</t>
  </si>
  <si>
    <t>PMC3555187</t>
  </si>
  <si>
    <t>A quantitative meta-analysis and review of motor learning in the human brain</t>
  </si>
  <si>
    <t>PMC3566585</t>
  </si>
  <si>
    <t>Network discovery with large DCMs</t>
  </si>
  <si>
    <t>PMC3610031</t>
  </si>
  <si>
    <t>Network reconfiguration and working memory impairment in mesial temporal lobe epilepsy</t>
  </si>
  <si>
    <t>PMC3566546</t>
  </si>
  <si>
    <t>Investigating the need of triggering the acquisition for infant diffusion MRI: A quantitative study including bootstrap statistics</t>
  </si>
  <si>
    <t>PMC3682182</t>
  </si>
  <si>
    <t>Early visual learning induces long-lasting connectivity changes during rest in the human brain</t>
  </si>
  <si>
    <t>PMC3591253</t>
  </si>
  <si>
    <t>Movement related dynamics of subthalmo-cortical alpha connectivity in Parkinson's Disease</t>
  </si>
  <si>
    <t>PMC3682191</t>
  </si>
  <si>
    <t>A multivariate method to determine the dimensionality of neural representation from population activity</t>
  </si>
  <si>
    <t>PMC3605597</t>
  </si>
  <si>
    <t>The impact of post-processing on spinal cord diffusion tensor imaging</t>
  </si>
  <si>
    <t>PMC3613798</t>
  </si>
  <si>
    <t>Functional Specialization and Generalization for Grouping of Stimuli Based on Colour and Motion</t>
  </si>
  <si>
    <t>PMC3625122</t>
  </si>
  <si>
    <t>Auditory Modulation of Visual Stimulus Encoding in Human Retinotopic Cortex</t>
  </si>
  <si>
    <t>PMC3625125</t>
  </si>
  <si>
    <t>Set-level threshold-free tests on the intrinsic volumes of SPMs</t>
  </si>
  <si>
    <t>Neuroimage: Clinical</t>
  </si>
  <si>
    <t>NEUC</t>
  </si>
  <si>
    <t>Predicting Outcome and Recovery after Stroke with Lesions Extracted From MRI Images</t>
  </si>
  <si>
    <t>Disrupted segregation of working memory networks in temporal lobe epilepsy</t>
  </si>
  <si>
    <t>A comparison of VLSM and VBM in a cohort of patients with post-stroke aphasia</t>
  </si>
  <si>
    <t>Multiparametric Brainstem Segmentation using a Modified Multivariate Mixture of Gaussians</t>
  </si>
  <si>
    <t>Assessing a standardised approach to measuring corticospinal integrity after stroke with DTI</t>
  </si>
  <si>
    <t>PMC3722452</t>
  </si>
  <si>
    <t>Neuroinformatics</t>
  </si>
  <si>
    <t>PRoNTo: Pattern Recognition for Neuroimaging Toolbox</t>
  </si>
  <si>
    <t>NEOL</t>
  </si>
  <si>
    <t>Reliable qualification of BOLD fMRI cerebrovascular reactivity despite poor breath-hold performance</t>
  </si>
  <si>
    <t>PMC3580290</t>
  </si>
  <si>
    <t>A pitfall in the reconstruction of fibre ODFs using spherical deconvolution of diffusion MRI data</t>
  </si>
  <si>
    <t>Neurology</t>
  </si>
  <si>
    <t>The pattern of atrophy in familial Alzheimer disease: Volumetric MRI results from the DIAN study</t>
  </si>
  <si>
    <t>PMC3650253</t>
  </si>
  <si>
    <t>Neuromolecular Medicine</t>
  </si>
  <si>
    <t>NEUM</t>
  </si>
  <si>
    <t>Novel Mutations Mapping to the Fourth Sodium Channel Domain of Nav1.7 Result in Variable Clinical Manifestations of Primary Erythromelalgia</t>
  </si>
  <si>
    <t>PMC3841574</t>
  </si>
  <si>
    <t>Neuromuscular Disorders</t>
  </si>
  <si>
    <t>Initial development and validation of mitochondrial disease of life scale</t>
  </si>
  <si>
    <t>PMC3458212</t>
  </si>
  <si>
    <t>Neuron</t>
  </si>
  <si>
    <t>NEON</t>
  </si>
  <si>
    <t>An agent independent axis for executed and modeled choice in medial prefrontal cortex</t>
  </si>
  <si>
    <t>PMC3427859</t>
  </si>
  <si>
    <t>The LIM-Homeodomain Protein Islet Dictates Motor Neuron Electrical Properties by Regulating K(+) Channel Expression</t>
  </si>
  <si>
    <t>PMC3752973</t>
  </si>
  <si>
    <t>Neural primacy of the salience processing system in schizophrenia</t>
  </si>
  <si>
    <t>Nanoscale-targeted patch clamp recordings of functional presynaptic ion channels</t>
  </si>
  <si>
    <t>PMC3580285</t>
  </si>
  <si>
    <t>the emergence and representation of knowledge about social and non-social hierarchies</t>
  </si>
  <si>
    <t>PMC3748348</t>
  </si>
  <si>
    <t>Attention induced variance and noise correclation reduction on macaque V1 is mediated by NMDA receptors</t>
  </si>
  <si>
    <t>PMC2875410</t>
  </si>
  <si>
    <t>Distinct contributions of rod, cone, and melanopsin photoreceptors to encoding irradiance</t>
  </si>
  <si>
    <t>PMC3542422</t>
  </si>
  <si>
    <t>Fast silencing reveals a lost role for reciprocal inhibition in locomotion</t>
  </si>
  <si>
    <t>PMC3568920</t>
  </si>
  <si>
    <t>Spike-driven glutamate electrodiffusion triggers synaptic potentiation via a Homer-dependent mGluR-NMDAR link</t>
  </si>
  <si>
    <t>PMC3712463</t>
  </si>
  <si>
    <t>Neuropathology and Applied Neurobiology</t>
  </si>
  <si>
    <t>NAN</t>
  </si>
  <si>
    <t>Panthothenate kinase-associated neurodegeneration is not a synucleinopathy</t>
  </si>
  <si>
    <t>PMC3778433</t>
  </si>
  <si>
    <t>Neuropharmacology</t>
  </si>
  <si>
    <t>NEOP</t>
  </si>
  <si>
    <t>Influence of GluN2 subunit identity on NMDA receptor function</t>
  </si>
  <si>
    <t>PMC3778432</t>
  </si>
  <si>
    <t>Recovery of NMDA receptor currents from MK-801 blockade is accelerated by Mg2+ and memantine under conditions of agonist exposure.</t>
  </si>
  <si>
    <t>PMC3546162</t>
  </si>
  <si>
    <t>Methamphetamine-induced nitric oxide promotes vesicular transport in blood-brain barrier endothelial cells</t>
  </si>
  <si>
    <t>PMC3562439</t>
  </si>
  <si>
    <t>Neurophysiologia</t>
  </si>
  <si>
    <t>Time, action and psychosis: Using subjective time to investigate the effects of ketamine on sense of urgency</t>
  </si>
  <si>
    <t>Neuropsychobiology</t>
  </si>
  <si>
    <t>ZNF804A Genotype modulates neural activity during working memory for faces</t>
  </si>
  <si>
    <t>PMC3724054</t>
  </si>
  <si>
    <t>Neuropsychologia</t>
  </si>
  <si>
    <t>Agnosia for accents in primary progressive aphasia</t>
  </si>
  <si>
    <t>PMC3702998</t>
  </si>
  <si>
    <t>The role of prestimulus activity in visual extinction</t>
  </si>
  <si>
    <t>Unimpaired discrimination of fearful prosody after amygdala lesion</t>
  </si>
  <si>
    <t>Improved effectiveness of performance monitoring in amateur instrumental musicians</t>
  </si>
  <si>
    <t>PMC3557385</t>
  </si>
  <si>
    <t>It does not look odd to me: Perceptual impairments and eye movements in amnesic patients with medial temporal lobe damage</t>
  </si>
  <si>
    <t>PMC3611598</t>
  </si>
  <si>
    <t>Neuroanatomical correlates of biological motion detection</t>
  </si>
  <si>
    <t>PMC3611599</t>
  </si>
  <si>
    <t>Distinct Subdivisions of the Cingulum bundle revealed by diffusion MRI fibre tracking</t>
  </si>
  <si>
    <t>PMC3746700</t>
  </si>
  <si>
    <t>Neuropsychopharmacology</t>
  </si>
  <si>
    <t>Prefontal hyperactivity associated with impaired inhibition in stimulant-dependant individuals but evidence for hyperactivation in their unaffected siblings</t>
  </si>
  <si>
    <t>PMC3656369</t>
  </si>
  <si>
    <t>Lack of association between COMT and working memory in a population-based cohort of healthy young adults</t>
  </si>
  <si>
    <t>PMC3717539</t>
  </si>
  <si>
    <t>A translational rodent assay of affective biases in depression and antidepressant therapy</t>
  </si>
  <si>
    <t>PMC3629389</t>
  </si>
  <si>
    <t>Seratonin 2A receptors, citalopram and tryptophan - depletion: a multimodal imaging study of their interactions during response inhibition</t>
  </si>
  <si>
    <t>PMC3682146</t>
  </si>
  <si>
    <t>D-amphetamine and antipsychotic drug effects on latent inhibition in mice lacking dopamine D2 receptors</t>
  </si>
  <si>
    <t>PMC3746156</t>
  </si>
  <si>
    <t>Neuroscience</t>
  </si>
  <si>
    <t>NEOS</t>
  </si>
  <si>
    <t>The relationship between tetanus intensity and the magnitude of hippocampal long-term potentiation in vivo</t>
  </si>
  <si>
    <t>PMC3661980</t>
  </si>
  <si>
    <t>APPARδ agonist provides neuroprotection in the MPTP model of Parkinson's Disease</t>
  </si>
  <si>
    <t>The relationship between tetanus intensity and the magnitude of hippocampal long-term potentiation in vivo.</t>
  </si>
  <si>
    <t>PMC3788850</t>
  </si>
  <si>
    <t>Neuroscience and Behavioural Reviews</t>
  </si>
  <si>
    <t>NBR</t>
  </si>
  <si>
    <t>Innovative solutions to novel drug development in mental health</t>
  </si>
  <si>
    <t>PMC3725411</t>
  </si>
  <si>
    <t>Neuroscience Letters</t>
  </si>
  <si>
    <t>NEUL</t>
  </si>
  <si>
    <t>NMDA receptor-dependent glutamate excitotoxicity in human embryonic stem cell-derived neurons</t>
  </si>
  <si>
    <t>PMC3556777</t>
  </si>
  <si>
    <t>Deletion of Crry, the murine ortholog of the sporadic Alzheimer’s disease risk gene CR1, impacts tau phosphorylation and brain CFH</t>
  </si>
  <si>
    <t>Study of the genetic variability in a Parkinson's Disease gene: EIF4G1</t>
  </si>
  <si>
    <t>Neuroscientist</t>
  </si>
  <si>
    <t>Memory, Imagination, and Predicting the Future</t>
  </si>
  <si>
    <t>PMC3819976</t>
  </si>
  <si>
    <t>Nicotine and Tobacco Research</t>
  </si>
  <si>
    <t>NTR</t>
  </si>
  <si>
    <t>Association of Maternal Smoking with Child Cotinine Levels</t>
  </si>
  <si>
    <t>PMC2779337</t>
  </si>
  <si>
    <t>Nitric Oxide</t>
  </si>
  <si>
    <t>NITO</t>
  </si>
  <si>
    <t>What is the real physiological NO concentration in vivo?</t>
  </si>
  <si>
    <t>NMR in Biomedicine</t>
  </si>
  <si>
    <t>NMRB</t>
  </si>
  <si>
    <t>Tissue and column-specific measurements from multi-parameter mapping of the human spinal cervical cord at 3T</t>
  </si>
  <si>
    <t>PMC3575846</t>
  </si>
  <si>
    <t>Nucleic Acids Research</t>
  </si>
  <si>
    <t>NUCR</t>
  </si>
  <si>
    <t>Space exploration by the promoter of a long human gene during one transcription cycle</t>
  </si>
  <si>
    <t>PMC3643589</t>
  </si>
  <si>
    <t>Restriction endonuclease TseI cleaves A:A and T:T mismatches in CAG and CTG repeats</t>
  </si>
  <si>
    <t>PMC3763532</t>
  </si>
  <si>
    <t>Clusters of microRNAs emerge by new hairpins in existing transcripts</t>
  </si>
  <si>
    <t>PMC3467080</t>
  </si>
  <si>
    <t>Protein kinase CK2 inactivates PRH/Hhex using multiple mechanisms to derepress VEGF signalling genes and promote cell survival</t>
  </si>
  <si>
    <t>PMC3592466</t>
  </si>
  <si>
    <t>Organization of the BcgI restriction-modification protein for the transfer of one methyl group to DNA</t>
  </si>
  <si>
    <t>PMC3592470</t>
  </si>
  <si>
    <t>Organization of the BcgI restriction-modification protein for the cleavage of eight phosphodiester bonds in DNA</t>
  </si>
  <si>
    <t>PMC3553950</t>
  </si>
  <si>
    <t>The Type ISP Restriction-Modification enzymes LlaBIII and LlaGI use a translocation-collision mechanism to cleave non-specific DNA distant from their recognition sites</t>
  </si>
  <si>
    <t>PMC3553963</t>
  </si>
  <si>
    <t>DNA cleavage by Type ISP Restriction-Modification enzymes is initially targeted to the 3'-5' strand</t>
  </si>
  <si>
    <t>PMC3575838</t>
  </si>
  <si>
    <t>Unwinding of primer-templates by archaeal family - B DNA polymerases in response to template-strand uracil</t>
  </si>
  <si>
    <t>The splicing landscape is globally reprogrammed during male meiosis</t>
  </si>
  <si>
    <t>PMC3627603</t>
  </si>
  <si>
    <t>Human SIRT1 regulates DNA-binding and stability of the Mcm10 DNA replication factor via deacetylation</t>
  </si>
  <si>
    <t>PMC3627570</t>
  </si>
  <si>
    <t>Resolving the polymorphism-in-probe problem is critical for correct interpretation of expression QTL studies</t>
  </si>
  <si>
    <t>PMC3675483</t>
  </si>
  <si>
    <t>Nucleocapsid protein structures from orthobunyaviruses reveal insight into ribonucleoprotein architecture and RNA polymerization</t>
  </si>
  <si>
    <t>PMC3753647</t>
  </si>
  <si>
    <t>Impact of Target Site Distribution for Type I Restriction Enzymes on the Evolution of Methicillin Resistant Staphylococcus aureus (MRSA) Populations</t>
  </si>
  <si>
    <t>Identification and classification of bacterial Type III toxin-anti-toxin systems encoded in chromosomal and plasmid genomes</t>
  </si>
  <si>
    <t>PMC3643581</t>
  </si>
  <si>
    <t>MBNL1 and PTB cooperate to repress splicing of Tpm1 exon 3</t>
  </si>
  <si>
    <t>Solution Conformations of Early Intermediates in Mos1 Transposition.</t>
  </si>
  <si>
    <t>PMC3664799</t>
  </si>
  <si>
    <t>Functional interplay of DnaE polymerase, DnaG primase and DnaC helicase within a ternary complex, and primase to polymerase hand-off during lagging strand DNA replication in Bacillus subtilis.</t>
  </si>
  <si>
    <t>PMC3531217</t>
  </si>
  <si>
    <t>Genome3D: a UK collaborative project to annotate genomic sequences with predicted 3D structures based on SCOP and CATH domains</t>
  </si>
  <si>
    <t>PMC3531114</t>
  </si>
  <si>
    <t>New functional families (FunFams) in CATH to improve the mapping of conserved functional sites to 3D structures</t>
  </si>
  <si>
    <t>PMC3834809</t>
  </si>
  <si>
    <t>Replisome stall events have shaped the distribution of replication origins in the genomes of yeasts.</t>
  </si>
  <si>
    <t>PMC3737548</t>
  </si>
  <si>
    <t>Splicing-coupled 3′ end formation requires a terminal splice acceptor site, but not intron excision</t>
  </si>
  <si>
    <t>PMC3597655</t>
  </si>
  <si>
    <t>Structure, evolution and function of the bi-directionally transcribed iab-4/iab-8 microRNA locus in arthropods</t>
  </si>
  <si>
    <t>PMC3424546</t>
  </si>
  <si>
    <t>Dynamic acetylation of lysine-4-trimethylated histone H3 and H3 variant biology in mutlicellular eukaryote</t>
  </si>
  <si>
    <t>PMC3479183</t>
  </si>
  <si>
    <t>ATPase activity of Fml1 is essential for its role in homologous recombination and DNA repair</t>
  </si>
  <si>
    <t>PMC3245117</t>
  </si>
  <si>
    <t>BuGSbase - a microbial gene expression and comparative genomic database</t>
  </si>
  <si>
    <t>PMC3561976</t>
  </si>
  <si>
    <t>AT-rich sequence elements promote nascent transcript cleavage leading to RNA polymerase ii termination</t>
  </si>
  <si>
    <t>PMC3526300</t>
  </si>
  <si>
    <t>DNA catenation maintains structure of human metaphase chromosomes.</t>
  </si>
  <si>
    <t>PMC3597664</t>
  </si>
  <si>
    <t>TDP1 is an HMG chromatin protein facilitating RNA polymerase I transcription in African trypanosomes</t>
  </si>
  <si>
    <t>PMC3546020</t>
  </si>
  <si>
    <t>Nutrition Journal</t>
  </si>
  <si>
    <t>NUTJ</t>
  </si>
  <si>
    <t>Nutritional status of young children in Mumbai slums: a follow-up anthropometric study</t>
  </si>
  <si>
    <t>PMC3492912</t>
  </si>
  <si>
    <t>Obesity Reviews</t>
  </si>
  <si>
    <t>Does maternal body mass index during pregnancy influence risk of schizophrenia in the adult offspring?</t>
  </si>
  <si>
    <t>PMC3798095</t>
  </si>
  <si>
    <t>Obesity and socioeconomic status in developing countries: a systematic review</t>
  </si>
  <si>
    <t>Oncogene</t>
  </si>
  <si>
    <t>ONGE</t>
  </si>
  <si>
    <t>SATB1 collaborates with loss of p16 in cellular transformation</t>
  </si>
  <si>
    <t>Hox-mediated lmo2 expression in embryonic mesoderm is recapitulated in acute leukaemias</t>
  </si>
  <si>
    <t>Signalling mediated by the NF-kB sub-units NF-kB1, NF-kB2 and C-Rel differentially regulate Helicobacter felis-induced gastric carcinogenesis in C57BL/6 mice</t>
  </si>
  <si>
    <t>PMC3717797</t>
  </si>
  <si>
    <t>Impact Journals</t>
  </si>
  <si>
    <t>Oncotarget</t>
  </si>
  <si>
    <t>ONTA</t>
  </si>
  <si>
    <t>Loss of expression of the double strand break repair protein ATM is associated with worse prognosis in colorectal cancer and loss of Ku70 expression is associated with CIN.</t>
  </si>
  <si>
    <t>PMC3717798</t>
  </si>
  <si>
    <t>Pyruvate kinase is a dosage-dependent regulator of cellular amino acid homeostasis</t>
  </si>
  <si>
    <t>PMC3627851</t>
  </si>
  <si>
    <t>Open Choice</t>
  </si>
  <si>
    <t>OPEC</t>
  </si>
  <si>
    <t>PMC3778840</t>
  </si>
  <si>
    <t>Detection of antenatal depression in rural HIV affected populations with short and ultra-short versions of the Edingburgh Postnatal Depression Scales (EPDS)</t>
  </si>
  <si>
    <t>PMC3694301</t>
  </si>
  <si>
    <t>Ophthalmology</t>
  </si>
  <si>
    <t>OPHA</t>
  </si>
  <si>
    <t>Epilation for trachomatous trichiasis and the risk of corneal opacification.</t>
  </si>
  <si>
    <t>PMC3503144</t>
  </si>
  <si>
    <t>Optical Society of America</t>
  </si>
  <si>
    <t>Optics Express</t>
  </si>
  <si>
    <t>OPTE</t>
  </si>
  <si>
    <t>Maximum precision closed-form solution for localizing diffraction-limited spots in noisy images</t>
  </si>
  <si>
    <t>PMC3731202</t>
  </si>
  <si>
    <t>Organic and Biomolecular Chemistry</t>
  </si>
  <si>
    <t>OBC</t>
  </si>
  <si>
    <t>Protein destabilisation by ruthenium(ll) tris-bipyridine based protein-surface mimetics</t>
  </si>
  <si>
    <t>PMC3659006</t>
  </si>
  <si>
    <t>Orphanet Journal of Rare Diseases</t>
  </si>
  <si>
    <t>OJRD</t>
  </si>
  <si>
    <t>Brittle cornea syndrome: Recognition molecular diagnosis and management</t>
  </si>
  <si>
    <t>PMC3706230</t>
  </si>
  <si>
    <t>SURF1 deficiency: a multi-centre natural history</t>
  </si>
  <si>
    <t>PMC3560059</t>
  </si>
  <si>
    <t>Osteoarthritis and Cartilage</t>
  </si>
  <si>
    <t>OSTC</t>
  </si>
  <si>
    <t>New tools for studying osteoarthritis genetics in zebrafish</t>
  </si>
  <si>
    <t>PMC3777188</t>
  </si>
  <si>
    <t>Osteoporosis International</t>
  </si>
  <si>
    <t>OSTI</t>
  </si>
  <si>
    <t>The anti-diabetic drug metformin does not affect bone mass in vivo or fracture healing</t>
  </si>
  <si>
    <t>Oxford Journals</t>
  </si>
  <si>
    <t>OXFJ</t>
  </si>
  <si>
    <t>Health Policy and Planning, Health insurance for the poor decreases access to HIV testing in antenatal care: evidence of an unintended effect of health insurance reform in Colombia</t>
  </si>
  <si>
    <t>PMC3809720</t>
  </si>
  <si>
    <t>OXFP</t>
  </si>
  <si>
    <t>Physical activity levels across adult life and grip strength in early old age:updating findings from a british brith cohort</t>
  </si>
  <si>
    <t>PMC3777123</t>
  </si>
  <si>
    <t>Oxidative Medicine and Cellular Longevity</t>
  </si>
  <si>
    <t>OXIDATIVEMEDICINECELLULARLONGEVITY</t>
  </si>
  <si>
    <t>A novel Sit4 phosphatase is involved in the response to ceramide stress in yeast</t>
  </si>
  <si>
    <t>PMC3549497</t>
  </si>
  <si>
    <t>Pain</t>
  </si>
  <si>
    <t>PAIP</t>
  </si>
  <si>
    <t>Amygdala activity contributes to the dissociative effect of canabis on pain perception</t>
  </si>
  <si>
    <t>Functional differences between neurochemically-defined populations of inhibitory interneurons in the rat spinal dorsal horn</t>
  </si>
  <si>
    <t>Focus on pain in the blind</t>
  </si>
  <si>
    <t>PMC3763373</t>
  </si>
  <si>
    <t>Endogenous analgesic action of the pontospinal noradrenergic system spatially restricts and temporally delays the progression of neuropathic pain following tibial nerve injury</t>
  </si>
  <si>
    <t>PMC3652741</t>
  </si>
  <si>
    <t>Parasites and Vectors</t>
  </si>
  <si>
    <t>PARV</t>
  </si>
  <si>
    <t>The role of Anopheles arabiensis and Anopheles constant in indoor and outdoor malaria transmission in Taveta District, Kenya</t>
  </si>
  <si>
    <t>PMC3757314</t>
  </si>
  <si>
    <t>Parasite Immunology</t>
  </si>
  <si>
    <t>PARI</t>
  </si>
  <si>
    <t>The retinoic acid producing capacity of gut dendritic cells and macrophages is reduced during persistent T. muris infection</t>
  </si>
  <si>
    <t>Imaging African Trypanosomes</t>
  </si>
  <si>
    <t>PMC3727979</t>
  </si>
  <si>
    <t>Stability and change in the distribution of cytospecies of the Simulium damnosum complex (Diptera: Simuliidae) over forty years from 1971 to 2011 in southern Ghana from 1971 to 2011</t>
  </si>
  <si>
    <t>PMC3723516</t>
  </si>
  <si>
    <t>Monitoring and evaluating the impact of national schoolbased deworming in Kenya.</t>
  </si>
  <si>
    <t>PMC3178871</t>
  </si>
  <si>
    <t>Parasitology</t>
  </si>
  <si>
    <t>PASI</t>
  </si>
  <si>
    <t>Treatment with anthelminthics during pregnancy: what gains and what risks for the mother and child?</t>
  </si>
  <si>
    <t>PMC3179331</t>
  </si>
  <si>
    <t>Screening trematodes for novel intervention targets: a proteomic and immunological comparison of Schistosoma haematobium, Schistosoma bovis and Echinostoma caproni.</t>
  </si>
  <si>
    <t>PMC3021922</t>
  </si>
  <si>
    <t>Acquired immune heterogeneity and its sources in human helminth infection.</t>
  </si>
  <si>
    <t>Target-Based drug discovery for human African Trypanosomiasis: Selection of Molecular Target and Chemical Matter</t>
  </si>
  <si>
    <t>Determination of antiprotozoal drug mechanisms by metabolomics approaches</t>
  </si>
  <si>
    <t>PMC3761323</t>
  </si>
  <si>
    <t>Trichuris muris research revisited: A journey through time</t>
  </si>
  <si>
    <t>PMC3638232</t>
  </si>
  <si>
    <t>Parkinsonism and Related Disorders</t>
  </si>
  <si>
    <t>PRD</t>
  </si>
  <si>
    <t>Coactivation sign in fixed dystonia</t>
  </si>
  <si>
    <t>PAIT</t>
  </si>
  <si>
    <t>Using lymph node transplantation as an approach to image cellular interactions between skin and draining lymph nodes</t>
  </si>
  <si>
    <t>PMC3785148</t>
  </si>
  <si>
    <t>Pediatric Infectious Disease Journal</t>
  </si>
  <si>
    <t>PIDJ</t>
  </si>
  <si>
    <t>Topical umbilical cord care for prevention of infection and neonatal mortality.</t>
  </si>
  <si>
    <t>The American Society of Pediatrics</t>
  </si>
  <si>
    <t>Pediatrics</t>
  </si>
  <si>
    <t>PEAT</t>
  </si>
  <si>
    <t>Vitamin d3 supplementation and childhood diarrhea: a randomized controlled trial.</t>
  </si>
  <si>
    <t>PMC3149299</t>
  </si>
  <si>
    <t>Personality and Individual Differences</t>
  </si>
  <si>
    <t>PID</t>
  </si>
  <si>
    <t>Developing a measure of interpretation bias for depressed mood: An ambiguous scenarios test</t>
  </si>
  <si>
    <t>Pflugers Archiv</t>
  </si>
  <si>
    <t>PFLA</t>
  </si>
  <si>
    <t>Kv1 and Kir2 potassium channels are expressed in rat brain endothelial cells</t>
  </si>
  <si>
    <t>PMC3696465</t>
  </si>
  <si>
    <t>A basic residue in the proximal C-terminus is necessary for efficient activation of the M-channel subunit Kv7.2 by PI(4,5)P2</t>
  </si>
  <si>
    <t>PMC3679597</t>
  </si>
  <si>
    <t>Philosophical Transactions of the Royal Society B</t>
  </si>
  <si>
    <t>PTRSLBBS</t>
  </si>
  <si>
    <t>Global mapping of infectious disease</t>
  </si>
  <si>
    <t>PMC3758187</t>
  </si>
  <si>
    <t>PHIB</t>
  </si>
  <si>
    <t>Identification of an Ancient Endogenous Retrovirus, Predating the Divergence of the Placental Mammals</t>
  </si>
  <si>
    <t>PMC3539357</t>
  </si>
  <si>
    <t>DNA methylation dynamics during the mammalian life cycle</t>
  </si>
  <si>
    <t>PMC3785964</t>
  </si>
  <si>
    <t>PTRSLSBBS</t>
  </si>
  <si>
    <t>Cell and tissue polarity in the intestinal tract during tumourigenesis: cells still know the right way up, but tissue organization is lost.</t>
  </si>
  <si>
    <t>Photochemical and Photobiological Sciences</t>
  </si>
  <si>
    <t>PPS</t>
  </si>
  <si>
    <t>Investigating the effects and mechanisms of action of different wavelengths of ultraviolet B (UVB) radiation on the treatment of psoriasis</t>
  </si>
  <si>
    <t>Physics in Biology and Medicine</t>
  </si>
  <si>
    <t>PBM</t>
  </si>
  <si>
    <t>Visualization of small lesions in rat cartilage by means of laboratory-based x-ray phase contrast imaging</t>
  </si>
  <si>
    <t>Plant Biotechnology Journal</t>
  </si>
  <si>
    <t>Characterization and downstream mannose phosphorylation of human recombinant a-L-iduronidase produced in Arabidopsis complex glycan-deficient (cgl) seeds</t>
  </si>
  <si>
    <t>Plos</t>
  </si>
  <si>
    <t>PLOPLOS</t>
  </si>
  <si>
    <t>Understanding support for complementary and alternative medicine in general populations: use and perceived efficacy</t>
  </si>
  <si>
    <t>The Role of Clathrin in post-Golgi Trafficking in Toxoplasma gondii</t>
  </si>
  <si>
    <t>Human and animal trypanosomes in Cote d'Ivoire form a single breeding population</t>
  </si>
  <si>
    <t>Genetic Transformation of a Clinical (Genital Tract), Plasmid-Free Isolate of Chlamydia trachomatis: Engineering the Plasmid as a Coning Vector</t>
  </si>
  <si>
    <t>PLoS Computational Biology</t>
  </si>
  <si>
    <t>Dread and the Disvalue of Future Pain</t>
  </si>
  <si>
    <t>PLoS ONE</t>
  </si>
  <si>
    <t>In-cell NMR Characterization of the Secondary Structure Populations of a Disordered Conformation of a-Synuclein within E. coli Cells</t>
  </si>
  <si>
    <t>PLOS</t>
  </si>
  <si>
    <t>Cloned defective interfering influenza virus protects ferrets from pandemic 2009 influenza A virus</t>
  </si>
  <si>
    <t>Protein interactions in Xenopus germ plasm RNP particles</t>
  </si>
  <si>
    <t>Sleep-wake sensitive mechanisms of adenosine release in the Basal forebrain of rodents: an in vitro study/</t>
  </si>
  <si>
    <t>Time to pregnancy: a computational method for using the duration of non-conception for predicting conception</t>
  </si>
  <si>
    <t>Re-axpession of IGF-II is important for Beta Cell Regeneration and Adult Mice</t>
  </si>
  <si>
    <t>Localisation of RNAs into the Germ Plasm of Viellogenic Xenopus Oocytes</t>
  </si>
  <si>
    <t>Cytosolic entry of Shiga-like toxin A chain from the yeast endoplasmic reticulum requires catalytica</t>
  </si>
  <si>
    <t>PLoS Biology</t>
  </si>
  <si>
    <t>PLOB</t>
  </si>
  <si>
    <t>Radar tracking and motion-sensitive cameras on flowers reveal the development of pollinator multi-destination routes over large spacial scales</t>
  </si>
  <si>
    <t>PMC3720247</t>
  </si>
  <si>
    <t>Anthranilate fluorescence marks a calcium-propagated necrotic wave that promotes organismal death in C. elegans</t>
  </si>
  <si>
    <t>PMC3744396</t>
  </si>
  <si>
    <t>Spike triggered hormone secretion in vasopressin cells; a model investigation of mechanism and heterogeneous population function</t>
  </si>
  <si>
    <t>The Convallis rule for unsupervised learning in cortical networks</t>
  </si>
  <si>
    <t>PMC3610625</t>
  </si>
  <si>
    <t>Outlier Responses Reflect Sensitivity to Statistical Structure in the Human Brain</t>
  </si>
  <si>
    <t>PMC3623704</t>
  </si>
  <si>
    <t>Reduced lateral mobility of lipids and proteins in crowded membranes</t>
  </si>
  <si>
    <t>PMC3623702</t>
  </si>
  <si>
    <t>Formation of raft-like assemblies within clusters of influenza hemagglutinin observed by MD simulations</t>
  </si>
  <si>
    <t>PMC3048377</t>
  </si>
  <si>
    <t>Quantification of the relative importance of CTL, B cell, NK cell, and target cell limitation in the control of primary SIV-infection</t>
  </si>
  <si>
    <t>PMC3531293</t>
  </si>
  <si>
    <t>Phylodynamic inference and model assessment with Approximate Bayesian Computation: influenza as a case study</t>
  </si>
  <si>
    <t>PMC3182865</t>
  </si>
  <si>
    <t>Why don't CD8+ T cells reduce the lifespan of SIV-infected cells in vivo?</t>
  </si>
  <si>
    <t>PMC3610635</t>
  </si>
  <si>
    <t>Systems model of T cell receptor proximal signaling reveals emergent ultrasensitivity</t>
  </si>
  <si>
    <t>PMC3681601</t>
  </si>
  <si>
    <t>PLoS Genetics</t>
  </si>
  <si>
    <t>PLOG</t>
  </si>
  <si>
    <t>Meiosis-specific stable binding of Augmin to acentrosomal spindle poles promotes biased microtubule assembly in oocytes</t>
  </si>
  <si>
    <t>PMC3715439</t>
  </si>
  <si>
    <t>Strabismus promotes recruitment and degradation of farnesylated Prickle in Drosophila planar polarity specification</t>
  </si>
  <si>
    <t>PMC3715547</t>
  </si>
  <si>
    <t>Trans-ancestral Studies Fine Map the SLE-Susceptibility LOcus TNFSF4</t>
  </si>
  <si>
    <t>PMC3527205</t>
  </si>
  <si>
    <t>Genes contributing to pain sensitivity in the normal population: an exome sequencing study</t>
  </si>
  <si>
    <t>PMC3527207</t>
  </si>
  <si>
    <t>Population genomics of the Wolbachia endosymbiont in Drosophila melanogaster</t>
  </si>
  <si>
    <t>PMC3521700</t>
  </si>
  <si>
    <t>A genome-wide RNAi screen reveals MAP kinase phosphatases as key ERK pathway regulators during embryonic stem cell differentiation</t>
  </si>
  <si>
    <t>PMC3836716</t>
  </si>
  <si>
    <t>Pathways-driven sparse regression identifies pathways and genes associated with high-density lipoprotein cholesterol in two asian cohorts</t>
  </si>
  <si>
    <t>PMC3688519</t>
  </si>
  <si>
    <t>Horizontally Acquired Glycosyltransferase Operons Drive Salmonellae Lipopolysaccharide Diversity</t>
  </si>
  <si>
    <t>PMC3814327</t>
  </si>
  <si>
    <t>Transcription termination and chimeric RNA formation controlled by Arabidopsis thaliana FPA and DICE</t>
  </si>
  <si>
    <t>PMC3715425</t>
  </si>
  <si>
    <t>Combinatorial Regulation of Meiotic Holliday Junction Resolution in C. elegans by HIM-6 (BLM) Helicase, SLX-4, and the SLX-1, MUS-81 and XPF-1 Nucleases</t>
  </si>
  <si>
    <t>PMC3715432</t>
  </si>
  <si>
    <t>FGF Signalling Regulates Chromatin Organisation during Neural Differentiation via Mechanisms that Can Be Uncoupled from Transcription</t>
  </si>
  <si>
    <t>PMC3585130</t>
  </si>
  <si>
    <t>The amidation step of diphthamide biosynthesis in yeast requires DPH6, a gene identified through mining the DPH1-DPH5 interaction network</t>
  </si>
  <si>
    <t>PMC3561070</t>
  </si>
  <si>
    <t>Unlocking the Bottleneck in Forward Genetics Using Whole Genome Sequencing and Identity by Descent to Isolate Causative Mutations</t>
  </si>
  <si>
    <t>E Coli Fis protein insulates the cbpA gene from uncontrolled transcription</t>
  </si>
  <si>
    <t>PMC3464202</t>
  </si>
  <si>
    <t>Cofilin-1: a Modulator of Anxiety in Mice</t>
  </si>
  <si>
    <t>PMC3441679</t>
  </si>
  <si>
    <t>H4K20me 1 contributes to down regulation of X-linked genes for C. elegans dosage compensation</t>
  </si>
  <si>
    <t>PNUTS/PP1 regulates RNAPII-mediated gene expression and is necessary for developmental growth</t>
  </si>
  <si>
    <t>PMC3662650</t>
  </si>
  <si>
    <t>Imputation-based meta-analysis of severe malaria in three African populations.</t>
  </si>
  <si>
    <t>H-NS can facilitate specific DNA-binding by RNA polymerase in AT-rich gene</t>
  </si>
  <si>
    <t>PMC3636136</t>
  </si>
  <si>
    <t>The tissue-specific RNA binding protein T-STAR controls regional splicing patterns of Neurexin pre-mRNAs in the brain</t>
  </si>
  <si>
    <t>PMC3723533</t>
  </si>
  <si>
    <t>Recombination dynamics of a human Y-chromosomal palindrome: rapid GC-biased gene conversion, multi-kilobase conversion tracts, and rare inversions</t>
  </si>
  <si>
    <t>PMC3649993</t>
  </si>
  <si>
    <t>Loss of Expression and Promoter Methylation of SLIT2 Are Associated with Sessile Serrated Adenoma Formation.</t>
  </si>
  <si>
    <t>PMC3681629</t>
  </si>
  <si>
    <t>Causes and consequences of chromatin variation between inbred mice</t>
  </si>
  <si>
    <t>PMC3764205</t>
  </si>
  <si>
    <t>Transmission of hypervirulence traits via sexual reproduction within and between lineages of the human fungal pathogen Cryptococcus gattii</t>
  </si>
  <si>
    <t>PMC3679004</t>
  </si>
  <si>
    <t>PLoS Medicine</t>
  </si>
  <si>
    <t>PLOM</t>
  </si>
  <si>
    <t>Associations between active travel to work andn overweight, hyperension and diabetis in India: cross …..</t>
  </si>
  <si>
    <t>PMC3246446</t>
  </si>
  <si>
    <t>Risk of violent crime in epilepsy and traumatice brain injury: 35-year Swedish population study</t>
  </si>
  <si>
    <t>PMC3496665</t>
  </si>
  <si>
    <t>G6PD deficiency Prevalence and estimates of affected populations in malaria endemic countries: A geostatistical model-based map</t>
  </si>
  <si>
    <t>PMC3621740</t>
  </si>
  <si>
    <t>Herpes zoster vaccine effectiveness against incident herpes zoster and post-herpetic neuralgia in an older US population: a cohort study.</t>
  </si>
  <si>
    <t>PMC3692470</t>
  </si>
  <si>
    <t>PLOJ</t>
  </si>
  <si>
    <t>The Role of Adiposity in Cardiometabolic Traits: A Mendelian Randomization Analysis</t>
  </si>
  <si>
    <t>PMC3777881</t>
  </si>
  <si>
    <t>PLoS Neglected Tropical Diseases</t>
  </si>
  <si>
    <t>PLSNTD</t>
  </si>
  <si>
    <t>The Cost of Annual versus Biannual Community-Directed Treatment of Onchocerciasis</t>
  </si>
  <si>
    <t>PMC3486906</t>
  </si>
  <si>
    <t>Toxocara seropositive atopy and wheezing in children living in poor neighbourhoods in urban Latin.</t>
  </si>
  <si>
    <t>PMC3125142</t>
  </si>
  <si>
    <t>Evidence of Gene Conversion in Genes Encoding the Gal/GalNac Lectin Complex of Entamoeba</t>
  </si>
  <si>
    <t>PMC3527350</t>
  </si>
  <si>
    <t>Post-operative recurrent trachomatous trichiasis is associated with increased conjunctival expression of S100A7 (psoriasin).</t>
  </si>
  <si>
    <t>PMC3508895</t>
  </si>
  <si>
    <t>Body mass index and self-perception of overweight and obesity in rural, urban, and rural-to-urban migrants: Peru Migrants</t>
  </si>
  <si>
    <t>PMC3554572</t>
  </si>
  <si>
    <t>The use of bivariate spatial modeling of questionnaire and parasitology data to predict the distribu</t>
  </si>
  <si>
    <t>PMC3510075</t>
  </si>
  <si>
    <t>A static-cidal assay for Trypanosoma brucei to aid hit prioritisation for progression into drug discovery programmes.</t>
  </si>
  <si>
    <t>A long neglected world malaria map: Plasmodium vivax endemicity in 2012</t>
  </si>
  <si>
    <t>PMC3610642</t>
  </si>
  <si>
    <t>A Wolbachia Wmel Traninfection</t>
  </si>
  <si>
    <t>PMC3777894</t>
  </si>
  <si>
    <t>Temephos Resistance in Aedes aegypti in Colombia Compromises Dengue Vector Control</t>
  </si>
  <si>
    <t>PMC3597489</t>
  </si>
  <si>
    <t>Conjunctival MicroRNA expression in inflammatory trachomatous scarring ....</t>
  </si>
  <si>
    <t>PMC3584999</t>
  </si>
  <si>
    <t>Proteomic selection of immunodiagnostic antigens for human African trypanosomiasis and generation of a prototype lateral flow immunodiagnostic device</t>
  </si>
  <si>
    <t>PMC3610885</t>
  </si>
  <si>
    <t>Arginase Activity - A Marker of Disease Status in Patients with Visceral Leishmaniasis in Ethiopia</t>
  </si>
  <si>
    <t>PMC3636241</t>
  </si>
  <si>
    <t>Uncertainty surrounding projections of the long-term impact of ivermectin treatment for human onchocerciasis</t>
  </si>
  <si>
    <t>PMC3547864</t>
  </si>
  <si>
    <t>Arginase Activity in the Blood of Patients with Visceral Leishmaniasis and HIV Infection</t>
  </si>
  <si>
    <t>PMC3542187</t>
  </si>
  <si>
    <t>Evaluation of rK39 Rapid Diagnostic Tests for Canine Visceral Leishmaniasis: Longitudinal Study and Meta-Analysis</t>
  </si>
  <si>
    <t>Refining the global spatial limits of dengue virus transmission by evidence-based consensus</t>
  </si>
  <si>
    <t>PMC3605285</t>
  </si>
  <si>
    <t>A cell-surface phylome for African Trypanosomes</t>
  </si>
  <si>
    <t>PMC3772069</t>
  </si>
  <si>
    <t>Sex-biased expression of microRNAs in Schistosoma mansoni</t>
  </si>
  <si>
    <t>PMC3772013</t>
  </si>
  <si>
    <t>The functional, social and economic impact of Acute Encephalitis Syndrome in Nepal - a longitudinal follow-up study.</t>
  </si>
  <si>
    <t>Direct interaction between EgFABP1, a fatty acid binding protien form Echinoccocus granulosus and membranes</t>
  </si>
  <si>
    <t>PMC3493395</t>
  </si>
  <si>
    <t>PLONTD</t>
  </si>
  <si>
    <t>Chitinase 3-like 1 protein levels are elevated in Schistosoma haematobium infected children</t>
  </si>
  <si>
    <t>PMC3566186</t>
  </si>
  <si>
    <t>PLOONE</t>
  </si>
  <si>
    <t>A Method for Positive and Negative Selection of Plasmodium falciparum Platelet-Mediated Clumping Parasites</t>
  </si>
  <si>
    <t>PMC3694955</t>
  </si>
  <si>
    <t>On the importance of countergradients for the development of retinotopy: Insights from a generalised Insights from a generalised</t>
  </si>
  <si>
    <t>PMC3729655</t>
  </si>
  <si>
    <t>Telomeric repeats facilitate CENP-ACnp1 incorporation via telomere binding proteins</t>
  </si>
  <si>
    <t>PMC3774797</t>
  </si>
  <si>
    <t>The effect of anti-rosetting agents against malaria parasites under physiological flow conditions</t>
  </si>
  <si>
    <t>PMC3620162</t>
  </si>
  <si>
    <t>Modification of the FoxP3 transcription factor principally affects inducible T regulatory cells in a model of experimental autoimmune encephalomyelitis</t>
  </si>
  <si>
    <t>PMC3694164</t>
  </si>
  <si>
    <t>Regulation of Trypanosoma brusei total and polysomal MRNA during development within its mammalian host</t>
  </si>
  <si>
    <t>PMC3669132</t>
  </si>
  <si>
    <t>Localised JAK/STAT pathway activation is required for Drosophila wing hinge development</t>
  </si>
  <si>
    <t>PMC3517619</t>
  </si>
  <si>
    <t>HCN1 and HCN2 in Rat DRG Neurons: Levels in Nociceptors and Non-Nociceptors, NT3-Dependence and Influence of CFA-Induced Skin Inflammation on HCN2 and NT3 Expression</t>
  </si>
  <si>
    <t>PMC3498109</t>
  </si>
  <si>
    <t>Fetal alcohol exposure and IQ at age 8: Evidence from a population-based birth-cohort study</t>
  </si>
  <si>
    <t>PMC3515553</t>
  </si>
  <si>
    <t>Vitamin B-12 status during pregnancy and child’s IQ at age 8: A Mendelian randomization study in the Avon Longitudinal Study of Parents and Children</t>
  </si>
  <si>
    <t>PMC3522679</t>
  </si>
  <si>
    <t>Validation of Dual Energy X-ray Absorptiometry measures of abdominal fat by comparison with magnetic resonance imaging in an Indian population</t>
  </si>
  <si>
    <t>PMC3485223</t>
  </si>
  <si>
    <t>Associations of different phenotypes of wheezing illness in early childhood with environmental variables implicated in the aetiology of asthma</t>
  </si>
  <si>
    <t>PMC3547059</t>
  </si>
  <si>
    <t>"Involvement of EphB1 receptors signalling in models of inflammatory and neuropathic pain" PONE-D-12-21867</t>
  </si>
  <si>
    <t>PMC3573029</t>
  </si>
  <si>
    <t>Reactive oxygen species modulate the barrier function of the human glomerular endothelial glycocalyx</t>
  </si>
  <si>
    <t>PMC3797097</t>
  </si>
  <si>
    <t>Molecular phylogeny of a RING E3 ubiquitin ligase, conserved in eukaryotic cells and dominated by homologous components, the muskelin/RanBPM/CTLH complex</t>
  </si>
  <si>
    <t>PMC3769269</t>
  </si>
  <si>
    <t>Chronic pravastatin but not atorvastatin treatment impairs cognitive function in two rodent models of learning and memory</t>
  </si>
  <si>
    <t>PMC3782430</t>
  </si>
  <si>
    <t>Expression of HIV-1 Vpu Leads to Loss of the Viral Restriction Factor CD317/Tetherin from Lipid Rafts and its Enhanced Lysosomal Degradation</t>
  </si>
  <si>
    <t>PMC3675909</t>
  </si>
  <si>
    <t>Anti-Müllerian hormone is not associated with cardiometabolic risk factors in adolescent females</t>
  </si>
  <si>
    <t>PMC3661540</t>
  </si>
  <si>
    <t>Prolonged internal displacement and common mental disorders in Sri Lanka_ the COMRAID study</t>
  </si>
  <si>
    <t>PMC3706442</t>
  </si>
  <si>
    <t>Genetics of callous-unemotional behavior in children</t>
  </si>
  <si>
    <t>PMC3711905</t>
  </si>
  <si>
    <t>Automated, high accuracy classification of Parkinsonian disorders: a pattern recognition approach</t>
  </si>
  <si>
    <t>PMC3543450</t>
  </si>
  <si>
    <t>How well are Malaria Maps used to design and finance Malaria control in Africa</t>
  </si>
  <si>
    <t>PMC3686740</t>
  </si>
  <si>
    <t>Neighbourhood, route and workplace-related environmental characteristics predict adults' mode of travel to work</t>
  </si>
  <si>
    <t>PMC3712012</t>
  </si>
  <si>
    <t>Socioeconomic inequalities in non-communicable diseases prevalence in India: disparities between . . .</t>
  </si>
  <si>
    <t>PMC3462185</t>
  </si>
  <si>
    <t>Superantigenic activity of emm3 streptococcus pyogenes is abrogated by conserved naturally occuring smeZ mutation</t>
  </si>
  <si>
    <t>PMC3701544</t>
  </si>
  <si>
    <t>Towards Clinical Molecular Diagnosis of Inherited Cardiac Conditions: A Comparison of Bench-Top Genome DNA Sequencers</t>
  </si>
  <si>
    <t>PMC3695900</t>
  </si>
  <si>
    <t>Determinants of change in children's sedentary time</t>
  </si>
  <si>
    <t>PMC3541403</t>
  </si>
  <si>
    <t>Health Impact Modelling of Active Travel Visions for England and Wales using an Integrated Transport and Health Impact Modelling tool (ITHIM)</t>
  </si>
  <si>
    <t>PMC3548897</t>
  </si>
  <si>
    <t>Mast cells express 11β-hydroxysteroid dehydrogenase type 1: a role in restraining mast cell degranulation.</t>
  </si>
  <si>
    <t>PMC3474786</t>
  </si>
  <si>
    <t>Hypertension and obesity in adults living in ahigh HIV prevalence rural area in South Africa</t>
  </si>
  <si>
    <t>PMC3532207</t>
  </si>
  <si>
    <t>Cell-Free (RNA) and Cell-Associated (DNA) HIV-1 and postnatal transmission through breastfeeding</t>
  </si>
  <si>
    <t>PMC3720940</t>
  </si>
  <si>
    <t>Population-based CD4 counts in a rural area in South Africa with high HIV prevalence and high antire</t>
  </si>
  <si>
    <t>PMC3749184</t>
  </si>
  <si>
    <t>High-levels of acquired drug resistance in adult patients failing first-line antiretroviral therapy</t>
  </si>
  <si>
    <t>PMC3797035</t>
  </si>
  <si>
    <t>Decreased chronic morbidity but elevated HIV associated cytokine levels in HIV-infected older adults</t>
  </si>
  <si>
    <t>Exclusive breastfeeding, diarrhoel morbidity and all-couse mortality in infnats of HIV infected</t>
  </si>
  <si>
    <t>PMC3720283</t>
  </si>
  <si>
    <t>Spatial clustering of all-cause and HIV-rlated mortality in a rural South African population.</t>
  </si>
  <si>
    <t>PMC3555827</t>
  </si>
  <si>
    <t>Comparison of alternative evidence summary and presentation formats in clinical guideline development: a mixed-method study.</t>
  </si>
  <si>
    <t>PMC3646760</t>
  </si>
  <si>
    <t>Malaria Control and the intensity of Plasmodium Falciparum Transmission in Namibia 1969-1992</t>
  </si>
  <si>
    <t>PMC3637378</t>
  </si>
  <si>
    <t>Childhood Malaria Admission Rates to Four Hospitals in Malawi between 2000 and 2010.</t>
  </si>
  <si>
    <t>PMC3691111</t>
  </si>
  <si>
    <t>Assessment of health benefits and cost-effectiveness of 10-valent and 13-valent pneumococcal conjugate vaccination in Kenyan children.</t>
  </si>
  <si>
    <t>PMC3726600</t>
  </si>
  <si>
    <t>Plasmodium falciparum vary Gene Expression Homogeneity as a Marker of the Host-Parasite Relationship under Different Levels of Naturally Acquired Immunity to Malaria.</t>
  </si>
  <si>
    <t>PMC3530465</t>
  </si>
  <si>
    <t>The Incidence and Clinical Burden of Respiratory Syncytial Virus Disease Identified through Hospital Outpatient Presentations in Kenyan Children.</t>
  </si>
  <si>
    <t>PMC3480384</t>
  </si>
  <si>
    <t>A cost effectiveness and capacity analysis for the introduction of universal rotavirus vaccination in Kenya: comparison between Rotarix and RotaTeq vaccines.</t>
  </si>
  <si>
    <t>PMC3525566</t>
  </si>
  <si>
    <t>Costs and cost-effectiveness of a mobile phone text-message reminder programmes to improve health workers' adherence to malaria guidelines in Kenya</t>
  </si>
  <si>
    <t>PMC3531328</t>
  </si>
  <si>
    <t>A Statistical Interaction between Circumsporozoite Protein-Specific T Cell and Antibody Responses and Risk of Clinical Malaria Episodes following Vaccination with RTS,S/AS01E.</t>
  </si>
  <si>
    <t>PMC3530478</t>
  </si>
  <si>
    <t>Lack of Avidity Maturation of Merozoite Antigen-Specific Antibodies with Increasing Exposure to Plasmodium falciparum amongst Children and Adults Exposed to Endemic Malaria in Kenya</t>
  </si>
  <si>
    <t>PMC3544761</t>
  </si>
  <si>
    <t>Understanding the Impact of subsidizing Artemisinin-based Combination Therapies (ACTs) in the Retail Sector - Results from Focus Group Discussion in rural Kenya</t>
  </si>
  <si>
    <t>PMC3569446</t>
  </si>
  <si>
    <t>"The words will pass with the blowing wind"; staff and parent views of the deferred consent process, with prior assent, used in an emergency fluids trial in two African hospitals</t>
  </si>
  <si>
    <t>PMC3577721</t>
  </si>
  <si>
    <t>The ratio of monocytes to lymphocytes in peripheral blood correlates with increased susceptibility to clinical malaria in Kenyan children.</t>
  </si>
  <si>
    <t>PMC3558488</t>
  </si>
  <si>
    <t>Host responses to melioidosis and tuberculosis are both dominated by interferon-mediated signalling</t>
  </si>
  <si>
    <t>PMC3471887</t>
  </si>
  <si>
    <t>Determining mycobacterium tuberculosis infection among BCG-immunised Ugandan children by T-SPOT.TB</t>
  </si>
  <si>
    <t>PMC3489689</t>
  </si>
  <si>
    <t>Spatiotemporal and functional characterisation of the plasmodium falciparum cGMP-dependent protein k</t>
  </si>
  <si>
    <t>PMC3487758</t>
  </si>
  <si>
    <t>Fibrillin-1 mutations causing Weill-Marchesani syndrome and Acromicric and Geleophysic Dysplasias</t>
  </si>
  <si>
    <t>PMC3527487</t>
  </si>
  <si>
    <t>The ETS transcription factors ELK1 and GABPA regulate different gene networks to control MCF10A breast epithelial cell migration</t>
  </si>
  <si>
    <t>PMC3519635</t>
  </si>
  <si>
    <t>Retinal arterioles narrow with increasing duration of anti-retroviral therapy in HIV infection</t>
  </si>
  <si>
    <t>PMC3547960</t>
  </si>
  <si>
    <t>Association study of 25 type 2 diabetes related loci with measures of obesity in Indian sib pairs</t>
  </si>
  <si>
    <t>PMC3769242</t>
  </si>
  <si>
    <t>Circulating antibody and memory B-Cell responses to C. difficile toxins A and B in patients with C. difficile-associated diarrhoea, inflammatory bowel disease and cystic fibrosi</t>
  </si>
  <si>
    <t>PMC3823974</t>
  </si>
  <si>
    <t>Changing use of surgical antibiotic prophylaxis in thika hospital, kenya: a quality improvement intervention with an interrupted time series design.</t>
  </si>
  <si>
    <t>Early differential gene expression in haemocytes from resistant and susceptible Biomphalaria glabrata strains in response to Schistosoma mansoni</t>
  </si>
  <si>
    <t>PMC3519837</t>
  </si>
  <si>
    <t>Long-lived Memory B-cell Responses Following BCG Vaccination</t>
  </si>
  <si>
    <t>PMC3465279</t>
  </si>
  <si>
    <t>Upper Airways Microbiota in Antibiotic-Naïve Wheezing and Healthy Infants from the Tropics of Rural Ecuador</t>
  </si>
  <si>
    <t>PMC3564847</t>
  </si>
  <si>
    <t>Generalisation of New sequence Knowledge depends on Response Modality</t>
  </si>
  <si>
    <t>IFN-alpha restriction of HIV-1</t>
  </si>
  <si>
    <t>Alterations to dendritic spine morphology, but not dendrite patterning, of cortical projection neuro</t>
  </si>
  <si>
    <t>PMC3572168</t>
  </si>
  <si>
    <t>Prevalent and incident tuberculosis are independent risk factors for mortality among patients accessing antiretroviral therapy in South Africa.</t>
  </si>
  <si>
    <t>PMC3519537</t>
  </si>
  <si>
    <t>Using Answer Set Programming to Integrate RNA Expression with Signalling Pathway Information to Infer How Mutations Affect Ageing</t>
  </si>
  <si>
    <t>PMC3548842</t>
  </si>
  <si>
    <t>Grafting of a single donor myofibre promotes hypertrophy in dystrophic mouse muscle</t>
  </si>
  <si>
    <t>PMC3790821</t>
  </si>
  <si>
    <t>Neuron-type specific functions of DNT1, DNT2 and Spz at the Drosophila neuromuscular junction</t>
  </si>
  <si>
    <t>PMC3485137</t>
  </si>
  <si>
    <t>Forgetting what was where: the fragility of object-location binding</t>
  </si>
  <si>
    <t>PMC3501466</t>
  </si>
  <si>
    <t>Stimulation of cortical myosin phosphorylation by p114RhoGEF drive cell migration and tumor cell invasion</t>
  </si>
  <si>
    <t>PMC3520920</t>
  </si>
  <si>
    <t>Degeneration of the injured cervical cord is associated with remote changes in corticospinal tract integrity and upper limb impairment.</t>
  </si>
  <si>
    <t>PMC3691227</t>
  </si>
  <si>
    <t>Quality Control Methods in Accelerometer Data Processing: Defining Minimum Wear Time</t>
  </si>
  <si>
    <t>PMC3700857</t>
  </si>
  <si>
    <t>Assaying the effect of Levodopa on the evaluation of risk in healthy humans</t>
  </si>
  <si>
    <t>PMC3572111</t>
  </si>
  <si>
    <t>There is no free won't: Antecedent brain activity predicts decisions to inhibit</t>
  </si>
  <si>
    <t>PMC3552845</t>
  </si>
  <si>
    <t>The duration of a co-occurring sound modulates visual detection performance in humans</t>
  </si>
  <si>
    <t>PMC3527382</t>
  </si>
  <si>
    <t>Modelling Temporal Stability of EPI Time Series Using Magnitude Images Acquired with Multi-Channel Receiver Coils.</t>
  </si>
  <si>
    <t>PMC3804525</t>
  </si>
  <si>
    <t>Association between socioeconomic position and tuberculosis in a large-population-based study in rural Malawi.</t>
  </si>
  <si>
    <t>Binge drinking and blood pressure: cross-sectional results of the HAPIEE Study</t>
  </si>
  <si>
    <t>PMC3788105</t>
  </si>
  <si>
    <t>Mutations in non-acid patch residues disrupt H2A.Z's association with chromatin through multiple mechanisms</t>
  </si>
  <si>
    <t>PMC3720622</t>
  </si>
  <si>
    <t>Dopaminergic neuronal imaging in genetic Parkinson's disease: insights into pathogenesis</t>
  </si>
  <si>
    <t>PMC3742662</t>
  </si>
  <si>
    <t>Fine-mapping, gene expression and splicing analysis of the disease associated LRRK2 locus</t>
  </si>
  <si>
    <t>The relationship between functional inhibition and binding for KCa2 channel blockers</t>
  </si>
  <si>
    <t>PMC3613341</t>
  </si>
  <si>
    <t>What does brain response to neutral faces tell us about major depression? Evidence from machine learning</t>
  </si>
  <si>
    <t>PMC3607553</t>
  </si>
  <si>
    <t>Subjective Size Perception Depends on Central Visual Cortical Magnification in Human V1</t>
  </si>
  <si>
    <t>PMC3621669</t>
  </si>
  <si>
    <t>Reduced Crowding and Poor Contour Detection in Schizophrenia Are Consistent with Weak Surround Inhib</t>
  </si>
  <si>
    <t>PMC3584022</t>
  </si>
  <si>
    <t>Conditional Ablation of the Choroideremia Gene Causes Age-Related Changes in Mouse Retinal Pigment Epithelium</t>
  </si>
  <si>
    <t>PMC3656939</t>
  </si>
  <si>
    <t>Using High Angular Resolution Diffusion Imaging Data to Discriminate Cortical Regions</t>
  </si>
  <si>
    <t>Trp RNA-binding attenuation protein: modifying symmetry and stability of a circular oligomer</t>
  </si>
  <si>
    <t>PMC3636044</t>
  </si>
  <si>
    <t>Analysis of human protein replacement stable cell lines established using snoMEN-PR vector</t>
  </si>
  <si>
    <t>Efficient Posterior Probability Mapping using Savage-Dickey Ratios</t>
  </si>
  <si>
    <t>PMC3561448</t>
  </si>
  <si>
    <t>Primed Infusion with Delayed Equilibrium of Gd.DTPA For Enhanced Imaging of Small Pulmonary Metastases</t>
  </si>
  <si>
    <t>PMC3584030</t>
  </si>
  <si>
    <t>Corneal endothelial cells provide evidence of accelerated cellular senescence associated with HIV infection: a case-control study</t>
  </si>
  <si>
    <t>A Bovine Lymphosarcoma Cell Line Infected with Theileria annulata Exhibits an Irreversible Reconfiguration of Host Cell Gene Expression.</t>
  </si>
  <si>
    <t>PMC3606182</t>
  </si>
  <si>
    <t>The Association of BAG6 with SGTA and Tail-Anchored Proteins</t>
  </si>
  <si>
    <t>PMC3608660</t>
  </si>
  <si>
    <t>A Molecular Phylogeny of Plesiorycteropus Reassigns the Extinct Mammalian Order ‘Bibymalagasia’</t>
  </si>
  <si>
    <t>Are Ethnic and Gender Specific Equations Needed to Derive Fat Free Mass from Bioelectrical Impedance in Children of South Asian, Black African-Caribbean and White European Origin? Results of the Assessment of Body Composition in Children Study</t>
  </si>
  <si>
    <t>PMC3669307</t>
  </si>
  <si>
    <t>Generation and characterisation of Keratin 7 (K7) knockout mice</t>
  </si>
  <si>
    <t>PMC3733773</t>
  </si>
  <si>
    <t>Requirement for the eIF4E binding proteins for the synergistic down-regulation of protein synthesis</t>
  </si>
  <si>
    <t>PMC3716603</t>
  </si>
  <si>
    <t>Cost Effectiveness of Cryptococcal Antigen Screening as a Strategy to Prevent HIV-associated Cryptococcal Meningitis in South Africa</t>
  </si>
  <si>
    <t>PMC3677912</t>
  </si>
  <si>
    <t>A Modified RNA-Seq Approach for Whole Genome Sequencing of RNA Viruses from Faecal and Blood Samples</t>
  </si>
  <si>
    <t>PMC3574120</t>
  </si>
  <si>
    <t>Use of a Molecular Decoy to Segregate Transport from Antigenicity in the FrpB Iron Transporter from Neisseria meningitidis</t>
  </si>
  <si>
    <t>PMC3706476</t>
  </si>
  <si>
    <t>Blood neutrophil counts in HIV-infected patients with pulmonary tubercolosis.</t>
  </si>
  <si>
    <t>PMC3612104</t>
  </si>
  <si>
    <t>Early Warning Scores Generated in Developed Healthcare Settings Are Not Sufficient at Predicting Early Mortality in Blantyre, Malawi: A Prospective Cohort Study</t>
  </si>
  <si>
    <t>PMC3706617</t>
  </si>
  <si>
    <t>Dissociation between Dorsal and and Ventral Posterior Parietal Cortical Responses to Incidental Changes in Natural Scenes</t>
  </si>
  <si>
    <t>PMC3581475</t>
  </si>
  <si>
    <t>Cellular targets of nitric oxide in the hippocampus</t>
  </si>
  <si>
    <t>PMC3748079</t>
  </si>
  <si>
    <t>Plant SILAC: stable-isotope labelling with amino acids of arabidopsis seedlings for quantitative proteomics.</t>
  </si>
  <si>
    <t>PMC3634070</t>
  </si>
  <si>
    <t>Resistance to DDT in an urban setting: common mechanisms implicated in both M and S forms of Anopheles gambiae in the city of yaounde Cameroon</t>
  </si>
  <si>
    <t>PMC3496742</t>
  </si>
  <si>
    <t>Characterization of a novel population of low-density granulocytes associated with disease severity</t>
  </si>
  <si>
    <t>PMC3591389</t>
  </si>
  <si>
    <t>Crystal structures of the catalytic domain of human soluble guanylate cyclase.</t>
  </si>
  <si>
    <t>PMC3606301</t>
  </si>
  <si>
    <t>LKB1 mediates the development of conventional and innate T cells via AMP-dependent kinase autonomous pathways.</t>
  </si>
  <si>
    <t>PMC3655936</t>
  </si>
  <si>
    <t>How does reviewing the evidence change veterinary surgeons' beliefs regarding the treatment of ovine footrot? A quantitative and qualitative study.</t>
  </si>
  <si>
    <t>PMC3637166</t>
  </si>
  <si>
    <t>Using hormones to manage dairy cow fertility: the clinical and ethical beliefs of veterinary practitioners.</t>
  </si>
  <si>
    <t>PMC3590148</t>
  </si>
  <si>
    <t>Control of multi drug resistance and tuberculosis incidence over 23 years in the context of a well ...</t>
  </si>
  <si>
    <t>PMC3642175</t>
  </si>
  <si>
    <t>Nicotinic acid receptor GPR109A is down-regulated in human macrophage-derived foam cells</t>
  </si>
  <si>
    <t>PMC3594159</t>
  </si>
  <si>
    <t>Genetic Variants of MICB and PLCE1 and associations with non-severe dengue</t>
  </si>
  <si>
    <t>PMC3691179</t>
  </si>
  <si>
    <t>Genetic diversity of mycobacterium tuberculosis in Peru and exploration of phylogenetic associations.</t>
  </si>
  <si>
    <t>PMC3606242</t>
  </si>
  <si>
    <t>Dectin-1 regulates IL-10 production via a MSK1/2 and CREB dependent pathway and promotes the induction of regulatory macrophage markers</t>
  </si>
  <si>
    <t>PMC3694102</t>
  </si>
  <si>
    <t>Modulation of Higher Order Chromatin Conformation in Mammalian Cell Nuclei Can Be Mediated by Polyamines and Divalent Cations.</t>
  </si>
  <si>
    <t>PMC3475710</t>
  </si>
  <si>
    <t>Protein-Protein Interaction Analysis Highlights Additional Loci of Interest for Multiple Sclerosis</t>
  </si>
  <si>
    <t>PMC3636223</t>
  </si>
  <si>
    <t>Inactivation of the CovR/S Virulence Regulator Impairs Infection in an Improved Murine Model of Streptococcus pyogenes Naso-Pharyngeal Infection</t>
  </si>
  <si>
    <t>PMC3720700</t>
  </si>
  <si>
    <t>Structure of the SCAN domain of human paternally expressed gene 3 protein</t>
  </si>
  <si>
    <t>PMC3689675</t>
  </si>
  <si>
    <t>Structural insights into Clostridium perfringens Delta toxin pore formation</t>
  </si>
  <si>
    <t>PMC3790696</t>
  </si>
  <si>
    <t>Patent human infections with the whipworm, Trichuris trichiura, are not associated with alterations in the faecal microbiota</t>
  </si>
  <si>
    <t>PMC3609862</t>
  </si>
  <si>
    <t>Limitations of Augmentation Index in the Assessment of Wave Reflection in Normotensive Healthy Individuals</t>
  </si>
  <si>
    <t>PMC3579793</t>
  </si>
  <si>
    <t>Phagocytosis Is the Main CR3-Mediated Function Affected by the Lupus-Associated Variant of CD11b in Human Myeloid Cells.</t>
  </si>
  <si>
    <t>PMC3732248</t>
  </si>
  <si>
    <t>Pneumocystis jirovecii pneumonia in tropical and low and middle income countries: a systematic review and meta-regression</t>
  </si>
  <si>
    <t>PMC3767740</t>
  </si>
  <si>
    <t>Phenotypic alteration of neutrophils in the blood of HIV seropositive patients</t>
  </si>
  <si>
    <t>Historical Zoonoses and Other Changes in Host Tropism of Staphylococcus aureus, Identified by Phylogenetic Analysis of a Population Dataset</t>
  </si>
  <si>
    <t>PMC3720585</t>
  </si>
  <si>
    <t>lung macrophages contribute to house dust mite driven airway remodelling via HIF-1a</t>
  </si>
  <si>
    <t>PMC3737189</t>
  </si>
  <si>
    <t>Increasing adolescent HIV prevalence in eastern Zimbabwe - Evidence of long-term survivors of mother-to-child transmission?</t>
  </si>
  <si>
    <t>PMC3706538</t>
  </si>
  <si>
    <t>Household transmission of rotavirus in a community with rotvirus vaccination in Quininde, Ecuador</t>
  </si>
  <si>
    <t>PMC3556037</t>
  </si>
  <si>
    <t>Stimulation of inositol 1,4,5-triphosphate (IP3) receptors by analogues of IP3</t>
  </si>
  <si>
    <t>PMC3443216</t>
  </si>
  <si>
    <t>Meta-analysis of the relationship between multiple sclerosis and migraine</t>
  </si>
  <si>
    <t>PMC3557262</t>
  </si>
  <si>
    <t>Insights into the pathogenesis of enteropathogenic E.coli using improved intestinal enterocyte model</t>
  </si>
  <si>
    <t>PMC3559699</t>
  </si>
  <si>
    <t>Differential localization of the two T. brucei Poly(A) binding proteins to the nucleus and RNP granules suggests binding to distinct mRNA pools</t>
  </si>
  <si>
    <t>PMC3502435</t>
  </si>
  <si>
    <t>Atypical integration of motion signals in autism spectrum conditions</t>
  </si>
  <si>
    <t>PMC3491040</t>
  </si>
  <si>
    <t>A heat-shock protein axis regulates VEGFR2 proteolysis blood vessel development and repair</t>
  </si>
  <si>
    <t>PMC3532161</t>
  </si>
  <si>
    <t>High prevalence of Bovine Tuberculosis in Dairy cattle in Central Ethiopia: Implications for the Dai</t>
  </si>
  <si>
    <t>PMC3474824</t>
  </si>
  <si>
    <t>Functional Significance of SRJ Domain Mutations in CITED2</t>
  </si>
  <si>
    <t>PMC3509064</t>
  </si>
  <si>
    <t>The dyslexia candidate locus on 2p12 is associated with general cognitive ability and white matter</t>
  </si>
  <si>
    <t>G6f-like is an ITAM-containing collagen receptor in thrombocytes</t>
  </si>
  <si>
    <t>Pharmacological inhibition of caspase-2 protects axotomised retinal ganglion cells from apoptosis i</t>
  </si>
  <si>
    <t>PMC3519623</t>
  </si>
  <si>
    <t>Functional analysis of Leishmania cyclopropane fatty acid synthetase.</t>
  </si>
  <si>
    <t>PMC3769304</t>
  </si>
  <si>
    <t>The contribution of Orai(CRACM)1 and Orai(CRACM)2 channels in store-operated Ca2+ entry and mediator release in human lung mast cells</t>
  </si>
  <si>
    <t>PMC3510196</t>
  </si>
  <si>
    <t>Cloning and characterization of a P2X receptor expressed in the central nervous system of Lymnaea stagnalis</t>
  </si>
  <si>
    <t>PMC3785524</t>
  </si>
  <si>
    <t>Extraocular muscle atrophy and central nervous system involvement in chronic progressive external opthalmoplegia</t>
  </si>
  <si>
    <t>PMC3632543</t>
  </si>
  <si>
    <t>Mechanisms of cognitive impairment in cerebral small vessel disease: Multimodal MRI results from the St George's cognition and neuroimaging in Stroke (SCANS) study</t>
  </si>
  <si>
    <t>PMC3434208</t>
  </si>
  <si>
    <t>Candidate polymorphisms and severe malaria in a Malian population.</t>
  </si>
  <si>
    <t>PMC3655068</t>
  </si>
  <si>
    <t>Transcriptional analysis of temporal gene expression in germinating Clostridium difficile 630 endospores</t>
  </si>
  <si>
    <t>PMC3681921</t>
  </si>
  <si>
    <t>Identification and analysis of putative homologues of mechanosensitive channels in pathogenic protozoa</t>
  </si>
  <si>
    <t>PMC3686795</t>
  </si>
  <si>
    <t>CD38 Structure-Based Inhibitor Design Using the N1-Cyclic Inosine 5'-Diphosphate Ribose Template.</t>
  </si>
  <si>
    <t>PMC3680467</t>
  </si>
  <si>
    <t>Ketamine effects on memory reconsolidation favour a learning model of delusions</t>
  </si>
  <si>
    <t>AMIGO3 is an NgR1/p75 co-receptor signalling axon growth inhibition in the acute phase of adult central nervous system injury</t>
  </si>
  <si>
    <t>PMC3669425</t>
  </si>
  <si>
    <t>REXO2 is an oligoribonuclease active in humna mitochondria</t>
  </si>
  <si>
    <t>PMC3782427</t>
  </si>
  <si>
    <t>The N-terminal region of the human autophagy protein ATG16L1 contains a domain that folds into a helical structure consistent with formation of a coiled-coil</t>
  </si>
  <si>
    <t>PMC3749138</t>
  </si>
  <si>
    <t>Investigating the consequences of eIF4E2 (4EHP) interaction with 4E-Transporter on its cellular distribution in HeLa cells</t>
  </si>
  <si>
    <t>PMC3567063</t>
  </si>
  <si>
    <t>Anticipating the prevalence of avian influenza subtypes H9 and H5 in live-bird markets</t>
  </si>
  <si>
    <t>PMC3784449</t>
  </si>
  <si>
    <t>Vaccinating women previously exposed to human papillomavirus: a cost-effectiveness analysis of the bivalent vaccine</t>
  </si>
  <si>
    <t>PMC3641031</t>
  </si>
  <si>
    <t>Within-host evolution of Staphylococcus aureus during asymptomatic carriage</t>
  </si>
  <si>
    <t>PMC3646743</t>
  </si>
  <si>
    <t>Raised Intraocular pressure as a potential risk factor for visual loss in Leber Hereditary optic neuropathy</t>
  </si>
  <si>
    <t>PMC3647068</t>
  </si>
  <si>
    <t>Growth kinetics of bacterial pili from pairwise pilin association rates</t>
  </si>
  <si>
    <t>Pyrimidine Biosynthesis is not an essential function for T brucei bloodstream forms</t>
  </si>
  <si>
    <t>PMC3610929</t>
  </si>
  <si>
    <t>Site Specific Mutation of the Zic2 Locus by Microinjection of TALEN mRNA in Mouse CD1, C3H and C57BL/6J Oocytes.</t>
  </si>
  <si>
    <t>PMC3608601</t>
  </si>
  <si>
    <t>A bead aggregation assay for detection of low-affinity protein-protein interactions reveals interactions between N-terminal domains of inosital 1,4,5-trisphosphate receptors</t>
  </si>
  <si>
    <t>PMC3609805</t>
  </si>
  <si>
    <t>The role of proteasome beta subunits in Gastrin-mediated transcription of plasminogen activator inhibitor-2 and regenerating protein 1</t>
  </si>
  <si>
    <t>PMC3762823</t>
  </si>
  <si>
    <t>Are bisphosphonates effective in the treatment of osteoarthritis pain? A meta-analysis and systematic review.</t>
  </si>
  <si>
    <t>PMC3696104</t>
  </si>
  <si>
    <t>A prospective longitudinal study of the clinical outcomes from cryptococcal meningitis following treatment induction with 800mg oral fluconazole in Blantyre, Malawi</t>
  </si>
  <si>
    <t>PMC3701006</t>
  </si>
  <si>
    <t>Parents' agendas in paediatric clinical trial recruitment are different from researchers' and often remain unvoiced: A qualitative study</t>
  </si>
  <si>
    <t>PMC3759422</t>
  </si>
  <si>
    <t>Thyrotropin-releasing hormone (TRH) promotes wound re-epithelialisation in frog and human skin</t>
  </si>
  <si>
    <t>PMC3640068</t>
  </si>
  <si>
    <t>The AgI/II Family Adhesin AspA Is Required for Respiratory Infection by Streptococcus pyogenes</t>
  </si>
  <si>
    <t>PMC3585173</t>
  </si>
  <si>
    <t>Stimulation of inositol 1,4,5-triphosphate (IP3) receptors by adenophostin and its analogs</t>
  </si>
  <si>
    <t>PMC3726763</t>
  </si>
  <si>
    <t>The potential impact of improving appropriate treatment for fever on malaria and non-malarial febrile illness management in under-5s: a decision-tree modelling approach</t>
  </si>
  <si>
    <t>PMC3711559</t>
  </si>
  <si>
    <t>LC-MS/MS confirms that COX-1 drives vascular prostacyclin whilst gene expression pattern reveals non-vascular sites of COX-2 expression</t>
  </si>
  <si>
    <t>PMC3576415</t>
  </si>
  <si>
    <t>The presence of methylation quantitative trait Loci indicates a direct genetic influence on the level of DNA methylation in adipose tissue.</t>
  </si>
  <si>
    <t>PMC3680382</t>
  </si>
  <si>
    <t>Pentrose phosphate pathway function affects tolerance to the G-quadruplex binder TMPyP4</t>
  </si>
  <si>
    <t>PMC3655956</t>
  </si>
  <si>
    <t>Imputation of Variants from the 1000 Genomes Project Modestly Improves Known Associations and can Identify Low-frequency Variant - Phenotype Associations Undetected by HapMap Based Imputation</t>
  </si>
  <si>
    <t>PMC3592866</t>
  </si>
  <si>
    <t>Solution structure of the QUA1 dimerization domain of pXqua, the Xenopus ortholog of Quaking</t>
  </si>
  <si>
    <t>Hinged Plakin Domains Provide Specialized Degrees of Articulation in Envoplakin, Periplakin and Desmoplakin</t>
  </si>
  <si>
    <t>PMC3726769</t>
  </si>
  <si>
    <t>An activating mutation reveals a second binding mode of the integrin α2 I domain to the GFOGER motif in collagens</t>
  </si>
  <si>
    <t>Caspase-2 Is Upregulated after Sciatic Nerve Transection and Its Inhibition Protects Dorsal Root Ganglion Neurons from Apoptosis after Serum Withdrawal</t>
  </si>
  <si>
    <t>Regulator of G protein signalling 14 (RGS14) regulates the activation of amb2 integrin during phagoc</t>
  </si>
  <si>
    <t>PMC3646404</t>
  </si>
  <si>
    <t>Global quantitative SILAC phosphoproteomics reveals differential phosphorylation is widespread between the procyclic and bloodstream form lifecycle stages of Trypanosoma brucei.</t>
  </si>
  <si>
    <t>Genetic imprint of vaccination on Simian/Human immunodeficiency virus type 1 transmitted viral genomes in rhesus macaques</t>
  </si>
  <si>
    <t>PMC3499358</t>
  </si>
  <si>
    <t>Genome-wide association studies reveal a simple genetic basis of resistance to naturally coevolving viruses in Drosophila melanogaster</t>
  </si>
  <si>
    <t>In vivo imaging of Trypanosome brain interactions and development of a rapid screening test for Drugs against CNS stage trypanosomiasis</t>
  </si>
  <si>
    <t>Mosaic VSG's and the sclae of Trypanosoma brucei antigenic variation</t>
  </si>
  <si>
    <t>PMC3649981</t>
  </si>
  <si>
    <t>Duplication and retention biases of essential and non-essential genes revealed by systematic knockdown</t>
  </si>
  <si>
    <t>PMC3617094</t>
  </si>
  <si>
    <t>Functional IL6R 368Ala allele impairs classical IL-6 receptor signalling and influences risk of diverse inflammatory diseases</t>
  </si>
  <si>
    <t>PMC3547931</t>
  </si>
  <si>
    <t>Reducing stock-outs of life saving Malaria Commodities using mobile phone text-messaging: SMS for life study in Kenya</t>
  </si>
  <si>
    <t>PMC3597521</t>
  </si>
  <si>
    <t>PLoS Pathogens</t>
  </si>
  <si>
    <t>PLOP</t>
  </si>
  <si>
    <t>Th2 Cell-intrinsic Hypo-responsiveness determines susceptibility to Helminth infection</t>
  </si>
  <si>
    <t>PMC3798605</t>
  </si>
  <si>
    <t>Independent pathways can transduce the life-cycle deifferentiation signal in Trypanosoma brucei</t>
  </si>
  <si>
    <t>PMC3486875</t>
  </si>
  <si>
    <t>Histone H1 plays a role in heterochromatin formation and VSG expression site silencing in Trypanosoma brucei</t>
  </si>
  <si>
    <t>Schmallenberg virus pathogenesis, tropism and interaction with the innate immune system of the host</t>
  </si>
  <si>
    <t>Lung adenocarcinoma originates from retrovirus infection of proliferating type 2 pneumocytes during pulmonary post-natal development or tissue repair</t>
  </si>
  <si>
    <t>Identification and characterization of a novel non-structural protein of bluetongue virus.</t>
  </si>
  <si>
    <t>Transmission of equine influenza virus during an outbreak is characterized by frequent mixed infections and loose transmission bottlenecks</t>
  </si>
  <si>
    <t>The Mnn2 Mannosyltransferase Family Modulates Mannoprotein Fibril Length, Immune Recognition and Virulence of Candida albicans</t>
  </si>
  <si>
    <t>PMC3610638</t>
  </si>
  <si>
    <t>DNA break site at fragile subtelomeres determines probability and mechanism of antigenic variation in African trypanosomes</t>
  </si>
  <si>
    <t>PMC3784482</t>
  </si>
  <si>
    <t>Cross-serotype Immunity Induced by Immunization with a Conserved Rhinovirus Capsid Protein</t>
  </si>
  <si>
    <t>PMC3605240</t>
  </si>
  <si>
    <t>Genome-wide Determinants of Proviral Targeting, Clonal Abundance and Expression in Natural HTLV-1 Infection</t>
  </si>
  <si>
    <t>PMC3617147</t>
  </si>
  <si>
    <t>Strongyloidiasis and Infective Dermatitis Alter Human T Lymphotropic Virus-1 Clonality in vivo</t>
  </si>
  <si>
    <t>PMC3578823</t>
  </si>
  <si>
    <t>Induction of p16(INK4a) Is the Major Barrier to Proliferation when Epstein-Barr Virus (EBV) Transforms Primary B Cells into Lymphoblastoid Cell Lines.</t>
  </si>
  <si>
    <t>PMC3764221</t>
  </si>
  <si>
    <t>The zebrafish as a new model for the in vivo study of Shigella flexneri interaction with phagocytes and bacterial autophagy</t>
  </si>
  <si>
    <t>PMC3764210</t>
  </si>
  <si>
    <t>The CLIP-domain serine protease homolog SPCLIP1 regulates complement recruitment to microbial surfaces in the malaria mosquito Anopheles gambiae</t>
  </si>
  <si>
    <t>PMC3192839</t>
  </si>
  <si>
    <t>KIR2DL2 enhances protective and detrimental HLA class I-mediated immunity in chronic viral infection</t>
  </si>
  <si>
    <t>PMC3585132</t>
  </si>
  <si>
    <t>The plasmodium berghei Ca2+/H+Exchanger, PbCAX, is essential for tolerance to environmental CA2+ DU</t>
  </si>
  <si>
    <t>The TgsGP gene is essential for resisteance to human serum in Trypanosoma brucei gambiense</t>
  </si>
  <si>
    <t>PMC3789764</t>
  </si>
  <si>
    <t>A mechanism for inhibition of DNA-PK-mediated DNA sensing by a virus</t>
  </si>
  <si>
    <t>PMC3656102</t>
  </si>
  <si>
    <t>Orthobunyavirus Ultrastructure and the Curious Tripodal Glycoprotein Spike.</t>
  </si>
  <si>
    <t>PMC3731244</t>
  </si>
  <si>
    <t>An anti-human ICAM-1 antibody inhibits rhinovirus-induced exacerbations of lung inflammation</t>
  </si>
  <si>
    <t>An Over expression screen of Toxoplasma Gondii Rab-GTPases reveals distinct transport routes to the micronemes</t>
  </si>
  <si>
    <t>PMC3585151</t>
  </si>
  <si>
    <t>Poxvirus targeting of E3 ligase Beta-TrCP by molecular mimicry: A mechanism to inhibit Nf-?B activation</t>
  </si>
  <si>
    <t>PMC3749955</t>
  </si>
  <si>
    <t>Determinants of GPI-PLC localisation to the flagellum, and access to GPI-anchored substrates in trypanosomes</t>
  </si>
  <si>
    <t>PMC3507950</t>
  </si>
  <si>
    <t>PLOSONE</t>
  </si>
  <si>
    <t>Systematic review of TST responses in people living with HIV in under-resourced settings: implications for isoniazid preventive therapy.</t>
  </si>
  <si>
    <t>PMC3517620</t>
  </si>
  <si>
    <t>Impact of anthelminthic treatment in pregnancy and childhood on immunisations, infections and eczema in childhood: a randomised controlled trial.</t>
  </si>
  <si>
    <t>PMC3806823</t>
  </si>
  <si>
    <t>Methods of identifying neisseria manigitidis carriers: a multi-centre study in the African meningitis belt.</t>
  </si>
  <si>
    <t>PMC3661537</t>
  </si>
  <si>
    <t>Rates of switching antiretroviral drugs in a primary care service in South Africa before and after introduction of Tenofovir</t>
  </si>
  <si>
    <t>PMC3777952</t>
  </si>
  <si>
    <t>Retinal Nerve Fibre Layer Thickness and Contrast Sensitivity in HIV-Infected Individuals in South Africa: A Case-Control Study.</t>
  </si>
  <si>
    <t>PMC3620205</t>
  </si>
  <si>
    <t>Association between milk and milk product consumption and anthropometric measures in adult men and women in India: a cross-sectional study.</t>
  </si>
  <si>
    <t>PMC3648513</t>
  </si>
  <si>
    <t>Alcohol-related dysfunction in working-age men in Izhevsk, Russia: an application of structural equation models to study the association with education</t>
  </si>
  <si>
    <t>PMC3760871</t>
  </si>
  <si>
    <t>Acute maternal infection and risk of pre-eclampsia: a population-base case control study.</t>
  </si>
  <si>
    <t>PMC3596319</t>
  </si>
  <si>
    <t>Effect of genital herpes on cervicovaginal HIV shedding in women co-infected with HIV AND HSV-2 in Tanzania</t>
  </si>
  <si>
    <t>PMC3712914</t>
  </si>
  <si>
    <t>Global Burden of Sickle cell Anaemia in children under Five, 2010-2050: Modelling Based on Demographics, excess Mortality and interventions</t>
  </si>
  <si>
    <t>PMC3549118</t>
  </si>
  <si>
    <t>Proceedings of the National Academy of Sciences</t>
  </si>
  <si>
    <t>PNAPNAS</t>
  </si>
  <si>
    <t>CTLA-4 controls the thymic development of both conventional and regulatory T cells through modulation of the TCR repertoire</t>
  </si>
  <si>
    <t>PMC3606975</t>
  </si>
  <si>
    <t>Membrane lipid saturation activates endoplasmic reticulum unfolded protein response transducers through their transmembrane domains</t>
  </si>
  <si>
    <t>PMC3491471</t>
  </si>
  <si>
    <t>Efficient -2 frameshifting by mammalian ribosomes to synthesize an additional arterivirus protein</t>
  </si>
  <si>
    <t>PMC3612627</t>
  </si>
  <si>
    <t>Reversible epigenetic down-regulation of MHC molecules by devil facial tumour disease illustrates immune escape by a contagious cancer</t>
  </si>
  <si>
    <t>PMC3529030</t>
  </si>
  <si>
    <t>How nature can exploit nonspecific catalytic and carbohydrate binding modules to create enzymatic specifity</t>
  </si>
  <si>
    <t>PMC2294692</t>
  </si>
  <si>
    <t>Shaping accoustic fields as a toolset for microfluidic manipulations in diagnostic technologies</t>
  </si>
  <si>
    <t>PMC3780889</t>
  </si>
  <si>
    <t>PNASPNASUSA</t>
  </si>
  <si>
    <t>Activation of the canonical IKK complex by K63/M1-linked hybrid ubiquitin chains</t>
  </si>
  <si>
    <t>PMC3612675</t>
  </si>
  <si>
    <t>PNAUSA</t>
  </si>
  <si>
    <t>Cannabinoid- and lysophosphatidylinositol-sensitive receptor GPR55 boosts neurotransmitter release at central synapses</t>
  </si>
  <si>
    <t>PMC3749971</t>
  </si>
  <si>
    <t>PNTPNTD</t>
  </si>
  <si>
    <t>The outcome of trachomatous trichiasis surgery in Ethiopia: risk factors for recurrence.</t>
  </si>
  <si>
    <t>PMC3460945</t>
  </si>
  <si>
    <t>POND</t>
  </si>
  <si>
    <t>Persistence of Hyperinvasive Meningococcal Strain types during Global spread as recorded in the PubMLST Database</t>
  </si>
  <si>
    <t>Population, Space and Place</t>
  </si>
  <si>
    <t>PSP</t>
  </si>
  <si>
    <t>Gendered Patterns of Migration in Rural South Africa</t>
  </si>
  <si>
    <t>PMC3841754</t>
  </si>
  <si>
    <t>Postgraduate Medical Journal</t>
  </si>
  <si>
    <t>POSJ</t>
  </si>
  <si>
    <t>Operator training requirements and diagnostic accuracy of Fibroscan in routine clinical practice</t>
  </si>
  <si>
    <t>PMC3664370</t>
  </si>
  <si>
    <t>Antithrombotic therapy in atrial fibrillation: aspirin is rarely the right choice</t>
  </si>
  <si>
    <t>PMC3712186</t>
  </si>
  <si>
    <t>Preventive Medicine</t>
  </si>
  <si>
    <t>PREM</t>
  </si>
  <si>
    <t>Incorporating walking or cycling into car journeys to and from work: the role of individual, workplace and environmental characteristics</t>
  </si>
  <si>
    <t>Associations between active commuting and physical activity in working adults: cross sectional results from the Commuting and Health in Cambridge study</t>
  </si>
  <si>
    <t>PMC3722482</t>
  </si>
  <si>
    <t>Associations between active commuting and physical and mental wellbeing</t>
  </si>
  <si>
    <t>PMC3509192</t>
  </si>
  <si>
    <t>Parent awareness of young children’s physical activity</t>
  </si>
  <si>
    <t>PMC3824070</t>
  </si>
  <si>
    <t>Is active travel associated with greater physical activity? The contribution of commuting and non-commuting active travel to total physical activity in adults</t>
  </si>
  <si>
    <t>PMC3636455</t>
  </si>
  <si>
    <t>Is wearing a pedometer associated with higher physical activity among adolescents?</t>
  </si>
  <si>
    <t>PMC3093473</t>
  </si>
  <si>
    <t>PNASUSA</t>
  </si>
  <si>
    <t>Crystal structures of the endoplasmic reticulum aminopeptidase-1 (ERAP1) reveal the molecular basis for N-terminal peptide trimming.</t>
  </si>
  <si>
    <t>PMC3465389</t>
  </si>
  <si>
    <t>Evidence that Viral RNAs have Evolved for Efficient. Two-stage Packaging</t>
  </si>
  <si>
    <t>PMC3712444</t>
  </si>
  <si>
    <t>Proceedings of the Royal Society B: Biological Sciences</t>
  </si>
  <si>
    <t>PROB</t>
  </si>
  <si>
    <t>Suppressors of RNAi from plant viruses are subject to episodic positive selection</t>
  </si>
  <si>
    <t>PMC3673055</t>
  </si>
  <si>
    <t>Integrating genealogical and dynamical modelling to infer escape and reversion rates in HIV epitopes</t>
  </si>
  <si>
    <t>Proceedings of the Royal Society</t>
  </si>
  <si>
    <t>PRS</t>
  </si>
  <si>
    <t>Linking the antigen archive structure to pathogen fitness in African trypanosomes</t>
  </si>
  <si>
    <t>PMC3511132</t>
  </si>
  <si>
    <t>PNAS</t>
  </si>
  <si>
    <t>SGTA antagonizes BAG6-mediated protein triage</t>
  </si>
  <si>
    <t>PMC3704016</t>
  </si>
  <si>
    <t>Inositol kinase and its product accelerate wound healing by modulating calcium levels, Rho GTPases, and F-actin assembly</t>
  </si>
  <si>
    <t>PMC2766312</t>
  </si>
  <si>
    <t>Analysis of Synthetic Lethality Reveals Genetic Interactions Between the GTPase Snu114p and snRNAs in the Catalytic Core of the Saccharomyces cerevisiae Spliceosome</t>
  </si>
  <si>
    <t>PMC3670340</t>
  </si>
  <si>
    <t>Systematic identification of conserved bacterial c-di-AMP receptor proteins</t>
  </si>
  <si>
    <t>PMC3479458</t>
  </si>
  <si>
    <t>Structural basis for the recognition and cleavage of abasic DNA in Neisseria meningitidis</t>
  </si>
  <si>
    <t>PMC3529010</t>
  </si>
  <si>
    <t>Interactions between the nucleosome histone core and Arp8 in the INO80 chromatin remodeling complex</t>
  </si>
  <si>
    <t>PMC3479523</t>
  </si>
  <si>
    <t>Selectively altering belief formation in the human brain</t>
  </si>
  <si>
    <t>PMC3538261</t>
  </si>
  <si>
    <t>Repair of the degenerate retina by photoreceptor transplantation</t>
  </si>
  <si>
    <t>PMC3557024</t>
  </si>
  <si>
    <t>Sexual reproduction and mating-type-mediated strain development in the penicillin-producing fungus Penicillium chrysogenum.</t>
  </si>
  <si>
    <t>PMC3666720</t>
  </si>
  <si>
    <t>Presynaptic maturation in auditory hair cells requires a critical period of sensory-independent spiking activity</t>
  </si>
  <si>
    <t>PMC3619373</t>
  </si>
  <si>
    <t>Neonatal antibody responses are attenuated by interferon gamma produced by NK and T cells during RSV infection</t>
  </si>
  <si>
    <t>PMC3587277</t>
  </si>
  <si>
    <t>Tapasin-related protein TAPBPR is an additional component of the MHC class I presentation pathway</t>
  </si>
  <si>
    <t>PMC3752214</t>
  </si>
  <si>
    <t>Progressive hearing loss and gradual deterioration of sensory hair bundles in the ears of mice lacking the actin-binding protein Eps8L2</t>
  </si>
  <si>
    <t>PMC3529034</t>
  </si>
  <si>
    <t>Increased lipolysis and altered lipid homeostatis protect y-synuclein-null mutant mice from diet induced obesity</t>
  </si>
  <si>
    <t>PMC3503170</t>
  </si>
  <si>
    <t>Prediction of economic choice by primate amygdala neurons</t>
  </si>
  <si>
    <t>PMC3562850</t>
  </si>
  <si>
    <t>Structure of the trypanosome haptoglobin haemoglobin receptor and implications for nutrient uptake and innate immunity</t>
  </si>
  <si>
    <t>CaBP1, a neuronal Ca2+ sensor protein, inhibits inositol trisphosphate receptors by clamping intersubunit interactions</t>
  </si>
  <si>
    <t>PMC3396515</t>
  </si>
  <si>
    <t>Multistep molecular mechanism for Bone morphogenetic protein extracellular transport in the Drosophila embryo</t>
  </si>
  <si>
    <t>PMC3568321</t>
  </si>
  <si>
    <t>Specular reflections and the estimation of shape</t>
  </si>
  <si>
    <t>PMC3606973</t>
  </si>
  <si>
    <t>Dimerization of complement factor H-related proteins modulates complement activation in vivo</t>
  </si>
  <si>
    <t>PMC3746881</t>
  </si>
  <si>
    <t>BslA is a self-assembling bacterial hydrophobin that coats the Bacillus subtilis biofilm.</t>
  </si>
  <si>
    <t>PMC3607024</t>
  </si>
  <si>
    <t>Astrocyte pathology and the absence of non-cell autonomy in an induced pluripotent stem cell model of TDP-43 proteinopathy.</t>
  </si>
  <si>
    <t>PMC3511128</t>
  </si>
  <si>
    <t>PNASPNAS</t>
  </si>
  <si>
    <t>The impact of pyrethroid resistance on operational malaria control</t>
  </si>
  <si>
    <t>PMC3009818</t>
  </si>
  <si>
    <t>Exquisite sensitivity to subsecond, picomolar nitric oxide transients conferred on cells by guanylyl cyclase-coupled receptors</t>
  </si>
  <si>
    <t>PMC3581936</t>
  </si>
  <si>
    <t>Specific DNA recognition mediated by a type IV pilin</t>
  </si>
  <si>
    <t>PMC3581986</t>
  </si>
  <si>
    <t>STAT2 deficiency and susceptibility to viral illness in humans</t>
  </si>
  <si>
    <t>PMC3491520</t>
  </si>
  <si>
    <t>Cyclooxygenase-1, not cyclooxygenase-2, is responsible for physiological production of prostracyclin in the cardiovascular system</t>
  </si>
  <si>
    <t>PMC3735249</t>
  </si>
  <si>
    <t>Adaptive noise</t>
  </si>
  <si>
    <t>PMC3673050</t>
  </si>
  <si>
    <t>PRSBBS</t>
  </si>
  <si>
    <t>Stability of within host parasite communities in a wild mammal system</t>
  </si>
  <si>
    <t>PMC3673056</t>
  </si>
  <si>
    <t>Cooperation creates selection for tactical deception</t>
  </si>
  <si>
    <t>PMC3497093</t>
  </si>
  <si>
    <t>Inferring subjective states through the observation of actions</t>
  </si>
  <si>
    <t>PMC3497249</t>
  </si>
  <si>
    <t>Grey Matter Volume in Early Human Visual Cortex Predicts Proneness to the Sound induced Flash Illusion</t>
  </si>
  <si>
    <t>PMC3574303</t>
  </si>
  <si>
    <t>Direct evidence for encoding of motion streaks in human visual cortex</t>
  </si>
  <si>
    <t>PMC3479731</t>
  </si>
  <si>
    <t>Virulence, drug sensitivity and transmission success in the rodent malaria, Plasmodium chabaudi.</t>
  </si>
  <si>
    <t>PMC3712420</t>
  </si>
  <si>
    <t>Analysis of phenotypic evolution in Dictyostelia highlights developmental plasticity as a likely consequence of colonial multicellularity</t>
  </si>
  <si>
    <t>PMC3259919</t>
  </si>
  <si>
    <t>Non-linear time series approaches in characterising mood stability and mood instability in bipolar disorder</t>
  </si>
  <si>
    <t>PMC3601848</t>
  </si>
  <si>
    <t>Protein Engineering, Design and Selection</t>
  </si>
  <si>
    <t>PEDS</t>
  </si>
  <si>
    <t>Evaluating the use of Apo-neocarzinostatin as a cell penetrating protein.</t>
  </si>
  <si>
    <t>PMC3445812</t>
  </si>
  <si>
    <t>Protein Expression and Purification</t>
  </si>
  <si>
    <t>PROP</t>
  </si>
  <si>
    <t>Analysis of conditions affecting auto-phosphorylation of human kinases during expression in bacteria</t>
  </si>
  <si>
    <t>PMC3649266</t>
  </si>
  <si>
    <t>Protein Science</t>
  </si>
  <si>
    <t>PROS</t>
  </si>
  <si>
    <t>Clostridium perfringens epsilon toxin H149A mutant as a platform for receptor binding studies</t>
  </si>
  <si>
    <t>Crystal Structure of the small GTPase Ar16/BBS3 from Trypanosoma brucei</t>
  </si>
  <si>
    <t>PMC3569869</t>
  </si>
  <si>
    <t>Proteomics</t>
  </si>
  <si>
    <t>Carbon source-induced reprogramming of the cell wall proteome and secretome modulates the adherence and drug resistance of the fungal pathogen Candida albicans</t>
  </si>
  <si>
    <t>PMC3405529</t>
  </si>
  <si>
    <t>Protist</t>
  </si>
  <si>
    <t>PRIS</t>
  </si>
  <si>
    <t>A Trypanosoma brucei protein required for maintenance of the flagellum attachment zone and flagellar pocket ER domains</t>
  </si>
  <si>
    <t>PMC3437796</t>
  </si>
  <si>
    <t>Psychological Assessment</t>
  </si>
  <si>
    <t>PSYA</t>
  </si>
  <si>
    <t>The factor structure of the autobiographical memory test in recent trauma survivors</t>
  </si>
  <si>
    <t>PMC3544544</t>
  </si>
  <si>
    <t>Psychological Medicine</t>
  </si>
  <si>
    <t>PSYM</t>
  </si>
  <si>
    <t>Patients’ beliefs about the causes, persistence and control of psychotic experiences predict take-up of effective cognitive behaviour therapy for psychosis</t>
  </si>
  <si>
    <t>The methods and outcomes of cultural adaptations of psychological treatments for depressive disorder.</t>
  </si>
  <si>
    <t>Depression is related to an absence of optimistically biased belief about future life events</t>
  </si>
  <si>
    <t>Reduced parahippocampal cortical thickness in subjects at ultra-high risk for psychosis</t>
  </si>
  <si>
    <t>Atypical Interference effect of action observation in autism spectrum conditions</t>
  </si>
  <si>
    <t>PMC3444305</t>
  </si>
  <si>
    <t>Psychological Review</t>
  </si>
  <si>
    <t>PSYR</t>
  </si>
  <si>
    <t>Generalization through the recurrent interaction of episodic memories: a model of the hippocampal system</t>
  </si>
  <si>
    <t>PMC3494454</t>
  </si>
  <si>
    <t>Psychological Science</t>
  </si>
  <si>
    <t>PSYS</t>
  </si>
  <si>
    <t>Chaotic Homes and Children's Disruptive Behavior: A Longitudinal Cross-Lagged Twin Study</t>
  </si>
  <si>
    <t>Motor Activation during the predicition of nonexecutable actions in infants</t>
  </si>
  <si>
    <t>PMC3444173</t>
  </si>
  <si>
    <t>Psychological Trauma: Theory Research, Practice and Policy</t>
  </si>
  <si>
    <t>PTT</t>
  </si>
  <si>
    <t>Investigating cognitive pathways to psychopathology: predicting depression and posttraumatic stress disorder from early responses after assault</t>
  </si>
  <si>
    <t>PMC3676742</t>
  </si>
  <si>
    <t>Psychopharmacology</t>
  </si>
  <si>
    <t>PSHO</t>
  </si>
  <si>
    <t>Divergent effects of D(2/3) receptor activation in the nucleus accumbens core and shell on impulsivity and locomotor activity in high and low impulsive rats</t>
  </si>
  <si>
    <t>PMC3636441</t>
  </si>
  <si>
    <t>Comparison of the conditioned reinforcing properties of a safety signal and appetitive stimulus: effects of d-amphetamine and anxiolytics</t>
  </si>
  <si>
    <t>PMC3824307</t>
  </si>
  <si>
    <t>Noradrenergic versus dopaminergic modulation of impulsivity, attention and monitoring behaviour in rats performing the stop-signal task: possible relevance to ADHD</t>
  </si>
  <si>
    <t>PMC3665474</t>
  </si>
  <si>
    <t>Public Health</t>
  </si>
  <si>
    <t>PUBH</t>
  </si>
  <si>
    <t>Walking and cycling to work despite reporting an unsupportive environment: insights from a mixed-method exploration of resilience</t>
  </si>
  <si>
    <t>PMC3712184</t>
  </si>
  <si>
    <t>Association between diet and physical activity and sedentary behaviours in 9-10 year old British White children</t>
  </si>
  <si>
    <t>Public Health Ethics</t>
  </si>
  <si>
    <t>PUBE</t>
  </si>
  <si>
    <t>Using social networking sites for communicable disease control: innovative contact tracing or breach of confidentiality?</t>
  </si>
  <si>
    <t>PMC3458429</t>
  </si>
  <si>
    <t>Public Health Nutrition</t>
  </si>
  <si>
    <t>PUBN</t>
  </si>
  <si>
    <t>Prevalence and risk factors for self-reported diabetes among adult men and women in India: findings from a national cross-sectional survey.</t>
  </si>
  <si>
    <t>PMC3733066</t>
  </si>
  <si>
    <t>Maternal HIV infection and other factors associated with growth outcomes of HIV-uninfected infants in Entebbe, Uganda</t>
  </si>
  <si>
    <t>PLS</t>
  </si>
  <si>
    <t>The Sec1/Munc18 protein Vps45 regulates cellular levels of its SNARE binding partners Tlg2 and Snc2 in Saccharomyces cerevisiae</t>
  </si>
  <si>
    <t>PMC3388079</t>
  </si>
  <si>
    <t>PLSONE</t>
  </si>
  <si>
    <t>T7 RNA polymerase functions in vitro without clustering</t>
  </si>
  <si>
    <t>Public.service.co.uk</t>
  </si>
  <si>
    <t>Public Service Review</t>
  </si>
  <si>
    <t>PUBR</t>
  </si>
  <si>
    <t>Laboratory Science in Tropical Medicine</t>
  </si>
  <si>
    <t>PMC3763377</t>
  </si>
  <si>
    <t>Pulmonary Pharmacology and Therapeutics</t>
  </si>
  <si>
    <t>PPT</t>
  </si>
  <si>
    <t>Pre-Clinical Studies in Cough Research: Role of Transient Receptor Potential (TRP) Channels</t>
  </si>
  <si>
    <t>PMC3488812</t>
  </si>
  <si>
    <t>PYSM</t>
  </si>
  <si>
    <t>A Comparison of the Clinical Characteristics of Women with Recurrent Major Depression with and without Suicidal Symptomolgy</t>
  </si>
  <si>
    <t>PMC3235332</t>
  </si>
  <si>
    <t>QJM: an International Journal of Medicine</t>
  </si>
  <si>
    <t>QJMAIJM</t>
  </si>
  <si>
    <t>Hepatitis C virus: current concepts and future challenges</t>
  </si>
  <si>
    <t>Risk factors for wheezing in infants born in Cuba</t>
  </si>
  <si>
    <t>Qualitative Research</t>
  </si>
  <si>
    <t>QUAR</t>
  </si>
  <si>
    <t>Picturing commuting: photovoice and seeking well-being in everyday travel</t>
  </si>
  <si>
    <t>PMC3568905</t>
  </si>
  <si>
    <t>Rapid Communications in Mass Spectrometry</t>
  </si>
  <si>
    <t>RCMS</t>
  </si>
  <si>
    <t>The role of conformational flexibility in B2, microglobulin amyloid fibril formation at neutral pH.</t>
  </si>
  <si>
    <t>PMC3021913</t>
  </si>
  <si>
    <t>Reproduction</t>
  </si>
  <si>
    <t>REPE</t>
  </si>
  <si>
    <t>Influence of energy balance on the somatotrophic axis and matrix metalloproteinase expression in the endometrium of the postpartum dairy cow</t>
  </si>
  <si>
    <t>PMC3824936</t>
  </si>
  <si>
    <t>Reproductive Medicine and Biology</t>
  </si>
  <si>
    <t>RMB</t>
  </si>
  <si>
    <t>Nuclear reprogramming of sperm and somatic nuclei in eggs and oocytes</t>
  </si>
  <si>
    <t>PMC3682634</t>
  </si>
  <si>
    <t>Reproductive Sciences</t>
  </si>
  <si>
    <t>REPS</t>
  </si>
  <si>
    <t>Priorities for Endometriosis Research: Recommendations from an International Consensus Workshop</t>
  </si>
  <si>
    <t>PMC3632752</t>
  </si>
  <si>
    <t>Research in Veterinary Science</t>
  </si>
  <si>
    <t>RESEARCHINVETERINARYSCIENCE</t>
  </si>
  <si>
    <t>Bluetongue and Epizootic Haemorrhagic Disease virus in local breeds of cattle in Kenya</t>
  </si>
  <si>
    <t>Respiration</t>
  </si>
  <si>
    <t>REIR</t>
  </si>
  <si>
    <t>Mesenchymal Stem Cells As Vectors For Lung Cancer Therapy</t>
  </si>
  <si>
    <t>PMC3570335</t>
  </si>
  <si>
    <t>Respiratory Research</t>
  </si>
  <si>
    <t>RESR</t>
  </si>
  <si>
    <t>Can spirometric norms be set using pre- or post- bronchodilator test results in older people?</t>
  </si>
  <si>
    <t>PMC3726453</t>
  </si>
  <si>
    <t>Neutrophil adhesion molecules in experimental rhinovirus infection in COPD</t>
  </si>
  <si>
    <t>PMC3577477</t>
  </si>
  <si>
    <t>Sputum mediator profiling and relationship to airway wall geometry imaging in severe asthma</t>
  </si>
  <si>
    <t>PMC3281495</t>
  </si>
  <si>
    <t>Rheumatology</t>
  </si>
  <si>
    <t>RHMA</t>
  </si>
  <si>
    <t>Dynamic regulation of glucocorticoid signalling in health and disease</t>
  </si>
  <si>
    <t>PMC3651613</t>
  </si>
  <si>
    <t>High bone mass is associated with an increased prevalence of joint replacement: a case-control study</t>
  </si>
  <si>
    <t>PMC3504671</t>
  </si>
  <si>
    <t>RNA</t>
  </si>
  <si>
    <t>RNARNA</t>
  </si>
  <si>
    <t>Kinetic analysis of pre-ribosome structure in vivo</t>
  </si>
  <si>
    <t>PMC3527725</t>
  </si>
  <si>
    <t>The association of an La module with the PABP-interacting motif PAM2 is a recurrent evolutionary process that led to the neofunctionalization of La-related proteins</t>
  </si>
  <si>
    <t>RNA Biology</t>
  </si>
  <si>
    <t>RNAB</t>
  </si>
  <si>
    <t>Human pentatricopeptide proteins- only a few and what do they do?</t>
  </si>
  <si>
    <t>PMC3672288</t>
  </si>
  <si>
    <t>The functional exchangeability of pk- and k-turns in RNA structure</t>
  </si>
  <si>
    <t>PMC3710354</t>
  </si>
  <si>
    <t>A two-stage mechanism of viral RNA campaction revealed by single molecule fluorescence</t>
  </si>
  <si>
    <t>PMC3720043</t>
  </si>
  <si>
    <t>RS2</t>
  </si>
  <si>
    <t>A sticky situation : the unexpected stability of malaria elimination</t>
  </si>
  <si>
    <t>PMC3494044</t>
  </si>
  <si>
    <t>Schizophrenia Bulletin</t>
  </si>
  <si>
    <t>SCHB</t>
  </si>
  <si>
    <t>Alterations in white matter evident before the onset of psychosis</t>
  </si>
  <si>
    <t>Social deprivation, inequality and the neighbourhood-level incidence of psychotic syndromes in East London</t>
  </si>
  <si>
    <t>PMC3686461</t>
  </si>
  <si>
    <t>Life Events and Psychosis: A Review and Meta-Analysis</t>
  </si>
  <si>
    <t>PMC3485564</t>
  </si>
  <si>
    <t>Schizophrenia Research</t>
  </si>
  <si>
    <t>SCHR</t>
  </si>
  <si>
    <t>Childhood infection and adult schizophrenia: A meta-analysis of population-based studies</t>
  </si>
  <si>
    <t>PMC3485562</t>
  </si>
  <si>
    <t>A quantitative meta-analysis of population-based studies of premorbid intelligence and schizophrenia</t>
  </si>
  <si>
    <t>PMC3516806</t>
  </si>
  <si>
    <t>SCIR</t>
  </si>
  <si>
    <t>Structure of a metal-independent bacterial glycosyltransferase that catalyzes the synthesis of histo-blood group A antigen.</t>
  </si>
  <si>
    <t>Science As Culture</t>
  </si>
  <si>
    <t>SCIC</t>
  </si>
  <si>
    <t>Walking or Waiting? Topologies of the Breeding Ground in Malaria Control</t>
  </si>
  <si>
    <t>Science-Research</t>
  </si>
  <si>
    <t>High Coverage of ART increases</t>
  </si>
  <si>
    <t>Increase in adult life expectancy</t>
  </si>
  <si>
    <t>PMC3480808</t>
  </si>
  <si>
    <t>Estimating the proportion of variation in susceptibility to multiple sclerosis captured by common SNPs.</t>
  </si>
  <si>
    <t>PMC3605607</t>
  </si>
  <si>
    <t>Homogeneous Antibody Fragment Conjugation By Disulfide Bridging Introduces 'Spinostics'</t>
  </si>
  <si>
    <t>PMC3557449</t>
  </si>
  <si>
    <t>A Weber-like law for perceptual learning</t>
  </si>
  <si>
    <t>PMC3628164</t>
  </si>
  <si>
    <t>SCIB</t>
  </si>
  <si>
    <t>The distribution of haemoglobin C and its prevalence in newborns in Africa</t>
  </si>
  <si>
    <t>PMC3672980</t>
  </si>
  <si>
    <t>Seizure</t>
  </si>
  <si>
    <t>SEUR</t>
  </si>
  <si>
    <t>Co-morbidity of epilepsy in Tanzanian children: a community-based case-control study</t>
  </si>
  <si>
    <t>PMC3496546</t>
  </si>
  <si>
    <t>Seminars in Immunopathology</t>
  </si>
  <si>
    <t>SEMI</t>
  </si>
  <si>
    <t>Trichuris muris: a model of gastrointestinal parasite infection</t>
  </si>
  <si>
    <t>PMC3765962</t>
  </si>
  <si>
    <t>Seminars in Oncology</t>
  </si>
  <si>
    <t>SEMO</t>
  </si>
  <si>
    <t>Adjuvant therapy in renal cell carcinoma - past, present, and future</t>
  </si>
  <si>
    <t>PMC3571806</t>
  </si>
  <si>
    <t>Sensors</t>
  </si>
  <si>
    <t>SEOR</t>
  </si>
  <si>
    <t>Wearable and Implantable Sensors: The patient’s Perspective</t>
  </si>
  <si>
    <t>PMC3812900</t>
  </si>
  <si>
    <t>Sexually Transmitted Infections</t>
  </si>
  <si>
    <t>Cross-sectional survey of treatment practices for urethritis at pharmacies, private clinics and government health facilities in coastal Kenya: many missed opportunities for HIV prevention.</t>
  </si>
  <si>
    <t>PMC3749517</t>
  </si>
  <si>
    <t>SEXI</t>
  </si>
  <si>
    <t>Trichomonas vaginalis virulence factors: an integrative overview</t>
  </si>
  <si>
    <t>PMC3730896</t>
  </si>
  <si>
    <t>Estimating the resources required in the roll-out of universal access to antiretroviral therapy in Zimbabwe</t>
  </si>
  <si>
    <t>PMC3492749</t>
  </si>
  <si>
    <t>SGM Open Option</t>
  </si>
  <si>
    <t>SGMO</t>
  </si>
  <si>
    <t>Ribosomal multilocus sequence typing: universal characterisation of bacteria from domain to strain</t>
  </si>
  <si>
    <t>Social Cognitive and Affective Neuroscience</t>
  </si>
  <si>
    <t>SCAN</t>
  </si>
  <si>
    <t>Social brains on drugs: tools for neuromodulation in social neuroscience</t>
  </si>
  <si>
    <t>Neural correlates of the 'good life': eudaimonic well-being is associated with insular cortex volume</t>
  </si>
  <si>
    <t>Emotion regulation modulates anticipatory brain activity that predicts emotional memory encoding in women</t>
  </si>
  <si>
    <t>PMC3635503</t>
  </si>
  <si>
    <t>Social History of Medicine</t>
  </si>
  <si>
    <t>SHM</t>
  </si>
  <si>
    <t>Refuse and the ‘Risk Society’: The Political Ecology of Risk in Inter-war Britain</t>
  </si>
  <si>
    <t>A Modern History of the Stomach</t>
  </si>
  <si>
    <t>PMC3481955</t>
  </si>
  <si>
    <t>Children's physic: medical perceptions and treatment of sick children in early modern England, c. 1580-1720</t>
  </si>
  <si>
    <t>Beyond the Medical Text: Health and Illness in Early Medieval Italian Sources</t>
  </si>
  <si>
    <t>PMC3597274</t>
  </si>
  <si>
    <t>Social Psychiatry and Psychiatric Epidemiology</t>
  </si>
  <si>
    <t>SPPE</t>
  </si>
  <si>
    <t>Abuse and other correlates of common mental disorders in youth: a cross-sectional study in Goa, India.</t>
  </si>
  <si>
    <t>PMC3529206</t>
  </si>
  <si>
    <t>Patterns of alcohol use, their correlates and impact in make drinkers: a population-based survey from Goa, India.</t>
  </si>
  <si>
    <t>PMC3405234</t>
  </si>
  <si>
    <t>Cross-national differences in questionnaires do not necessarily reflect comparable differences in disorder prevalence.</t>
  </si>
  <si>
    <t>Abuse and other correlates of Common Mental Disorders in Youth: a Cross-Sectional study in Goa, India</t>
  </si>
  <si>
    <t>Cross-national differences in questionnaires do not necesarily reflect comparable differences in disorder prevalence.</t>
  </si>
  <si>
    <t>Patterns of alcohol use, their correlates and impact in male drinkers: a population-based survey from Goa, India</t>
  </si>
  <si>
    <t>PMC3782642</t>
  </si>
  <si>
    <t>Epidemiology of childhood conduct problems in Brazil: systematic review and meta-analysis</t>
  </si>
  <si>
    <t>PMC3675686</t>
  </si>
  <si>
    <t>Social Science and Medicine</t>
  </si>
  <si>
    <t>SSM</t>
  </si>
  <si>
    <t>The impact of a lay counselor led collaborative care intervention for common mental disorders in public and private primary care: a qualitative evaluation nested in the MANAS trial in Goa, India.</t>
  </si>
  <si>
    <t>PMC3778404</t>
  </si>
  <si>
    <t>Managing misaligned paternity findings in research involving sickle cell screening in Kenya; consulting communities to inform policy</t>
  </si>
  <si>
    <t>PMC3611601</t>
  </si>
  <si>
    <t>Towards a differentiated understanding of active travel behaviour: Using social theory to explore everyday commuting</t>
  </si>
  <si>
    <t>PMC3611603</t>
  </si>
  <si>
    <t>Healthy travel and the socio-economic structure of car commuting in Cambridge, UK: A mixed-methods analysis</t>
  </si>
  <si>
    <t>PMC3560061</t>
  </si>
  <si>
    <t>The social dynamics of consent and refusal in HIV surveillance in rural South Africa Social Science and Medicine</t>
  </si>
  <si>
    <t>PMC3512055</t>
  </si>
  <si>
    <t>Household-based cash transer targeting strategies in Zimbabwe: are we reaching the most vulnerable children?</t>
  </si>
  <si>
    <t>PMC3605587</t>
  </si>
  <si>
    <t>We view that as contraceptive failure: Containing the multiplicity of contraception and abortion within Scottish reproductive healthcare</t>
  </si>
  <si>
    <t>PMC3652711</t>
  </si>
  <si>
    <t>Social Studies of Science</t>
  </si>
  <si>
    <t>SSS</t>
  </si>
  <si>
    <t>How personality became treatable: The mutual constitution of clinical knowledge and mental health law http://sss.sagepub.com/ SocialStudies of Science http://sss.sagepub.com/content/43/1/30Theonline version of this article can be found at:DOI: 10.1177/03063127124577222013 43: 30 originally published online 29 October 2012 Social Studies of Science Martyn Pickersgill</t>
  </si>
  <si>
    <t>Sociology of Health and Illness</t>
  </si>
  <si>
    <t>SHI</t>
  </si>
  <si>
    <t>The 'window of opportunity' for death after severe brain injury: Family experiences</t>
  </si>
  <si>
    <t>PMC3813989</t>
  </si>
  <si>
    <t>Risk, governance and the experience of care</t>
  </si>
  <si>
    <t>South Asian History and Culture</t>
  </si>
  <si>
    <t>SAHC</t>
  </si>
  <si>
    <t>Quinine, Mosquitoes and Empire: Reassembling Malaria in British India</t>
  </si>
  <si>
    <t>American Speech-Language-Hearing Association</t>
  </si>
  <si>
    <t>Speech Language and Hearing Research</t>
  </si>
  <si>
    <t>SLHR</t>
  </si>
  <si>
    <t>Developmental Trajectories of Verbal and Nonverbal Skills in Individuals with a History of Specific Language Impairment: From Childhood to Adolescence</t>
  </si>
  <si>
    <t>PMC344470</t>
  </si>
  <si>
    <t>SPNG</t>
  </si>
  <si>
    <t>Intracerebral immune complex formation induces inflammation in the brain that depends on Fc receptor interaction.</t>
  </si>
  <si>
    <t>PMC3489778</t>
  </si>
  <si>
    <t>Springer Science + Business Media</t>
  </si>
  <si>
    <t>SSBM</t>
  </si>
  <si>
    <t>Differential expression of extracellular matrix components in the fallopian tubes throughout the menstrual cycle</t>
  </si>
  <si>
    <t>Statistics in Medicine</t>
  </si>
  <si>
    <t>STAM</t>
  </si>
  <si>
    <t>Combining multiple imputation and meta-analysis with individual participant data</t>
  </si>
  <si>
    <t>PMC3757743</t>
  </si>
  <si>
    <t>Stem Cell Reports</t>
  </si>
  <si>
    <t>STER</t>
  </si>
  <si>
    <t>Rebuilding pluripotency from primordial germ cells</t>
  </si>
  <si>
    <t>PMC3223522</t>
  </si>
  <si>
    <t>Stem Cell Research</t>
  </si>
  <si>
    <t>Density of human bone marrow stromal cells regulates commitment to vascular lineages</t>
  </si>
  <si>
    <t>PMC3813980</t>
  </si>
  <si>
    <t>Stem Cells</t>
  </si>
  <si>
    <t>Uterine Vasculature Remodelling in Human Pregnancy Involves Functional Macro-chimerism by Endothelial Colony Forming Cells of fetal origin</t>
  </si>
  <si>
    <t>Hes1 Desynchronizes Differentiation of Pluripotent Cells by Modulating STAT3 Activity.</t>
  </si>
  <si>
    <t>PMC3593166</t>
  </si>
  <si>
    <t>Derivation and functional analysis of patient-specific induced pluripotent stem cells as an in vitro model of chronic granulomatous disease</t>
  </si>
  <si>
    <t>PMC3664106</t>
  </si>
  <si>
    <t>Matrix remodelling maintains ESC self-renewal by activating Stat3</t>
  </si>
  <si>
    <t>PMC3549627</t>
  </si>
  <si>
    <t>Stem Cells and Development</t>
  </si>
  <si>
    <t>SCD</t>
  </si>
  <si>
    <t>Mesoangioblasts Suppress T Cell Proliferation Through IDO and PGE-2 Dependent Pathways</t>
  </si>
  <si>
    <t>PMC3526787</t>
  </si>
  <si>
    <t>Structure</t>
  </si>
  <si>
    <t>STCT</t>
  </si>
  <si>
    <t>Structures of lysenin reveal a shared evolutionary origin for pore-forming proteins and its mode of sphingomyelin recognition.</t>
  </si>
  <si>
    <t>PMC3791409</t>
  </si>
  <si>
    <t>Wzi Is an Outer Membrane Lectin that Underpins Group 1 Capsule Assembly in Escherichia coli</t>
  </si>
  <si>
    <t>PMC3542428</t>
  </si>
  <si>
    <t>Functional Insights from the Crystal Structure of the N-Terminal Domain of the Prototypical Toll Receptor</t>
  </si>
  <si>
    <t>PMC3651934</t>
  </si>
  <si>
    <t>RNA tertiary interactions in a riboswitch stabilize the structure of a kink turn.</t>
  </si>
  <si>
    <t>PMC3664939</t>
  </si>
  <si>
    <t>Structure of the Catalytic Region of DNA Ligase IV in Complex with an Artemis Fragment Sheds Light on Double-Strand Break Repair</t>
  </si>
  <si>
    <t>PMC3694306</t>
  </si>
  <si>
    <t>The architecture of EssB, an integral membrane component of the type VII secretion system</t>
  </si>
  <si>
    <t>PMC3763376</t>
  </si>
  <si>
    <t>Redox-linked domain movements in the catalytic cycle of cytochrome P450 reductase</t>
  </si>
  <si>
    <t>PMC3635120</t>
  </si>
  <si>
    <t>Studies in History and Philosophy of Science Part C: Studies in History and Philosophy of Biological and Biomedical Sciences</t>
  </si>
  <si>
    <t>SHPSPC</t>
  </si>
  <si>
    <t>Making space for criminalistics: Hans Gross and fin-de-siècle CSI</t>
  </si>
  <si>
    <t>SHPSPCSHPBBS</t>
  </si>
  <si>
    <t>Natural History and Information Overload: The Case of Linnaeus</t>
  </si>
  <si>
    <t>Synapse</t>
  </si>
  <si>
    <t>SYPS</t>
  </si>
  <si>
    <t>Presynaptic pH and vesicle fusion in Drosophila larvae neurones</t>
  </si>
  <si>
    <t>PMC3661977</t>
  </si>
  <si>
    <t>Tetrahedron Letters</t>
  </si>
  <si>
    <t>TETL</t>
  </si>
  <si>
    <t>An E/Z conformational behaviour study on the trypanocidal action of lipophilic spiro carbocyclic 2,6-diketopiperazine-1-acetohydroxamic acids.</t>
  </si>
  <si>
    <t>PMC3567274</t>
  </si>
  <si>
    <t>TAJHG</t>
  </si>
  <si>
    <t>Identification of mutations in SL24A4, encoding a potassium-dependent sodium/calcium exchanger, as a cause of amelogenesis imperfecta</t>
  </si>
  <si>
    <t>PMC3397259</t>
  </si>
  <si>
    <t>THEAMERICANJOURNALOFHUMANGENETICS</t>
  </si>
  <si>
    <t>Mutations in DPAGT1 Cause a Limb-Girdle Congenital Myasthenic Syndrome with Tubular Aggregates</t>
  </si>
  <si>
    <t>PMC3135804</t>
  </si>
  <si>
    <t>Inactivation of IL11 signaling causes craniosynostosis, delayed tooth eruption, and supernumerary teeth.</t>
  </si>
  <si>
    <t>PMC3169830</t>
  </si>
  <si>
    <t>Homozygous Mutations in PXDN Cause Congential Cataract, Corneal Opacity and Developmental Glaucoma</t>
  </si>
  <si>
    <t>PMC3484648</t>
  </si>
  <si>
    <t>Discovery and Fine Mapping of Serum Protein Loci through Transethnic Meta-analysis.</t>
  </si>
  <si>
    <t>PMC3610541</t>
  </si>
  <si>
    <t>THEJ</t>
  </si>
  <si>
    <t>Subtype-selective regulation of IP3 receptors by thimerosal via cysteine residues within the IP3-binding core and suppressor domain</t>
  </si>
  <si>
    <t>PMC3631100</t>
  </si>
  <si>
    <t>Inhibition of LRRK2 kinase activity leads to dephosphorylation of Ser910/Ser935, disruption of 14-3-3 binding and altered cytoplasmic localisation</t>
  </si>
  <si>
    <t>PMC3461446</t>
  </si>
  <si>
    <t>TBJP</t>
  </si>
  <si>
    <t>Ethnic density as a buffer for psychotic experiences: findings from a national survey (EMPIRIC)</t>
  </si>
  <si>
    <t>Pattern recognition analysis of anterior cingulate cortex blood flow to classify depression polarity</t>
  </si>
  <si>
    <t>PMC3492727</t>
  </si>
  <si>
    <t>THEEMBO</t>
  </si>
  <si>
    <t>Endocytic tubules regulated by Rab GTPases 5 and 11 are used for envelopment of herpes simplex virus</t>
  </si>
  <si>
    <t>PMC3817463</t>
  </si>
  <si>
    <t>TRIAD1 and HHARI bind to and are activated by distinct neddylated Cullin-RING ligase complexes</t>
  </si>
  <si>
    <t>PMC2955965</t>
  </si>
  <si>
    <t>TEJN</t>
  </si>
  <si>
    <t>Hyperpolarization-activated ion channels as targets for nitric oxide signalling in deep cerebellar nuclei</t>
  </si>
  <si>
    <t>Asprin-triggered 15-epi lipoxin A4 predicts cyclooxygenase-2 in the lungs of LPS-treated mice but not in the circulation:implications for a clinical test</t>
  </si>
  <si>
    <t>PMC3633812</t>
  </si>
  <si>
    <t>Production, characterization, and antigen specificity of recombinant 62-71-3, a candidate monoclonal antibody for rabies rpophylasis in humans</t>
  </si>
  <si>
    <t>PMC3574292</t>
  </si>
  <si>
    <t>Flavones induce neutrophil apoptosis by down-regulation of Mcl-1 via a proteasomal-dependent pathway.</t>
  </si>
  <si>
    <t>PMC3606528</t>
  </si>
  <si>
    <t>11β-hydroxysteroid dehydrogenase type 1 deficiency in bone marrow-derived cells reduces atherosclerosis</t>
  </si>
  <si>
    <t>Tetrameric structure of SUR2B from electron microscopy of oriented single particles</t>
  </si>
  <si>
    <t>History of the Family</t>
  </si>
  <si>
    <t>THF</t>
  </si>
  <si>
    <t>Parenthood, child-rearing and fertility in England, 1850-1914</t>
  </si>
  <si>
    <t>PMC3573229</t>
  </si>
  <si>
    <t>TIJBCB</t>
  </si>
  <si>
    <t>Testoterone protects female embryonic heart H9C2 cells against severe metabolic stress by activating estrogen receptors and up-regulating IES SUR2B</t>
  </si>
  <si>
    <t>PMC3755220</t>
  </si>
  <si>
    <t>Journal of Abnormal Child Psychology and Psychiatry</t>
  </si>
  <si>
    <t>TJACPP</t>
  </si>
  <si>
    <t>The Value of Measuring Impact Alongside Symptoms in Children and Adolescents: A Longitudinal Assessment in a Community Sample.</t>
  </si>
  <si>
    <t>PMC3663556</t>
  </si>
  <si>
    <t>TJBC</t>
  </si>
  <si>
    <t>Endomembrane HRas controls vascular endothelial growth factor-induced nitric oxide synthase-mediated endothelial cell migration</t>
  </si>
  <si>
    <t>The T-cel receptor triggering apparatus is composed of monovalent or monomeric proteins</t>
  </si>
  <si>
    <t>PMC3772201</t>
  </si>
  <si>
    <t>Galactose 6-o-sulfotransferases are not required for the generation of siglec-f ligands in leukocytes or lung tissue.</t>
  </si>
  <si>
    <t>PMC3663545</t>
  </si>
  <si>
    <t>Allosteric activation of trypanosomatid deoxyhypusine synthase by a catalytically dead paralog</t>
  </si>
  <si>
    <t>PMC3630849</t>
  </si>
  <si>
    <t>Structure of a Complex Phosphoglycan Epitope from gp72 of Trypanosoma cruzi</t>
  </si>
  <si>
    <t>PMC3527912</t>
  </si>
  <si>
    <t>Structural and functional characterisation of the kindlin-1 pleckstrin homology domain</t>
  </si>
  <si>
    <t>PMC3696650</t>
  </si>
  <si>
    <t>T-Cell Receptor specifically maintained by altered thermodyamics</t>
  </si>
  <si>
    <t>PMC3785137</t>
  </si>
  <si>
    <t>TJCN</t>
  </si>
  <si>
    <t>Perceptual Integration for Qualitatively Different 3D Cues</t>
  </si>
  <si>
    <t>PMC3607403</t>
  </si>
  <si>
    <t>TJI</t>
  </si>
  <si>
    <t>GRB2-Mediated Recruitment of THEMIS to LAT Is Essential for Thymocyte Development</t>
  </si>
  <si>
    <t>PMC3532835</t>
  </si>
  <si>
    <t>TJID</t>
  </si>
  <si>
    <t>Schistosoma mansoni infection in pre-school-aged children: the development of IgE and IgG4 responses to parasite allergen-like proteins</t>
  </si>
  <si>
    <t>PMC3631608</t>
  </si>
  <si>
    <t>TJ</t>
  </si>
  <si>
    <t>T-Cell Reconstitution after Thymus Xenotransplantation Induces Hair Depigmentation and Loss</t>
  </si>
  <si>
    <t>PMC3727040</t>
  </si>
  <si>
    <t>TJN</t>
  </si>
  <si>
    <t>Integration of Texture and Disparity Cue to Surface Slant in Dorsal Visual Cortex</t>
  </si>
  <si>
    <t>PMC3724994</t>
  </si>
  <si>
    <t>Bradykinin controls pool size of sensory neurons expressing functional delta-opioid receptors</t>
  </si>
  <si>
    <t>Mechanisms for extracting a signal from noise as revealed</t>
  </si>
  <si>
    <t>PMC3619233</t>
  </si>
  <si>
    <t>TJP</t>
  </si>
  <si>
    <t>Whole-genome methylation analysis of benign and malignant colorectal tumours.</t>
  </si>
  <si>
    <t>Distinct roles of GABAB1a- and GABAB1b-containing GABAB receptors in spontaneous and evoked termination of persistent cortical activity</t>
  </si>
  <si>
    <t>TJSBMB</t>
  </si>
  <si>
    <t>Changing glucocorticoid action: 11-hydroxysteroid dehydrogenase type 1 in acute and chronic inflammation</t>
  </si>
  <si>
    <t>TJVE</t>
  </si>
  <si>
    <t>A Visual Assay to Monitor T6SS-mediated Bacterial Competition</t>
  </si>
  <si>
    <t>PMC3525981</t>
  </si>
  <si>
    <t>THEL</t>
  </si>
  <si>
    <t>Dementia incidence and mortality in middle income countries, and associations with indicators of cognitive reserve: a 10/66 Dementia Research Group cohort study</t>
  </si>
  <si>
    <t>The impact on a serogroup a meningococcal conjugate vaccine (PsA-TT) on serogroup A menigococcal meningitis and carriage in Chad.</t>
  </si>
  <si>
    <t>PMC3627205</t>
  </si>
  <si>
    <t>Effects of unconditional and conditional cash transfers on child health and development in Zimbabwe: a cluster-randomised trial</t>
  </si>
  <si>
    <t>Lancet Neurology</t>
  </si>
  <si>
    <t>THEN</t>
  </si>
  <si>
    <t>MRI investigation of the sensorimotor cortex and the corticospinal tract after acute spinal cord injury: a prospective longitudinal study</t>
  </si>
  <si>
    <t>PMC3490334</t>
  </si>
  <si>
    <t>Genetic risk factors for ischaemic stroke and its subtypes (the METASTROKE Collaboration): a meta-analysis of genome-wide association studies</t>
  </si>
  <si>
    <t>Veterinary Journal</t>
  </si>
  <si>
    <t>The role of veterinarians in equestrian sport: A comparative review of ethical issues surrounding human and equine sports medicine.</t>
  </si>
  <si>
    <t>PMC3677413</t>
  </si>
  <si>
    <t>Ivyspring International Publisher</t>
  </si>
  <si>
    <t>Theranostics</t>
  </si>
  <si>
    <t>THAN</t>
  </si>
  <si>
    <t>Exogenous Microparticles of Iron Oxide Bind to Activated Endothelial Cells but, unlike Monocytesm, do no trigger an endothelial response.</t>
  </si>
  <si>
    <t>PMC3534261</t>
  </si>
  <si>
    <t>Thorax</t>
  </si>
  <si>
    <t>THAX</t>
  </si>
  <si>
    <t>IL-25 drives remodeling in allergic airways disease induced by house dust mite</t>
  </si>
  <si>
    <t>PMC3446777</t>
  </si>
  <si>
    <t>Transient receptor potential channels mediate the tussive response to prostaglandin E2 and bradykinin</t>
  </si>
  <si>
    <t>PMC3756442</t>
  </si>
  <si>
    <t>THORAXRM</t>
  </si>
  <si>
    <t>Metformin reduces airway glucose permeability and hyperglycaemia-induced Staphylococcus aureus load independent of effects on blood glucose</t>
  </si>
  <si>
    <t>PMC3528949</t>
  </si>
  <si>
    <t>Ticks and Tick-borne Diseases</t>
  </si>
  <si>
    <t>TTD</t>
  </si>
  <si>
    <t>Tick cell culture isolation and growth of Rickettsia raoultii from Dutch Dermacentor reticulatus ticks</t>
  </si>
  <si>
    <t>PMC3761558</t>
  </si>
  <si>
    <t>Tissue Engineering Part A</t>
  </si>
  <si>
    <t>TEA</t>
  </si>
  <si>
    <t>Effects of Fiber Orientation on teh Frictional Properties and damage of regenerative Articular Cartilage Surfaces</t>
  </si>
  <si>
    <t>PMC3533787</t>
  </si>
  <si>
    <t>Traffic</t>
  </si>
  <si>
    <t>TRFI</t>
  </si>
  <si>
    <t>Chlamydiae Assemble a Pathogen Synapse to Hijack the Host Endoplasmic Reticulum</t>
  </si>
  <si>
    <t>PMC3672689</t>
  </si>
  <si>
    <t>Importin-7 Mediates Nuclear Trafficking of DNA in Mammalian Cells</t>
  </si>
  <si>
    <t>Hsc70-induced changes in clathrin-auxilin</t>
  </si>
  <si>
    <t>PMC3744763</t>
  </si>
  <si>
    <t>Postsynaptic kainate receptor recycling and surface expression is regulated by metabotropic autoreceptor signalling</t>
  </si>
  <si>
    <t>PMC3551259</t>
  </si>
  <si>
    <t>Efficient internalization of MHC I requires lysine-11 and lysine-63 mixed linkage polyubiquitin chains</t>
  </si>
  <si>
    <t>Proteomic analysis of clathrin interactions in trypanosomes reveals dynamic evolution of endocytosis</t>
  </si>
  <si>
    <t>PMC3183225</t>
  </si>
  <si>
    <t>Transactions of the Royal Society of Tropical Medicine and Hygiene</t>
  </si>
  <si>
    <t>TRSTMH</t>
  </si>
  <si>
    <t>Investigating the spatial micro-epidemiology of diseases within a point-prevalance sample: a field applicable method for rapid mappying of households using low-clost GPS-dataloggers</t>
  </si>
  <si>
    <t>PMC3641407</t>
  </si>
  <si>
    <t>Translational Psychiatry</t>
  </si>
  <si>
    <t>TRAP</t>
  </si>
  <si>
    <t>Advancing the defensive explanation for anxiety disorders: lorazepam effects on human defense are systematically modulated by personality and threat-type</t>
  </si>
  <si>
    <t>PMC3731785</t>
  </si>
  <si>
    <t>Reduced Subcortical Glutamate/Glutamine in Adults with Autism Spectrum Disorders: A [1H]MRS Study</t>
  </si>
  <si>
    <t>Trends in Cognitive Sciences</t>
  </si>
  <si>
    <t>TCS</t>
  </si>
  <si>
    <t>Models of Morality</t>
  </si>
  <si>
    <t>PMC3814186</t>
  </si>
  <si>
    <t>Trends in Genetics</t>
  </si>
  <si>
    <t>TREG</t>
  </si>
  <si>
    <t>Epigenetic factors influencing resistance to nuclear reprogramming</t>
  </si>
  <si>
    <t>PMC3605582</t>
  </si>
  <si>
    <t>Genomic modulators of the immune response.</t>
  </si>
  <si>
    <t>PMC3491314</t>
  </si>
  <si>
    <t>Trends in Microbiology</t>
  </si>
  <si>
    <t>TREM</t>
  </si>
  <si>
    <t>Evolution of virulence in opportunistic pathogens: generalism, plasticity and control</t>
  </si>
  <si>
    <t>PMC3569712</t>
  </si>
  <si>
    <t>Trends in Molecular Medicine</t>
  </si>
  <si>
    <t>TMM</t>
  </si>
  <si>
    <t>Exploring the effects of polymorphisms on cis-regulatory signal transduction response</t>
  </si>
  <si>
    <t>PMC3794160</t>
  </si>
  <si>
    <t>Trends in Neurosciences</t>
  </si>
  <si>
    <t>TREN</t>
  </si>
  <si>
    <t>Blurring the boundaries: developmental and activity-dependent determinants of neural circuits</t>
  </si>
  <si>
    <t>Cytoplasmic dynein heavy chain: the servant of many masters</t>
  </si>
  <si>
    <t>Molecular nexopathies: a new paradigm of neurodegenerative disease</t>
  </si>
  <si>
    <t>Trends in Parasitology</t>
  </si>
  <si>
    <t>Schistosomiasis in African infants and preschool children: let them now be treated!</t>
  </si>
  <si>
    <t>The Cindirella Syndrome: Why do malaria-infected cells burst at midnight?</t>
  </si>
  <si>
    <t>Infection and treatment immunizations for successful parasite vaccines</t>
  </si>
  <si>
    <t>Killing them softly: managing pathogen polymorphism and virulence in spatially variable environments.</t>
  </si>
  <si>
    <t>PMC3686680</t>
  </si>
  <si>
    <t>Trials</t>
  </si>
  <si>
    <t>TRLS</t>
  </si>
  <si>
    <t>The impact of a novel molecular TB diagnostic system in patients at high risk of TB mortality in rural South Africa.</t>
  </si>
  <si>
    <t>PMC3495012</t>
  </si>
  <si>
    <t>Lovastatin for adult patients with dengue: protocol for a randomised controlled trial.</t>
  </si>
  <si>
    <t>PMC3041663</t>
  </si>
  <si>
    <t>Cluster randomised trial in the general practice research database: 2. Secondary prevention after first stroke (eCRT STUDY): study protocol for a randomised controlled trial</t>
  </si>
  <si>
    <t>PMC3668259</t>
  </si>
  <si>
    <t>Community resource centres to improve the health of women and children in Mumbai slums: study protocol for a cluster randomized controlled trial</t>
  </si>
  <si>
    <t>PMC3750830</t>
  </si>
  <si>
    <t>Evualation of the impact of immediate versus WHO recommendations-guided ART initiation on HIV incidence.</t>
  </si>
  <si>
    <t>Tropical Medicine and International Health</t>
  </si>
  <si>
    <t>TMIH</t>
  </si>
  <si>
    <t>Reliability and accuracy of anthropometry performed by community health workers among infants under 6 months in rural Kenya.</t>
  </si>
  <si>
    <t>PMC3508281</t>
  </si>
  <si>
    <t>Tropical Animal Health and Production</t>
  </si>
  <si>
    <t>TAHP</t>
  </si>
  <si>
    <t>Low prevalence of bovine tuberculosis in Somali pastoral livestock, southeast Ethiopia</t>
  </si>
  <si>
    <t>PMC3717178</t>
  </si>
  <si>
    <t>Nutritional supplementation: the additional costs of managing children infected with HIVin resource-constrained settings</t>
  </si>
  <si>
    <t>PMC3775257</t>
  </si>
  <si>
    <t>Disengagement from care in a decentralised primary care antiretroviral treatment programme: cohort study in rural South Africa</t>
  </si>
  <si>
    <t>PMC3558801</t>
  </si>
  <si>
    <t>Preparing for national school-based deworming in Kenya: the validation and large-scale distribution of school questionnaires with urinary schistosomiasis</t>
  </si>
  <si>
    <t>Meningococcal carriage in the African meningitis belt.</t>
  </si>
  <si>
    <t>PMC3770928</t>
  </si>
  <si>
    <t>Epidemiology and control of trachoma: systamatic review</t>
  </si>
  <si>
    <t>PMC3627817</t>
  </si>
  <si>
    <t>Maternal recall of birth weight and birth size in Entebbe, Uganda</t>
  </si>
  <si>
    <t>PMC3759846</t>
  </si>
  <si>
    <t>Tuberculosis</t>
  </si>
  <si>
    <t>TURC</t>
  </si>
  <si>
    <t>Pathways of IL-1β secretion by macrophages infected with clinical Mycobacterium tuberculosis strains</t>
  </si>
  <si>
    <t>PMC3608034</t>
  </si>
  <si>
    <t>A novel assay of antimycobacterial activity and phagocytosis by human neutrophils</t>
  </si>
  <si>
    <t>Urban History</t>
  </si>
  <si>
    <t>URBH</t>
  </si>
  <si>
    <t>Leisure, economy and colonial urbanism: Darjeeling, 1835-1930</t>
  </si>
  <si>
    <t>PMC3599165</t>
  </si>
  <si>
    <t>Urolithiasis</t>
  </si>
  <si>
    <t>URIT</t>
  </si>
  <si>
    <t>Accuracy of urine pH testing in a regional metabolic renal clinic: is the dipstick accurate enough?</t>
  </si>
  <si>
    <t>PMC3763375</t>
  </si>
  <si>
    <t>Vaccine</t>
  </si>
  <si>
    <t>VAIN</t>
  </si>
  <si>
    <t>Human papillomavirus (HPV) vaccine implementation in low and middle-income countries: health system experiences and propsects.</t>
  </si>
  <si>
    <t>Cattle immunized against the pathogenic l-α-glycerol-3-phosphate oxidase of Mycoplasma mycoides subs. mycoides fail to generate neutralizing antibodies and succumb to disease on challenge ☆</t>
  </si>
  <si>
    <t>PMC3763374</t>
  </si>
  <si>
    <t>Protection against avian necrotic enteritis after immunisation with NetB genetic or formaldehyde toxoids</t>
  </si>
  <si>
    <t>PMC3404461</t>
  </si>
  <si>
    <t>Tailoring subunit vaccine immunogenicity: maximizing antibody and T cell responses by using combinations of adenovirus, poxvirus and protein-adjuvant vaccines against Plasmodium falciparum MSP1.</t>
  </si>
  <si>
    <t>PMC3740234</t>
  </si>
  <si>
    <t>Increased IgG but normal IgA anti-pneumococcal protein antibodies in lung of HIV-infected adults</t>
  </si>
  <si>
    <t>Vascular Pharmacology</t>
  </si>
  <si>
    <t>VASP</t>
  </si>
  <si>
    <t>Signal transduction and modulating pathways in Trypamine-evoked vasopressor responses of the rat isolated</t>
  </si>
  <si>
    <t>PMC3757156</t>
  </si>
  <si>
    <t>Veterinary Microbiology</t>
  </si>
  <si>
    <t>Isolation of canine Anaplasma phagocytophilum strains from clinical blood samples using the Ixodes ricinus cell line IRE/CTVM20</t>
  </si>
  <si>
    <t>Veterinary Parasitology</t>
  </si>
  <si>
    <t>Persistence of the efficacy of copper oxide wire particles against Haemonchus contortus in grazing South African goats.</t>
  </si>
  <si>
    <t>PMC3611597</t>
  </si>
  <si>
    <t>Toxocara canis: molecular basis of immune recognition and evasion</t>
  </si>
  <si>
    <t>PMC3786614</t>
  </si>
  <si>
    <t>Veterinary Record</t>
  </si>
  <si>
    <t>VETR</t>
  </si>
  <si>
    <t>Proactive dairy cattle disease control in the UK: veterinary surgeons' involvement and associated characteristics</t>
  </si>
  <si>
    <t>PMC3716626</t>
  </si>
  <si>
    <t>Veterinary Research</t>
  </si>
  <si>
    <t>Understanding foot-and-mouth disease virus transmission biology: identification of the indicators of infectiousness</t>
  </si>
  <si>
    <t>PMC3791421</t>
  </si>
  <si>
    <t>Virology</t>
  </si>
  <si>
    <t>VILO</t>
  </si>
  <si>
    <t>An essential fifth coding ORF in the sobemoviruses</t>
  </si>
  <si>
    <t>The Boulevard</t>
  </si>
  <si>
    <t>Metagenomic study of the viruses of African straw-coloured fruit bats: detection of a chiropteran poxvirus and isolation of a novel adenovirus</t>
  </si>
  <si>
    <t>PMC3190389</t>
  </si>
  <si>
    <t>Virology Journal</t>
  </si>
  <si>
    <t>VIRJ</t>
  </si>
  <si>
    <t>Label-free quantitative proteomics reveals regulation of interferon-induced protein with tetratricopeptide repeats 3 (IFIT3) and 5'-3'-exoribonuclease 2 (XRN2) during respiratory syncytial virus infection.</t>
  </si>
  <si>
    <t>Virus Research</t>
  </si>
  <si>
    <t>VIRR</t>
  </si>
  <si>
    <t>Prostratin exhibits both replication enhancing and inhibiting effects on FIV infection of feline CD4(+) T-cells</t>
  </si>
  <si>
    <t>Vision Research</t>
  </si>
  <si>
    <t>Sensitivity to numerosity is not a unique visuospatial psychophysical predictor of mathematical ability</t>
  </si>
  <si>
    <t>PMC3552157</t>
  </si>
  <si>
    <t>Perceptual learning of second order cues for layer decomposition</t>
  </si>
  <si>
    <t>PMC3472342</t>
  </si>
  <si>
    <t>Visual Neuroscience</t>
  </si>
  <si>
    <t>VISN</t>
  </si>
  <si>
    <t>Masking within and across visual dimensions: Psychophysical evidence for perceptual segregation of color and motion</t>
  </si>
  <si>
    <t>PMC3600532</t>
  </si>
  <si>
    <t>Zoonoses and Public Health</t>
  </si>
  <si>
    <t>ZPH</t>
  </si>
  <si>
    <t>Ecology of zoonotic infectious diseases in bats: current knowledge and future directions</t>
  </si>
  <si>
    <t>Data2Clean - cleaning summary</t>
  </si>
  <si>
    <t>Identifier type (PMC / PMID / both / blank)</t>
  </si>
  <si>
    <t>Rows</t>
  </si>
  <si>
    <t>Share</t>
  </si>
  <si>
    <t>Total</t>
  </si>
  <si>
    <t>PMC present in total (PMC + both)</t>
  </si>
  <si>
    <t>PMID present in total (PMID + both)</t>
  </si>
  <si>
    <t>Missing values: before vs after</t>
  </si>
  <si>
    <t>Column (original)</t>
  </si>
  <si>
    <t>Truly blank before</t>
  </si>
  <si>
    <t>'na' text before</t>
  </si>
  <si>
    <t>Other placeholder text before</t>
  </si>
  <si>
    <t>Blank after</t>
  </si>
  <si>
    <t>'na' text after</t>
  </si>
  <si>
    <t>PMID/PMCID</t>
  </si>
  <si>
    <t>Rule applied: every missing value is an empty cell. 'na', '-', 'In Process', 'Pending', 'Epub ahead of print...' and similar placeholders were blanked.</t>
  </si>
  <si>
    <t>Price outlier fence (3 x IQR): above 5422. Row 24 (7,299,879.12) was removed as an obvious error; see Review.</t>
  </si>
  <si>
    <t>Excel row</t>
  </si>
  <si>
    <t>Column</t>
  </si>
  <si>
    <t>Value</t>
  </si>
  <si>
    <t>Why it needs a human look</t>
  </si>
  <si>
    <t>7299879.12</t>
  </si>
  <si>
    <t>45.94</t>
  </si>
  <si>
    <t>13200</t>
  </si>
  <si>
    <t>6000</t>
  </si>
  <si>
    <t>5760</t>
  </si>
  <si>
    <t>Not a recognisable publisher name (or unverified) - kept as is</t>
  </si>
  <si>
    <t>Publisher/organisation name sits in the journal column - kept as is</t>
  </si>
  <si>
    <t>Ambiguous or unverifiable journal name - kept as is</t>
  </si>
  <si>
    <t>(blank)</t>
  </si>
  <si>
    <t>Journal title was 'NA' in source - now blank</t>
  </si>
  <si>
    <t>Pmedicine-D-12-03130 -&gt; PLoS Medicine</t>
  </si>
  <si>
    <t>Source had a manuscript number instead of a title; journal inferred from it</t>
  </si>
  <si>
    <t>PONE-D12-17947 -&gt; PLoS ONE</t>
  </si>
  <si>
    <t>RSTB 2012.0145 -&gt; Philosophical Transactions of the Royal Society B</t>
  </si>
  <si>
    <t>Scientific Reports-11-00861B -&gt; Scientific Reports</t>
  </si>
  <si>
    <t>Mast Cell subsets &amp; their functional modulation by the Acanthocheilonema vitae product, ES...</t>
  </si>
  <si>
    <t>Citation text appended to the title - not removed</t>
  </si>
  <si>
    <t>Original</t>
  </si>
  <si>
    <t>Cleaned</t>
  </si>
  <si>
    <t>ACS</t>
  </si>
  <si>
    <t>ACS (Amercian Chemical Society) Publications</t>
  </si>
  <si>
    <t>ACS Publications</t>
  </si>
  <si>
    <t>AMERICAN CHEMICAL SOCIETY</t>
  </si>
  <si>
    <t>American Chemical Society Publications</t>
  </si>
  <si>
    <t>The American Physiological Society</t>
  </si>
  <si>
    <t>AMBSB</t>
  </si>
  <si>
    <t>American Soc for Biochemistry and Molecular Biology</t>
  </si>
  <si>
    <t>American Society for Biochemistry and Molecular Biolgy</t>
  </si>
  <si>
    <t>ASBMB</t>
  </si>
  <si>
    <t>ASBMB Cadmus</t>
  </si>
  <si>
    <t>ASBMB/Cadmus</t>
  </si>
  <si>
    <t>ASBMB/Cenveo Publisher Services</t>
  </si>
  <si>
    <t>ASBMC /CENVEO</t>
  </si>
  <si>
    <t>The American Society for Biochemistry and Molecular Biology</t>
  </si>
  <si>
    <t>The American Society for Biochemistry and Molecular Biology, Inc</t>
  </si>
  <si>
    <t>American Society of Microbiology</t>
  </si>
  <si>
    <t>ASM</t>
  </si>
  <si>
    <t>ASM (American Society for Microbiology)</t>
  </si>
  <si>
    <t>Cenveo Publisher Services/ASM JV1</t>
  </si>
  <si>
    <t>American Society of Haematology</t>
  </si>
  <si>
    <t>American Society of Hamatology</t>
  </si>
  <si>
    <t>Association for Research in Vision &amp; Ophthalmology</t>
  </si>
  <si>
    <t>Benthan Science Publishers</t>
  </si>
  <si>
    <t>Berhahn Books</t>
  </si>
  <si>
    <t>BioMed central</t>
  </si>
  <si>
    <t>Biomed Central</t>
  </si>
  <si>
    <t>BioMed Central Limited</t>
  </si>
  <si>
    <t>BioMed Central Ltd</t>
  </si>
  <si>
    <t>BMC</t>
  </si>
  <si>
    <t>Byophysical Society</t>
  </si>
  <si>
    <t>BioScientifica</t>
  </si>
  <si>
    <t>BMJ Group</t>
  </si>
  <si>
    <t>BMJ group</t>
  </si>
  <si>
    <t>BMJ Journals</t>
  </si>
  <si>
    <t>BMJ PUBLISHING GROUP</t>
  </si>
  <si>
    <t>BMJ Publishing Group Ltd</t>
  </si>
  <si>
    <t>BMJ Publishing Group Ltd &amp; British Thoracic Society</t>
  </si>
  <si>
    <t>British Medical Journal</t>
  </si>
  <si>
    <t>Cadmus</t>
  </si>
  <si>
    <t>CADMUS JOURNAL SERVICE</t>
  </si>
  <si>
    <t>CADMUS JOURNAL SERVICES</t>
  </si>
  <si>
    <t>Camdus Journal Services</t>
  </si>
  <si>
    <t>Cambridge Journals</t>
  </si>
  <si>
    <t>Cambridge Uni Press</t>
  </si>
  <si>
    <t>Cambridge Univ Press</t>
  </si>
  <si>
    <t>CUP</t>
  </si>
  <si>
    <t>Cenveo Publisher services</t>
  </si>
  <si>
    <t>COACTION</t>
  </si>
  <si>
    <t>Cold Spring Habour Press</t>
  </si>
  <si>
    <t>Cold Spring Harbor</t>
  </si>
  <si>
    <t>Cold Spring Harbor Press</t>
  </si>
  <si>
    <t>Cold Spring Harbor Publications</t>
  </si>
  <si>
    <t>CSHLP</t>
  </si>
  <si>
    <t>Copyright Clearace Center</t>
  </si>
  <si>
    <t>Darmouth Journal Services</t>
  </si>
  <si>
    <t>Dartmouth Journals</t>
  </si>
  <si>
    <t>American Society of Human Genetics (Elsevier)</t>
  </si>
  <si>
    <t>Elseveier Science</t>
  </si>
  <si>
    <t>ELSEVIER</t>
  </si>
  <si>
    <t>Elsevier (Cell Press)</t>
  </si>
  <si>
    <t>Elsevier / Cell Science</t>
  </si>
  <si>
    <t>Elsevier B.V.</t>
  </si>
  <si>
    <t>Elsevier Ltd</t>
  </si>
  <si>
    <t>Elsevier/Cell Press</t>
  </si>
  <si>
    <t>European Society of Endocrinolog</t>
  </si>
  <si>
    <t>FASEB</t>
  </si>
  <si>
    <t>Federation of American Societies for Experimental Biology (FASEB)</t>
  </si>
  <si>
    <t>Federation of the American Society of Experimental Biology</t>
  </si>
  <si>
    <t>Frontiers Media SA</t>
  </si>
  <si>
    <t>Frontiers Research Foundation</t>
  </si>
  <si>
    <t>Future Medicine Ltd</t>
  </si>
  <si>
    <t>Hindawi Publishing Corporation</t>
  </si>
  <si>
    <t>Impact Journals LLC</t>
  </si>
  <si>
    <t>Informa Healthcare communications</t>
  </si>
  <si>
    <t>International Union Against tuberculosis and Lung Disease</t>
  </si>
  <si>
    <t>International Union of Crystallography (iucr)</t>
  </si>
  <si>
    <t>Institute of Physics</t>
  </si>
  <si>
    <t>J Med Internet Research</t>
  </si>
  <si>
    <t>JoVE</t>
  </si>
  <si>
    <t>MY JOVE CORP</t>
  </si>
  <si>
    <t>My JOVE corporation</t>
  </si>
  <si>
    <t>MYJoVE Corporation</t>
  </si>
  <si>
    <t>The Journal of Visualized Experiments</t>
  </si>
  <si>
    <t>KARGER</t>
  </si>
  <si>
    <t>Landes Biosciences</t>
  </si>
  <si>
    <t>MARY ANN LIEBERT INC</t>
  </si>
  <si>
    <t>Mary Ann Liebert, Inc. Publishers</t>
  </si>
  <si>
    <t>MIT PRESS OPEN ACCESS</t>
  </si>
  <si>
    <t>Journal of the American Physiological Proceedings of National Academy of Sciences</t>
  </si>
  <si>
    <t>National Academy of Sciences of the United States of America</t>
  </si>
  <si>
    <t>National Academy of Sciences USA</t>
  </si>
  <si>
    <t>National Academy of Sciences, USA</t>
  </si>
  <si>
    <t>PNAS Author Publication</t>
  </si>
  <si>
    <t>Proceedings of the National Academy of Sciences (PNAS)</t>
  </si>
  <si>
    <t>Nature</t>
  </si>
  <si>
    <t>Nature PG</t>
  </si>
  <si>
    <t>Nature Publishing</t>
  </si>
  <si>
    <t>Nature publishing group</t>
  </si>
  <si>
    <t>NATURE PUBLISHING GROUP LTD</t>
  </si>
  <si>
    <t>NPG</t>
  </si>
  <si>
    <t>OUP</t>
  </si>
  <si>
    <t>Oxford Journals (OUP)</t>
  </si>
  <si>
    <t>Oxford Univ Press</t>
  </si>
  <si>
    <t>OXFORD UNIVERSITY PRESS</t>
  </si>
  <si>
    <t>Oxford University Press (OUP)</t>
  </si>
  <si>
    <t>Oxford Univesity Press</t>
  </si>
  <si>
    <t>MacMillan</t>
  </si>
  <si>
    <t>Palgrave MacMillan</t>
  </si>
  <si>
    <t>Biochem Journal</t>
  </si>
  <si>
    <t>Portland press</t>
  </si>
  <si>
    <t>PORTLAND PRESS LTD</t>
  </si>
  <si>
    <t>Portland Press Ltd</t>
  </si>
  <si>
    <t>PLoS</t>
  </si>
  <si>
    <t>PLoS (Public Library of Science)</t>
  </si>
  <si>
    <t>PLoS Public Library of Science</t>
  </si>
  <si>
    <t>public.service.co.uk</t>
  </si>
  <si>
    <t>The Royal College of Psychiatrists</t>
  </si>
  <si>
    <t>Royal Society for Chemistry</t>
  </si>
  <si>
    <t>RSC</t>
  </si>
  <si>
    <t>RSC Publishing</t>
  </si>
  <si>
    <t>SAGE</t>
  </si>
  <si>
    <t>Sage</t>
  </si>
  <si>
    <t>Sage Publications</t>
  </si>
  <si>
    <t>Sage Publications Inc</t>
  </si>
  <si>
    <t>Sage Publications Ltd</t>
  </si>
  <si>
    <t>Sage Publishers</t>
  </si>
  <si>
    <t>Sage Publishing</t>
  </si>
  <si>
    <t>Publisher Society for Endocrinology</t>
  </si>
  <si>
    <t>Society for Genermal Microbiology</t>
  </si>
  <si>
    <t>Society of General Microbiology</t>
  </si>
  <si>
    <t>Society of Leukocyte Biology</t>
  </si>
  <si>
    <t>Society for Neurosciences</t>
  </si>
  <si>
    <t>SOCIETY OF NEURO SCIENCES</t>
  </si>
  <si>
    <t>Society of Neuroscience</t>
  </si>
  <si>
    <t>Humana Press (Springer Imprint)</t>
  </si>
  <si>
    <t>Springer - Verlag GMBH</t>
  </si>
  <si>
    <t>Springer Verlag</t>
  </si>
  <si>
    <t>Springer-Veriag GmbH</t>
  </si>
  <si>
    <t>SPRINGER-VERLAG GMBH</t>
  </si>
  <si>
    <t>Springer-Verlag GmbH</t>
  </si>
  <si>
    <t>Springer-Verlag GMBH &amp; Ci</t>
  </si>
  <si>
    <t>Springer-Verlag GmbH, Heidelberger Platz 3, D-14197 Berlin</t>
  </si>
  <si>
    <t>T&amp;F</t>
  </si>
  <si>
    <t>Taylor &amp; Francis</t>
  </si>
  <si>
    <t>Taylor &amp; Francis Journals</t>
  </si>
  <si>
    <t>Company of Biologist</t>
  </si>
  <si>
    <t>Company of Biologists</t>
  </si>
  <si>
    <t>Company of Biologists Ltd</t>
  </si>
  <si>
    <t>The company of Biolgists</t>
  </si>
  <si>
    <t>THE COMPANY OF BIOLOGISTS</t>
  </si>
  <si>
    <t>The company of Biologists</t>
  </si>
  <si>
    <t>The Company of Biologists Ltd</t>
  </si>
  <si>
    <t>Endocrine Society</t>
  </si>
  <si>
    <t>The Endocrine Socety</t>
  </si>
  <si>
    <t>THE ENDOCRINE SOCIETY</t>
  </si>
  <si>
    <t>The Endrocrine Society</t>
  </si>
  <si>
    <t>Royal Society</t>
  </si>
  <si>
    <t>The royal Society</t>
  </si>
  <si>
    <t>Sheridan Press</t>
  </si>
  <si>
    <t>Blackwell Publishing Ltd/Wiley</t>
  </si>
  <si>
    <t>John Wiley</t>
  </si>
  <si>
    <t>JOHN WILEY &amp; SONS</t>
  </si>
  <si>
    <t>John Wiley &amp; Sons</t>
  </si>
  <si>
    <t>John Wiley &amp; Sons Inc</t>
  </si>
  <si>
    <t>John Wiley &amp; Sons Ltd</t>
  </si>
  <si>
    <t>John Wiley &amp; Sons, Inc.</t>
  </si>
  <si>
    <t>John Wiley and Sons</t>
  </si>
  <si>
    <t>John Wiley and Sons Ltd</t>
  </si>
  <si>
    <t>Wiley &amp; Son</t>
  </si>
  <si>
    <t>Wiley Blackwell</t>
  </si>
  <si>
    <t>Wiley Online Library</t>
  </si>
  <si>
    <t>Wiley Subscription Services</t>
  </si>
  <si>
    <t>Wiley Subscription Services Inc</t>
  </si>
  <si>
    <t>Wiley Subscription Services Inc.</t>
  </si>
  <si>
    <t>Wiley Subscription Serviices Inc</t>
  </si>
  <si>
    <t>Wiley VCH</t>
  </si>
  <si>
    <t>Wiley-Blackwell</t>
  </si>
  <si>
    <t>Wiley-Blackwell, John Wiley &amp; Sons</t>
  </si>
  <si>
    <t>Wiley-VCH</t>
  </si>
  <si>
    <t>Wiley/Blackwell</t>
  </si>
  <si>
    <t>Wliey-Blackwell</t>
  </si>
  <si>
    <t>LWW</t>
  </si>
  <si>
    <t>Wolters Kluwer Health</t>
  </si>
  <si>
    <t>Wolters Kluwer N.V./Lippinott</t>
  </si>
  <si>
    <t>Wolters Kluwers</t>
  </si>
  <si>
    <t>ACS NANO</t>
  </si>
  <si>
    <t>Acta Crystallographica Section D, Biological Crystallography</t>
  </si>
  <si>
    <t>Acta Crystallographica, Section D</t>
  </si>
  <si>
    <t>Acta Crystallography D</t>
  </si>
  <si>
    <t>Acta D</t>
  </si>
  <si>
    <t>ACTA F</t>
  </si>
  <si>
    <t>Acta Dermato Venereologica</t>
  </si>
  <si>
    <t>Acta Neuropathol</t>
  </si>
  <si>
    <t>Acta Opthalmologica</t>
  </si>
  <si>
    <t>AGE</t>
  </si>
  <si>
    <t>Ageing &amp; Society</t>
  </si>
  <si>
    <t>AIDS Behav</t>
  </si>
  <si>
    <t>AIDS Care</t>
  </si>
  <si>
    <t>Alimentrary Pharmacology &amp; Therapeutics</t>
  </si>
  <si>
    <t>Am J Bioeth</t>
  </si>
  <si>
    <t>American Journal for Clinical Nutrition</t>
  </si>
  <si>
    <t>American Jnl Epidemiology</t>
  </si>
  <si>
    <t>The Americal Journal of Human Genetics</t>
  </si>
  <si>
    <t>THE AMERICAN JOURNAL OF HUMAN GENETICS</t>
  </si>
  <si>
    <t>The American Journal of Human Genetics</t>
  </si>
  <si>
    <t>American Journal of Medical Genetics Part A</t>
  </si>
  <si>
    <t>Americal Journal of Psychiatry</t>
  </si>
  <si>
    <t>Am J Trop Med Hyg</t>
  </si>
  <si>
    <t>American Journal of Tropical Medicine &amp; Hygiene</t>
  </si>
  <si>
    <t>Anal Bioanal Chem.</t>
  </si>
  <si>
    <t>Angew chems Int Ed</t>
  </si>
  <si>
    <t>Angewande Chemie</t>
  </si>
  <si>
    <t>Angewandte Chemie</t>
  </si>
  <si>
    <t>Antimicobial Agents and Chemotherapy</t>
  </si>
  <si>
    <t>Antimicrobial Agfents and Chemotherapy</t>
  </si>
  <si>
    <t>Antioxidants &amp; Redox Signaling</t>
  </si>
  <si>
    <t>Arthritis &amp; Rheumatism</t>
  </si>
  <si>
    <t>Arthritis Research &amp; Therapy</t>
  </si>
  <si>
    <t>Behavior Research and Therapy</t>
  </si>
  <si>
    <t>Biochemical Journals</t>
  </si>
  <si>
    <t>The Biochemical Journal</t>
  </si>
  <si>
    <t>BIOCHEM SOC TRANS</t>
  </si>
  <si>
    <t>Biochimica et Bioohysica Acta - Gene Regulatory Mechanisms</t>
  </si>
  <si>
    <t>BBA - Molecular Basis of Disease</t>
  </si>
  <si>
    <t>Biochimica et Bioohysica Acta - Molecular Basis of Disease</t>
  </si>
  <si>
    <t>Biinformatics</t>
  </si>
  <si>
    <t>Bioinformatics Online</t>
  </si>
  <si>
    <t>BIOLOGICAL CHEMISTRY</t>
  </si>
  <si>
    <t>Biologicial Chemistry</t>
  </si>
  <si>
    <t>BIOLOGICAL PSYCHOLOGY</t>
  </si>
  <si>
    <t>BIOL OPEN</t>
  </si>
  <si>
    <t>BioSocieties</t>
  </si>
  <si>
    <t>Blood Journal 2012</t>
  </si>
  <si>
    <t>BMC Genomics.</t>
  </si>
  <si>
    <t>BMS Genomics</t>
  </si>
  <si>
    <t>BMC Infectious diseases</t>
  </si>
  <si>
    <t>BMJ OPEN</t>
  </si>
  <si>
    <t>BMJ open</t>
  </si>
  <si>
    <t>BMJ QUALITY AND SAFETY</t>
  </si>
  <si>
    <t>Brain Online</t>
  </si>
  <si>
    <t>British journal of Clinical Pharmacology</t>
  </si>
  <si>
    <t>Brt Jnl Clinical Pharmacology</t>
  </si>
  <si>
    <t>BJOPHTHALMOL</t>
  </si>
  <si>
    <t>British Journal of Opthalmology</t>
  </si>
  <si>
    <t>British Jounal of Pharmacology</t>
  </si>
  <si>
    <t>Britsh Journal of Psychiatry</t>
  </si>
  <si>
    <t>The British Journal of Psychiatry</t>
  </si>
  <si>
    <t>British Journal for the History of Science</t>
  </si>
  <si>
    <t>Cell Death Differentiation</t>
  </si>
  <si>
    <t>Cell Death &amp; Disease</t>
  </si>
  <si>
    <t>Cell Host &amp; Microbe</t>
  </si>
  <si>
    <t>Cell Press - Cell Reports</t>
  </si>
  <si>
    <t>Cellular and Molecular Cell Sciences</t>
  </si>
  <si>
    <t>Cerebral Cortex Online</t>
  </si>
  <si>
    <t>Cerebral Cortex print</t>
  </si>
  <si>
    <t>CHEMBIOCHEM</t>
  </si>
  <si>
    <t>Chemsitry &amp; Biology</t>
  </si>
  <si>
    <t>Chemmedchem</t>
  </si>
  <si>
    <t>CHEST</t>
  </si>
  <si>
    <t>Childs Nerv Syst</t>
  </si>
  <si>
    <t>Child: Care, Health Development</t>
  </si>
  <si>
    <t>CHILD: Care, Heath &amp; Development</t>
  </si>
  <si>
    <t>Clinical Infectious Diseases Online</t>
  </si>
  <si>
    <t>Clinicla Infectious Disease</t>
  </si>
  <si>
    <t>Consciousness &amp; Cognition</t>
  </si>
  <si>
    <t>Curr Biol.</t>
  </si>
  <si>
    <t>CURRENT BIOLOGY</t>
  </si>
  <si>
    <t>Current Opinion Microbiology</t>
  </si>
  <si>
    <t>Current Opinions in Neurobiology</t>
  </si>
  <si>
    <t>Dev World Bioeth.</t>
  </si>
  <si>
    <t>Dev. World Bioeth</t>
  </si>
  <si>
    <t>DEVELOPMENT CELL</t>
  </si>
  <si>
    <t>Development Dynamics</t>
  </si>
  <si>
    <t>Development Science</t>
  </si>
  <si>
    <t>The EMBO journal</t>
  </si>
  <si>
    <t>The EMBO Journal</t>
  </si>
  <si>
    <t>EMBO reports</t>
  </si>
  <si>
    <t>Environment and Planning A</t>
  </si>
  <si>
    <t>Epigentics</t>
  </si>
  <si>
    <t>Ethn Health</t>
  </si>
  <si>
    <t>European Child and Adolescent Psychiatty</t>
  </si>
  <si>
    <t>European Heart Journal Online</t>
  </si>
  <si>
    <t>European Journal of cell Biology</t>
  </si>
  <si>
    <t>Eur J Immunol</t>
  </si>
  <si>
    <t>The European Journal of Neuroscience</t>
  </si>
  <si>
    <t>Evidence, Ethos and Experiment: The Anthropology and History of Medical Research in Africa.</t>
  </si>
  <si>
    <t>The FASEB Journal</t>
  </si>
  <si>
    <t>FEBS J.</t>
  </si>
  <si>
    <t>The FEBS Journal</t>
  </si>
  <si>
    <t>Febs Letters</t>
  </si>
  <si>
    <t>Free Radical and Biology Medicine</t>
  </si>
  <si>
    <t>Genes &amp; Development</t>
  </si>
  <si>
    <t>genesis: Journal of Genetics</t>
  </si>
  <si>
    <t>Genetic Epidemology</t>
  </si>
  <si>
    <t>GENETICS</t>
  </si>
  <si>
    <t>Haematologica/The Haematology Journal</t>
  </si>
  <si>
    <t>Health &amp; Place</t>
  </si>
  <si>
    <t>Health Policy Planning</t>
  </si>
  <si>
    <t>Health: An Interdisciplinary Journal for the Social Study of Health, Illness and Medicine</t>
  </si>
  <si>
    <t>Heptology</t>
  </si>
  <si>
    <t>The History of the Family</t>
  </si>
  <si>
    <t>HBM JNL Human Brain Mapping</t>
  </si>
  <si>
    <t>Human Mol Genetics Online</t>
  </si>
  <si>
    <t>Human molecular genetics</t>
  </si>
  <si>
    <t>Human Molecular Genetics Online</t>
  </si>
  <si>
    <t>Hum Resour Health</t>
  </si>
  <si>
    <t>Immnunobiology</t>
  </si>
  <si>
    <t>Implement Sci.</t>
  </si>
  <si>
    <t>Influenza Other Respi Viruses.</t>
  </si>
  <si>
    <t>Int Journal for Parasitology</t>
  </si>
  <si>
    <t>International Journal of Parasitology</t>
  </si>
  <si>
    <t>International journal of applied earth observation and geoinformation</t>
  </si>
  <si>
    <t>International Journal of Behavioural Nutrition and Physical Activity</t>
  </si>
  <si>
    <t>International Journal of Biochemistry &amp; Cell Biology</t>
  </si>
  <si>
    <t>The International Journal of Biochemistry &amp; Cell Biology</t>
  </si>
  <si>
    <t>JERPH</t>
  </si>
  <si>
    <t>Int J Epidemiol</t>
  </si>
  <si>
    <t>International Joural of Epidemiology</t>
  </si>
  <si>
    <t>Inyernational Journal of Epidemiology</t>
  </si>
  <si>
    <t>International journal of molecular sciences</t>
  </si>
  <si>
    <t>Journal of Acquired Immune Deficiency Syndromes</t>
  </si>
  <si>
    <t>Journal of Acquired Immune Deficiency Syndroms (JAIDS)</t>
  </si>
  <si>
    <t>The Journal of Abnormal Child Psychology and Psychiatry</t>
  </si>
  <si>
    <t>JOURNAL OF ALLERGY</t>
  </si>
  <si>
    <t>JOURNAL OF ALLERGY &amp; CLINICAL IMMUNOLOGY</t>
  </si>
  <si>
    <t>Journal of allergy and clinical immunology</t>
  </si>
  <si>
    <t>Journal of Alzheimer Disease</t>
  </si>
  <si>
    <t>Journal of Autism and Development Disorders</t>
  </si>
  <si>
    <t>JOURNAL OF BACTERIOLOGY</t>
  </si>
  <si>
    <t>Journal of Behaviour therapy and Experimental Psychiatry</t>
  </si>
  <si>
    <t>J Biol Chem.</t>
  </si>
  <si>
    <t>J Biol Chemistry</t>
  </si>
  <si>
    <t>Jnl Biological Chemistry</t>
  </si>
  <si>
    <t>Journal Biological Chemistry</t>
  </si>
  <si>
    <t>Journal of Biol Chem</t>
  </si>
  <si>
    <t>JOURNAL OF BIOLOGICAL CHEMISTRY</t>
  </si>
  <si>
    <t>Journal of biological chemistry</t>
  </si>
  <si>
    <t>The Journal of Biological Chemistry</t>
  </si>
  <si>
    <t>The journal of Biological Chemistry</t>
  </si>
  <si>
    <t>J Cardiovasc Magn Reson</t>
  </si>
  <si>
    <t>J Cell Sci.</t>
  </si>
  <si>
    <t>Journal of cerebral blood flow and metabolism</t>
  </si>
  <si>
    <t>Journal od Clinical Endocrinology</t>
  </si>
  <si>
    <t>Journal of Clinical Endocrinology</t>
  </si>
  <si>
    <t>J Clin Microbiol</t>
  </si>
  <si>
    <t>Jounral of Clinical Microbiology</t>
  </si>
  <si>
    <t>The Journal of Cognitive Neuroscience</t>
  </si>
  <si>
    <t>Journal of cycstic fibrosis</t>
  </si>
  <si>
    <t>Journal of Depression &amp; Anxiety</t>
  </si>
  <si>
    <t>Journal of Epidemiology &amp; Community Health</t>
  </si>
  <si>
    <t>Journal of Histochemistry &amp; Cytochemistry</t>
  </si>
  <si>
    <t>J Immunol</t>
  </si>
  <si>
    <t>The Journal of Immunology</t>
  </si>
  <si>
    <t>J Infect Dis</t>
  </si>
  <si>
    <t>The Journal of Infectious Diseases</t>
  </si>
  <si>
    <t>The Journal of investigative dermatology</t>
  </si>
  <si>
    <t>J Med Chem</t>
  </si>
  <si>
    <t>J Med Chem.</t>
  </si>
  <si>
    <t>J Mol Biol</t>
  </si>
  <si>
    <t>Journal of molecular Endocrinology</t>
  </si>
  <si>
    <t>JOURNAL OF NEUROCHEMISTRY</t>
  </si>
  <si>
    <t>Journal of Neurology &amp; Translational Neuroscience</t>
  </si>
  <si>
    <t>Journal of Neurology, Neurosurgery &amp; Psychiatry</t>
  </si>
  <si>
    <t>The Journal of Neurophysiology</t>
  </si>
  <si>
    <t>The Journal of Neuroscience</t>
  </si>
  <si>
    <t>J Org Chem</t>
  </si>
  <si>
    <t>Journal of paediatric Urology</t>
  </si>
  <si>
    <t>The Journal of Pathology</t>
  </si>
  <si>
    <t>The Journal of Physiology</t>
  </si>
  <si>
    <t>J Steroid Biochem Mol Biol</t>
  </si>
  <si>
    <t>The Journal of Steroid Biochemistry &amp; Molecular Biology</t>
  </si>
  <si>
    <t>J Synchrotron Radiat.</t>
  </si>
  <si>
    <t>Journal of The American Society for Mass Spectrometry</t>
  </si>
  <si>
    <t>Jnl of the International Neuropsychological Society</t>
  </si>
  <si>
    <t>Interface</t>
  </si>
  <si>
    <t>Journal of the Royal Society, Interface</t>
  </si>
  <si>
    <t>Journal of Virol</t>
  </si>
  <si>
    <t>Journal of Visualized Experiements</t>
  </si>
  <si>
    <t>Journal of Visulaized expermiments</t>
  </si>
  <si>
    <t>The Lancet</t>
  </si>
  <si>
    <t>Lancet Infect Dis</t>
  </si>
  <si>
    <t>The Lancet Neurology</t>
  </si>
  <si>
    <t>Marten Child Nutr</t>
  </si>
  <si>
    <t>Math Biosci</t>
  </si>
  <si>
    <t>Mbio</t>
  </si>
  <si>
    <t>Journal of Mechanisms of Ageing and Development</t>
  </si>
  <si>
    <t>Microbes Infect</t>
  </si>
  <si>
    <t>Molecular &amp; Biochemical Parasitology</t>
  </si>
  <si>
    <t>Molecluar &amp; Cellular Endocrinology</t>
  </si>
  <si>
    <t>MCP (Molecular &amp; Cellular Proteomics)</t>
  </si>
  <si>
    <t>Molecular &amp; Cellular Proteomics</t>
  </si>
  <si>
    <t>Mol Bio</t>
  </si>
  <si>
    <t>MOLECULAR BIOLOGY</t>
  </si>
  <si>
    <t>Mol Biol and Evolution</t>
  </si>
  <si>
    <t>Molecular Genetics &amp; Genomic Medicine</t>
  </si>
  <si>
    <t>Mol Pharm</t>
  </si>
  <si>
    <t>Nature communications</t>
  </si>
  <si>
    <t>NATURE COMMUNICATIONS</t>
  </si>
  <si>
    <t>Nephrology Dialysis Transplantation</t>
  </si>
  <si>
    <t>Neuroimage</t>
  </si>
  <si>
    <t>Neurolmage</t>
  </si>
  <si>
    <t>NeuroImage: Clinical</t>
  </si>
  <si>
    <t>Neuroimage: clinical</t>
  </si>
  <si>
    <t>N Biotechnol.</t>
  </si>
  <si>
    <t>Nicotine and Tobaco Research</t>
  </si>
  <si>
    <t>Nucleic Acid Research</t>
  </si>
  <si>
    <t>NUCLEIC ACIDS RESEARCH</t>
  </si>
  <si>
    <t>Organic &amp; Biomolecular Chemistry</t>
  </si>
  <si>
    <t>OXIDATIVE MEDICINE &amp; CELLULAR LONGEVITY</t>
  </si>
  <si>
    <t>Parasit Vectors.</t>
  </si>
  <si>
    <t>Parsitology</t>
  </si>
  <si>
    <t>Pediatr Infect Dis J</t>
  </si>
  <si>
    <t>Pflugers Archive</t>
  </si>
  <si>
    <t>Philos Trans R Soc London B Biol Sci</t>
  </si>
  <si>
    <t>Philosophical Transactions B</t>
  </si>
  <si>
    <t>Philosophical Transactions of the Royal Society of London. Series B, Biological Sciences</t>
  </si>
  <si>
    <t>RSTB 2012.0145</t>
  </si>
  <si>
    <t>Photochemical &amp; Photobiological Sciences</t>
  </si>
  <si>
    <t>PLOS Computational Biology</t>
  </si>
  <si>
    <t>PLOS COMPUTATIONAL BIOLOGY</t>
  </si>
  <si>
    <t>Plos Genetics</t>
  </si>
  <si>
    <t>PLOS Genetics</t>
  </si>
  <si>
    <t>PLoS GENETICS</t>
  </si>
  <si>
    <t>PLoS Medicine Journal</t>
  </si>
  <si>
    <t>Pmedicine-D-12-03130</t>
  </si>
  <si>
    <t>PLoS Negected Tropical Diseases</t>
  </si>
  <si>
    <t>PLOS Neglected Tropical Diseases</t>
  </si>
  <si>
    <t>PLOS NTD</t>
  </si>
  <si>
    <t>PNTD</t>
  </si>
  <si>
    <t>PLoS 1</t>
  </si>
  <si>
    <t>PLOS ONE</t>
  </si>
  <si>
    <t>PLoS One</t>
  </si>
  <si>
    <t>PLOS One</t>
  </si>
  <si>
    <t>Plos One</t>
  </si>
  <si>
    <t>PloS One</t>
  </si>
  <si>
    <t>PloS ONE</t>
  </si>
  <si>
    <t>Plos ONE</t>
  </si>
  <si>
    <t>Plos one</t>
  </si>
  <si>
    <t>PLoSONE</t>
  </si>
  <si>
    <t>PLosONE</t>
  </si>
  <si>
    <t>PONE-D12-17947</t>
  </si>
  <si>
    <t>Public Library of Science ONE</t>
  </si>
  <si>
    <t>PLOS Pathogens</t>
  </si>
  <si>
    <t>Plos Pathogens</t>
  </si>
  <si>
    <t>PNAS (Proceedings of the National Academy of Sciences of the United States of America</t>
  </si>
  <si>
    <t>PNAS USA</t>
  </si>
  <si>
    <t>Proc Natl Acad Sci U S A.</t>
  </si>
  <si>
    <t>Proceddings of the National Academy of Sciences of USA</t>
  </si>
  <si>
    <t>Proceedings of the national Academy of Sciences</t>
  </si>
  <si>
    <t>Proceedings of the National Academy of Sciences of the United States of America</t>
  </si>
  <si>
    <t>Proceedings of the National Academy of Sciences of the USA</t>
  </si>
  <si>
    <t>Proceedings of Royal Society</t>
  </si>
  <si>
    <t>Proceedings B</t>
  </si>
  <si>
    <t>Protein Engineering, Design and Selection (</t>
  </si>
  <si>
    <t>Protein Expr Purif.</t>
  </si>
  <si>
    <t>Protemics</t>
  </si>
  <si>
    <t>Pyschological Medicine</t>
  </si>
  <si>
    <t>Psychological Trauma: Theory research, practice and policy</t>
  </si>
  <si>
    <t>Pulmonary Pharmacology &amp; Therapeutics</t>
  </si>
  <si>
    <t>QJM: An International Journal of Medicine</t>
  </si>
  <si>
    <t>Reproduction(Cambridge, England)</t>
  </si>
  <si>
    <t>RESEARCH IN VETERINARY SCIENCE</t>
  </si>
  <si>
    <t>RESPIRATORY RESEARCH</t>
  </si>
  <si>
    <t>RNA biology</t>
  </si>
  <si>
    <t>Science as Culture</t>
  </si>
  <si>
    <t>Nature Scientific Reports</t>
  </si>
  <si>
    <t>Sci Rep</t>
  </si>
  <si>
    <t>Scientific Reports-11-00861B</t>
  </si>
  <si>
    <t>Sex Transm Infect.</t>
  </si>
  <si>
    <t>Social Psychiatry &amp; Psychiatric Epidemiology</t>
  </si>
  <si>
    <t>Social Psychiatry and Psychiatric Epidemiol</t>
  </si>
  <si>
    <t>Social Science &amp; Medicine</t>
  </si>
  <si>
    <t>Sociology of Health &amp; Illness</t>
  </si>
  <si>
    <t>STRUCTURE</t>
  </si>
  <si>
    <t>Studies in History and Philosophy of Science Part C</t>
  </si>
  <si>
    <t>THORAX an international journal for Respiratory Medicine</t>
  </si>
  <si>
    <t>Tissue Engineering: part A</t>
  </si>
  <si>
    <t>Trends in Cognitive Science</t>
  </si>
  <si>
    <t>Trends in Neuroscience</t>
  </si>
  <si>
    <t>Tropical Animal Health &amp; Production</t>
  </si>
  <si>
    <t>Trop Med Int Health</t>
  </si>
  <si>
    <t>The Vet. Journal</t>
  </si>
  <si>
    <t>Original PMID/PMCID</t>
  </si>
  <si>
    <t>What was done</t>
  </si>
  <si>
    <t>23373658</t>
  </si>
  <si>
    <t>bare 8-digit number read as PMID</t>
  </si>
  <si>
    <t>3535376</t>
  </si>
  <si>
    <t>bare 7-digit number read as PMCID</t>
  </si>
  <si>
    <t>21624095  PMCID: PMC3734623</t>
  </si>
  <si>
    <t>In Process</t>
  </si>
  <si>
    <t>not an ID, blanked: In Process</t>
  </si>
  <si>
    <t>23734913</t>
  </si>
  <si>
    <t>21948184 PMC3528370</t>
  </si>
  <si>
    <t>23340916</t>
  </si>
  <si>
    <t>print published August 2013</t>
  </si>
  <si>
    <t>not an ID, blanked: print published August 2013</t>
  </si>
  <si>
    <t>3748854</t>
  </si>
  <si>
    <t>3633780</t>
  </si>
  <si>
    <t>23514390</t>
  </si>
  <si>
    <t>3516067</t>
  </si>
  <si>
    <t>23599091</t>
  </si>
  <si>
    <t>22971149 PMC3466778</t>
  </si>
  <si>
    <t>3813311</t>
  </si>
  <si>
    <t>3567269</t>
  </si>
  <si>
    <t>published Sept 2013</t>
  </si>
  <si>
    <t>not an ID, blanked: published Sept 2013</t>
  </si>
  <si>
    <t>3947303</t>
  </si>
  <si>
    <t>3708126</t>
  </si>
  <si>
    <t>PMID: 23409903 23409903</t>
  </si>
  <si>
    <t>23072351</t>
  </si>
  <si>
    <t>23670821 PMC3738939</t>
  </si>
  <si>
    <t>23877697</t>
  </si>
  <si>
    <t>23758132</t>
  </si>
  <si>
    <t>Not yet available</t>
  </si>
  <si>
    <t>not an ID, blanked: Not yet available</t>
  </si>
  <si>
    <t>21903599</t>
  </si>
  <si>
    <t>24061777</t>
  </si>
  <si>
    <t>23740368 PMC3840700</t>
  </si>
  <si>
    <t>23460124 PMC3715109</t>
  </si>
  <si>
    <t>22302008 PMC3405838</t>
  </si>
  <si>
    <t>23025831 PMC3462035</t>
  </si>
  <si>
    <t>23731076 PMC3670620</t>
  </si>
  <si>
    <t>23244291 PMC3569044</t>
  </si>
  <si>
    <t>23162054</t>
  </si>
  <si>
    <t>23713614</t>
  </si>
  <si>
    <t>3685266</t>
  </si>
  <si>
    <t>23458425 PMC3630740</t>
  </si>
  <si>
    <t>3654172</t>
  </si>
  <si>
    <t>3847282</t>
  </si>
  <si>
    <t>3558749</t>
  </si>
  <si>
    <t>3744075</t>
  </si>
  <si>
    <t>22738332 PMC3381227</t>
  </si>
  <si>
    <t>23225165</t>
  </si>
  <si>
    <t>23179061</t>
  </si>
  <si>
    <t>23931322 PMCID: PMC3736666</t>
  </si>
  <si>
    <t>23877967 PMC3814418</t>
  </si>
  <si>
    <t>23002116 PMC3790949</t>
  </si>
  <si>
    <t>23255554 PMC3653566</t>
  </si>
  <si>
    <t>23043070 PMC3790942</t>
  </si>
  <si>
    <t>3526451</t>
  </si>
  <si>
    <t>3681581</t>
  </si>
  <si>
    <t>3708772</t>
  </si>
  <si>
    <t>3639180</t>
  </si>
  <si>
    <t>3570299</t>
  </si>
  <si>
    <t>3637822</t>
  </si>
  <si>
    <t>3751660</t>
  </si>
  <si>
    <t>pub Aug 2013</t>
  </si>
  <si>
    <t>not an ID, blanked: pub Aug 2013</t>
  </si>
  <si>
    <t>3752052</t>
  </si>
  <si>
    <t>3703578</t>
  </si>
  <si>
    <t>3526774</t>
  </si>
  <si>
    <t>3607215</t>
  </si>
  <si>
    <t>in press</t>
  </si>
  <si>
    <t>not an ID, blanked: in press</t>
  </si>
  <si>
    <t>23246923 PMC3573228</t>
  </si>
  <si>
    <t>Pub July 2013</t>
  </si>
  <si>
    <t>not an ID, blanked: Pub July 2013</t>
  </si>
  <si>
    <t>3493860</t>
  </si>
  <si>
    <t>23701138</t>
  </si>
  <si>
    <t>published August 2013</t>
  </si>
  <si>
    <t>not an ID, blanked: published August 2013</t>
  </si>
  <si>
    <t>23121507 PMCID: PMC3596649</t>
  </si>
  <si>
    <t>23763262</t>
  </si>
  <si>
    <t>23703318 PMC3730114</t>
  </si>
  <si>
    <t>3489107</t>
  </si>
  <si>
    <t>23137768</t>
  </si>
  <si>
    <t>3215872</t>
  </si>
  <si>
    <t>22962270 PMC3491872</t>
  </si>
  <si>
    <t>23892734</t>
  </si>
  <si>
    <t>3505551</t>
  </si>
  <si>
    <t>19324410</t>
  </si>
  <si>
    <t>23518502 PMC3674087</t>
  </si>
  <si>
    <t>3674354</t>
  </si>
  <si>
    <t>3730438</t>
  </si>
  <si>
    <t>3618382</t>
  </si>
  <si>
    <t>23328632 PMC3619236</t>
  </si>
  <si>
    <t>23498957 PMC3601332</t>
  </si>
  <si>
    <t>PMID: 23041313 23041313</t>
  </si>
  <si>
    <t>Epub ahead of print pub Feb 2013, print in press</t>
  </si>
  <si>
    <t>not an ID, blanked: Epub ahead of print pub Feb 2013, print in press</t>
  </si>
  <si>
    <t>22533473</t>
  </si>
  <si>
    <t>22897233 PMC3599488</t>
  </si>
  <si>
    <t>23126643 PMC3599488</t>
  </si>
  <si>
    <t>23902464</t>
  </si>
  <si>
    <t>Epub ahead of print - june 2013</t>
  </si>
  <si>
    <t>not an ID, blanked: Epub ahead of print - june 2013</t>
  </si>
  <si>
    <t>Epub ahead of print pub Nov 2012, print in press</t>
  </si>
  <si>
    <t>not an ID, blanked: Epub ahead of print pub Nov 2012, print in press</t>
  </si>
  <si>
    <t>Epub ahead of print pub Jan 2013, print in press</t>
  </si>
  <si>
    <t>not an ID, blanked: Epub ahead of print pub Jan 2013, print in press</t>
  </si>
  <si>
    <t>Epub ahead of print March 2013 - print in press</t>
  </si>
  <si>
    <t>not an ID, blanked: Epub ahead of print March 2013 - print in press</t>
  </si>
  <si>
    <t>23418011  PMCID: PMC3792637</t>
  </si>
  <si>
    <t>23640856</t>
  </si>
  <si>
    <t>24097313</t>
  </si>
  <si>
    <t>22996943 PMCID: PMC3569615</t>
  </si>
  <si>
    <t>23452318</t>
  </si>
  <si>
    <t>3657347</t>
  </si>
  <si>
    <t>2901593</t>
  </si>
  <si>
    <t>e-pub</t>
  </si>
  <si>
    <t>not an ID, blanked: e-pub</t>
  </si>
  <si>
    <t>23884064</t>
  </si>
  <si>
    <t>3381638</t>
  </si>
  <si>
    <t>print in press</t>
  </si>
  <si>
    <t>not an ID, blanked: print in press</t>
  </si>
  <si>
    <t>print not yet published</t>
  </si>
  <si>
    <t>not an ID, blanked: print not yet published</t>
  </si>
  <si>
    <t>23773550 PMC3807794</t>
  </si>
  <si>
    <t>3664921</t>
  </si>
  <si>
    <t>Epub ahead of print pub Nov 2012, print in press due Sept 2013</t>
  </si>
  <si>
    <t>not an ID, blanked: Epub ahead of print pub Nov 2012, print in press due Sept 2013</t>
  </si>
  <si>
    <t>Published Sept 2013</t>
  </si>
  <si>
    <t>not an ID, blanked: Published Sept 2013</t>
  </si>
  <si>
    <t>Epub ahead of print April 2013 - print in press</t>
  </si>
  <si>
    <t>not an ID, blanked: Epub ahead of print April 2013 - print in press</t>
  </si>
  <si>
    <t>23394834 PMC3629559</t>
  </si>
  <si>
    <t>23885220 PMC3706957</t>
  </si>
  <si>
    <t>23932517</t>
  </si>
  <si>
    <t>23409763</t>
  </si>
  <si>
    <t>3638371</t>
  </si>
  <si>
    <t>23183928</t>
  </si>
  <si>
    <t>3662995</t>
  </si>
  <si>
    <t>3662994</t>
  </si>
  <si>
    <t>3662993</t>
  </si>
  <si>
    <t>3662996</t>
  </si>
  <si>
    <t>3654571</t>
  </si>
  <si>
    <t>3509734</t>
  </si>
  <si>
    <t>3621487</t>
  </si>
  <si>
    <t>3698701</t>
  </si>
  <si>
    <t>22925518 PMC3593001</t>
  </si>
  <si>
    <t>3178012</t>
  </si>
  <si>
    <t>3782659</t>
  </si>
  <si>
    <t>3605578</t>
  </si>
  <si>
    <t>Epub ahead of print - June 2013</t>
  </si>
  <si>
    <t>not an ID, blanked: Epub ahead of print - June 2013</t>
  </si>
  <si>
    <t>-</t>
  </si>
  <si>
    <t>not an ID, blanked: -</t>
  </si>
  <si>
    <t>3525856</t>
  </si>
  <si>
    <t>3597032</t>
  </si>
  <si>
    <t>epub</t>
  </si>
  <si>
    <t>not an ID, blanked: epub</t>
  </si>
  <si>
    <t>22155499 PMC3381227</t>
  </si>
  <si>
    <t>20800751 PMC3778978</t>
  </si>
  <si>
    <t>24064150 PMC3849851</t>
  </si>
  <si>
    <t>23620154 PMC3638368</t>
  </si>
  <si>
    <t>22591621 PMC3427858</t>
  </si>
  <si>
    <t>21680110 PMC3629561</t>
  </si>
  <si>
    <t>23541370 PMC3744751</t>
  </si>
  <si>
    <t>23511972 PMC3630358</t>
  </si>
  <si>
    <t>3671254</t>
  </si>
  <si>
    <t>3512392</t>
  </si>
  <si>
    <t>23999103</t>
  </si>
  <si>
    <t>2828806</t>
  </si>
  <si>
    <t>3480985</t>
  </si>
  <si>
    <t>3724961</t>
  </si>
  <si>
    <t>3734649</t>
  </si>
  <si>
    <t>23750825</t>
  </si>
  <si>
    <t>3534410</t>
  </si>
  <si>
    <t>23881859</t>
  </si>
  <si>
    <t>2361679</t>
  </si>
  <si>
    <t>23385540 PMC3669511</t>
  </si>
  <si>
    <t>23132696 PMC3547489</t>
  </si>
  <si>
    <t>3696174</t>
  </si>
  <si>
    <t>23632796</t>
  </si>
  <si>
    <t>22965681 PMC3657127</t>
  </si>
  <si>
    <t>22653709 PMC3781703</t>
  </si>
  <si>
    <t>23707654 PMC3744815</t>
  </si>
  <si>
    <t>3791403</t>
  </si>
  <si>
    <t>Monograph chapter, not in PMC</t>
  </si>
  <si>
    <t>not an ID, blanked: Monograph chapter, not in PMC</t>
  </si>
  <si>
    <t>23183165</t>
  </si>
  <si>
    <t>22919070</t>
  </si>
  <si>
    <t>23982145</t>
  </si>
  <si>
    <t>23170778 PMC3572582</t>
  </si>
  <si>
    <t>23082758 PMC3564407</t>
  </si>
  <si>
    <t>23517310 PMC3734648</t>
  </si>
  <si>
    <t>print due Sept 13</t>
  </si>
  <si>
    <t>not an ID, blanked: print due Sept 13</t>
  </si>
  <si>
    <t>23506317</t>
  </si>
  <si>
    <t>23650598  PMC3642154</t>
  </si>
  <si>
    <t>23772376 PMC3668512</t>
  </si>
  <si>
    <t>3684770</t>
  </si>
  <si>
    <t>3685810</t>
  </si>
  <si>
    <t>3689323</t>
  </si>
  <si>
    <t>3759789</t>
  </si>
  <si>
    <t>23720616  PMC3654214</t>
  </si>
  <si>
    <t>23805144 PMC3693486</t>
  </si>
  <si>
    <t>23847615 PMC3696884</t>
  </si>
  <si>
    <t>3605576</t>
  </si>
  <si>
    <t>3564995</t>
  </si>
  <si>
    <t>Print not yet pub?</t>
  </si>
  <si>
    <t>not an ID, blanked: Print not yet pub?</t>
  </si>
  <si>
    <t>23738518</t>
  </si>
  <si>
    <t>21255266 PMC3664024</t>
  </si>
  <si>
    <t>23315936 PMC3638342</t>
  </si>
  <si>
    <t>Epub ahead of print - May 2013</t>
  </si>
  <si>
    <t>not an ID, blanked: Epub ahead of print - May 2013</t>
  </si>
  <si>
    <t>3644876</t>
  </si>
  <si>
    <t>23665989</t>
  </si>
  <si>
    <t>Pending</t>
  </si>
  <si>
    <t>not an ID, blanked: Pending</t>
  </si>
  <si>
    <t>41579</t>
  </si>
  <si>
    <t>not an ID, blanked: 41579</t>
  </si>
  <si>
    <t>22807091  PMC3744754</t>
  </si>
  <si>
    <t>23775568</t>
  </si>
  <si>
    <t>3638324</t>
  </si>
  <si>
    <t>published jun 2013 epub ahead of print</t>
  </si>
  <si>
    <t>not an ID, blanked: published jun 2013 epub ahead of print</t>
  </si>
  <si>
    <t>3627513</t>
  </si>
  <si>
    <t>3721994</t>
  </si>
  <si>
    <t>3749866</t>
  </si>
  <si>
    <t>3272220</t>
  </si>
  <si>
    <t>3690473</t>
  </si>
  <si>
    <t>3620707</t>
  </si>
  <si>
    <t>PMC in progress</t>
  </si>
  <si>
    <t>not an ID, blanked: PMC in progress</t>
  </si>
  <si>
    <t>3811811</t>
  </si>
  <si>
    <t>23782406</t>
  </si>
  <si>
    <t>23137753</t>
  </si>
  <si>
    <t>3751770</t>
  </si>
  <si>
    <t>23837793</t>
  </si>
  <si>
    <t>Epub ahead of print pub March 2013, print in press</t>
  </si>
  <si>
    <t>not an ID, blanked: Epub ahead of print pub March 2013, print in press</t>
  </si>
  <si>
    <t>3733698</t>
  </si>
  <si>
    <t>23704353 PMC3730248</t>
  </si>
  <si>
    <t>3549224</t>
  </si>
  <si>
    <t>23319734 : PMC3672848</t>
  </si>
  <si>
    <t>3475639</t>
  </si>
  <si>
    <t>23043264  PMC3506128</t>
  </si>
  <si>
    <t>23438330 PMC3646402</t>
  </si>
  <si>
    <t>23438216 PMC3601604</t>
  </si>
  <si>
    <t>23291110</t>
  </si>
  <si>
    <t>23443656</t>
  </si>
  <si>
    <t>23166325</t>
  </si>
  <si>
    <t>Epub</t>
  </si>
  <si>
    <t>not an ID, blanked: Epub</t>
  </si>
  <si>
    <t>23806636</t>
  </si>
  <si>
    <t>23748436</t>
  </si>
  <si>
    <t>23589301</t>
  </si>
  <si>
    <t>22610094</t>
  </si>
  <si>
    <t>23239883 PMC3561570</t>
  </si>
  <si>
    <t>3610976</t>
  </si>
  <si>
    <t>23344959  PMC3585060</t>
  </si>
  <si>
    <t>3137072</t>
  </si>
  <si>
    <t>23129765 PMC3531760</t>
  </si>
  <si>
    <t>3234717</t>
  </si>
  <si>
    <t>3696646</t>
  </si>
  <si>
    <t>3431625</t>
  </si>
  <si>
    <t>2339840 PMC3591641</t>
  </si>
  <si>
    <t>multiple IDs: 2339840 PMC3591641</t>
  </si>
  <si>
    <t>3121340</t>
  </si>
  <si>
    <t>2952269</t>
  </si>
  <si>
    <t>23569211 PMC3668706</t>
  </si>
  <si>
    <t>2797226</t>
  </si>
  <si>
    <t>2898433</t>
  </si>
  <si>
    <t>3397837</t>
  </si>
  <si>
    <t>2975197</t>
  </si>
  <si>
    <t>23264619 PMC3576117</t>
  </si>
  <si>
    <t>23704797 PMCID: PMC3662417</t>
  </si>
  <si>
    <t>22566126 PMC3746124</t>
  </si>
  <si>
    <t>3613178</t>
  </si>
  <si>
    <t>3613179</t>
  </si>
  <si>
    <t>3757329</t>
  </si>
  <si>
    <t>41609</t>
  </si>
  <si>
    <t>not an ID, blanked: 41609</t>
  </si>
  <si>
    <t>3790930</t>
  </si>
  <si>
    <t>3796855</t>
  </si>
  <si>
    <t>3589712</t>
  </si>
  <si>
    <t>3462937</t>
  </si>
  <si>
    <t>3752522</t>
  </si>
  <si>
    <t>23337727 PMC3651585</t>
  </si>
  <si>
    <t>23365120 PMC3708032</t>
  </si>
  <si>
    <t>23386329</t>
  </si>
  <si>
    <t>3535885</t>
  </si>
  <si>
    <t>3596772</t>
  </si>
  <si>
    <t>23668184</t>
  </si>
  <si>
    <t>23421830 PMC3576129</t>
  </si>
  <si>
    <t>23324467 PMCID: PMC3709587</t>
  </si>
  <si>
    <t>23455506  PMCID: PMC3607399</t>
  </si>
  <si>
    <t>23983183 PMC3798117</t>
  </si>
  <si>
    <t>23412844 PMC3709824</t>
  </si>
  <si>
    <t>3838626</t>
  </si>
  <si>
    <t>23318955  PMCID: PMC3593212</t>
  </si>
  <si>
    <t>23132913 PMC3535724</t>
  </si>
  <si>
    <t>23474851 : PMC3664183</t>
  </si>
  <si>
    <t>23554485 PMC3664272</t>
  </si>
  <si>
    <t>23447590 : PMC3601669</t>
  </si>
  <si>
    <t>3676539</t>
  </si>
  <si>
    <t>3738233</t>
  </si>
  <si>
    <t>23476740</t>
  </si>
  <si>
    <t>3472478</t>
  </si>
  <si>
    <t>3764640</t>
  </si>
  <si>
    <t>3678035</t>
  </si>
  <si>
    <t>3764630</t>
  </si>
  <si>
    <t>26988110</t>
  </si>
  <si>
    <t>23620542</t>
  </si>
  <si>
    <t>3786528</t>
  </si>
  <si>
    <t>3708104</t>
  </si>
  <si>
    <t>3698441</t>
  </si>
  <si>
    <t>23400772 PMC3586169</t>
  </si>
  <si>
    <t>3214239</t>
  </si>
  <si>
    <t>3352832</t>
  </si>
  <si>
    <t>3730703</t>
  </si>
  <si>
    <t>Published 3 July 13</t>
  </si>
  <si>
    <t>not an ID, blanked: Published 3 July 13</t>
  </si>
  <si>
    <t>23782536</t>
  </si>
  <si>
    <t>23785211 PMC3754066</t>
  </si>
  <si>
    <t>22875964 PMCID: PMC3457148</t>
  </si>
  <si>
    <t>23567253 : PMC3641668</t>
  </si>
  <si>
    <t>Not yet published</t>
  </si>
  <si>
    <t>not an ID, blanked: Not yet published</t>
  </si>
  <si>
    <t>3507620</t>
  </si>
  <si>
    <t>3771416</t>
  </si>
  <si>
    <t>3533127</t>
  </si>
  <si>
    <t>3544599</t>
  </si>
  <si>
    <t>3614520</t>
  </si>
  <si>
    <t>22716184  PMC3440593</t>
  </si>
  <si>
    <t>23819872</t>
  </si>
  <si>
    <t>3724053</t>
  </si>
  <si>
    <t>3566749</t>
  </si>
  <si>
    <t>22906508</t>
  </si>
  <si>
    <t>22735079</t>
  </si>
  <si>
    <t>23057412 PMC3495574</t>
  </si>
  <si>
    <t>3723448</t>
  </si>
  <si>
    <t>23769672</t>
  </si>
  <si>
    <t>3507519</t>
  </si>
  <si>
    <t>23686113</t>
  </si>
  <si>
    <t>23256604  PMCID: PMC3587388</t>
  </si>
  <si>
    <t>23710762</t>
  </si>
  <si>
    <t>3575693</t>
  </si>
  <si>
    <t>3545919</t>
  </si>
  <si>
    <t>Pub online first July 2013</t>
  </si>
  <si>
    <t>not an ID, blanked: Pub online first July 2013</t>
  </si>
  <si>
    <t>23154792</t>
  </si>
  <si>
    <t>23220929</t>
  </si>
  <si>
    <t>23184970 PMC3528594</t>
  </si>
  <si>
    <t>24108241</t>
  </si>
  <si>
    <t>23434854 PMC3782194</t>
  </si>
  <si>
    <t>not yet published in print</t>
  </si>
  <si>
    <t>not an ID, blanked: not yet published in print</t>
  </si>
  <si>
    <t>23672768</t>
  </si>
  <si>
    <t>23046981</t>
  </si>
  <si>
    <t>PMCID:</t>
  </si>
  <si>
    <t>not an ID, blanked: PMCID:</t>
  </si>
  <si>
    <t>23194819  PMC3555187</t>
  </si>
  <si>
    <t>23845426</t>
  </si>
  <si>
    <t>23085109 PMC3580290</t>
  </si>
  <si>
    <t>2875410</t>
  </si>
  <si>
    <t>23178227 PMC3611599</t>
  </si>
  <si>
    <t>3656369</t>
  </si>
  <si>
    <t>3717539</t>
  </si>
  <si>
    <t>3819976</t>
  </si>
  <si>
    <t>3763532</t>
  </si>
  <si>
    <t>3467080</t>
  </si>
  <si>
    <t>3592466</t>
  </si>
  <si>
    <t>3592470</t>
  </si>
  <si>
    <t>3553950</t>
  </si>
  <si>
    <t>3553963</t>
  </si>
  <si>
    <t>23595147 PMCID: PMC3675483</t>
  </si>
  <si>
    <t>3597655</t>
  </si>
  <si>
    <t>3659006</t>
  </si>
  <si>
    <t>3560059</t>
  </si>
  <si>
    <t>Pending - Epub April 2013</t>
  </si>
  <si>
    <t>not an ID, blanked: Pending - Epub April 2013</t>
  </si>
  <si>
    <t>23981980 PMC3809720</t>
  </si>
  <si>
    <t>23707280</t>
  </si>
  <si>
    <t>not yet published</t>
  </si>
  <si>
    <t>not an ID, blanked: not yet published</t>
  </si>
  <si>
    <t>3763373</t>
  </si>
  <si>
    <t>3652741</t>
  </si>
  <si>
    <t>3757314</t>
  </si>
  <si>
    <t>23734876</t>
  </si>
  <si>
    <t>23892176</t>
  </si>
  <si>
    <t>3785148</t>
  </si>
  <si>
    <t>23239765</t>
  </si>
  <si>
    <t>24147036</t>
  </si>
  <si>
    <t>23844111</t>
  </si>
  <si>
    <t>23527131</t>
  </si>
  <si>
    <t>23049479</t>
  </si>
  <si>
    <t>3715439</t>
  </si>
  <si>
    <t>23341772</t>
  </si>
  <si>
    <t>23818873</t>
  </si>
  <si>
    <t>24039607/PMC3764205</t>
  </si>
  <si>
    <t>23326615 PMCID: PMC3542187</t>
  </si>
  <si>
    <t>3772069</t>
  </si>
  <si>
    <t>23166848</t>
  </si>
  <si>
    <t>3620162</t>
  </si>
  <si>
    <t>3669132</t>
  </si>
  <si>
    <t>3517619</t>
  </si>
  <si>
    <t>3498109</t>
  </si>
  <si>
    <t>3515553</t>
  </si>
  <si>
    <t>3522679</t>
  </si>
  <si>
    <t>3485223</t>
  </si>
  <si>
    <t>3573029</t>
  </si>
  <si>
    <t>3797097</t>
  </si>
  <si>
    <t>3769269</t>
  </si>
  <si>
    <t>3782430</t>
  </si>
  <si>
    <t>3675909</t>
  </si>
  <si>
    <t>3543450</t>
  </si>
  <si>
    <t>3555827</t>
  </si>
  <si>
    <t>3646760</t>
  </si>
  <si>
    <t>3637378</t>
  </si>
  <si>
    <t>3691111</t>
  </si>
  <si>
    <t>3726600</t>
  </si>
  <si>
    <t>3530465</t>
  </si>
  <si>
    <t>3480384</t>
  </si>
  <si>
    <t>3525566</t>
  </si>
  <si>
    <t>3531328</t>
  </si>
  <si>
    <t>3530478</t>
  </si>
  <si>
    <t>3544761</t>
  </si>
  <si>
    <t>3569446</t>
  </si>
  <si>
    <t>3577721</t>
  </si>
  <si>
    <t>20975956</t>
  </si>
  <si>
    <t>24124519/PMC3790821</t>
  </si>
  <si>
    <t>3788105</t>
  </si>
  <si>
    <t>23840536</t>
  </si>
  <si>
    <t>3606182</t>
  </si>
  <si>
    <t>3608660</t>
  </si>
  <si>
    <t>Pending PMID</t>
  </si>
  <si>
    <t>not an ID, blanked: Pending PMID</t>
  </si>
  <si>
    <t>3574120</t>
  </si>
  <si>
    <t>23805259 PMC3689675</t>
  </si>
  <si>
    <t>23285115</t>
  </si>
  <si>
    <t>23285297</t>
  </si>
  <si>
    <t>23840430 : PMC3686795</t>
  </si>
  <si>
    <t>23613963</t>
  </si>
  <si>
    <t>23505454</t>
  </si>
  <si>
    <t>3759422</t>
  </si>
  <si>
    <t>23922795</t>
  </si>
  <si>
    <t>23451279</t>
  </si>
  <si>
    <t>23805333</t>
  </si>
  <si>
    <t>23967111</t>
  </si>
  <si>
    <t>23991236</t>
  </si>
  <si>
    <t>23853603</t>
  </si>
  <si>
    <t>3547931</t>
  </si>
  <si>
    <t>23326235</t>
  </si>
  <si>
    <t>21483485</t>
  </si>
  <si>
    <t>22241985</t>
  </si>
  <si>
    <t>23308065</t>
  </si>
  <si>
    <t>24098129</t>
  </si>
  <si>
    <t>23505371</t>
  </si>
  <si>
    <t>3549118</t>
  </si>
  <si>
    <t>2294692</t>
  </si>
  <si>
    <t>23924687 PMC3841754</t>
  </si>
  <si>
    <t>23282992</t>
  </si>
  <si>
    <t>3704016</t>
  </si>
  <si>
    <t>2766312</t>
  </si>
  <si>
    <t>3666720</t>
  </si>
  <si>
    <t>3752214</t>
  </si>
  <si>
    <t>23213245 PMC3529034</t>
  </si>
  <si>
    <t>PMID: 23650371 23650371</t>
  </si>
  <si>
    <t>3396515</t>
  </si>
  <si>
    <t>23341602 PMC3568321</t>
  </si>
  <si>
    <t>3735249</t>
  </si>
  <si>
    <t>in press - due August 13</t>
  </si>
  <si>
    <t>not an ID, blanked: in press - due August 13</t>
  </si>
  <si>
    <t>23166732</t>
  </si>
  <si>
    <t>543219</t>
  </si>
  <si>
    <t>not an ID, blanked: 543219</t>
  </si>
  <si>
    <t>22777780 PMCID: PMC3568905</t>
  </si>
  <si>
    <t>3281495</t>
  </si>
  <si>
    <t>3651613</t>
  </si>
  <si>
    <t>23422316 PMCID: PMC3710354</t>
  </si>
  <si>
    <t>23230506 PMC3516806</t>
  </si>
  <si>
    <t>23698510  PMC3812900</t>
  </si>
  <si>
    <t>Epub ahead of print - April 2013</t>
  </si>
  <si>
    <t>not an ID, blanked: Epub ahead of print - April 2013</t>
  </si>
  <si>
    <t>Epub ahead of print pub Dec 2012, print in press.</t>
  </si>
  <si>
    <t>not an ID, blanked: Epub ahead of print pub Dec 2012, print in press.</t>
  </si>
  <si>
    <t>3778404</t>
  </si>
  <si>
    <t>23356787 PMC3813989</t>
  </si>
  <si>
    <t>22618994 PMC344470</t>
  </si>
  <si>
    <t>22897899 MC3489778</t>
  </si>
  <si>
    <t>3223522</t>
  </si>
  <si>
    <t>3813980</t>
  </si>
  <si>
    <t>3635120</t>
  </si>
  <si>
    <t>23375655  PMC3567274</t>
  </si>
  <si>
    <t>23253866</t>
  </si>
  <si>
    <t>23698002 PMC3696650</t>
  </si>
  <si>
    <t>23576705, PMC3727040</t>
  </si>
  <si>
    <t>23804098 PMCID: PMC3724994</t>
  </si>
  <si>
    <t>23825402 PMC3528370</t>
  </si>
  <si>
    <t>22901061 PMC3533787</t>
  </si>
  <si>
    <t>3744763</t>
  </si>
  <si>
    <t>22364555</t>
  </si>
  <si>
    <t>23117109</t>
  </si>
  <si>
    <t>23562481</t>
  </si>
  <si>
    <t>23201205</t>
  </si>
  <si>
    <t>23200744  PMC3552157</t>
  </si>
  <si>
    <t xml:space="preserve">PMC3378987
</t>
  </si>
  <si>
    <t>PMCID: PMC3780468</t>
  </si>
  <si>
    <t>PMCID: PMC3621575</t>
  </si>
  <si>
    <t xml:space="preserve">PMID: 24015914 PMC3833349 </t>
  </si>
  <si>
    <t xml:space="preserve">: PMC3805332 </t>
  </si>
  <si>
    <t xml:space="preserve">PMCID:
    PMC3656742
</t>
  </si>
  <si>
    <t>PMCID: 3584654</t>
  </si>
  <si>
    <t>HYDROXY-TERMINATED CONJUGATED POLYMER NANOPARTICLES HAVE NEAR-UNITY BRIGHT FRACTION</t>
  </si>
  <si>
    <t>na</t>
  </si>
  <si>
    <t xml:space="preserve">PMCID:
    PMC3727331
</t>
  </si>
  <si>
    <t xml:space="preserve">International Union of Crystallography </t>
  </si>
  <si>
    <t xml:space="preserve">Acta Crystallographica Section D,  Biological Crystallography </t>
  </si>
  <si>
    <t xml:space="preserve">Clustering procedures for the optimal selection of data sets from multiple crystals in macromolecular  crystallography </t>
  </si>
  <si>
    <t>PMCID: PMC3565438</t>
  </si>
  <si>
    <t>PMCID: PMC3668577</t>
  </si>
  <si>
    <t>PMCID: PMC3606566</t>
  </si>
  <si>
    <t xml:space="preserve">
    PMC3498934</t>
  </si>
  <si>
    <t xml:space="preserve">PMID:22993091 PMC3447403 </t>
  </si>
  <si>
    <t xml:space="preserve">PMC3808818 </t>
  </si>
  <si>
    <t>The Importance of a Full Clinical Examination: Assessment of Index
Lesions Referred to a Skin Cancer Clinic Without a Total Body Skin
Examination Would Miss One in Three Melanomas</t>
  </si>
  <si>
    <t>PMID: 23828613 (July 2013 Epub)</t>
  </si>
  <si>
    <t>$2336.28</t>
  </si>
  <si>
    <t>Î±-Synucleinopathy associated with G51D SNCA mutation: A link between Parkinson's disease and multiple system atrophy?</t>
  </si>
  <si>
    <t xml:space="preserve">21624095  PMCID: PMC3734623 </t>
  </si>
  <si>
    <t xml:space="preserve">21948184 PMC3528370 </t>
  </si>
  <si>
    <t xml:space="preserve">PMID: 23672932 PMC3684112 </t>
  </si>
  <si>
    <t xml:space="preserve">Wolters Kluwer Health </t>
  </si>
  <si>
    <t>$1834.77</t>
  </si>
  <si>
    <t xml:space="preserve">PMCID:
    PMC3647051
</t>
  </si>
  <si>
    <t xml:space="preserve">Springer </t>
  </si>
  <si>
    <t>PMCID:
    PMC3590645</t>
  </si>
  <si>
    <t>PMCID:
    PMC3613944</t>
  </si>
  <si>
    <t xml:space="preserve">PMCID:
    PMC3687248
</t>
  </si>
  <si>
    <t xml:space="preserve">PMC3765690 </t>
  </si>
  <si>
    <t xml:space="preserve">PMC3815011 </t>
  </si>
  <si>
    <t xml:space="preserve">PMC3773237 </t>
  </si>
  <si>
    <t xml:space="preserve">Sexual behaviour in a rural high HIV prevalence </t>
  </si>
  <si>
    <t>PMCID:
    PMC3761189</t>
  </si>
  <si>
    <t>PMCID:
    PMC3761188</t>
  </si>
  <si>
    <t xml:space="preserve">Taylor &amp; Francis Journals </t>
  </si>
  <si>
    <t>AM B</t>
  </si>
  <si>
    <t xml:space="preserve">The Sheridan Press </t>
  </si>
  <si>
    <t xml:space="preserve">Wiley </t>
  </si>
  <si>
    <t xml:space="preserve">PMC3545681
</t>
  </si>
  <si>
    <t xml:space="preserve">PMC3652920 </t>
  </si>
  <si>
    <t>PMCID: PMC3783091</t>
  </si>
  <si>
    <t xml:space="preserve">PMID: 23907068 PMC3837358 </t>
  </si>
  <si>
    <t xml:space="preserve">PMID: 22898127 PMC3830178 </t>
  </si>
  <si>
    <t xml:space="preserve">PMID: 23159264 PMC3834139 </t>
  </si>
  <si>
    <t xml:space="preserve">Elsevier </t>
  </si>
  <si>
    <t xml:space="preserve">American Journal of Preventive Medicine </t>
  </si>
  <si>
    <t xml:space="preserve">Sickle Cell Disease in Africa; a neglected cause of early childhood mortality </t>
  </si>
  <si>
    <t>PMID:23331923</t>
  </si>
  <si>
    <t>PMCID: PMC3740237</t>
  </si>
  <si>
    <t xml:space="preserve">23670821 PMC3738939 </t>
  </si>
  <si>
    <t>PMID:22961729 PMC3547296</t>
  </si>
  <si>
    <t>PMID:22730171 PMC3556687</t>
  </si>
  <si>
    <t xml:space="preserve">PMID:21472932 PMC3555362 </t>
  </si>
  <si>
    <t xml:space="preserve">PMC3698700 </t>
  </si>
  <si>
    <t xml:space="preserve">PMC3638323
</t>
  </si>
  <si>
    <t xml:space="preserve">Annals of Neurology </t>
  </si>
  <si>
    <t xml:space="preserve">PMC3698699
</t>
  </si>
  <si>
    <t xml:space="preserve">PMID:23089748 PMC3535899 </t>
  </si>
  <si>
    <t xml:space="preserve">PMID: 23856774 PMC3811480 </t>
  </si>
  <si>
    <t>PMCID: PMC3553740</t>
  </si>
  <si>
    <t>PMID:23817378  PMCID: PMC3754341</t>
  </si>
  <si>
    <t>PMCID: PMC:3697379</t>
  </si>
  <si>
    <t>PMID:23706023</t>
  </si>
  <si>
    <t>PMCID: PMC3576918</t>
  </si>
  <si>
    <t> Psychometric profile of children with auditory processing disorder (APD) and children with dyslexia</t>
  </si>
  <si>
    <t xml:space="preserve">PMCID:
    PMC3625741
</t>
  </si>
  <si>
    <t>PMCID:
    PMC3607248</t>
  </si>
  <si>
    <t xml:space="preserve">23740368 PMC3840700 </t>
  </si>
  <si>
    <t>PMID:23971731</t>
  </si>
  <si>
    <t>PMCID: PMC3683944</t>
  </si>
  <si>
    <t>A cyto-protective mechanism which prevents
primary human hepatocyte apoptosis during oxidative stress</t>
  </si>
  <si>
    <t xml:space="preserve">Azania: Archaeological Research in Africa </t>
  </si>
  <si>
    <t xml:space="preserve">23025831 PMC3462035 </t>
  </si>
  <si>
    <t xml:space="preserve">23731076 PMC3670620 </t>
  </si>
  <si>
    <t xml:space="preserve">PMC3590452
</t>
  </si>
  <si>
    <t>ZF-CXXC DOMAIN CONTAINING PROTEINS, CPG ISLANDS &amp; THE CHROMATIN CONNECTION</t>
  </si>
  <si>
    <t xml:space="preserve">PMCID:
    PMC3759847
</t>
  </si>
  <si>
    <t xml:space="preserve">PMID:22326920 PMC3480643 </t>
  </si>
  <si>
    <t xml:space="preserve">PMID: 20377523 PMC3685215 </t>
  </si>
  <si>
    <t xml:space="preserve">PMID: 23009366  PMC3685217 </t>
  </si>
  <si>
    <t>PMCID: PMC3632086</t>
  </si>
  <si>
    <t>PMCID: PMC3635657</t>
  </si>
  <si>
    <t>PMCID: PMC3778709</t>
  </si>
  <si>
    <t>PMCID: PMC3778707</t>
  </si>
  <si>
    <t>PMCID: PMC3526858</t>
  </si>
  <si>
    <t>Characterization of Staphylococcus aureus EssB, an integral membrane component of the Type VII secretion system: atomic resolution crystal structure of the cytoplasmic segment.</t>
  </si>
  <si>
    <t>PMCID: PMC3631101</t>
  </si>
  <si>
    <t>PMCID:PMC3542821</t>
  </si>
  <si>
    <t>11β-Hydroxysteroid dehydrogenase type 1 contributes to the balance between 7-keto- and 7-hydroxy-oxysterols in vivo</t>
  </si>
  <si>
    <t xml:space="preserve">PMID: 23356304  PMC3561678 </t>
  </si>
  <si>
    <t xml:space="preserve">PMID: 23697937  PMC3685327 </t>
  </si>
  <si>
    <t xml:space="preserve"> PMCID:
    PMC3554041
 </t>
  </si>
  <si>
    <t xml:space="preserve"> PMC3413243</t>
  </si>
  <si>
    <t xml:space="preserve">PMID: 23459248 </t>
  </si>
  <si>
    <t xml:space="preserve">PMID: 23085491  PMC3714738 </t>
  </si>
  <si>
    <t xml:space="preserve">23458425 PMC3630740 </t>
  </si>
  <si>
    <t xml:space="preserve">PMC3579232 </t>
  </si>
  <si>
    <t xml:space="preserve">Presidential Address: The ethics of recognition, responsibility and respect </t>
  </si>
  <si>
    <t xml:space="preserve">PMC3570213
</t>
  </si>
  <si>
    <t>PMCID: PMC3476336</t>
  </si>
  <si>
    <t>PMID: 23658422 PMC3694669</t>
  </si>
  <si>
    <t>$850.00</t>
  </si>
  <si>
    <t>PMCID: 3507208</t>
  </si>
  <si>
    <t>DROSOPHILA SYNCRIP BINDS THE GURKEN MRNA LOCALISATION SIGNAL &amp; REGULATES LOCALISED TRANSCRIPTS</t>
  </si>
  <si>
    <t>PMCID: 3581401</t>
  </si>
  <si>
    <t>MOLECULAR ARCH. OF A COMPLEX BETWEEN ADHESION PROTEIN FROM MALARIA PARASITE &amp; INTRACELLULAR ADHESION</t>
  </si>
  <si>
    <t>PMID: 23245760</t>
  </si>
  <si>
    <t>PMID: 23452663</t>
  </si>
  <si>
    <t>PMID: 23510580</t>
  </si>
  <si>
    <t xml:space="preserve">The catechol-O-methyltransferase gene (COMT) and cognitive function from childhood through adolescence
</t>
  </si>
  <si>
    <t xml:space="preserve">PMC3457933
</t>
  </si>
  <si>
    <t>PMCID: PMC3711043</t>
  </si>
  <si>
    <t xml:space="preserve">PMCID:
    PMC3605579
</t>
  </si>
  <si>
    <t xml:space="preserve">Long-term impact of systemic bacterial infection on the cerebral vasculature and microglia. </t>
  </si>
  <si>
    <t>PMCID:
    PMC3764326</t>
  </si>
  <si>
    <t xml:space="preserve">1H, 13C and 15N chemical shift assignments of Na-FAR-1, a helix-rich fatty acid and retinol binding protein of the parasitic nematode Necator americanus </t>
  </si>
  <si>
    <t>PMCID: PMC3512037</t>
  </si>
  <si>
    <t>PMCID: PMC3525841</t>
  </si>
  <si>
    <t xml:space="preserve">23931322 PMCID: PMC3736666 </t>
  </si>
  <si>
    <t xml:space="preserve">23877967 PMC3814418 </t>
  </si>
  <si>
    <t>PMCID: PMC3763426</t>
  </si>
  <si>
    <t xml:space="preserve">Palgrave MacMillan </t>
  </si>
  <si>
    <t xml:space="preserve">Birth Defects Research Part A: Clinical and Molecular Teratology  </t>
  </si>
  <si>
    <t xml:space="preserve">PMC3613719
</t>
  </si>
  <si>
    <t>PMCID: PMC3596968</t>
  </si>
  <si>
    <t xml:space="preserve">23002116 PMC3790949 </t>
  </si>
  <si>
    <t>PMCID:
    PMC3689249</t>
  </si>
  <si>
    <t xml:space="preserve">23255554 PMC3653566 </t>
  </si>
  <si>
    <t xml:space="preserve">23043070 PMC3790942 </t>
  </si>
  <si>
    <t>PMC 3533981</t>
  </si>
  <si>
    <t>BMC  Public Health</t>
  </si>
  <si>
    <t xml:space="preserve">PMID: 24020915 PMC3846689 </t>
  </si>
  <si>
    <t>PMID:23442822</t>
  </si>
  <si>
    <t>PMCID:
    PMC3636053</t>
  </si>
  <si>
    <t xml:space="preserve">BioMed Central </t>
  </si>
  <si>
    <t xml:space="preserve">PMCID:
    PMC3664635
</t>
  </si>
  <si>
    <t xml:space="preserve">The development of a lay health worker delivered collaborative community based intervention for people with schizophrenia in India </t>
  </si>
  <si>
    <t xml:space="preserve">PMCID: PMC3605375 </t>
  </si>
  <si>
    <t xml:space="preserve">BMC Infectious Diseases </t>
  </si>
  <si>
    <t xml:space="preserve">PMC3750443
</t>
  </si>
  <si>
    <t>Multiple tandem splicing silencer elements suppress aberrant splicing within  the long exon 26 of the human Apolipoprotein B gene</t>
  </si>
  <si>
    <t>PMC 3599138</t>
  </si>
  <si>
    <t xml:space="preserve">PMCID:
    PMC3637551
</t>
  </si>
  <si>
    <t xml:space="preserve">PMCID:
    PMC3637528
</t>
  </si>
  <si>
    <t>PMC 3570447</t>
  </si>
  <si>
    <t xml:space="preserve">PMC3651303 </t>
  </si>
  <si>
    <t xml:space="preserve">PMCID: PMC3664085 </t>
  </si>
  <si>
    <t>PMCID:
    PMC3766112</t>
  </si>
  <si>
    <t>Study protocol for a randomised controlled double-blinded trial of the dose-dependent efficacy and safety of primaquine  for clearance of gametocytes in children with uncomplicated falciparum malaria in Uganda.</t>
  </si>
  <si>
    <t xml:space="preserve">BMJ </t>
  </si>
  <si>
    <t>Use of risk assessment instruments to predict violence &amp; antisocial behavior in 73 samples involving 24,827 people; systematic review and meta-analysis</t>
  </si>
  <si>
    <t xml:space="preserve">Could NICE guidance on the choice of blood pressure lowering drugs be simplified? </t>
  </si>
  <si>
    <t xml:space="preserve">PMC3731707
</t>
  </si>
  <si>
    <t xml:space="preserve">PMC3752053
</t>
  </si>
  <si>
    <t xml:space="preserve">PMC3612744
</t>
  </si>
  <si>
    <t xml:space="preserve">PMID: 23516272 PMC3612817 </t>
  </si>
  <si>
    <t xml:space="preserve">PMC3685541 </t>
  </si>
  <si>
    <t>PMCID:
    PMC3590448</t>
  </si>
  <si>
    <t xml:space="preserve">PMC3286332 </t>
  </si>
  <si>
    <t xml:space="preserve">PMC3673458
</t>
  </si>
  <si>
    <t xml:space="preserve">PMC3673465
</t>
  </si>
  <si>
    <t xml:space="preserve">PMC3754462
</t>
  </si>
  <si>
    <t xml:space="preserve">Atypical basic movement kinematics in autism spectrum conditions
</t>
  </si>
  <si>
    <t>PMC 3692042</t>
  </si>
  <si>
    <t>PMCID: PMC3501977</t>
  </si>
  <si>
    <t xml:space="preserve">PMC3634199
</t>
  </si>
  <si>
    <t xml:space="preserve">PMC3661989
</t>
  </si>
  <si>
    <t xml:space="preserve">PMC3730055
</t>
  </si>
  <si>
    <t xml:space="preserve">PMC3639368
</t>
  </si>
  <si>
    <t>PMID: 23250878 PMC3525062</t>
  </si>
  <si>
    <t>PMCID: PMC3580272</t>
  </si>
  <si>
    <t>PMCID: PMC3170535</t>
  </si>
  <si>
    <t>PMCID: PMC3381722</t>
  </si>
  <si>
    <t xml:space="preserve">23246923 PMC3573228 </t>
  </si>
  <si>
    <t xml:space="preserve">PMC3637647
</t>
  </si>
  <si>
    <t xml:space="preserve">Brain Topography </t>
  </si>
  <si>
    <t xml:space="preserve">"A novel method for reducing the effect of tonic muscle activity on the gamma band of the scalp EEG", DOI: 10.1007/s10548-012-0255-9 </t>
  </si>
  <si>
    <t>PMCID: PMC3662891</t>
  </si>
  <si>
    <t>PMID: 23822584</t>
  </si>
  <si>
    <t>A single channel mutation alters agonist efficacy at  5-HT3A and 5-HT3AB receptors</t>
  </si>
  <si>
    <t>PMID: 23927070</t>
  </si>
  <si>
    <t xml:space="preserve">PMCID: PMC3557659 </t>
  </si>
  <si>
    <t xml:space="preserve">Eyescores : An open platform for secure electronic data and photographic evidence  collection in ophthalmological field studies
</t>
  </si>
  <si>
    <t xml:space="preserve">23121507 PMCID: PMC3596649 </t>
  </si>
  <si>
    <t xml:space="preserve">PMC3594681
</t>
  </si>
  <si>
    <t xml:space="preserve">PMID: 23489111 PMC3687655 </t>
  </si>
  <si>
    <t>PMID: 23638853  PMC3724117</t>
  </si>
  <si>
    <t xml:space="preserve">23703318 PMC3730114 </t>
  </si>
  <si>
    <t>PMCID: PMC3607278</t>
  </si>
  <si>
    <t>PMID:23137731</t>
  </si>
  <si>
    <t xml:space="preserve">22962270 PMC3491872 </t>
  </si>
  <si>
    <t>PMCID:PMC3718323</t>
  </si>
  <si>
    <t xml:space="preserve">PMCID:
    PMC3714924
</t>
  </si>
  <si>
    <t xml:space="preserve">Oxford University Press
</t>
  </si>
  <si>
    <t>PMCID: PMC3464430</t>
  </si>
  <si>
    <t>PMCID:
    PMC3732391</t>
  </si>
  <si>
    <t xml:space="preserve">PMC3547901
</t>
  </si>
  <si>
    <t>Emerging roles for semaphorins &amp; VEGFs in synaptogenesis and synaptic platicity</t>
  </si>
  <si>
    <t>PMID: 23966160</t>
  </si>
  <si>
    <t>PMID:23974100</t>
  </si>
  <si>
    <t>PMCID: PMC3594270</t>
  </si>
  <si>
    <t>PMCID: PMC3637335</t>
  </si>
  <si>
    <t xml:space="preserve">PMC3619234
</t>
  </si>
  <si>
    <t xml:space="preserve">IF1 limits the apoptotic-signalling cascade by preventing mitochondrial remodelling </t>
  </si>
  <si>
    <t xml:space="preserve">PMC3563982
</t>
  </si>
  <si>
    <t xml:space="preserve">Cell Death and Disease </t>
  </si>
  <si>
    <t xml:space="preserve">Nature </t>
  </si>
  <si>
    <t xml:space="preserve">23498957 PMC3601332 </t>
  </si>
  <si>
    <t>PMCID:
    PMC3510437</t>
  </si>
  <si>
    <t>PMCID: PMC3661979</t>
  </si>
  <si>
    <t>PMCID: PMC3791399</t>
  </si>
  <si>
    <t>PMCID: PMC 3690479</t>
  </si>
  <si>
    <t>PMID: 23994477</t>
  </si>
  <si>
    <t>PMCID:PMC3778892</t>
  </si>
  <si>
    <t xml:space="preserve">PMID: 23040481 PMC3510442 </t>
  </si>
  <si>
    <t xml:space="preserve">PMID: 23052214  PMC3689915 </t>
  </si>
  <si>
    <t>PMID: 23275942   PMC3753470</t>
  </si>
  <si>
    <t>PMCID: PMC3535400</t>
  </si>
  <si>
    <t xml:space="preserve">PMC3632722
</t>
  </si>
  <si>
    <t xml:space="preserve">Neurovascular Development and Links to Disease </t>
  </si>
  <si>
    <t xml:space="preserve">22897233 PMC3599488 </t>
  </si>
  <si>
    <t xml:space="preserve">23126643 PMC3599488 </t>
  </si>
  <si>
    <t>Mannan core branching of lipo(arabino)mannan is
required for mycobacterial virulence in the context of
innate immunity</t>
  </si>
  <si>
    <t xml:space="preserve">PMID: 23022959  PMC3715701 </t>
  </si>
  <si>
    <t>PMCID: PMC3590450</t>
  </si>
  <si>
    <t>PMCID: PMC3709121</t>
  </si>
  <si>
    <t>PMID:24047602</t>
  </si>
  <si>
    <t>PMCID: PMC3673173</t>
  </si>
  <si>
    <t>PMID22345357 PMC3539454</t>
  </si>
  <si>
    <t>PMC 3536734</t>
  </si>
  <si>
    <t>PMID:24009110</t>
  </si>
  <si>
    <t xml:space="preserve">PMID:23483642 PMC3625746 </t>
  </si>
  <si>
    <t xml:space="preserve">23418011  PMCID: PMC3792637 </t>
  </si>
  <si>
    <t>PMID: 23344974 PMC3401426</t>
  </si>
  <si>
    <t xml:space="preserve">22996943 PMCID: PMC3569615 </t>
  </si>
  <si>
    <t>Chemistry -  European Journal</t>
  </si>
  <si>
    <t>PMID: 23918316</t>
  </si>
  <si>
    <t>PMCID: PMC3728731</t>
  </si>
  <si>
    <t xml:space="preserve">23495205685.88 PMC3743159  </t>
  </si>
  <si>
    <t>Wiley Subscription Services  Inc.</t>
  </si>
  <si>
    <t xml:space="preserve">CHILD: Care, Heath &amp; Development </t>
  </si>
  <si>
    <t xml:space="preserve">A Home-Intervention Using Augmentative and Alternative Communication (AAC) Techniques in rural Kenya: What are care givers' experiences? </t>
  </si>
  <si>
    <t xml:space="preserve">Springer-Veriag GmbH </t>
  </si>
  <si>
    <t xml:space="preserve">PMCID: PMC3563216 </t>
  </si>
  <si>
    <t xml:space="preserve">PMCID: PMC3675966 </t>
  </si>
  <si>
    <t xml:space="preserve">e-pub </t>
  </si>
  <si>
    <t xml:space="preserve">Chickenpox and risk of stroke: a self-controlled case series analysis </t>
  </si>
  <si>
    <t>PMCID:
    PMC3540040</t>
  </si>
  <si>
    <t xml:space="preserve">Oxford University Press </t>
  </si>
  <si>
    <t xml:space="preserve">Clinical Infectious Diseases </t>
  </si>
  <si>
    <t xml:space="preserve">Rates of Pneumococcal Colonization and Transmission probabilities by serotype, among new born infants in Kilifi District </t>
  </si>
  <si>
    <t>How disorder-specific are depressive attributions?  A comparison of individuals with depression, posttraumatic stress disorder and healthy controls.</t>
  </si>
  <si>
    <t xml:space="preserve">PMC3719211
</t>
  </si>
  <si>
    <t xml:space="preserve">23773550 PMC3807794 </t>
  </si>
  <si>
    <t xml:space="preserve">PMID:23143153 PMC3566545 </t>
  </si>
  <si>
    <t xml:space="preserve">PMC3701319 </t>
  </si>
  <si>
    <t>PMCID: PMC3660786</t>
  </si>
  <si>
    <t xml:space="preserve">23885220 PMC3706957 </t>
  </si>
  <si>
    <t xml:space="preserve">PMID: 23103187 PMC3502867 </t>
  </si>
  <si>
    <t>PMCID: 3502862</t>
  </si>
  <si>
    <t>BLOC-3 MUTATED IN HERMANSKY-PUDLAK SYNDROM IS A RAB32/38 GUANINE NUCLEOTIDE EXCHANGE FACTOR</t>
  </si>
  <si>
    <t xml:space="preserve">PMID: 22902756  PMC3485558 </t>
  </si>
  <si>
    <t>PMCID: PMC 3525857</t>
  </si>
  <si>
    <t xml:space="preserve">PMC3580286 </t>
  </si>
  <si>
    <t xml:space="preserve">PMC3566480
</t>
  </si>
  <si>
    <t xml:space="preserve">Current Obstetrics and Gynecology Reports </t>
  </si>
  <si>
    <t xml:space="preserve">Current Opinion in Neurobiology </t>
  </si>
  <si>
    <t>PMID: 23267662</t>
  </si>
  <si>
    <t>Inframolecular acid-base and coordination properties towards Na(+) and Mg(2+) of myo-inositol 1,3,4,5,6-pentakisphosphate: a structural approach to biologically relevant species.</t>
  </si>
  <si>
    <t>PMID: 23935057</t>
  </si>
  <si>
    <t>PMID:24118397</t>
  </si>
  <si>
    <t>PMID: 23861059</t>
  </si>
  <si>
    <t>PMCID: PMC3737725</t>
  </si>
  <si>
    <t xml:space="preserve">PMC3699283
</t>
  </si>
  <si>
    <t xml:space="preserve">PMC3640218 </t>
  </si>
  <si>
    <t xml:space="preserve">PMCID:
    PMC3583043
</t>
  </si>
  <si>
    <t xml:space="preserve">Development </t>
  </si>
  <si>
    <t>PMCID: 3437444</t>
  </si>
  <si>
    <t>SMCHD1-DEPENDENT &amp; INDEPENDENT PATHWAYS DETERMINE DEVELOPMENT DYNAMICS OF CPG ISLAND METHYLATION ON THE INACTIVE X CHROMOSOME</t>
  </si>
  <si>
    <t>PMCID: PMC3644191</t>
  </si>
  <si>
    <t>PMCID: PMC3677094</t>
  </si>
  <si>
    <t xml:space="preserve">PMC3603409
</t>
  </si>
  <si>
    <t xml:space="preserve">PMC3507630 </t>
  </si>
  <si>
    <t xml:space="preserve">PMID: 23177648 PMC3521961 </t>
  </si>
  <si>
    <t xml:space="preserve">Daughter cell identity emerges from the interplay of Cdc42, septins, and exocytosis </t>
  </si>
  <si>
    <t xml:space="preserve">PMC3659288
</t>
  </si>
  <si>
    <t xml:space="preserve">Developmental Cognitive Neuroscience </t>
  </si>
  <si>
    <t xml:space="preserve">PMC3682176
</t>
  </si>
  <si>
    <t xml:space="preserve">PMID: 23398374 PMC3709123 </t>
  </si>
  <si>
    <t>PMCID: PMC3648684</t>
  </si>
  <si>
    <t>PMCID: PMC3699707</t>
  </si>
  <si>
    <t>PMID: 22171404</t>
  </si>
  <si>
    <t xml:space="preserve">23511972 PMC3630358 </t>
  </si>
  <si>
    <t xml:space="preserve"> PMC3791366 </t>
  </si>
  <si>
    <t>PMCID: PMC3545308</t>
  </si>
  <si>
    <t>PMCID: PMC3616287</t>
  </si>
  <si>
    <t>PMCID: PMC3770947</t>
  </si>
  <si>
    <t>PMCID:
    PMC3531601</t>
  </si>
  <si>
    <t xml:space="preserve">PMC3628103
</t>
  </si>
  <si>
    <t xml:space="preserve">PMID: 23670199  PMC3701237 </t>
  </si>
  <si>
    <t>PMCID: PMC3615658</t>
  </si>
  <si>
    <t xml:space="preserve">Subjective responses to emotional stimuli during labeling, reappraisal, and distraction </t>
  </si>
  <si>
    <t>PMCID: PMC3568261</t>
  </si>
  <si>
    <t xml:space="preserve">PMCID:
    PMC3544356
</t>
  </si>
  <si>
    <t xml:space="preserve">PMCID: PMC3507354
</t>
  </si>
  <si>
    <t xml:space="preserve">PMC3836409 </t>
  </si>
  <si>
    <t>PMC 3487483</t>
  </si>
  <si>
    <t xml:space="preserve">PMC3757920
</t>
  </si>
  <si>
    <t>Tracking sickness through social networks â€“ the practical use of social network mapping in supporting the management of an E.coli O157 outbreak in a primary school in London</t>
  </si>
  <si>
    <t xml:space="preserve">The Genetic Risk of Acute Seizures in African Children with Falciparum Malaria </t>
  </si>
  <si>
    <t xml:space="preserve">PMC3682189
</t>
  </si>
  <si>
    <t>PMID:22928509 PMC3707360</t>
  </si>
  <si>
    <t xml:space="preserve">23385540 PMC3669511 </t>
  </si>
  <si>
    <t xml:space="preserve">23132696 PMC3547489 </t>
  </si>
  <si>
    <t xml:space="preserve">PMC3599069
</t>
  </si>
  <si>
    <t>PMC3476715 (Available 01/11/12)</t>
  </si>
  <si>
    <t>PMCID: PMC3298641</t>
  </si>
  <si>
    <t>PMCID: PMC3734624</t>
  </si>
  <si>
    <t xml:space="preserve">22965681 PMC3657127 </t>
  </si>
  <si>
    <t xml:space="preserve">22653709 PMC3781703 </t>
  </si>
  <si>
    <t>PMCID:
    PMC3615172</t>
  </si>
  <si>
    <t xml:space="preserve">PMC3816330 </t>
  </si>
  <si>
    <t>PMCID: PMC3655539</t>
  </si>
  <si>
    <t xml:space="preserve">23707654 PMC3744815 </t>
  </si>
  <si>
    <t xml:space="preserve">PMID: 23172732 PMC3784797 </t>
  </si>
  <si>
    <t>PMCID: PMC3750810</t>
  </si>
  <si>
    <t xml:space="preserve">PMID: 23371752 PMC3745826 </t>
  </si>
  <si>
    <t xml:space="preserve">PMC3745827
</t>
  </si>
  <si>
    <t xml:space="preserve">PMC3562441
</t>
  </si>
  <si>
    <t>PMID:23220237 PMC3630327</t>
  </si>
  <si>
    <t>PMCID: PMC3782662</t>
  </si>
  <si>
    <t xml:space="preserve">PMID: 23538029 PMC3659828 </t>
  </si>
  <si>
    <t xml:space="preserve">PMC3470925
</t>
  </si>
  <si>
    <t>PMID: 23879611</t>
  </si>
  <si>
    <t xml:space="preserve">PMID: 23118027 </t>
  </si>
  <si>
    <t xml:space="preserve">PMCID:
    PMC3513842
</t>
  </si>
  <si>
    <t xml:space="preserve">23170778 PMC3572582 </t>
  </si>
  <si>
    <t>Structural basis of peptide recognition by the angiotensin-1 converting enzyme homologue AnCE from Drosophila melanogaster.</t>
  </si>
  <si>
    <t xml:space="preserve">23517310 PMC3734648 </t>
  </si>
  <si>
    <t>Substrate specificity and the effect of calcium on Trypanosoma brucei metacaspase 2</t>
  </si>
  <si>
    <t>PMID: 23627368  PMC3806363</t>
  </si>
  <si>
    <t>The architecture of Trypanosoma brucei tubulin-binding cofactor B and implications for function</t>
  </si>
  <si>
    <t>PMCID: PMC3640159</t>
  </si>
  <si>
    <t>PMCID: PMC3655261</t>
  </si>
  <si>
    <t xml:space="preserve">23650598  PMC3642154 </t>
  </si>
  <si>
    <t>PMID : 23763300</t>
  </si>
  <si>
    <t xml:space="preserve">PMC3584288 </t>
  </si>
  <si>
    <t xml:space="preserve">PMC3689257
</t>
  </si>
  <si>
    <t xml:space="preserve">PMC3677134
</t>
  </si>
  <si>
    <t xml:space="preserve">PMC3668263 </t>
  </si>
  <si>
    <t xml:space="preserve">PMC3644713
</t>
  </si>
  <si>
    <t xml:space="preserve">PMC3747673
</t>
  </si>
  <si>
    <t xml:space="preserve">PMC3735983
</t>
  </si>
  <si>
    <t xml:space="preserve">PMC3747448
</t>
  </si>
  <si>
    <t xml:space="preserve">23720616  PMC3654214 </t>
  </si>
  <si>
    <t xml:space="preserve">23805144 PMC3693486 </t>
  </si>
  <si>
    <t>PMCID: PMC3554956</t>
  </si>
  <si>
    <t xml:space="preserve">PMC3487150
</t>
  </si>
  <si>
    <t>PMCID: PMC3557415</t>
  </si>
  <si>
    <t xml:space="preserve">23847615 PMC3696884 </t>
  </si>
  <si>
    <t>Re-directing CD4+ T cell responses with the flanking residues of MHC class II-bound peptides:  the core is not enough</t>
  </si>
  <si>
    <t>PMID: 23256812</t>
  </si>
  <si>
    <t>PMID: 24024949</t>
  </si>
  <si>
    <t>PMC 3492750</t>
  </si>
  <si>
    <t>Advances  in the treatment of visual hallucinations on neurodegenerative diseases</t>
  </si>
  <si>
    <t>PMCID:
    PMC3646239</t>
  </si>
  <si>
    <t xml:space="preserve">PMC3507624 </t>
  </si>
  <si>
    <t xml:space="preserve">PMCID: PMC3611593 </t>
  </si>
  <si>
    <t xml:space="preserve">PMC3725417
</t>
  </si>
  <si>
    <t xml:space="preserve">Genetics </t>
  </si>
  <si>
    <t>PMID: 23703681 (May 2013 Epub)</t>
  </si>
  <si>
    <t>PMID:23889909</t>
  </si>
  <si>
    <t>PMC 3580495</t>
  </si>
  <si>
    <t>PMCID: PMC3460180</t>
  </si>
  <si>
    <t>PMCID:
    PMC3671775</t>
  </si>
  <si>
    <t>The paradox of NKp46+ NK cells:  drivers of severe HCV-induced pathology but in vivo resistance to IFNa treatment</t>
  </si>
  <si>
    <t xml:space="preserve">PMID:22419580 PMC3487588 </t>
  </si>
  <si>
    <t xml:space="preserve">Health  </t>
  </si>
  <si>
    <t xml:space="preserve">PMID: 23376730 PMC3591252 
</t>
  </si>
  <si>
    <t xml:space="preserve">Health Policy Planning </t>
  </si>
  <si>
    <t xml:space="preserve">PMID: 23477577 PMC3727344 </t>
  </si>
  <si>
    <t xml:space="preserve">PMC3330789 </t>
  </si>
  <si>
    <t xml:space="preserve">Cadmus </t>
  </si>
  <si>
    <t xml:space="preserve">22807091  PMC3744754 </t>
  </si>
  <si>
    <t>PMCID:
    PMC3592994</t>
  </si>
  <si>
    <t>PMID:23080298</t>
  </si>
  <si>
    <t>Inhibition of RelA-Ser536 phosphorylation  by a completing peptide reduces mouse liver fibrosis wothout blocking the innate immune response</t>
  </si>
  <si>
    <t xml:space="preserve">PMC3505796 </t>
  </si>
  <si>
    <t>(PMCID:PMC3757918)</t>
  </si>
  <si>
    <t>PMCID: PMC3415954</t>
  </si>
  <si>
    <t>PMID23396536 PMC3652415</t>
  </si>
  <si>
    <t>Dopaminergic expression of the Parkinsonian gene LRRK2-G2019S leads to non-autonomous visual neurodegeneration, accelerated by increased neural demands for energy</t>
  </si>
  <si>
    <t>PMID:23814040</t>
  </si>
  <si>
    <t xml:space="preserve">PMC3613160
</t>
  </si>
  <si>
    <t xml:space="preserve">PMC3583518
</t>
  </si>
  <si>
    <t>PMID: 23804751</t>
  </si>
  <si>
    <t xml:space="preserve">PMID: 23933736 PMC3842180 </t>
  </si>
  <si>
    <t xml:space="preserve">Trans-splicing correction of tau isoform imbalance in a mouse model of tau mis-splicing </t>
  </si>
  <si>
    <t>PMID:23696415</t>
  </si>
  <si>
    <t xml:space="preserve">PMC3746110
</t>
  </si>
  <si>
    <t>PMCID: PMC3600839</t>
  </si>
  <si>
    <t xml:space="preserve">PMCID:     PMC3664922
</t>
  </si>
  <si>
    <t xml:space="preserve">PMID: 23644721 PMC3710569 </t>
  </si>
  <si>
    <t>PMID: 23974321 PMC3824577</t>
  </si>
  <si>
    <t xml:space="preserve">PMCID:
    PMC3530087
</t>
  </si>
  <si>
    <t>PMID:23621371</t>
  </si>
  <si>
    <t xml:space="preserve">PMC3684771 </t>
  </si>
  <si>
    <t xml:space="preserve">PMID:22988015 PMC3497410 </t>
  </si>
  <si>
    <t>PMCID: PMC3497412</t>
  </si>
  <si>
    <t xml:space="preserve">PMID:23115042 PMC3536122 </t>
  </si>
  <si>
    <t>PMC 3438445</t>
  </si>
  <si>
    <t xml:space="preserve">Identification of RSV Group B Viruses that lack the 60-Nucleotide duplication after 6 Consecutive Epidemics of total BA dominance in Coastal Kenya </t>
  </si>
  <si>
    <t xml:space="preserve">PMID:23606632 PMC3631001 </t>
  </si>
  <si>
    <t>PMCID: PMC3672092</t>
  </si>
  <si>
    <t xml:space="preserve">PMC3819990 </t>
  </si>
  <si>
    <t>PMID: 23932869 PMC3819985</t>
  </si>
  <si>
    <t>PMID: 23873369</t>
  </si>
  <si>
    <t xml:space="preserve">PMC3780998
</t>
  </si>
  <si>
    <t>PMID: 23771720</t>
  </si>
  <si>
    <t>PMCID: PMC3780999</t>
  </si>
  <si>
    <t xml:space="preserve">International Journal of Financial Research
</t>
  </si>
  <si>
    <t xml:space="preserve">PMID: 23327189 PMC3566929 </t>
  </si>
  <si>
    <t xml:space="preserve">PMID:24132152   PMC3821636 </t>
  </si>
  <si>
    <t>PMID: 23229735  PMC3734734</t>
  </si>
  <si>
    <t>PMID: 23209475 /PMCID: PMC3504370</t>
  </si>
  <si>
    <t>International Journal of Tuberculosis  and Lung Disease</t>
  </si>
  <si>
    <t>PMID:23570314 - PMC3634610</t>
  </si>
  <si>
    <t>J BC</t>
  </si>
  <si>
    <t>Structural and evolutionary basis for the dual substrate selectivity of human KDM4 histone demethylase family. </t>
  </si>
  <si>
    <t>PMCID:3106451</t>
  </si>
  <si>
    <t>J CS</t>
  </si>
  <si>
    <t>PMC 3421817</t>
  </si>
  <si>
    <t>J CM</t>
  </si>
  <si>
    <t xml:space="preserve">Dartmouth Journal Services </t>
  </si>
  <si>
    <t>J II</t>
  </si>
  <si>
    <t xml:space="preserve">23319734 : PMC3672848 </t>
  </si>
  <si>
    <t xml:space="preserve">J Immunol </t>
  </si>
  <si>
    <t>Mitochondrial superoxide generation enhances P2X7R-mediated loss of cell surface CD62L on naive human CD4+ T lymphocytes.</t>
  </si>
  <si>
    <t>J ID</t>
  </si>
  <si>
    <t xml:space="preserve">23043264  PMC3506128 </t>
  </si>
  <si>
    <t>J MC</t>
  </si>
  <si>
    <t xml:space="preserve">PMC3621106 </t>
  </si>
  <si>
    <t xml:space="preserve">PMC3510731
</t>
  </si>
  <si>
    <t xml:space="preserve">23438216 PMC3601604 </t>
  </si>
  <si>
    <t>J OC</t>
  </si>
  <si>
    <t>J SR</t>
  </si>
  <si>
    <t>PMCID:PMC3268392</t>
  </si>
  <si>
    <t>PMID: 23846567  (Epub July 2013)</t>
  </si>
  <si>
    <t xml:space="preserve">Epub </t>
  </si>
  <si>
    <t xml:space="preserve">PMC3781323 </t>
  </si>
  <si>
    <t xml:space="preserve">Journal of Affective Disorders </t>
  </si>
  <si>
    <t>PMCID: PMC3629941</t>
  </si>
  <si>
    <t>PMID: 23788479 /PMCID: PMC3797641</t>
  </si>
  <si>
    <t xml:space="preserve">PMCID:
    PMC3594497
</t>
  </si>
  <si>
    <t>PMCID: PMC3627410</t>
  </si>
  <si>
    <t xml:space="preserve">PMC3798815
</t>
  </si>
  <si>
    <t>PMCID: 3415497</t>
  </si>
  <si>
    <t>THE ESCHERICHIA COLI SMC COMPLEX, MUKBEF, SHAPES NUCLEOID ORGANISATION INDEPENDENTLY DNA REPLICATION</t>
  </si>
  <si>
    <t xml:space="preserve">Cognitive behavioural treatment of insomnia in patients with persecutory delusions: a pilot trial   </t>
  </si>
  <si>
    <t>PMID: 23575945</t>
  </si>
  <si>
    <t xml:space="preserve">PMC3508276
</t>
  </si>
  <si>
    <t xml:space="preserve">Defining the molecular basis for the first potent and selective orthosteric agonists of the FFA2 free fatty acid receptor </t>
  </si>
  <si>
    <t xml:space="preserve">23239883 PMC3561570 </t>
  </si>
  <si>
    <t>PMCID: PMC3481303</t>
  </si>
  <si>
    <t>PMCID:
    PMC3789947</t>
  </si>
  <si>
    <t>PMCID: PMC3642348</t>
  </si>
  <si>
    <t>PMID: 22992744  PMC3493908</t>
  </si>
  <si>
    <t>PMCID: PMC3531748</t>
  </si>
  <si>
    <t xml:space="preserve">PMCID: PMC3436574
</t>
  </si>
  <si>
    <t xml:space="preserve">PMID: 23223336 PMC3543027 </t>
  </si>
  <si>
    <t>PMCID: PMC3795252</t>
  </si>
  <si>
    <t>PMCID: PMC3724652</t>
  </si>
  <si>
    <t xml:space="preserve">PMCID:
    PMC3597794
</t>
  </si>
  <si>
    <t xml:space="preserve">The HsiB1C1 (TssB/TssC) complex of the Pseudomonas aeruginosa type VI secretion system forms a bacteriophage tail sheath-like structure </t>
  </si>
  <si>
    <t xml:space="preserve">PMC3696691
</t>
  </si>
  <si>
    <t>ZINC-INDUCED SELF-ASSOCIATION OF COMPLEMENT C3b AND FACTOR H: IMPLICATIONS FOR INFLAMMATION AND AGE-RELATED MACULAR DEGENERATION</t>
  </si>
  <si>
    <t xml:space="preserve">23344959  PMC3585060 </t>
  </si>
  <si>
    <t>$917.50</t>
  </si>
  <si>
    <t>Direct and indirect control of MAPK pathway associated components, BRAP/IMP and CRAF, by
the deubiquitylating enzyme USP15*</t>
  </si>
  <si>
    <t xml:space="preserve">: PMC3711325 </t>
  </si>
  <si>
    <t xml:space="preserve">23129765 PMC3531760 </t>
  </si>
  <si>
    <t xml:space="preserve"> PMC3516716</t>
  </si>
  <si>
    <t>$1150.60</t>
  </si>
  <si>
    <t xml:space="preserve">PMC3581394 </t>
  </si>
  <si>
    <t xml:space="preserve">PMC3554938 </t>
  </si>
  <si>
    <t>PMCID: 3682544</t>
  </si>
  <si>
    <t>STRUCTURAL ANALYSIS OF COLLAGEN TYPE I INTERACTIONS WITH HUMAN FIBRONECTIN REVEALS A COOPERATIVE BONDING MODE</t>
  </si>
  <si>
    <t xml:space="preserve">2339840 PMC3591641 </t>
  </si>
  <si>
    <t xml:space="preserve">Preferential Targeting of a Signal Recognition Particle-dependent Precursor </t>
  </si>
  <si>
    <t xml:space="preserve">PMC3774368 </t>
  </si>
  <si>
    <t xml:space="preserve"> PMCID: PMC3750171 </t>
  </si>
  <si>
    <t xml:space="preserve">PMC3757190 </t>
  </si>
  <si>
    <t xml:space="preserve">23264619 PMC3576117 </t>
  </si>
  <si>
    <t xml:space="preserve">CADMUS JOURNAL SERVICE </t>
  </si>
  <si>
    <t xml:space="preserve">23704797 PMCID: PMC3662417 </t>
  </si>
  <si>
    <t xml:space="preserve">22566126 PMC3746124 </t>
  </si>
  <si>
    <t xml:space="preserve">PMID: 24046445 PMC3828593 </t>
  </si>
  <si>
    <t xml:space="preserve">PKA isoforms coordinate mRNA fate during nutrient starvation </t>
  </si>
  <si>
    <t>Positional editing of transmembrane domains during ion channel assembly</t>
  </si>
  <si>
    <t>PMID:23606739</t>
  </si>
  <si>
    <t xml:space="preserve">PMC3597375
</t>
  </si>
  <si>
    <t>PMCID: PMC3739413</t>
  </si>
  <si>
    <t xml:space="preserve">PMCID: PMC3593170 </t>
  </si>
  <si>
    <t>PMID: 23082797 PMC3562487</t>
  </si>
  <si>
    <t xml:space="preserve">PMC3708033
</t>
  </si>
  <si>
    <t xml:space="preserve">PMC3612801
</t>
  </si>
  <si>
    <t xml:space="preserve">23337727 PMC3651585 </t>
  </si>
  <si>
    <t>PMID: 23846817 /PMCID: PMC3784648</t>
  </si>
  <si>
    <t xml:space="preserve">PMID: 23783094 : PMC3813945 </t>
  </si>
  <si>
    <t xml:space="preserve">23365120 PMC3708032 </t>
  </si>
  <si>
    <t>Systematic Reveiw of the Hawthorn effect: New concepts are  ....</t>
  </si>
  <si>
    <t>PMCID:
    PMC3697669</t>
  </si>
  <si>
    <t xml:space="preserve">American Society for Microbiology </t>
  </si>
  <si>
    <t xml:space="preserve">Journal of Clinical Microbiology </t>
  </si>
  <si>
    <t>PMCID:
    PMC3650242</t>
  </si>
  <si>
    <t xml:space="preserve">A randomized clinical trial of mindfulness-based cognitive therapy versus unrestricted services for health anxiety (hypochondriasis). 
</t>
  </si>
  <si>
    <t xml:space="preserve">PMID:23642644  PMC3851688 </t>
  </si>
  <si>
    <t>PMCID: PMC3429856</t>
  </si>
  <si>
    <t>PMCID: PMC3429859</t>
  </si>
  <si>
    <t xml:space="preserve">Journal of Epidemiology &amp; Community Health </t>
  </si>
  <si>
    <t>Socioeconomic inequalities in all-cause mortality in the Czech Republic, Russia, Poland and Lithuania in the 2000s: findings from the HAPIEE study</t>
  </si>
  <si>
    <t xml:space="preserve">PMID: 23761410 PMC3756433 </t>
  </si>
  <si>
    <t xml:space="preserve">PMID: 22360292 </t>
  </si>
  <si>
    <t>PMCID:PMC3708113</t>
  </si>
  <si>
    <t xml:space="preserve">PMC3836354 </t>
  </si>
  <si>
    <t xml:space="preserve">Taylor and Francis </t>
  </si>
  <si>
    <t>Journal of Experimental Psychology:  Animal Behaviour Process</t>
  </si>
  <si>
    <t xml:space="preserve">PMC3607463
</t>
  </si>
  <si>
    <t xml:space="preserve">American Psychological Association </t>
  </si>
  <si>
    <t xml:space="preserve">23421830 PMC3576129 </t>
  </si>
  <si>
    <t>The nature of nuture:  Disentangling passive geneotype-environment correlation from family relationship influences on children's externalising problems</t>
  </si>
  <si>
    <t>PMID: 23761407 PMC3749055</t>
  </si>
  <si>
    <t>PMCID: PMC3541790</t>
  </si>
  <si>
    <t xml:space="preserve">PMID: 23288427 PMC3709586 </t>
  </si>
  <si>
    <t xml:space="preserve">PMID: 23515023 PMC3709636 </t>
  </si>
  <si>
    <t xml:space="preserve">PMID: 22622330  PMC3709573 </t>
  </si>
  <si>
    <t>PMCID:
    PMC3709624</t>
  </si>
  <si>
    <t xml:space="preserve">23324467 PMCID: PMC3709587 </t>
  </si>
  <si>
    <t>PMID:23407423</t>
  </si>
  <si>
    <t>PMID:22513389 PMC3542733</t>
  </si>
  <si>
    <t xml:space="preserve">PMID:23255627 PMC3709688 </t>
  </si>
  <si>
    <t>PMCID: PMC3625113</t>
  </si>
  <si>
    <t xml:space="preserve">PMC3524560 </t>
  </si>
  <si>
    <t>PMCID: PMC3586974</t>
  </si>
  <si>
    <t xml:space="preserve">23455506  PMCID: PMC3607399 </t>
  </si>
  <si>
    <t xml:space="preserve">PMID:23475217 - PMC3619528 </t>
  </si>
  <si>
    <t>PMID:23046967 /PMCID: PMC3540259</t>
  </si>
  <si>
    <t>PMID: 23493728 /PMCID: PMC3654748</t>
  </si>
  <si>
    <t xml:space="preserve">Viral suppression following switch to second-line antiretroviral therapy: associations with NRTI resistance and 'sub-therapeutic' drug concentrations prior to switch </t>
  </si>
  <si>
    <t>PMID:  23945372</t>
  </si>
  <si>
    <t>PMID22301630, PMCID3274377</t>
  </si>
  <si>
    <t>PMID:24048963 (Epub Sept 2013)</t>
  </si>
  <si>
    <t xml:space="preserve"> 
Persistent endothelial activation after Plasmodium falciparum infection in Malawian children.
</t>
  </si>
  <si>
    <t>PMCID: PMC3749005</t>
  </si>
  <si>
    <t xml:space="preserve">Journal of Infectious Diseases
</t>
  </si>
  <si>
    <t>PMCID:
    PMC3583273</t>
  </si>
  <si>
    <t xml:space="preserve">The role of interleukinâˆ’10 family of cytokines in HIVâˆ’tuberculosis associated immune reconstitution inflammatory syndrome
</t>
  </si>
  <si>
    <t xml:space="preserve">PMC3678977
</t>
  </si>
  <si>
    <t>PMID: 23743648</t>
  </si>
  <si>
    <t xml:space="preserve">PMID: 23962810  Aug 2013 Epub </t>
  </si>
  <si>
    <t>PMCID:PMC3778837</t>
  </si>
  <si>
    <t>PMID:23192429</t>
  </si>
  <si>
    <t xml:space="preserve">PMID:21531876 PMC3513931 </t>
  </si>
  <si>
    <t xml:space="preserve">PMCID: PMC3466423
</t>
  </si>
  <si>
    <t xml:space="preserve">Frequency distribution analysis of activation times and regional fibrosis in murine Scn5a+/- hearts: the effects of ageing and sex </t>
  </si>
  <si>
    <t xml:space="preserve">23983183 PMC3798117 </t>
  </si>
  <si>
    <t xml:space="preserve">Journal of Medical Virology </t>
  </si>
  <si>
    <t xml:space="preserve">The Kinetics of the Neutralizing antibody response to respiratory syncytial infections in a birth cohort </t>
  </si>
  <si>
    <t>PMCID: PMC3530961</t>
  </si>
  <si>
    <t>PMCID: PMC3624797</t>
  </si>
  <si>
    <t>PMID: 20146481</t>
  </si>
  <si>
    <t>PMCID: PMC3504484</t>
  </si>
  <si>
    <t>PMID:23281892 PMC3579312</t>
  </si>
  <si>
    <t xml:space="preserve">Journal of Medicinal Chemistry </t>
  </si>
  <si>
    <t xml:space="preserve">23412844 PMC3709824 </t>
  </si>
  <si>
    <t xml:space="preserve">23318955  PMCID: PMC3593212 </t>
  </si>
  <si>
    <t>PMCID: PMC3605589</t>
  </si>
  <si>
    <t>PMID:20097205</t>
  </si>
  <si>
    <t xml:space="preserve">23132913 PMC3535724 </t>
  </si>
  <si>
    <t>PMCID:
    PMC3695676</t>
  </si>
  <si>
    <t xml:space="preserve">23474851 : PMC3664183 </t>
  </si>
  <si>
    <t xml:space="preserve">PMC3644170
</t>
  </si>
  <si>
    <t xml:space="preserve">PMC3664422
</t>
  </si>
  <si>
    <t xml:space="preserve">Journal of Neurochemistry </t>
  </si>
  <si>
    <t>PMCID: PMC3642358</t>
  </si>
  <si>
    <t>PMID:24150688</t>
  </si>
  <si>
    <t xml:space="preserve">PMC3646288 </t>
  </si>
  <si>
    <t xml:space="preserve">Journal of Neurology, Neurosurgery &amp; Psychiatry </t>
  </si>
  <si>
    <t xml:space="preserve">PMC3623030
</t>
  </si>
  <si>
    <t>PMCID: PMC3646287</t>
  </si>
  <si>
    <t>PMCID: PMC3623037</t>
  </si>
  <si>
    <t xml:space="preserve">PMC3574980
</t>
  </si>
  <si>
    <t xml:space="preserve">PMC3680818
</t>
  </si>
  <si>
    <t xml:space="preserve">PMC3602834
</t>
  </si>
  <si>
    <t>PMCID: PMC3653044</t>
  </si>
  <si>
    <t xml:space="preserve">PMID22972952  PMC3544867 </t>
  </si>
  <si>
    <t xml:space="preserve">23554485 PMC3664272 </t>
  </si>
  <si>
    <t xml:space="preserve">23447590 : PMC3601669 </t>
  </si>
  <si>
    <t>PMID: 23426678 PMC3593678</t>
  </si>
  <si>
    <t>PMCID: PMC3724995</t>
  </si>
  <si>
    <t>PMID:23739958</t>
  </si>
  <si>
    <t>PMCID: PMC3655688</t>
  </si>
  <si>
    <t>PMID:24285889</t>
  </si>
  <si>
    <t xml:space="preserve">Journal of Neuroscience </t>
  </si>
  <si>
    <t>PMCID:PMC3759848</t>
  </si>
  <si>
    <t xml:space="preserve">PMCID: PMC3683149 </t>
  </si>
  <si>
    <t>PMCID: PMC3383891</t>
  </si>
  <si>
    <t>PMCID:
    PMC3736148</t>
  </si>
  <si>
    <t xml:space="preserve">Journal of paediatric Urology </t>
  </si>
  <si>
    <t xml:space="preserve">Mast Cell subsets &amp; their functional modulation by the Acanthocheilonema vitae product, ES-62  J Parasitol Res. 2013;2013:961268. doi: 10.1155/2013/961268. Epub 2013 Feb 7.
</t>
  </si>
  <si>
    <t>PMID: 22547635</t>
  </si>
  <si>
    <t xml:space="preserve">PMC3591715 </t>
  </si>
  <si>
    <t xml:space="preserve">Suppressed cellular oscillations in after-hours mutant mice are associated with enhanced circadian phase-resetting </t>
  </si>
  <si>
    <t>PMCID: PMC3779110</t>
  </si>
  <si>
    <t xml:space="preserve">
Subjective wellbeing: a primer for poverty analysts </t>
  </si>
  <si>
    <t>PMCID: PMC3714598</t>
  </si>
  <si>
    <t xml:space="preserve">PMC3714596 </t>
  </si>
  <si>
    <t xml:space="preserve">Prevalence, outcome and risk factors for post-operative pyothorax in 232 dogs undergoing thoracic surgery
</t>
  </si>
  <si>
    <t>PMCID:PMC3728563</t>
  </si>
  <si>
    <t xml:space="preserve">Journal of the American Academy of Child and Adolescent Psychiatry </t>
  </si>
  <si>
    <t xml:space="preserve">PMCID:
    PMC3677086
</t>
  </si>
  <si>
    <t xml:space="preserve">23400772 PMC3586169 </t>
  </si>
  <si>
    <t xml:space="preserve">PMC3580885
</t>
  </si>
  <si>
    <t>Tarmacking in the mellinum city: spatial and temporal  tralectories of empowerment in Kenya.</t>
  </si>
  <si>
    <t xml:space="preserve">PMCID:
    PMC3564972
</t>
  </si>
  <si>
    <t xml:space="preserve">PMC3736456 </t>
  </si>
  <si>
    <t xml:space="preserve">PMC3536641 </t>
  </si>
  <si>
    <t xml:space="preserve">PMC3565701
</t>
  </si>
  <si>
    <t>PMCID:
    PMC3565725</t>
  </si>
  <si>
    <t xml:space="preserve">PMC3813975 </t>
  </si>
  <si>
    <t xml:space="preserve">23785211 PMC3754066 </t>
  </si>
  <si>
    <t>PMID: 23152534 PMC3554137</t>
  </si>
  <si>
    <t xml:space="preserve">PMCID:
    PMC3648151
</t>
  </si>
  <si>
    <t xml:space="preserve">22875964 PMCID: PMC3457148 </t>
  </si>
  <si>
    <t xml:space="preserve">PMID: 23903843 PMC3807398 </t>
  </si>
  <si>
    <t xml:space="preserve">PMID: 23903840 PMC3807390 </t>
  </si>
  <si>
    <t>PMCID:
    PMC3554100
    [Available on 2013/7/1]</t>
  </si>
  <si>
    <t xml:space="preserve">American Society for Microbiology 
</t>
  </si>
  <si>
    <t xml:space="preserve">Journal of Virology
</t>
  </si>
  <si>
    <t xml:space="preserve">Unstable Polymerase-Nucleoprotein Interaction Is Not Responsible for Avian Influenza Virus Polymerase Restriction in Human Cells 
</t>
  </si>
  <si>
    <t xml:space="preserve">PMC3826327 </t>
  </si>
  <si>
    <t xml:space="preserve">23567253 : PMC3641668 </t>
  </si>
  <si>
    <t xml:space="preserve">Mouse hindbrain ex vivo culture to study facial branchiomotor neuron migration. </t>
  </si>
  <si>
    <t xml:space="preserve">PMC3640431
</t>
  </si>
  <si>
    <t xml:space="preserve">Journal of Visualized Experiments </t>
  </si>
  <si>
    <t>PMCID: PMC3675710</t>
  </si>
  <si>
    <t xml:space="preserve">Lancet </t>
  </si>
  <si>
    <t xml:space="preserve">Managing Severe infection in infancy in resource poor settings </t>
  </si>
  <si>
    <t>PMID:23545320</t>
  </si>
  <si>
    <t>Understanding the science-learning environment:  a genetically sensitive approach</t>
  </si>
  <si>
    <t xml:space="preserve">PMC3687256
</t>
  </si>
  <si>
    <t xml:space="preserve">PMID: 23302769 PMC3677138 </t>
  </si>
  <si>
    <t xml:space="preserve">PMC3598237
</t>
  </si>
  <si>
    <t xml:space="preserve">Magnetic Resonance in Medicine </t>
  </si>
  <si>
    <t>PMC 3639825</t>
  </si>
  <si>
    <t>PMC 3444429</t>
  </si>
  <si>
    <t xml:space="preserve">
PMC3691584</t>
  </si>
  <si>
    <t>PMC 3662599</t>
  </si>
  <si>
    <t xml:space="preserve">Malaria Journal </t>
  </si>
  <si>
    <t xml:space="preserve">22716184  PMC3440593 </t>
  </si>
  <si>
    <t xml:space="preserve">The Burden and consequences of inherited blood disorders among young children in Western Kenya </t>
  </si>
  <si>
    <t xml:space="preserve">PMC3611596 </t>
  </si>
  <si>
    <t xml:space="preserve">PMC3611595 </t>
  </si>
  <si>
    <t xml:space="preserve">PMCID:
    PMC3518918
</t>
  </si>
  <si>
    <t xml:space="preserve">PMID:23232717 PMC3520108 </t>
  </si>
  <si>
    <t xml:space="preserve">PMCID: PMC3591657 </t>
  </si>
  <si>
    <t xml:space="preserve">Mechanisms of Ageing and Development </t>
  </si>
  <si>
    <t>PMID24069883</t>
  </si>
  <si>
    <t>PMID24069886</t>
  </si>
  <si>
    <t>PMID24069913</t>
  </si>
  <si>
    <t xml:space="preserve">PMCID:
    PMC3483757
</t>
  </si>
  <si>
    <t>Nudging for health: On Public Policy &amp; Designing Choice Architecture</t>
  </si>
  <si>
    <t>PMID: 23494299</t>
  </si>
  <si>
    <t>PMID:23518266 -PMC3839404</t>
  </si>
  <si>
    <t>Dectin-1 plays a redundant role in the immunomodulatory activities of  glucanrrich ligands in vivo</t>
  </si>
  <si>
    <t xml:space="preserve">PMID: 24014666 PMC3836489 </t>
  </si>
  <si>
    <t>PMCID:
    PMC3709561</t>
  </si>
  <si>
    <t>PMCID:
    PMC3541766</t>
  </si>
  <si>
    <t xml:space="preserve">23057412 PMC3495574 </t>
  </si>
  <si>
    <t>PMID:23291342 PMC3581773</t>
  </si>
  <si>
    <t xml:space="preserve">Periconceptional changes in maternal exposure to sewage sludge chemicals disturbs fetal thyroid gland development in sheep </t>
  </si>
  <si>
    <t>Conformational co-dependence between plasmodium berghai LCCL proteins promotes complex  formation and stability</t>
  </si>
  <si>
    <t xml:space="preserve">PMC3634978
</t>
  </si>
  <si>
    <t>PMCID: PMC3624257</t>
  </si>
  <si>
    <t xml:space="preserve">PMID:23769710  PMCID: PMC3820028 </t>
  </si>
  <si>
    <t xml:space="preserve">FGF signalling through Fgfr2 isoform IIIb regulates adrenal cortex development </t>
  </si>
  <si>
    <t>PMCID: 3715698</t>
  </si>
  <si>
    <t>FULL-LENGTH RECMBINANT PLASMODIUM  VAR2CSA BINDS SPECIFICALLY TO CSPG AND INDUSES POTENT PARASITE ADHESION-BLOCKING ANTIBODIES</t>
  </si>
  <si>
    <t>PMCID: PMC3473360</t>
  </si>
  <si>
    <t>PMCID: PMC3679449</t>
  </si>
  <si>
    <t>PMCID: PMC3594747</t>
  </si>
  <si>
    <t xml:space="preserve">PMC3682181 </t>
  </si>
  <si>
    <t>PMID:23182425</t>
  </si>
  <si>
    <t>PMID:23200636</t>
  </si>
  <si>
    <t xml:space="preserve">PMID: 23140835 PMC3625108 </t>
  </si>
  <si>
    <t xml:space="preserve">23256604  PMCID: PMC3587388 </t>
  </si>
  <si>
    <t xml:space="preserve">Structure of a Translocation Signal Domain Mediating Conjugative Transfer </t>
  </si>
  <si>
    <t>PMID:24125554</t>
  </si>
  <si>
    <t>PMID: 23980694</t>
  </si>
  <si>
    <t>PMID: 23750903</t>
  </si>
  <si>
    <t>Genetic and structural validation of Aspergillus fumigatus UDP-N-acetylglucosamine pyrophosphorylase as an antifungal target.</t>
  </si>
  <si>
    <t>PMID: 23888912</t>
  </si>
  <si>
    <t>PMCID: PMC3650584</t>
  </si>
  <si>
    <t xml:space="preserve">PMC3739940 </t>
  </si>
  <si>
    <t>Somatic alpha-synuclein mutations in Parkinson&amp;apos;s disease: hypothesis and preliminary data</t>
  </si>
  <si>
    <t xml:space="preserve">PMC3664414
</t>
  </si>
  <si>
    <t xml:space="preserve">Identical Twins with Leucine Rich Repeat Kinase type 2 Mutations Discordant for Parkinsons Disease </t>
  </si>
  <si>
    <t xml:space="preserve">PMC3672686
</t>
  </si>
  <si>
    <t xml:space="preserve">PMC3664415
</t>
  </si>
  <si>
    <t xml:space="preserve">PMC3664409
</t>
  </si>
  <si>
    <t xml:space="preserve">PMC3664426
</t>
  </si>
  <si>
    <t xml:space="preserve">Dystonia with brain manganese accumulation due to SLC30A10 mutations: a new treatable disorder </t>
  </si>
  <si>
    <t xml:space="preserve">PMC3664430
</t>
  </si>
  <si>
    <t xml:space="preserve">PMC3664413
</t>
  </si>
  <si>
    <t xml:space="preserve">PMC3633239
</t>
  </si>
  <si>
    <t xml:space="preserve">PMC3739929 </t>
  </si>
  <si>
    <t xml:space="preserve">Movement Disorders  </t>
  </si>
  <si>
    <t xml:space="preserve">PMC3806405 </t>
  </si>
  <si>
    <t xml:space="preserve">PMCID:
    PMC3684776
</t>
  </si>
  <si>
    <t xml:space="preserve">Nature Publishing Group </t>
  </si>
  <si>
    <t>PMCID:
    PMC3610641</t>
  </si>
  <si>
    <t>HETEROGENEITY OF QUADRICEPS MUSCLE PHENOTYPE IN CHRONIC OBSTRUCTIVE PULMONARY DISEASE (COPD); IMPLICATIONS FOR STRATIFIED MEDICINE?</t>
  </si>
  <si>
    <t>N BB</t>
  </si>
  <si>
    <t xml:space="preserve">Expressing the human proteome for affinity proteomics: optimising expression of soluble protein domains and in vivo biotinylation. 
</t>
  </si>
  <si>
    <t>NA</t>
  </si>
  <si>
    <t xml:space="preserve">PMID23213218 PMC3529057 </t>
  </si>
  <si>
    <t xml:space="preserve">23184970 PMC3528594 </t>
  </si>
  <si>
    <t xml:space="preserve">PMC3535331
</t>
  </si>
  <si>
    <t xml:space="preserve">PMC3709474 </t>
  </si>
  <si>
    <t xml:space="preserve">PMC3644070
</t>
  </si>
  <si>
    <t xml:space="preserve">PMC3562455
</t>
  </si>
  <si>
    <t xml:space="preserve">PMC3731653
</t>
  </si>
  <si>
    <t>PMCID: PMC3674234</t>
  </si>
  <si>
    <t>PMID: 24157919 PMC3826647</t>
  </si>
  <si>
    <t xml:space="preserve">PMID: 23149744 PMC3514496 </t>
  </si>
  <si>
    <t>PMCID: PMC3615473</t>
  </si>
  <si>
    <t>PMCID:PMC3709497</t>
  </si>
  <si>
    <t>PMCID: PMC3741640</t>
  </si>
  <si>
    <t>PMCID: 3674235</t>
  </si>
  <si>
    <t>THE PORE OF VOLTAGE-GATED POTASSIUM ION CHANNELS IS STRAINED WHEN CLOSED</t>
  </si>
  <si>
    <t xml:space="preserve">PMCID:
    PMC3604800
</t>
  </si>
  <si>
    <t>PMC 3413714</t>
  </si>
  <si>
    <t>PMC 3435256</t>
  </si>
  <si>
    <t xml:space="preserve">PMID: 23328711 PMC3685308 </t>
  </si>
  <si>
    <t>PMCID:PMC3572772</t>
  </si>
  <si>
    <t xml:space="preserve">PMID: 22959727  PMC3532594 </t>
  </si>
  <si>
    <t>PMID:23639206</t>
  </si>
  <si>
    <t xml:space="preserve">PMC3601331
</t>
  </si>
  <si>
    <t xml:space="preserve">PMC3713434 </t>
  </si>
  <si>
    <t xml:space="preserve">PMC3657696
</t>
  </si>
  <si>
    <t xml:space="preserve">PMC3629567
</t>
  </si>
  <si>
    <t xml:space="preserve">PMC3629571
</t>
  </si>
  <si>
    <t>PMID: 18755526</t>
  </si>
  <si>
    <t xml:space="preserve">PMID: 23396186 PMC3757163 </t>
  </si>
  <si>
    <t xml:space="preserve">PMID: 23075508  PMC3707011 </t>
  </si>
  <si>
    <t xml:space="preserve">PMC3734349
</t>
  </si>
  <si>
    <t xml:space="preserve">PMC3734350
</t>
  </si>
  <si>
    <t xml:space="preserve">PMC3734351
</t>
  </si>
  <si>
    <t xml:space="preserve">PMC3734352
</t>
  </si>
  <si>
    <t xml:space="preserve">PMC3677092 </t>
  </si>
  <si>
    <t>PMCID: PMC3021391</t>
  </si>
  <si>
    <t>PMCID: PMC2877799</t>
  </si>
  <si>
    <t>PMCID: PMC3459091</t>
  </si>
  <si>
    <t xml:space="preserve">PMCID: PMC3549495
</t>
  </si>
  <si>
    <t xml:space="preserve">PMID: 23034517  PMC3480648 </t>
  </si>
  <si>
    <t xml:space="preserve">PMC3590453
</t>
  </si>
  <si>
    <t xml:space="preserve">PMC3708127
</t>
  </si>
  <si>
    <t xml:space="preserve">23194819  PMC3555187 </t>
  </si>
  <si>
    <t xml:space="preserve">PMC3610031
</t>
  </si>
  <si>
    <t xml:space="preserve">PMC3566546
</t>
  </si>
  <si>
    <t xml:space="preserve">PMC3682182
</t>
  </si>
  <si>
    <t xml:space="preserve">PMC3591253
</t>
  </si>
  <si>
    <t xml:space="preserve">PMC3605597
</t>
  </si>
  <si>
    <t xml:space="preserve">PMC3613798
</t>
  </si>
  <si>
    <t xml:space="preserve">PMC3625122
</t>
  </si>
  <si>
    <t xml:space="preserve">PMC3625125
</t>
  </si>
  <si>
    <t xml:space="preserve">NeuroImage: Clinical </t>
  </si>
  <si>
    <t xml:space="preserve">PMC3722452
</t>
  </si>
  <si>
    <t xml:space="preserve">23085109 PMC3580290 </t>
  </si>
  <si>
    <t xml:space="preserve">PMC3650253
</t>
  </si>
  <si>
    <t xml:space="preserve">PMC3580285
</t>
  </si>
  <si>
    <t xml:space="preserve">PMID:23312521 PMC3542422 </t>
  </si>
  <si>
    <t xml:space="preserve">PMC3568920
</t>
  </si>
  <si>
    <t xml:space="preserve">PMC3546162
</t>
  </si>
  <si>
    <t xml:space="preserve">Neuropharmacology </t>
  </si>
  <si>
    <t>PMCID: PMC3562439</t>
  </si>
  <si>
    <t>PMID: 23295962</t>
  </si>
  <si>
    <t xml:space="preserve">PMC3724054
</t>
  </si>
  <si>
    <t xml:space="preserve">PMC3702998 </t>
  </si>
  <si>
    <t>PMID:24056298</t>
  </si>
  <si>
    <t xml:space="preserve">PMC3611598
</t>
  </si>
  <si>
    <t xml:space="preserve">23178227 PMC3611599 </t>
  </si>
  <si>
    <t>PMCID: PMC3746700</t>
  </si>
  <si>
    <t>PMCID: PMC3629389</t>
  </si>
  <si>
    <t>PMID:23500098 -PMC3661980</t>
  </si>
  <si>
    <t xml:space="preserve">Neuroscience </t>
  </si>
  <si>
    <t>PMCID: PMC3788850</t>
  </si>
  <si>
    <t>Organization of the BcgI restriction-modification protein for the  transfer of one methyl group to DNA</t>
  </si>
  <si>
    <t>PMID:24038356</t>
  </si>
  <si>
    <t xml:space="preserve">PMC3627570
</t>
  </si>
  <si>
    <t xml:space="preserve">23595147 PMCID: PMC3675483 </t>
  </si>
  <si>
    <t xml:space="preserve">Nucleocapsid protein structures from orthobunyaviruses reveal insight into ribonucleoprotein architecture and RNA polymerization </t>
  </si>
  <si>
    <t>PMID: 23771140 /PMCID: PMC3753647</t>
  </si>
  <si>
    <t>PMID:22434880 PMC3401426</t>
  </si>
  <si>
    <t xml:space="preserve">PMID: 23511971 PMC3643581 </t>
  </si>
  <si>
    <t xml:space="preserve">PMC3531217
</t>
  </si>
  <si>
    <t xml:space="preserve">PMC3531114
</t>
  </si>
  <si>
    <t xml:space="preserve">New functional families (FunFams) in CATH to improve the mapping of conserved functional sites to 3D structures </t>
  </si>
  <si>
    <t xml:space="preserve">PMID: 23963700 PMC3834809 </t>
  </si>
  <si>
    <t>PMCID: 3424546</t>
  </si>
  <si>
    <t>DYNAMIC ACETYLATION OF LYSINE-4-TRIMETHYLATED HISTONE H3 &amp; H3 VARIANT BIOLOGY IN MUTLICELLULAR EUKARYOTE</t>
  </si>
  <si>
    <t>PMCID: 3479183</t>
  </si>
  <si>
    <t>ATPASE ACTIVITY OF FML1 IS ESSENTIAL FOR ITS ROLE IN HOMOLOGOUS RECOMBINATION &amp; DNA REPAIR</t>
  </si>
  <si>
    <t>PMID: 21948792 /PMCID: PMC3245117</t>
  </si>
  <si>
    <t xml:space="preserve">Nucleic Acids Research </t>
  </si>
  <si>
    <t>PMCID:
    PMC3597664</t>
  </si>
  <si>
    <t xml:space="preserve">Nucleic Acids Research
</t>
  </si>
  <si>
    <t xml:space="preserve">TDP1 is an HMG chromatin protein facilitating RNA polymerase I transcription in African trypanosomes
</t>
  </si>
  <si>
    <t xml:space="preserve">PMID: 22188548 PMC3492912 </t>
  </si>
  <si>
    <t xml:space="preserve">PMID: 22764734 PMC3798095 </t>
  </si>
  <si>
    <t>PMID: 23686316</t>
  </si>
  <si>
    <t>PMID: 23708655</t>
  </si>
  <si>
    <t>PMID:23975431</t>
  </si>
  <si>
    <t xml:space="preserve">PMID:23154538 PMC3717798 </t>
  </si>
  <si>
    <t xml:space="preserve">PMC3706230
</t>
  </si>
  <si>
    <t>PMID23790101</t>
  </si>
  <si>
    <t>PMCID:
    PMC3727979</t>
  </si>
  <si>
    <t>Treatment with anthelminthics during pregnancy: what gains and what risks for the mother &amp; child?</t>
  </si>
  <si>
    <t>PMID: 23931634 Aug 2013 Epub date</t>
  </si>
  <si>
    <t>PMCID: PMC3638232</t>
  </si>
  <si>
    <t xml:space="preserve">PMC3696465
</t>
  </si>
  <si>
    <t xml:space="preserve"> PMC 3679597</t>
  </si>
  <si>
    <t>Global  mapping of infectious disease</t>
  </si>
  <si>
    <t>PMCID:
    PMC3758187</t>
  </si>
  <si>
    <t>PMCID: PMC3785964</t>
  </si>
  <si>
    <t>PMID:23023652</t>
  </si>
  <si>
    <t xml:space="preserve">Physics in Biology and Medicine
</t>
  </si>
  <si>
    <t>PMID:23898885</t>
  </si>
  <si>
    <t>PLOS  Computational Biology</t>
  </si>
  <si>
    <t>PLOS  ONE</t>
  </si>
  <si>
    <t xml:space="preserve">PMC3720247
</t>
  </si>
  <si>
    <t xml:space="preserve">PMC3610625
</t>
  </si>
  <si>
    <t>PMCID: 3623704</t>
  </si>
  <si>
    <t>REDUCED LATERAL MOBILITY OF LIPIDS &amp; PROTEINS IN CROWDED MEMBRANES</t>
  </si>
  <si>
    <t>PMCID: 3623702</t>
  </si>
  <si>
    <t>FORMATION OF RAFT-LIKE ASSEMBLIES WITHIN CLUSTERS OF INFLUENZA HEMAGGLUTININ OBSERVED BY MD SIMULATIONS</t>
  </si>
  <si>
    <t>PMCID:
    PMC3048377</t>
  </si>
  <si>
    <t xml:space="preserve">PMCID:    PMC3531293
</t>
  </si>
  <si>
    <t>PMCID:
    PMC3182865</t>
  </si>
  <si>
    <t>PMCID:PMC3715547)</t>
  </si>
  <si>
    <t xml:space="preserve">Population genomics of the Wolbachia endosymbiont in Drosophila
melanogaster
</t>
  </si>
  <si>
    <t xml:space="preserve">PMC3521700 </t>
  </si>
  <si>
    <t xml:space="preserve">PMC3814327 </t>
  </si>
  <si>
    <t>PMCID: PMC3715425</t>
  </si>
  <si>
    <t>PMCID: PMC3715432</t>
  </si>
  <si>
    <t>PMCID: PMC3585130</t>
  </si>
  <si>
    <t>PMCID: PMC3441679</t>
  </si>
  <si>
    <t xml:space="preserve">PMC3246446
</t>
  </si>
  <si>
    <t>PMC 3496665</t>
  </si>
  <si>
    <t>PMCID:
    PMC3777881</t>
  </si>
  <si>
    <t xml:space="preserve">PMC3554572
</t>
  </si>
  <si>
    <t>The use of bivariate spatial modeling of questionnaire and parasitology data
to predict the distribu</t>
  </si>
  <si>
    <t>PMCID: PMC3510075</t>
  </si>
  <si>
    <t xml:space="preserve">A static-cidal assay for Trypanosoma brucei to aid hit prioritisation for progression into drug discovery programmes. </t>
  </si>
  <si>
    <t xml:space="preserve">PMC3777894 </t>
  </si>
  <si>
    <t>PMCID: PMC3584999</t>
  </si>
  <si>
    <t>PMCID:
    PMC3610885</t>
  </si>
  <si>
    <t>PMCID:
    PMC3636241</t>
  </si>
  <si>
    <t>PMCID:
    PMC3547864</t>
  </si>
  <si>
    <t xml:space="preserve">23326615 PMCID: PMC3542187 </t>
  </si>
  <si>
    <t>On the importance of countergradients for the development of retinotopy: Insights from a generalised 
Insights from a generalised</t>
  </si>
  <si>
    <t>Localised JAK/STAT pathway activation is required for Drosophila wing hinge
development</t>
  </si>
  <si>
    <t>PMCID: PMC3661540</t>
  </si>
  <si>
    <t>PMCID:PMC3706442</t>
  </si>
  <si>
    <t>PMCID:PMC3711905</t>
  </si>
  <si>
    <t xml:space="preserve">How  well are Malaria Maps used to design and finance Malaria control in Africa </t>
  </si>
  <si>
    <t>PMCID: PMC3686740</t>
  </si>
  <si>
    <t xml:space="preserve">PMCID:
    PMC3462185
</t>
  </si>
  <si>
    <t>PMCID:
    PMC3701544</t>
  </si>
  <si>
    <t>PMCID: PMC3695900</t>
  </si>
  <si>
    <t>PMID: 23326315 PMC3541403</t>
  </si>
  <si>
    <t xml:space="preserve">Health Impact Modelling of Active Travel Visions for England and Wales using an Integrated Transport and Health Impact Modelling tool (ITHIM) </t>
  </si>
  <si>
    <t>PMC 3474786</t>
  </si>
  <si>
    <t>Hypertension and obesity in adults living in  ahigh HIV prevalence rural area in South Africa</t>
  </si>
  <si>
    <t>PMC 3532207</t>
  </si>
  <si>
    <t xml:space="preserve">PMC3720940 </t>
  </si>
  <si>
    <t xml:space="preserve">PMC3749184 </t>
  </si>
  <si>
    <t xml:space="preserve">PMC3797035 </t>
  </si>
  <si>
    <t xml:space="preserve">PMC3720283 </t>
  </si>
  <si>
    <t xml:space="preserve">Spatial clustering of all-cause and HIV-rlated mortality in a rural South African population. </t>
  </si>
  <si>
    <t xml:space="preserve">Malaria Control and the intensity of Plasmodium Falciparum Transmission in Namibia 1969-1992 </t>
  </si>
  <si>
    <t xml:space="preserve">Understanding the Impact of subsidizing Artemisinin-based  Combination Therapies (ACTs) in the Retail Sector - Results from Focus Group Discussion in rural Kenya </t>
  </si>
  <si>
    <t xml:space="preserve">"The words will pass with the blowing wind"; staff and parent views of the deferred consent process, with prior assent, used in an emergency fluids trial in two African hospitals </t>
  </si>
  <si>
    <t xml:space="preserve">PMID: 23383015 PMC3558488 </t>
  </si>
  <si>
    <t xml:space="preserve">: PMC3487758 </t>
  </si>
  <si>
    <t xml:space="preserve">PMC3547960
</t>
  </si>
  <si>
    <t>PMID:23300533</t>
  </si>
  <si>
    <t xml:space="preserve">PMCID:
    PMC3465279
</t>
  </si>
  <si>
    <t xml:space="preserve">Upper Airways Microbiota in Antibiotic-NaÃ¯ve Wheezing and Healthy Infants from the Tropics of Rural Ecuador
</t>
  </si>
  <si>
    <t xml:space="preserve">PMC3691227
</t>
  </si>
  <si>
    <t xml:space="preserve">PMC3700857
</t>
  </si>
  <si>
    <t xml:space="preserve">PMC3572111
</t>
  </si>
  <si>
    <t xml:space="preserve">PMC3676342
</t>
  </si>
  <si>
    <t xml:space="preserve">PMC3720622
</t>
  </si>
  <si>
    <t xml:space="preserve">PMC3742662
</t>
  </si>
  <si>
    <t xml:space="preserve">PMC3613341
</t>
  </si>
  <si>
    <t xml:space="preserve">PMC3607553
</t>
  </si>
  <si>
    <t xml:space="preserve">PMC3584022
</t>
  </si>
  <si>
    <t xml:space="preserve">PMC3656939 </t>
  </si>
  <si>
    <t>PMID22970197</t>
  </si>
  <si>
    <t>PMCID: PMC3636044</t>
  </si>
  <si>
    <t xml:space="preserve">PMC3561448
</t>
  </si>
  <si>
    <t>PMCID: PMC3669307</t>
  </si>
  <si>
    <t xml:space="preserve">PMID: 23940704 /PMCID: PMC3733773 </t>
  </si>
  <si>
    <t>PMID: 23894442 /PMCID: PMC3716603</t>
  </si>
  <si>
    <t xml:space="preserve">PMCID:     PMC3677912
</t>
  </si>
  <si>
    <t xml:space="preserve">PMC3706617
</t>
  </si>
  <si>
    <t xml:space="preserve">PMC3581475
</t>
  </si>
  <si>
    <t>PMCID: PMC3748079</t>
  </si>
  <si>
    <t xml:space="preserve">PMCID: PMC3634070 </t>
  </si>
  <si>
    <t xml:space="preserve">PMCID:
    PMC3496742
</t>
  </si>
  <si>
    <t>CHARACTERIZATION OF A NOVEL POPULATION OF LOW-DENSITY GRANULOCYTES ASSOCIATED WITH DISEASE SEVERITY</t>
  </si>
  <si>
    <t>PMCID: PMC3606301</t>
  </si>
  <si>
    <t>PMCID: PMC3606242</t>
  </si>
  <si>
    <t>PMCID: PMC3694102</t>
  </si>
  <si>
    <t>PMCID:
    PMC3636223</t>
  </si>
  <si>
    <t xml:space="preserve">Inactivation of the CovR/S Virulence Regulator Impairs Infection in an Improved Murine Model of Streptococcus pyogenes Naso-Pharyngeal Infection </t>
  </si>
  <si>
    <t>PMCID: PMC3720700</t>
  </si>
  <si>
    <t xml:space="preserve">Structure of the SCAN domain of human paternally expressed gene 3 protein </t>
  </si>
  <si>
    <t xml:space="preserve">23805259 PMC3689675 </t>
  </si>
  <si>
    <t xml:space="preserve">PMCID: PMC3790696 </t>
  </si>
  <si>
    <t xml:space="preserve">PMCID:
    PMC3609862
</t>
  </si>
  <si>
    <t>PMCID:
    PMC3579793</t>
  </si>
  <si>
    <t>PMCID:
    PMC3732248</t>
  </si>
  <si>
    <t xml:space="preserve">PMCID:
    PMC3767740
</t>
  </si>
  <si>
    <t>PMCID:
    PMC3720585</t>
  </si>
  <si>
    <t>PMCID:
    PMC3737189</t>
  </si>
  <si>
    <t xml:space="preserve">PMCID: PMC3706538 </t>
  </si>
  <si>
    <t xml:space="preserve">PMID: 23372785 PMC3556037  </t>
  </si>
  <si>
    <t>PMCID: PMC3559699</t>
  </si>
  <si>
    <t>Differential localization of the two T.
brucei Poly(A) binding proteins to the
nucleus and RNP granules suggests
binding to distinct mRNA pools</t>
  </si>
  <si>
    <t>PMCID: PMC3502435</t>
  </si>
  <si>
    <t xml:space="preserve"> PMCID: PMC3491040 </t>
  </si>
  <si>
    <t>PMCID:
    PMC3532161</t>
  </si>
  <si>
    <t xml:space="preserve">PMID23251490 PMC3519623 </t>
  </si>
  <si>
    <t>PMID:23613774 / PMCID: PMC3632543</t>
  </si>
  <si>
    <t>PMCID:
    PMC3655068</t>
  </si>
  <si>
    <t>PMCID: PMC3681921</t>
  </si>
  <si>
    <t xml:space="preserve">23840430 : PMC3686795 </t>
  </si>
  <si>
    <t>PMCID: PMC3680467</t>
  </si>
  <si>
    <t>PMCID: PMC3782427</t>
  </si>
  <si>
    <t>PMCID: PMC3749138</t>
  </si>
  <si>
    <t>PMCID:
    PMC3567063</t>
  </si>
  <si>
    <t>PMCID:
    PMC3784449</t>
  </si>
  <si>
    <t>PMCID:ID is PMC3641031</t>
  </si>
  <si>
    <t>PMCID: PMC3608601</t>
  </si>
  <si>
    <t>PMID: 24023766 /PMCID: PMC3762823</t>
  </si>
  <si>
    <t>PMCID:
    PMC3726763</t>
  </si>
  <si>
    <t xml:space="preserve">PMCID:
    PMC3711559
</t>
  </si>
  <si>
    <t xml:space="preserve">
    PMC3576415</t>
  </si>
  <si>
    <t xml:space="preserve">Hinged Plakin Domains Provide Specialized Degrees of Articulation in Envoplakin, Periplakin and Desmoplakin </t>
  </si>
  <si>
    <t>PMCID: PMC3726769</t>
  </si>
  <si>
    <t>An activating mutation reveals a second binding mode of the integrin Î±2 I domain to the GFOGER motif in collagens</t>
  </si>
  <si>
    <t>Caspase-2 Is Upregulated after Sciatic Nerve Transection
and Its Inhibition Protects Dorsal Root Ganglion Neurons
from Apoptosis after Serum Withdrawal</t>
  </si>
  <si>
    <t>PMCID: PMC3646404</t>
  </si>
  <si>
    <t>PMCID: PMC3499358</t>
  </si>
  <si>
    <t xml:space="preserve">Genome-wide association studies reveal a simple genetic basis of resistance to naturally coevolving viruses in Drosophila melanogaster
</t>
  </si>
  <si>
    <t>PMCID: PMC3649981</t>
  </si>
  <si>
    <t>PMCID: PMC3617094</t>
  </si>
  <si>
    <t xml:space="preserve">Reducing stock-outs of life saving Malaria Commodities using mobile phone text-messaging: SMS for life study in Kenya </t>
  </si>
  <si>
    <t xml:space="preserve">PMCID:
    PMC3486875
</t>
  </si>
  <si>
    <t>PMID:23633946</t>
  </si>
  <si>
    <t xml:space="preserve">PMCID:
    PMC3784482
</t>
  </si>
  <si>
    <t xml:space="preserve">PMCID:
    PMC3605240
</t>
  </si>
  <si>
    <t>PMCID:
    PMC3617147</t>
  </si>
  <si>
    <t>PMCID:
    PMC3578823</t>
  </si>
  <si>
    <t>PMCID:
    PMC3764221</t>
  </si>
  <si>
    <t xml:space="preserve">PMCID:
    PMC3764210
</t>
  </si>
  <si>
    <t>PMCID:
    PMC3192839</t>
  </si>
  <si>
    <t>PMID: 23468629 /PMCID: PMC3585132</t>
  </si>
  <si>
    <t>PMCID: PMC3789764</t>
  </si>
  <si>
    <t>PMCID:
    PMC3731244</t>
  </si>
  <si>
    <t>PMCID: PMC3749955</t>
  </si>
  <si>
    <t xml:space="preserve">PMC3777952
</t>
  </si>
  <si>
    <t xml:space="preserve">    
PMC3596319</t>
  </si>
  <si>
    <t>PMC 3712914</t>
  </si>
  <si>
    <t>PMCID: PMC3606975</t>
  </si>
  <si>
    <t>PMCID: PMC3491471</t>
  </si>
  <si>
    <t>PMCID: PMC3612627</t>
  </si>
  <si>
    <t>PMCID: PMC3780889</t>
  </si>
  <si>
    <t>PMC 3460945</t>
  </si>
  <si>
    <t xml:space="preserve">Pending </t>
  </si>
  <si>
    <t xml:space="preserve">23924687 PMC3841754 </t>
  </si>
  <si>
    <t>PMCID: PMC3664370</t>
  </si>
  <si>
    <t xml:space="preserve">PMID: 23375993 PMCID: PMC3712186 </t>
  </si>
  <si>
    <t>PMID: 22964003</t>
  </si>
  <si>
    <t>PMCID: PMC3722482</t>
  </si>
  <si>
    <t>PMCID: PMC3509192</t>
  </si>
  <si>
    <t xml:space="preserve">PMID: 22796629 PMC3824070 </t>
  </si>
  <si>
    <t>PMCID: PMC3636455</t>
  </si>
  <si>
    <t xml:space="preserve"> PMCID: PMC3465389 </t>
  </si>
  <si>
    <t>Evidence that Viral RNAs have Evolved for Efficient.  Two-stage Packaging</t>
  </si>
  <si>
    <t xml:space="preserve">PMCID:
    PMC3670340
</t>
  </si>
  <si>
    <t xml:space="preserve">PMCID:
    PMC3479458
</t>
  </si>
  <si>
    <t>PMCID:
    PMC3529010</t>
  </si>
  <si>
    <t xml:space="preserve">Selectively altering belief formation in the human brain </t>
  </si>
  <si>
    <t>PMCID:
    PMC3619373</t>
  </si>
  <si>
    <t>PMCID: PMC3587277</t>
  </si>
  <si>
    <t xml:space="preserve">23213245 PMC3529034 </t>
  </si>
  <si>
    <t>PMCID: PMC3503170</t>
  </si>
  <si>
    <t xml:space="preserve">PMID: 23319650  PMC3562850 </t>
  </si>
  <si>
    <t xml:space="preserve">Specular reflections and the estimation of shape </t>
  </si>
  <si>
    <t>PMCID: PMC3746881</t>
  </si>
  <si>
    <t xml:space="preserve">Proceedings of the National Academy of Sciences </t>
  </si>
  <si>
    <t xml:space="preserve">National Academy of Sciences </t>
  </si>
  <si>
    <t xml:space="preserve">PMCID: PMC3511128 </t>
  </si>
  <si>
    <t>PMCID:
    PMC3581936</t>
  </si>
  <si>
    <t>PMID:23391734 PMC3581986</t>
  </si>
  <si>
    <t xml:space="preserve">Proceedings of the National Academy of Sciences of the United States of America </t>
  </si>
  <si>
    <t xml:space="preserve">PMC3574303
</t>
  </si>
  <si>
    <t>PMCID: PMC3712420</t>
  </si>
  <si>
    <t xml:space="preserve">PMC3601848
</t>
  </si>
  <si>
    <t>PMID23184293</t>
  </si>
  <si>
    <t xml:space="preserve">PMID:22997008 PMC3569869 </t>
  </si>
  <si>
    <t>PMID: 23407782 PMC3676742</t>
  </si>
  <si>
    <t xml:space="preserve">PMID: 23299096  PMC3636441 </t>
  </si>
  <si>
    <t xml:space="preserve">PMID: 23681165  PMC3824307 </t>
  </si>
  <si>
    <t>Noradrenergic  versus dopaminergic modulation of impulsivity, attention and monitoring behaviour in rats performing the stop-signal task: possible relevance to ADHD</t>
  </si>
  <si>
    <t>PMCID: PMC3665474</t>
  </si>
  <si>
    <t xml:space="preserve">PMID: 23332733 PMC3712184 </t>
  </si>
  <si>
    <t>PMCID:
    PMC3763377</t>
  </si>
  <si>
    <t>PMID23824939</t>
  </si>
  <si>
    <t xml:space="preserve">22777780 PMCID: PMC3568905 </t>
  </si>
  <si>
    <t xml:space="preserve">PMC3824936 </t>
  </si>
  <si>
    <t xml:space="preserve">Priorities for Endometriosis Research: Recommendations from an International Consensus Workshop </t>
  </si>
  <si>
    <t xml:space="preserve">Mesenchymal Stem Cells As Vectors For Lung Cancer Therapy </t>
  </si>
  <si>
    <t>PMCID:    PMC3570335</t>
  </si>
  <si>
    <t xml:space="preserve">PMCID:
    PMC3726453
</t>
  </si>
  <si>
    <t>PMID:23635806</t>
  </si>
  <si>
    <t>PMCID: PMC3672288</t>
  </si>
  <si>
    <t xml:space="preserve">23422316 PMCID: PMC3710354 </t>
  </si>
  <si>
    <t>PMC 3720043</t>
  </si>
  <si>
    <t>RS 2</t>
  </si>
  <si>
    <t>PMID: 23236081</t>
  </si>
  <si>
    <t xml:space="preserve">Schizophrenia Bulletin </t>
  </si>
  <si>
    <t xml:space="preserve">PMID: 22704639 PMC3485564 </t>
  </si>
  <si>
    <t>PMID: 21764562  PMC3485562</t>
  </si>
  <si>
    <t xml:space="preserve">23230506 PMC3516806 </t>
  </si>
  <si>
    <t xml:space="preserve">PMC3605607
</t>
  </si>
  <si>
    <t>PMCID: PMC3765962</t>
  </si>
  <si>
    <t>PMCID:
    PMC3571806</t>
  </si>
  <si>
    <t>Wearable and Implantable Sensors: The patientâ€™s Perspective</t>
  </si>
  <si>
    <t xml:space="preserve">BMJ Group </t>
  </si>
  <si>
    <t xml:space="preserve">PMCID:
    PMC3730896 </t>
  </si>
  <si>
    <t xml:space="preserve">Sexually Transmitted Infections                         </t>
  </si>
  <si>
    <t>PMC 3492749</t>
  </si>
  <si>
    <t xml:space="preserve">Epub ahead of print pub Dec 2012, print in press. </t>
  </si>
  <si>
    <t>PMCID: PMC3481955</t>
  </si>
  <si>
    <t xml:space="preserve">Abuse and other correlates of Common Mental Disorders in Youth: a
Cross-Sectional study in Goa, India
</t>
  </si>
  <si>
    <t>PMCID: PMC3782642</t>
  </si>
  <si>
    <t xml:space="preserve">Social Science &amp; Medicine </t>
  </si>
  <si>
    <t xml:space="preserve">Managing misaligned paternity findings in research involving sickle cell screening in Kenya; consulting communities to inform policy </t>
  </si>
  <si>
    <t>PMC 3560061</t>
  </si>
  <si>
    <t xml:space="preserve">PMCID:
    PMC3512055
</t>
  </si>
  <si>
    <t xml:space="preserve">PMID23287458 PMC3605587 </t>
  </si>
  <si>
    <t xml:space="preserve">How personality became treatable: The mutual constitution of clinical  knowledge and mental health law
http://sss.sagepub.com/ 
SocialStudies of Science
 http://sss.sagepub.com/content/43/1/30Theonline version of this article can be found at:DOI: 10.1177/03063127124577222013 43: 30 originally published online 29 October 2012
Social Studies of Science 
Martyn Pickersgill
</t>
  </si>
  <si>
    <t>PMID23278317</t>
  </si>
  <si>
    <t xml:space="preserve">23356787 PMC3813989 </t>
  </si>
  <si>
    <t xml:space="preserve">Intracerebral immune complex formation induces inflammation in the brain that depends on Fc receptor interaction. </t>
  </si>
  <si>
    <t>PMID: 23703895</t>
  </si>
  <si>
    <t>PMCID: PMC3757743</t>
  </si>
  <si>
    <t>Derivation and functional analysis of patient-specific induced pluripotent stem cells as an in vitro model of chronic  granulomatous disease</t>
  </si>
  <si>
    <t>PMCID: PMC3664106</t>
  </si>
  <si>
    <t>PMCID:PMC3549627</t>
  </si>
  <si>
    <t>Mesoangioblasts Suppress T Cell Proliferation Through IDO &amp; PGE-2 Dependent Pathways</t>
  </si>
  <si>
    <t xml:space="preserve">PMID:23623732 PMC3791409 </t>
  </si>
  <si>
    <t>PMCID: PMC3542428</t>
  </si>
  <si>
    <t>PMCID: PMC3651934</t>
  </si>
  <si>
    <t xml:space="preserve">RNA tertiary interactions in a riboswitch stabilize the structure of a kink turn. </t>
  </si>
  <si>
    <t>PMCID: PMC3664939</t>
  </si>
  <si>
    <t>PMCID: PMC3694306</t>
  </si>
  <si>
    <t>PMID: 23649934</t>
  </si>
  <si>
    <t xml:space="preserve">23375655  PMC3567274 </t>
  </si>
  <si>
    <t>PMCID3135804</t>
  </si>
  <si>
    <t xml:space="preserve">PMID: 23282150  PMC3610541 </t>
  </si>
  <si>
    <t xml:space="preserve">PMC3631100
</t>
  </si>
  <si>
    <t>PMCID:
    PMC3492727</t>
  </si>
  <si>
    <t xml:space="preserve">PMID: 24076655 PMC3817463 </t>
  </si>
  <si>
    <t>PMID: 23371065 /PMCID: PMC3633812</t>
  </si>
  <si>
    <t>PMCID:PMC3573229</t>
  </si>
  <si>
    <t>PMCID:PMC3755220</t>
  </si>
  <si>
    <t xml:space="preserve">The Journal of Abnormal Child Psychology and Psychiatry </t>
  </si>
  <si>
    <t xml:space="preserve">PMCID: PMC3663556 </t>
  </si>
  <si>
    <t xml:space="preserve">American Society for Biochemistry and Molecular Biology </t>
  </si>
  <si>
    <t>PMCID: PMC3772201</t>
  </si>
  <si>
    <t>PMCID: PMC3663545</t>
  </si>
  <si>
    <t>PMCID: PMC3630849</t>
  </si>
  <si>
    <t xml:space="preserve">PMC3785137 </t>
  </si>
  <si>
    <t xml:space="preserve">PMID: 23125445  PMC3532835 </t>
  </si>
  <si>
    <t xml:space="preserve">PMC3631608
</t>
  </si>
  <si>
    <t xml:space="preserve">23804098 PMCID: PMC3724994 </t>
  </si>
  <si>
    <t xml:space="preserve">John Wiley &amp; Sons, Inc. </t>
  </si>
  <si>
    <t xml:space="preserve">PMCID:
    PMC3627205
</t>
  </si>
  <si>
    <t>PMID: 23041239 /PMCID: PMC3490334</t>
  </si>
  <si>
    <t>PMID : 23773811</t>
  </si>
  <si>
    <t>PMCID:PMC3677413</t>
  </si>
  <si>
    <t xml:space="preserve">PMCID:
    PMC3534261
</t>
  </si>
  <si>
    <t>PMCID:
    PMC3446777</t>
  </si>
  <si>
    <t>PMID: 23709760 /PMCID: PMC3756442</t>
  </si>
  <si>
    <t>Metformin reduces airway glucose permeability &amp; hyperglycaemia-induced Staphylococcus aureus load independent of effects on blood glucose</t>
  </si>
  <si>
    <t>Tick cell culture isolation and growth of Rickettsia raoultii from Dutch Dermacentor reticulatus ticks</t>
  </si>
  <si>
    <t>PMCID:
    PMC3761558</t>
  </si>
  <si>
    <t xml:space="preserve">22901061 PMC3533787 </t>
  </si>
  <si>
    <t xml:space="preserve">PMC3672689 </t>
  </si>
  <si>
    <t xml:space="preserve">PMID: 19948006 PMC3551259 </t>
  </si>
  <si>
    <t>PMID: 23305527</t>
  </si>
  <si>
    <t>PMCID:PMC3731785</t>
  </si>
  <si>
    <t xml:space="preserve">PMID: 21940062 PMC3814186 </t>
  </si>
  <si>
    <t xml:space="preserve">PMID:23265842 PMC3569712 </t>
  </si>
  <si>
    <t xml:space="preserve">PMC3794160 </t>
  </si>
  <si>
    <t xml:space="preserve">PMC3668259 </t>
  </si>
  <si>
    <t xml:space="preserve">PMC3750830 </t>
  </si>
  <si>
    <t xml:space="preserve">Trials </t>
  </si>
  <si>
    <t xml:space="preserve">Evualation of the impact of immediate versus WHO recommendations-guided ART initiation on HIV incidence. </t>
  </si>
  <si>
    <t xml:space="preserve">PMCID:
    PMC3508281
</t>
  </si>
  <si>
    <t xml:space="preserve">Preparing for national school-based deworming in Kenya: the validation and large-scale distribution of school questionnaires with urinary schistosomiasis
</t>
  </si>
  <si>
    <t>PMCID:
    PMC3759846</t>
  </si>
  <si>
    <t>PMCID:
    PMC3608034</t>
  </si>
  <si>
    <t>PMCID: PMC3599165</t>
  </si>
  <si>
    <t>PMID: 24035434</t>
  </si>
  <si>
    <t>Tailoring subunit vaccine immunogenicity: maximizing antibody and T cell responses by using combinations of adenovirus, poxvirus and protein-adjuvant vaccines against Plasmodium falciparum MSP1.</t>
  </si>
  <si>
    <t xml:space="preserve">PMCID: PMC3740234 </t>
  </si>
  <si>
    <t xml:space="preserve">Persistence of the efficacy of copper oxide wire particles against Haemonchus contortus in grazing South African goats. </t>
  </si>
  <si>
    <t>PMCID: PMC3791421</t>
  </si>
  <si>
    <t xml:space="preserve">23200744  PMC3552157 </t>
  </si>
  <si>
    <t xml:space="preserve">PMC3472342
</t>
  </si>
  <si>
    <t>PMCID: PMC3600532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</si>
</sst>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(\$* #,##0.00_);_(\$* \(#,##0.00\);_(\$* \-??_);_(@_)"/>
    <numFmt numFmtId="166" formatCode="0.0000"/>
    <numFmt numFmtId="167" formatCode="0.0%"/>
    <numFmt numFmtId="168" formatCode="\£#,##0.00"/>
  </numFmts>
  <fonts count="26" x14ac:knownFonts="1"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name val="Arial"/>
      <family val="2"/>
      <charset val="1"/>
    </font>
    <font>
      <i/>
      <sz val="11"/>
      <color rgb="FF7F7F7F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5"/>
      <color theme="3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11"/>
      <color theme="3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6.6"/>
      <color theme="1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Arial"/>
      <family val="2"/>
      <charset val="1"/>
    </font>
    <font>
      <sz val="11"/>
      <color rgb="FF3F3F76"/>
      <name val="Calibri"/>
      <family val="2"/>
      <charset val="1"/>
    </font>
    <font>
      <sz val="11"/>
      <color rgb="FFFA7D00"/>
      <name val="Calibri"/>
      <family val="2"/>
      <charset val="1"/>
    </font>
    <font>
      <sz val="11"/>
      <color rgb="FF9C6500"/>
      <name val="Calibri"/>
      <family val="2"/>
      <charset val="1"/>
    </font>
    <font>
      <b/>
      <sz val="11"/>
      <color rgb="FFFFFFFF"/>
      <name val="Cambria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sz val="10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theme="4" tint="0.79989013336588644"/>
        <bgColor rgb="FFDBEEF4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4" tint="0.59987182226020086"/>
        <bgColor rgb="FFC6D9F1"/>
      </patternFill>
    </fill>
    <fill>
      <patternFill patternType="solid">
        <fgColor theme="5" tint="0.59987182226020086"/>
        <bgColor rgb="FFF8CBAD"/>
      </patternFill>
    </fill>
    <fill>
      <patternFill patternType="solid">
        <fgColor theme="6" tint="0.59987182226020086"/>
        <bgColor rgb="FFC6EFCE"/>
      </patternFill>
    </fill>
    <fill>
      <patternFill patternType="solid">
        <fgColor theme="7" tint="0.59987182226020086"/>
        <bgColor rgb="FFB9CDE5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9" tint="0.59987182226020086"/>
        <bgColor rgb="FFF8CBAD"/>
      </patternFill>
    </fill>
    <fill>
      <patternFill patternType="solid">
        <fgColor theme="4" tint="0.39988402966399123"/>
        <bgColor rgb="FFA7C0DE"/>
      </patternFill>
    </fill>
    <fill>
      <patternFill patternType="solid">
        <fgColor theme="5" tint="0.39988402966399123"/>
        <bgColor rgb="FFB3A2C7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7" tint="0.39988402966399123"/>
        <bgColor rgb="FFA5A5A5"/>
      </patternFill>
    </fill>
    <fill>
      <patternFill patternType="solid">
        <fgColor theme="8" tint="0.39988402966399123"/>
        <bgColor rgb="FFA7C0DE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D7E4BD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1F3A5F"/>
        <bgColor rgb="FF1F497D"/>
      </patternFill>
    </fill>
    <fill>
      <patternFill patternType="solid">
        <fgColor rgb="FFF8CBAD"/>
        <bgColor rgb="FFFFCC99"/>
      </patternFill>
    </fill>
    <fill>
      <patternFill patternType="solid">
        <fgColor rgb="FFFFF2CC"/>
        <bgColor rgb="FFFDEADA"/>
      </patternFill>
    </fill>
    <fill>
      <patternFill patternType="solid">
        <fgColor theme="3" tint="0.79989013336588644"/>
        <bgColor rgb="FFB7DEE8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071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1" fillId="4" borderId="0"/>
    <xf numFmtId="0" fontId="1" fillId="4" borderId="0"/>
    <xf numFmtId="0" fontId="1" fillId="5" borderId="0"/>
    <xf numFmtId="0" fontId="1" fillId="5" borderId="0"/>
    <xf numFmtId="0" fontId="1" fillId="6" borderId="0"/>
    <xf numFmtId="0" fontId="1" fillId="6" borderId="0"/>
    <xf numFmtId="0" fontId="1" fillId="7" borderId="0"/>
    <xf numFmtId="0" fontId="1" fillId="7" borderId="0"/>
    <xf numFmtId="0" fontId="1" fillId="8" borderId="0"/>
    <xf numFmtId="0" fontId="1" fillId="8" borderId="0"/>
    <xf numFmtId="0" fontId="1" fillId="9" borderId="0"/>
    <xf numFmtId="0" fontId="1" fillId="9" borderId="0"/>
    <xf numFmtId="0" fontId="1" fillId="10" borderId="0"/>
    <xf numFmtId="0" fontId="1" fillId="10" borderId="0"/>
    <xf numFmtId="0" fontId="1" fillId="11" borderId="0"/>
    <xf numFmtId="0" fontId="1" fillId="11" borderId="0"/>
    <xf numFmtId="0" fontId="1" fillId="12" borderId="0"/>
    <xf numFmtId="0" fontId="1" fillId="12" borderId="0"/>
    <xf numFmtId="0" fontId="1" fillId="13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1" fillId="0" borderId="0"/>
    <xf numFmtId="164" fontId="6" fillId="0" borderId="0"/>
    <xf numFmtId="164" fontId="1" fillId="0" borderId="0"/>
    <xf numFmtId="164" fontId="1" fillId="0" borderId="0"/>
    <xf numFmtId="164" fontId="6" fillId="0" borderId="0"/>
    <xf numFmtId="164" fontId="1" fillId="0" borderId="0"/>
    <xf numFmtId="0" fontId="6" fillId="0" borderId="0"/>
    <xf numFmtId="165" fontId="1" fillId="0" borderId="0"/>
    <xf numFmtId="165" fontId="6" fillId="0" borderId="0"/>
    <xf numFmtId="0" fontId="7" fillId="0" borderId="0"/>
    <xf numFmtId="0" fontId="8" fillId="29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0" borderId="0">
      <alignment vertical="top"/>
      <protection locked="0"/>
    </xf>
    <xf numFmtId="0" fontId="13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6" fillId="0" borderId="0">
      <alignment vertical="top"/>
      <protection locked="0"/>
    </xf>
    <xf numFmtId="0" fontId="17" fillId="30" borderId="1"/>
    <xf numFmtId="0" fontId="18" fillId="0" borderId="6"/>
    <xf numFmtId="0" fontId="19" fillId="31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</cellStyleXfs>
  <cellXfs count="27">
    <xf numFmtId="0" fontId="0" fillId="0" borderId="0" xfId="0"/>
    <xf numFmtId="0" fontId="20" fillId="32" borderId="0" xfId="1537" applyFont="1" applyFill="1" applyAlignment="1">
      <alignment vertical="center" wrapText="1"/>
    </xf>
    <xf numFmtId="1" fontId="0" fillId="0" borderId="0" xfId="1537" applyNumberFormat="1" applyFont="1"/>
    <xf numFmtId="4" fontId="0" fillId="0" borderId="0" xfId="1537" applyNumberFormat="1" applyFont="1"/>
    <xf numFmtId="166" fontId="0" fillId="0" borderId="0" xfId="1537" applyNumberFormat="1" applyFont="1"/>
    <xf numFmtId="4" fontId="0" fillId="33" borderId="0" xfId="1537" applyNumberFormat="1" applyFont="1" applyFill="1"/>
    <xf numFmtId="4" fontId="0" fillId="34" borderId="0" xfId="1537" applyNumberFormat="1" applyFont="1" applyFill="1"/>
    <xf numFmtId="0" fontId="0" fillId="34" borderId="0" xfId="1537" applyFont="1" applyFill="1"/>
    <xf numFmtId="0" fontId="21" fillId="0" borderId="0" xfId="1537" applyFont="1"/>
    <xf numFmtId="0" fontId="22" fillId="0" borderId="0" xfId="1537" applyFont="1"/>
    <xf numFmtId="0" fontId="20" fillId="32" borderId="0" xfId="1537" applyFont="1" applyFill="1"/>
    <xf numFmtId="167" fontId="0" fillId="0" borderId="0" xfId="1537" applyNumberFormat="1" applyFont="1"/>
    <xf numFmtId="0" fontId="20" fillId="32" borderId="0" xfId="1537" applyFont="1" applyFill="1" applyAlignment="1">
      <alignment wrapText="1"/>
    </xf>
    <xf numFmtId="0" fontId="6" fillId="0" borderId="0" xfId="112" applyAlignment="1">
      <alignment horizontal="left"/>
    </xf>
    <xf numFmtId="0" fontId="6" fillId="0" borderId="0" xfId="112"/>
    <xf numFmtId="0" fontId="23" fillId="0" borderId="0" xfId="112" applyFont="1" applyAlignment="1">
      <alignment horizontal="right"/>
    </xf>
    <xf numFmtId="0" fontId="24" fillId="35" borderId="7" xfId="1537" applyFont="1" applyFill="1" applyBorder="1" applyAlignment="1">
      <alignment horizontal="left" wrapText="1"/>
    </xf>
    <xf numFmtId="168" fontId="24" fillId="35" borderId="7" xfId="1537" applyNumberFormat="1" applyFont="1" applyFill="1" applyBorder="1" applyAlignment="1">
      <alignment horizontal="left" wrapText="1"/>
    </xf>
    <xf numFmtId="168" fontId="24" fillId="35" borderId="7" xfId="1537" applyNumberFormat="1" applyFont="1" applyFill="1" applyBorder="1" applyAlignment="1">
      <alignment horizontal="right" wrapText="1"/>
    </xf>
    <xf numFmtId="0" fontId="6" fillId="35" borderId="0" xfId="112" applyFill="1"/>
    <xf numFmtId="0" fontId="6" fillId="0" borderId="0" xfId="112" applyAlignment="1">
      <alignment horizontal="left" wrapText="1"/>
    </xf>
    <xf numFmtId="168" fontId="23" fillId="0" borderId="0" xfId="112" applyNumberFormat="1" applyFont="1" applyAlignment="1">
      <alignment horizontal="right"/>
    </xf>
    <xf numFmtId="10" fontId="6" fillId="0" borderId="0" xfId="112" applyNumberFormat="1"/>
    <xf numFmtId="0" fontId="6" fillId="0" borderId="0" xfId="112" applyAlignment="1">
      <alignment wrapText="1"/>
    </xf>
    <xf numFmtId="168" fontId="23" fillId="0" borderId="0" xfId="1537" applyNumberFormat="1" applyFont="1" applyAlignment="1">
      <alignment horizontal="right" vertical="top" wrapText="1"/>
    </xf>
    <xf numFmtId="0" fontId="0" fillId="0" borderId="0" xfId="1537" applyFont="1" applyFill="1"/>
    <xf numFmtId="0" fontId="6" fillId="0" borderId="0" xfId="112" applyFill="1"/>
  </cellXfs>
  <cellStyles count="20714">
    <cellStyle name="20% - Accent1 2" xfId="1" xr:uid="{00000000-0005-0000-0000-000006000000}"/>
    <cellStyle name="20% - Accent1 3" xfId="2" xr:uid="{00000000-0005-0000-0000-000007000000}"/>
    <cellStyle name="20% - Accent2 2" xfId="3" xr:uid="{00000000-0005-0000-0000-000008000000}"/>
    <cellStyle name="20% - Accent2 3" xfId="4" xr:uid="{00000000-0005-0000-0000-000009000000}"/>
    <cellStyle name="20% - Accent3 2" xfId="5" xr:uid="{00000000-0005-0000-0000-00000A000000}"/>
    <cellStyle name="20% - Accent3 3" xfId="6" xr:uid="{00000000-0005-0000-0000-00000B000000}"/>
    <cellStyle name="20% - Accent4 2" xfId="7" xr:uid="{00000000-0005-0000-0000-00000C000000}"/>
    <cellStyle name="20% - Accent4 3" xfId="8" xr:uid="{00000000-0005-0000-0000-00000D000000}"/>
    <cellStyle name="20% - Accent5 2" xfId="9" xr:uid="{00000000-0005-0000-0000-00000E000000}"/>
    <cellStyle name="20% - Accent5 3" xfId="10" xr:uid="{00000000-0005-0000-0000-00000F000000}"/>
    <cellStyle name="20% - Accent6 2" xfId="11" xr:uid="{00000000-0005-0000-0000-000010000000}"/>
    <cellStyle name="20% - Accent6 3" xfId="12" xr:uid="{00000000-0005-0000-0000-000011000000}"/>
    <cellStyle name="40% - Accent1 2" xfId="13" xr:uid="{00000000-0005-0000-0000-000012000000}"/>
    <cellStyle name="40% - Accent1 3" xfId="14" xr:uid="{00000000-0005-0000-0000-000013000000}"/>
    <cellStyle name="40% - Accent2 2" xfId="15" xr:uid="{00000000-0005-0000-0000-000014000000}"/>
    <cellStyle name="40% - Accent2 3" xfId="16" xr:uid="{00000000-0005-0000-0000-000015000000}"/>
    <cellStyle name="40% - Accent3 2" xfId="17" xr:uid="{00000000-0005-0000-0000-000016000000}"/>
    <cellStyle name="40% - Accent3 3" xfId="18" xr:uid="{00000000-0005-0000-0000-000017000000}"/>
    <cellStyle name="40% - Accent4 2" xfId="19" xr:uid="{00000000-0005-0000-0000-000018000000}"/>
    <cellStyle name="40% - Accent4 3" xfId="20" xr:uid="{00000000-0005-0000-0000-000019000000}"/>
    <cellStyle name="40% - Accent5 2" xfId="21" xr:uid="{00000000-0005-0000-0000-00001A000000}"/>
    <cellStyle name="40% - Accent5 3" xfId="22" xr:uid="{00000000-0005-0000-0000-00001B000000}"/>
    <cellStyle name="40% - Accent6 2" xfId="23" xr:uid="{00000000-0005-0000-0000-00001C000000}"/>
    <cellStyle name="40% - Accent6 3" xfId="24" xr:uid="{00000000-0005-0000-0000-00001D000000}"/>
    <cellStyle name="60% - Accent1 2" xfId="25" xr:uid="{00000000-0005-0000-0000-00001E000000}"/>
    <cellStyle name="60% - Accent2 2" xfId="26" xr:uid="{00000000-0005-0000-0000-00001F000000}"/>
    <cellStyle name="60% - Accent3 2" xfId="27" xr:uid="{00000000-0005-0000-0000-000020000000}"/>
    <cellStyle name="60% - Accent4 2" xfId="28" xr:uid="{00000000-0005-0000-0000-000021000000}"/>
    <cellStyle name="60% - Accent5 2" xfId="29" xr:uid="{00000000-0005-0000-0000-000022000000}"/>
    <cellStyle name="60% - Accent6 2" xfId="30" xr:uid="{00000000-0005-0000-0000-000023000000}"/>
    <cellStyle name="Accent1 2" xfId="31" xr:uid="{00000000-0005-0000-0000-000024000000}"/>
    <cellStyle name="Accent2 2" xfId="32" xr:uid="{00000000-0005-0000-0000-000025000000}"/>
    <cellStyle name="Accent3 2" xfId="33" xr:uid="{00000000-0005-0000-0000-000026000000}"/>
    <cellStyle name="Accent4 2" xfId="34" xr:uid="{00000000-0005-0000-0000-000027000000}"/>
    <cellStyle name="Accent5 2" xfId="35" xr:uid="{00000000-0005-0000-0000-000028000000}"/>
    <cellStyle name="Accent6 2" xfId="36" xr:uid="{00000000-0005-0000-0000-000029000000}"/>
    <cellStyle name="Bad 2" xfId="37" xr:uid="{00000000-0005-0000-0000-00002A000000}"/>
    <cellStyle name="Calculation 2" xfId="38" xr:uid="{00000000-0005-0000-0000-00002B000000}"/>
    <cellStyle name="Check Cell 2" xfId="39" xr:uid="{00000000-0005-0000-0000-00002C000000}"/>
    <cellStyle name="Comma 10" xfId="40" xr:uid="{00000000-0005-0000-0000-00002D000000}"/>
    <cellStyle name="Comma 2" xfId="41" xr:uid="{00000000-0005-0000-0000-00002E000000}"/>
    <cellStyle name="Comma 2 2" xfId="42" xr:uid="{00000000-0005-0000-0000-00002F000000}"/>
    <cellStyle name="Comma 3" xfId="43" xr:uid="{00000000-0005-0000-0000-000030000000}"/>
    <cellStyle name="Comma 4" xfId="44" xr:uid="{00000000-0005-0000-0000-000031000000}"/>
    <cellStyle name="Comma 5" xfId="45" xr:uid="{00000000-0005-0000-0000-000032000000}"/>
    <cellStyle name="Comma 6" xfId="46" xr:uid="{00000000-0005-0000-0000-000033000000}"/>
    <cellStyle name="Currency 2" xfId="47" xr:uid="{00000000-0005-0000-0000-000034000000}"/>
    <cellStyle name="Currency 3" xfId="48" xr:uid="{00000000-0005-0000-0000-000035000000}"/>
    <cellStyle name="Explanatory Text 2" xfId="49" xr:uid="{00000000-0005-0000-0000-000036000000}"/>
    <cellStyle name="Good 2" xfId="50" xr:uid="{00000000-0005-0000-0000-000037000000}"/>
    <cellStyle name="Heading 1 2" xfId="51" xr:uid="{00000000-0005-0000-0000-000038000000}"/>
    <cellStyle name="Heading 2 2" xfId="52" xr:uid="{00000000-0005-0000-0000-000039000000}"/>
    <cellStyle name="Heading 3 2" xfId="53" xr:uid="{00000000-0005-0000-0000-00003A000000}"/>
    <cellStyle name="Heading 4 2" xfId="54" xr:uid="{00000000-0005-0000-0000-00003B000000}"/>
    <cellStyle name="Hyperlink 2" xfId="55" xr:uid="{00000000-0005-0000-0000-00003C000000}"/>
    <cellStyle name="Hyperlink 2 2" xfId="56" xr:uid="{00000000-0005-0000-0000-00003D000000}"/>
    <cellStyle name="Hyperlink 3" xfId="57" xr:uid="{00000000-0005-0000-0000-00003E000000}"/>
    <cellStyle name="Hyperlink 4" xfId="58" xr:uid="{00000000-0005-0000-0000-00003F000000}"/>
    <cellStyle name="Hyperlink 5" xfId="59" xr:uid="{00000000-0005-0000-0000-000040000000}"/>
    <cellStyle name="Input 2" xfId="60" xr:uid="{00000000-0005-0000-0000-000041000000}"/>
    <cellStyle name="Linked Cell 2" xfId="61" xr:uid="{00000000-0005-0000-0000-000042000000}"/>
    <cellStyle name="Neutral 2" xfId="62" xr:uid="{00000000-0005-0000-0000-000043000000}"/>
    <cellStyle name="Normal" xfId="0" builtinId="0"/>
    <cellStyle name="Normal 10" xfId="63" xr:uid="{00000000-0005-0000-0000-000044000000}"/>
    <cellStyle name="Normal 100" xfId="64" xr:uid="{00000000-0005-0000-0000-000045000000}"/>
    <cellStyle name="Normal 100 10" xfId="65" xr:uid="{00000000-0005-0000-0000-000046000000}"/>
    <cellStyle name="Normal 100 11" xfId="66" xr:uid="{00000000-0005-0000-0000-000047000000}"/>
    <cellStyle name="Normal 100 12" xfId="67" xr:uid="{00000000-0005-0000-0000-000048000000}"/>
    <cellStyle name="Normal 100 13" xfId="68" xr:uid="{00000000-0005-0000-0000-000049000000}"/>
    <cellStyle name="Normal 100 18" xfId="69" xr:uid="{00000000-0005-0000-0000-00004A000000}"/>
    <cellStyle name="Normal 100 2" xfId="70" xr:uid="{00000000-0005-0000-0000-00004B000000}"/>
    <cellStyle name="Normal 100 2 10" xfId="71" xr:uid="{00000000-0005-0000-0000-00004C000000}"/>
    <cellStyle name="Normal 100 2 11" xfId="72" xr:uid="{00000000-0005-0000-0000-00004D000000}"/>
    <cellStyle name="Normal 100 2 2" xfId="73" xr:uid="{00000000-0005-0000-0000-00004E000000}"/>
    <cellStyle name="Normal 100 2 3" xfId="74" xr:uid="{00000000-0005-0000-0000-00004F000000}"/>
    <cellStyle name="Normal 100 2 4" xfId="75" xr:uid="{00000000-0005-0000-0000-000050000000}"/>
    <cellStyle name="Normal 100 2 5" xfId="76" xr:uid="{00000000-0005-0000-0000-000051000000}"/>
    <cellStyle name="Normal 100 2 6" xfId="77" xr:uid="{00000000-0005-0000-0000-000052000000}"/>
    <cellStyle name="Normal 100 2 7" xfId="78" xr:uid="{00000000-0005-0000-0000-000053000000}"/>
    <cellStyle name="Normal 100 2 8" xfId="79" xr:uid="{00000000-0005-0000-0000-000054000000}"/>
    <cellStyle name="Normal 100 2 9" xfId="80" xr:uid="{00000000-0005-0000-0000-000055000000}"/>
    <cellStyle name="Normal 100 3" xfId="81" xr:uid="{00000000-0005-0000-0000-000056000000}"/>
    <cellStyle name="Normal 100 4" xfId="82" xr:uid="{00000000-0005-0000-0000-000057000000}"/>
    <cellStyle name="Normal 100 5" xfId="83" xr:uid="{00000000-0005-0000-0000-000058000000}"/>
    <cellStyle name="Normal 100 6" xfId="84" xr:uid="{00000000-0005-0000-0000-000059000000}"/>
    <cellStyle name="Normal 100 7" xfId="85" xr:uid="{00000000-0005-0000-0000-00005A000000}"/>
    <cellStyle name="Normal 100 8" xfId="86" xr:uid="{00000000-0005-0000-0000-00005B000000}"/>
    <cellStyle name="Normal 100 9" xfId="87" xr:uid="{00000000-0005-0000-0000-00005C000000}"/>
    <cellStyle name="Normal 101" xfId="88" xr:uid="{00000000-0005-0000-0000-00005D000000}"/>
    <cellStyle name="Normal 101 10" xfId="89" xr:uid="{00000000-0005-0000-0000-00005E000000}"/>
    <cellStyle name="Normal 101 11" xfId="90" xr:uid="{00000000-0005-0000-0000-00005F000000}"/>
    <cellStyle name="Normal 101 2" xfId="91" xr:uid="{00000000-0005-0000-0000-000060000000}"/>
    <cellStyle name="Normal 101 3" xfId="92" xr:uid="{00000000-0005-0000-0000-000061000000}"/>
    <cellStyle name="Normal 101 4" xfId="93" xr:uid="{00000000-0005-0000-0000-000062000000}"/>
    <cellStyle name="Normal 101 5" xfId="94" xr:uid="{00000000-0005-0000-0000-000063000000}"/>
    <cellStyle name="Normal 101 6" xfId="95" xr:uid="{00000000-0005-0000-0000-000064000000}"/>
    <cellStyle name="Normal 101 7" xfId="96" xr:uid="{00000000-0005-0000-0000-000065000000}"/>
    <cellStyle name="Normal 101 8" xfId="97" xr:uid="{00000000-0005-0000-0000-000066000000}"/>
    <cellStyle name="Normal 101 9" xfId="98" xr:uid="{00000000-0005-0000-0000-000067000000}"/>
    <cellStyle name="Normal 102" xfId="99" xr:uid="{00000000-0005-0000-0000-000068000000}"/>
    <cellStyle name="Normal 103" xfId="100" xr:uid="{00000000-0005-0000-0000-000069000000}"/>
    <cellStyle name="Normal 104" xfId="101" xr:uid="{00000000-0005-0000-0000-00006A000000}"/>
    <cellStyle name="Normal 105" xfId="102" xr:uid="{00000000-0005-0000-0000-00006B000000}"/>
    <cellStyle name="Normal 106" xfId="103" xr:uid="{00000000-0005-0000-0000-00006C000000}"/>
    <cellStyle name="Normal 107" xfId="104" xr:uid="{00000000-0005-0000-0000-00006D000000}"/>
    <cellStyle name="Normal 108" xfId="105" xr:uid="{00000000-0005-0000-0000-00006E000000}"/>
    <cellStyle name="Normal 109" xfId="106" xr:uid="{00000000-0005-0000-0000-00006F000000}"/>
    <cellStyle name="Normal 11" xfId="107" xr:uid="{00000000-0005-0000-0000-000070000000}"/>
    <cellStyle name="Normal 110" xfId="108" xr:uid="{00000000-0005-0000-0000-000071000000}"/>
    <cellStyle name="Normal 111" xfId="109" xr:uid="{00000000-0005-0000-0000-000072000000}"/>
    <cellStyle name="Normal 112" xfId="110" xr:uid="{00000000-0005-0000-0000-000073000000}"/>
    <cellStyle name="Normal 113" xfId="111" xr:uid="{00000000-0005-0000-0000-000074000000}"/>
    <cellStyle name="Normal 114" xfId="112" xr:uid="{00000000-0005-0000-0000-000075000000}"/>
    <cellStyle name="Normal 119" xfId="113" xr:uid="{00000000-0005-0000-0000-000076000000}"/>
    <cellStyle name="Normal 12" xfId="114" xr:uid="{00000000-0005-0000-0000-000077000000}"/>
    <cellStyle name="Normal 13" xfId="115" xr:uid="{00000000-0005-0000-0000-000078000000}"/>
    <cellStyle name="Normal 14" xfId="116" xr:uid="{00000000-0005-0000-0000-000079000000}"/>
    <cellStyle name="Normal 15" xfId="117" xr:uid="{00000000-0005-0000-0000-00007A000000}"/>
    <cellStyle name="Normal 16" xfId="118" xr:uid="{00000000-0005-0000-0000-00007B000000}"/>
    <cellStyle name="Normal 17" xfId="119" xr:uid="{00000000-0005-0000-0000-00007C000000}"/>
    <cellStyle name="Normal 17 10" xfId="120" xr:uid="{00000000-0005-0000-0000-00007D000000}"/>
    <cellStyle name="Normal 17 10 10" xfId="121" xr:uid="{00000000-0005-0000-0000-00007E000000}"/>
    <cellStyle name="Normal 17 10 11" xfId="122" xr:uid="{00000000-0005-0000-0000-00007F000000}"/>
    <cellStyle name="Normal 17 10 12" xfId="123" xr:uid="{00000000-0005-0000-0000-000080000000}"/>
    <cellStyle name="Normal 17 10 13" xfId="124" xr:uid="{00000000-0005-0000-0000-000081000000}"/>
    <cellStyle name="Normal 17 10 2" xfId="125" xr:uid="{00000000-0005-0000-0000-000082000000}"/>
    <cellStyle name="Normal 17 10 2 10" xfId="126" xr:uid="{00000000-0005-0000-0000-000083000000}"/>
    <cellStyle name="Normal 17 10 2 11" xfId="127" xr:uid="{00000000-0005-0000-0000-000084000000}"/>
    <cellStyle name="Normal 17 10 2 2" xfId="128" xr:uid="{00000000-0005-0000-0000-000085000000}"/>
    <cellStyle name="Normal 17 10 2 3" xfId="129" xr:uid="{00000000-0005-0000-0000-000086000000}"/>
    <cellStyle name="Normal 17 10 2 4" xfId="130" xr:uid="{00000000-0005-0000-0000-000087000000}"/>
    <cellStyle name="Normal 17 10 2 5" xfId="131" xr:uid="{00000000-0005-0000-0000-000088000000}"/>
    <cellStyle name="Normal 17 10 2 6" xfId="132" xr:uid="{00000000-0005-0000-0000-000089000000}"/>
    <cellStyle name="Normal 17 10 2 7" xfId="133" xr:uid="{00000000-0005-0000-0000-00008A000000}"/>
    <cellStyle name="Normal 17 10 2 8" xfId="134" xr:uid="{00000000-0005-0000-0000-00008B000000}"/>
    <cellStyle name="Normal 17 10 2 9" xfId="135" xr:uid="{00000000-0005-0000-0000-00008C000000}"/>
    <cellStyle name="Normal 17 10 3" xfId="136" xr:uid="{00000000-0005-0000-0000-00008D000000}"/>
    <cellStyle name="Normal 17 10 4" xfId="137" xr:uid="{00000000-0005-0000-0000-00008E000000}"/>
    <cellStyle name="Normal 17 10 5" xfId="138" xr:uid="{00000000-0005-0000-0000-00008F000000}"/>
    <cellStyle name="Normal 17 10 6" xfId="139" xr:uid="{00000000-0005-0000-0000-000090000000}"/>
    <cellStyle name="Normal 17 10 7" xfId="140" xr:uid="{00000000-0005-0000-0000-000091000000}"/>
    <cellStyle name="Normal 17 10 8" xfId="141" xr:uid="{00000000-0005-0000-0000-000092000000}"/>
    <cellStyle name="Normal 17 10 9" xfId="142" xr:uid="{00000000-0005-0000-0000-000093000000}"/>
    <cellStyle name="Normal 17 11" xfId="143" xr:uid="{00000000-0005-0000-0000-000094000000}"/>
    <cellStyle name="Normal 17 11 10" xfId="144" xr:uid="{00000000-0005-0000-0000-000095000000}"/>
    <cellStyle name="Normal 17 11 11" xfId="145" xr:uid="{00000000-0005-0000-0000-000096000000}"/>
    <cellStyle name="Normal 17 11 12" xfId="146" xr:uid="{00000000-0005-0000-0000-000097000000}"/>
    <cellStyle name="Normal 17 11 13" xfId="147" xr:uid="{00000000-0005-0000-0000-000098000000}"/>
    <cellStyle name="Normal 17 11 2" xfId="148" xr:uid="{00000000-0005-0000-0000-000099000000}"/>
    <cellStyle name="Normal 17 11 2 10" xfId="149" xr:uid="{00000000-0005-0000-0000-00009A000000}"/>
    <cellStyle name="Normal 17 11 2 11" xfId="150" xr:uid="{00000000-0005-0000-0000-00009B000000}"/>
    <cellStyle name="Normal 17 11 2 2" xfId="151" xr:uid="{00000000-0005-0000-0000-00009C000000}"/>
    <cellStyle name="Normal 17 11 2 3" xfId="152" xr:uid="{00000000-0005-0000-0000-00009D000000}"/>
    <cellStyle name="Normal 17 11 2 4" xfId="153" xr:uid="{00000000-0005-0000-0000-00009E000000}"/>
    <cellStyle name="Normal 17 11 2 5" xfId="154" xr:uid="{00000000-0005-0000-0000-00009F000000}"/>
    <cellStyle name="Normal 17 11 2 6" xfId="155" xr:uid="{00000000-0005-0000-0000-0000A0000000}"/>
    <cellStyle name="Normal 17 11 2 7" xfId="156" xr:uid="{00000000-0005-0000-0000-0000A1000000}"/>
    <cellStyle name="Normal 17 11 2 8" xfId="157" xr:uid="{00000000-0005-0000-0000-0000A2000000}"/>
    <cellStyle name="Normal 17 11 2 9" xfId="158" xr:uid="{00000000-0005-0000-0000-0000A3000000}"/>
    <cellStyle name="Normal 17 11 3" xfId="159" xr:uid="{00000000-0005-0000-0000-0000A4000000}"/>
    <cellStyle name="Normal 17 11 4" xfId="160" xr:uid="{00000000-0005-0000-0000-0000A5000000}"/>
    <cellStyle name="Normal 17 11 5" xfId="161" xr:uid="{00000000-0005-0000-0000-0000A6000000}"/>
    <cellStyle name="Normal 17 11 6" xfId="162" xr:uid="{00000000-0005-0000-0000-0000A7000000}"/>
    <cellStyle name="Normal 17 11 7" xfId="163" xr:uid="{00000000-0005-0000-0000-0000A8000000}"/>
    <cellStyle name="Normal 17 11 8" xfId="164" xr:uid="{00000000-0005-0000-0000-0000A9000000}"/>
    <cellStyle name="Normal 17 11 9" xfId="165" xr:uid="{00000000-0005-0000-0000-0000AA000000}"/>
    <cellStyle name="Normal 17 12" xfId="166" xr:uid="{00000000-0005-0000-0000-0000AB000000}"/>
    <cellStyle name="Normal 17 12 10" xfId="167" xr:uid="{00000000-0005-0000-0000-0000AC000000}"/>
    <cellStyle name="Normal 17 12 11" xfId="168" xr:uid="{00000000-0005-0000-0000-0000AD000000}"/>
    <cellStyle name="Normal 17 12 12" xfId="169" xr:uid="{00000000-0005-0000-0000-0000AE000000}"/>
    <cellStyle name="Normal 17 12 13" xfId="170" xr:uid="{00000000-0005-0000-0000-0000AF000000}"/>
    <cellStyle name="Normal 17 12 2" xfId="171" xr:uid="{00000000-0005-0000-0000-0000B0000000}"/>
    <cellStyle name="Normal 17 12 2 10" xfId="172" xr:uid="{00000000-0005-0000-0000-0000B1000000}"/>
    <cellStyle name="Normal 17 12 2 11" xfId="173" xr:uid="{00000000-0005-0000-0000-0000B2000000}"/>
    <cellStyle name="Normal 17 12 2 2" xfId="174" xr:uid="{00000000-0005-0000-0000-0000B3000000}"/>
    <cellStyle name="Normal 17 12 2 3" xfId="175" xr:uid="{00000000-0005-0000-0000-0000B4000000}"/>
    <cellStyle name="Normal 17 12 2 4" xfId="176" xr:uid="{00000000-0005-0000-0000-0000B5000000}"/>
    <cellStyle name="Normal 17 12 2 5" xfId="177" xr:uid="{00000000-0005-0000-0000-0000B6000000}"/>
    <cellStyle name="Normal 17 12 2 6" xfId="178" xr:uid="{00000000-0005-0000-0000-0000B7000000}"/>
    <cellStyle name="Normal 17 12 2 7" xfId="179" xr:uid="{00000000-0005-0000-0000-0000B8000000}"/>
    <cellStyle name="Normal 17 12 2 8" xfId="180" xr:uid="{00000000-0005-0000-0000-0000B9000000}"/>
    <cellStyle name="Normal 17 12 2 9" xfId="181" xr:uid="{00000000-0005-0000-0000-0000BA000000}"/>
    <cellStyle name="Normal 17 12 3" xfId="182" xr:uid="{00000000-0005-0000-0000-0000BB000000}"/>
    <cellStyle name="Normal 17 12 4" xfId="183" xr:uid="{00000000-0005-0000-0000-0000BC000000}"/>
    <cellStyle name="Normal 17 12 5" xfId="184" xr:uid="{00000000-0005-0000-0000-0000BD000000}"/>
    <cellStyle name="Normal 17 12 6" xfId="185" xr:uid="{00000000-0005-0000-0000-0000BE000000}"/>
    <cellStyle name="Normal 17 12 7" xfId="186" xr:uid="{00000000-0005-0000-0000-0000BF000000}"/>
    <cellStyle name="Normal 17 12 8" xfId="187" xr:uid="{00000000-0005-0000-0000-0000C0000000}"/>
    <cellStyle name="Normal 17 12 9" xfId="188" xr:uid="{00000000-0005-0000-0000-0000C1000000}"/>
    <cellStyle name="Normal 17 13" xfId="189" xr:uid="{00000000-0005-0000-0000-0000C2000000}"/>
    <cellStyle name="Normal 17 13 10" xfId="190" xr:uid="{00000000-0005-0000-0000-0000C3000000}"/>
    <cellStyle name="Normal 17 13 11" xfId="191" xr:uid="{00000000-0005-0000-0000-0000C4000000}"/>
    <cellStyle name="Normal 17 13 12" xfId="192" xr:uid="{00000000-0005-0000-0000-0000C5000000}"/>
    <cellStyle name="Normal 17 13 13" xfId="193" xr:uid="{00000000-0005-0000-0000-0000C6000000}"/>
    <cellStyle name="Normal 17 13 2" xfId="194" xr:uid="{00000000-0005-0000-0000-0000C7000000}"/>
    <cellStyle name="Normal 17 13 2 10" xfId="195" xr:uid="{00000000-0005-0000-0000-0000C8000000}"/>
    <cellStyle name="Normal 17 13 2 11" xfId="196" xr:uid="{00000000-0005-0000-0000-0000C9000000}"/>
    <cellStyle name="Normal 17 13 2 2" xfId="197" xr:uid="{00000000-0005-0000-0000-0000CA000000}"/>
    <cellStyle name="Normal 17 13 2 3" xfId="198" xr:uid="{00000000-0005-0000-0000-0000CB000000}"/>
    <cellStyle name="Normal 17 13 2 4" xfId="199" xr:uid="{00000000-0005-0000-0000-0000CC000000}"/>
    <cellStyle name="Normal 17 13 2 5" xfId="200" xr:uid="{00000000-0005-0000-0000-0000CD000000}"/>
    <cellStyle name="Normal 17 13 2 6" xfId="201" xr:uid="{00000000-0005-0000-0000-0000CE000000}"/>
    <cellStyle name="Normal 17 13 2 7" xfId="202" xr:uid="{00000000-0005-0000-0000-0000CF000000}"/>
    <cellStyle name="Normal 17 13 2 8" xfId="203" xr:uid="{00000000-0005-0000-0000-0000D0000000}"/>
    <cellStyle name="Normal 17 13 2 9" xfId="204" xr:uid="{00000000-0005-0000-0000-0000D1000000}"/>
    <cellStyle name="Normal 17 13 3" xfId="205" xr:uid="{00000000-0005-0000-0000-0000D2000000}"/>
    <cellStyle name="Normal 17 13 4" xfId="206" xr:uid="{00000000-0005-0000-0000-0000D3000000}"/>
    <cellStyle name="Normal 17 13 5" xfId="207" xr:uid="{00000000-0005-0000-0000-0000D4000000}"/>
    <cellStyle name="Normal 17 13 6" xfId="208" xr:uid="{00000000-0005-0000-0000-0000D5000000}"/>
    <cellStyle name="Normal 17 13 7" xfId="209" xr:uid="{00000000-0005-0000-0000-0000D6000000}"/>
    <cellStyle name="Normal 17 13 8" xfId="210" xr:uid="{00000000-0005-0000-0000-0000D7000000}"/>
    <cellStyle name="Normal 17 13 9" xfId="211" xr:uid="{00000000-0005-0000-0000-0000D8000000}"/>
    <cellStyle name="Normal 17 14" xfId="212" xr:uid="{00000000-0005-0000-0000-0000D9000000}"/>
    <cellStyle name="Normal 17 14 10" xfId="213" xr:uid="{00000000-0005-0000-0000-0000DA000000}"/>
    <cellStyle name="Normal 17 14 11" xfId="214" xr:uid="{00000000-0005-0000-0000-0000DB000000}"/>
    <cellStyle name="Normal 17 14 2" xfId="215" xr:uid="{00000000-0005-0000-0000-0000DC000000}"/>
    <cellStyle name="Normal 17 14 3" xfId="216" xr:uid="{00000000-0005-0000-0000-0000DD000000}"/>
    <cellStyle name="Normal 17 14 4" xfId="217" xr:uid="{00000000-0005-0000-0000-0000DE000000}"/>
    <cellStyle name="Normal 17 14 5" xfId="218" xr:uid="{00000000-0005-0000-0000-0000DF000000}"/>
    <cellStyle name="Normal 17 14 6" xfId="219" xr:uid="{00000000-0005-0000-0000-0000E0000000}"/>
    <cellStyle name="Normal 17 14 7" xfId="220" xr:uid="{00000000-0005-0000-0000-0000E1000000}"/>
    <cellStyle name="Normal 17 14 8" xfId="221" xr:uid="{00000000-0005-0000-0000-0000E2000000}"/>
    <cellStyle name="Normal 17 14 9" xfId="222" xr:uid="{00000000-0005-0000-0000-0000E3000000}"/>
    <cellStyle name="Normal 17 15" xfId="223" xr:uid="{00000000-0005-0000-0000-0000E4000000}"/>
    <cellStyle name="Normal 17 16" xfId="224" xr:uid="{00000000-0005-0000-0000-0000E5000000}"/>
    <cellStyle name="Normal 17 17" xfId="225" xr:uid="{00000000-0005-0000-0000-0000E6000000}"/>
    <cellStyle name="Normal 17 18" xfId="226" xr:uid="{00000000-0005-0000-0000-0000E7000000}"/>
    <cellStyle name="Normal 17 19" xfId="227" xr:uid="{00000000-0005-0000-0000-0000E8000000}"/>
    <cellStyle name="Normal 17 2" xfId="228" xr:uid="{00000000-0005-0000-0000-0000E9000000}"/>
    <cellStyle name="Normal 17 2 10" xfId="229" xr:uid="{00000000-0005-0000-0000-0000EA000000}"/>
    <cellStyle name="Normal 17 2 11" xfId="230" xr:uid="{00000000-0005-0000-0000-0000EB000000}"/>
    <cellStyle name="Normal 17 2 12" xfId="231" xr:uid="{00000000-0005-0000-0000-0000EC000000}"/>
    <cellStyle name="Normal 17 2 13" xfId="232" xr:uid="{00000000-0005-0000-0000-0000ED000000}"/>
    <cellStyle name="Normal 17 2 2" xfId="233" xr:uid="{00000000-0005-0000-0000-0000EE000000}"/>
    <cellStyle name="Normal 17 2 2 10" xfId="234" xr:uid="{00000000-0005-0000-0000-0000EF000000}"/>
    <cellStyle name="Normal 17 2 2 11" xfId="235" xr:uid="{00000000-0005-0000-0000-0000F0000000}"/>
    <cellStyle name="Normal 17 2 2 2" xfId="236" xr:uid="{00000000-0005-0000-0000-0000F1000000}"/>
    <cellStyle name="Normal 17 2 2 3" xfId="237" xr:uid="{00000000-0005-0000-0000-0000F2000000}"/>
    <cellStyle name="Normal 17 2 2 4" xfId="238" xr:uid="{00000000-0005-0000-0000-0000F3000000}"/>
    <cellStyle name="Normal 17 2 2 5" xfId="239" xr:uid="{00000000-0005-0000-0000-0000F4000000}"/>
    <cellStyle name="Normal 17 2 2 6" xfId="240" xr:uid="{00000000-0005-0000-0000-0000F5000000}"/>
    <cellStyle name="Normal 17 2 2 7" xfId="241" xr:uid="{00000000-0005-0000-0000-0000F6000000}"/>
    <cellStyle name="Normal 17 2 2 8" xfId="242" xr:uid="{00000000-0005-0000-0000-0000F7000000}"/>
    <cellStyle name="Normal 17 2 2 9" xfId="243" xr:uid="{00000000-0005-0000-0000-0000F8000000}"/>
    <cellStyle name="Normal 17 2 3" xfId="244" xr:uid="{00000000-0005-0000-0000-0000F9000000}"/>
    <cellStyle name="Normal 17 2 4" xfId="245" xr:uid="{00000000-0005-0000-0000-0000FA000000}"/>
    <cellStyle name="Normal 17 2 5" xfId="246" xr:uid="{00000000-0005-0000-0000-0000FB000000}"/>
    <cellStyle name="Normal 17 2 6" xfId="247" xr:uid="{00000000-0005-0000-0000-0000FC000000}"/>
    <cellStyle name="Normal 17 2 7" xfId="248" xr:uid="{00000000-0005-0000-0000-0000FD000000}"/>
    <cellStyle name="Normal 17 2 8" xfId="249" xr:uid="{00000000-0005-0000-0000-0000FE000000}"/>
    <cellStyle name="Normal 17 2 9" xfId="250" xr:uid="{00000000-0005-0000-0000-0000FF000000}"/>
    <cellStyle name="Normal 17 20" xfId="251" xr:uid="{00000000-0005-0000-0000-000000010000}"/>
    <cellStyle name="Normal 17 21" xfId="252" xr:uid="{00000000-0005-0000-0000-000001010000}"/>
    <cellStyle name="Normal 17 22" xfId="253" xr:uid="{00000000-0005-0000-0000-000002010000}"/>
    <cellStyle name="Normal 17 23" xfId="254" xr:uid="{00000000-0005-0000-0000-000003010000}"/>
    <cellStyle name="Normal 17 24" xfId="255" xr:uid="{00000000-0005-0000-0000-000004010000}"/>
    <cellStyle name="Normal 17 25" xfId="256" xr:uid="{00000000-0005-0000-0000-000005010000}"/>
    <cellStyle name="Normal 17 3" xfId="257" xr:uid="{00000000-0005-0000-0000-000006010000}"/>
    <cellStyle name="Normal 17 3 10" xfId="258" xr:uid="{00000000-0005-0000-0000-000007010000}"/>
    <cellStyle name="Normal 17 3 11" xfId="259" xr:uid="{00000000-0005-0000-0000-000008010000}"/>
    <cellStyle name="Normal 17 3 12" xfId="260" xr:uid="{00000000-0005-0000-0000-000009010000}"/>
    <cellStyle name="Normal 17 3 13" xfId="261" xr:uid="{00000000-0005-0000-0000-00000A010000}"/>
    <cellStyle name="Normal 17 3 2" xfId="262" xr:uid="{00000000-0005-0000-0000-00000B010000}"/>
    <cellStyle name="Normal 17 3 2 10" xfId="263" xr:uid="{00000000-0005-0000-0000-00000C010000}"/>
    <cellStyle name="Normal 17 3 2 11" xfId="264" xr:uid="{00000000-0005-0000-0000-00000D010000}"/>
    <cellStyle name="Normal 17 3 2 2" xfId="265" xr:uid="{00000000-0005-0000-0000-00000E010000}"/>
    <cellStyle name="Normal 17 3 2 3" xfId="266" xr:uid="{00000000-0005-0000-0000-00000F010000}"/>
    <cellStyle name="Normal 17 3 2 4" xfId="267" xr:uid="{00000000-0005-0000-0000-000010010000}"/>
    <cellStyle name="Normal 17 3 2 5" xfId="268" xr:uid="{00000000-0005-0000-0000-000011010000}"/>
    <cellStyle name="Normal 17 3 2 6" xfId="269" xr:uid="{00000000-0005-0000-0000-000012010000}"/>
    <cellStyle name="Normal 17 3 2 7" xfId="270" xr:uid="{00000000-0005-0000-0000-000013010000}"/>
    <cellStyle name="Normal 17 3 2 8" xfId="271" xr:uid="{00000000-0005-0000-0000-000014010000}"/>
    <cellStyle name="Normal 17 3 2 9" xfId="272" xr:uid="{00000000-0005-0000-0000-000015010000}"/>
    <cellStyle name="Normal 17 3 3" xfId="273" xr:uid="{00000000-0005-0000-0000-000016010000}"/>
    <cellStyle name="Normal 17 3 4" xfId="274" xr:uid="{00000000-0005-0000-0000-000017010000}"/>
    <cellStyle name="Normal 17 3 5" xfId="275" xr:uid="{00000000-0005-0000-0000-000018010000}"/>
    <cellStyle name="Normal 17 3 6" xfId="276" xr:uid="{00000000-0005-0000-0000-000019010000}"/>
    <cellStyle name="Normal 17 3 7" xfId="277" xr:uid="{00000000-0005-0000-0000-00001A010000}"/>
    <cellStyle name="Normal 17 3 8" xfId="278" xr:uid="{00000000-0005-0000-0000-00001B010000}"/>
    <cellStyle name="Normal 17 3 9" xfId="279" xr:uid="{00000000-0005-0000-0000-00001C010000}"/>
    <cellStyle name="Normal 17 4" xfId="280" xr:uid="{00000000-0005-0000-0000-00001D010000}"/>
    <cellStyle name="Normal 17 4 10" xfId="281" xr:uid="{00000000-0005-0000-0000-00001E010000}"/>
    <cellStyle name="Normal 17 4 11" xfId="282" xr:uid="{00000000-0005-0000-0000-00001F010000}"/>
    <cellStyle name="Normal 17 4 12" xfId="283" xr:uid="{00000000-0005-0000-0000-000020010000}"/>
    <cellStyle name="Normal 17 4 13" xfId="284" xr:uid="{00000000-0005-0000-0000-000021010000}"/>
    <cellStyle name="Normal 17 4 2" xfId="285" xr:uid="{00000000-0005-0000-0000-000022010000}"/>
    <cellStyle name="Normal 17 4 2 10" xfId="286" xr:uid="{00000000-0005-0000-0000-000023010000}"/>
    <cellStyle name="Normal 17 4 2 11" xfId="287" xr:uid="{00000000-0005-0000-0000-000024010000}"/>
    <cellStyle name="Normal 17 4 2 2" xfId="288" xr:uid="{00000000-0005-0000-0000-000025010000}"/>
    <cellStyle name="Normal 17 4 2 3" xfId="289" xr:uid="{00000000-0005-0000-0000-000026010000}"/>
    <cellStyle name="Normal 17 4 2 4" xfId="290" xr:uid="{00000000-0005-0000-0000-000027010000}"/>
    <cellStyle name="Normal 17 4 2 5" xfId="291" xr:uid="{00000000-0005-0000-0000-000028010000}"/>
    <cellStyle name="Normal 17 4 2 6" xfId="292" xr:uid="{00000000-0005-0000-0000-000029010000}"/>
    <cellStyle name="Normal 17 4 2 7" xfId="293" xr:uid="{00000000-0005-0000-0000-00002A010000}"/>
    <cellStyle name="Normal 17 4 2 8" xfId="294" xr:uid="{00000000-0005-0000-0000-00002B010000}"/>
    <cellStyle name="Normal 17 4 2 9" xfId="295" xr:uid="{00000000-0005-0000-0000-00002C010000}"/>
    <cellStyle name="Normal 17 4 3" xfId="296" xr:uid="{00000000-0005-0000-0000-00002D010000}"/>
    <cellStyle name="Normal 17 4 4" xfId="297" xr:uid="{00000000-0005-0000-0000-00002E010000}"/>
    <cellStyle name="Normal 17 4 5" xfId="298" xr:uid="{00000000-0005-0000-0000-00002F010000}"/>
    <cellStyle name="Normal 17 4 6" xfId="299" xr:uid="{00000000-0005-0000-0000-000030010000}"/>
    <cellStyle name="Normal 17 4 7" xfId="300" xr:uid="{00000000-0005-0000-0000-000031010000}"/>
    <cellStyle name="Normal 17 4 8" xfId="301" xr:uid="{00000000-0005-0000-0000-000032010000}"/>
    <cellStyle name="Normal 17 4 9" xfId="302" xr:uid="{00000000-0005-0000-0000-000033010000}"/>
    <cellStyle name="Normal 17 5" xfId="303" xr:uid="{00000000-0005-0000-0000-000034010000}"/>
    <cellStyle name="Normal 17 5 10" xfId="304" xr:uid="{00000000-0005-0000-0000-000035010000}"/>
    <cellStyle name="Normal 17 5 11" xfId="305" xr:uid="{00000000-0005-0000-0000-000036010000}"/>
    <cellStyle name="Normal 17 5 12" xfId="306" xr:uid="{00000000-0005-0000-0000-000037010000}"/>
    <cellStyle name="Normal 17 5 13" xfId="307" xr:uid="{00000000-0005-0000-0000-000038010000}"/>
    <cellStyle name="Normal 17 5 2" xfId="308" xr:uid="{00000000-0005-0000-0000-000039010000}"/>
    <cellStyle name="Normal 17 5 2 10" xfId="309" xr:uid="{00000000-0005-0000-0000-00003A010000}"/>
    <cellStyle name="Normal 17 5 2 11" xfId="310" xr:uid="{00000000-0005-0000-0000-00003B010000}"/>
    <cellStyle name="Normal 17 5 2 2" xfId="311" xr:uid="{00000000-0005-0000-0000-00003C010000}"/>
    <cellStyle name="Normal 17 5 2 3" xfId="312" xr:uid="{00000000-0005-0000-0000-00003D010000}"/>
    <cellStyle name="Normal 17 5 2 4" xfId="313" xr:uid="{00000000-0005-0000-0000-00003E010000}"/>
    <cellStyle name="Normal 17 5 2 5" xfId="314" xr:uid="{00000000-0005-0000-0000-00003F010000}"/>
    <cellStyle name="Normal 17 5 2 6" xfId="315" xr:uid="{00000000-0005-0000-0000-000040010000}"/>
    <cellStyle name="Normal 17 5 2 7" xfId="316" xr:uid="{00000000-0005-0000-0000-000041010000}"/>
    <cellStyle name="Normal 17 5 2 8" xfId="317" xr:uid="{00000000-0005-0000-0000-000042010000}"/>
    <cellStyle name="Normal 17 5 2 9" xfId="318" xr:uid="{00000000-0005-0000-0000-000043010000}"/>
    <cellStyle name="Normal 17 5 3" xfId="319" xr:uid="{00000000-0005-0000-0000-000044010000}"/>
    <cellStyle name="Normal 17 5 4" xfId="320" xr:uid="{00000000-0005-0000-0000-000045010000}"/>
    <cellStyle name="Normal 17 5 5" xfId="321" xr:uid="{00000000-0005-0000-0000-000046010000}"/>
    <cellStyle name="Normal 17 5 6" xfId="322" xr:uid="{00000000-0005-0000-0000-000047010000}"/>
    <cellStyle name="Normal 17 5 7" xfId="323" xr:uid="{00000000-0005-0000-0000-000048010000}"/>
    <cellStyle name="Normal 17 5 8" xfId="324" xr:uid="{00000000-0005-0000-0000-000049010000}"/>
    <cellStyle name="Normal 17 5 9" xfId="325" xr:uid="{00000000-0005-0000-0000-00004A010000}"/>
    <cellStyle name="Normal 17 6" xfId="326" xr:uid="{00000000-0005-0000-0000-00004B010000}"/>
    <cellStyle name="Normal 17 6 10" xfId="327" xr:uid="{00000000-0005-0000-0000-00004C010000}"/>
    <cellStyle name="Normal 17 6 11" xfId="328" xr:uid="{00000000-0005-0000-0000-00004D010000}"/>
    <cellStyle name="Normal 17 6 12" xfId="329" xr:uid="{00000000-0005-0000-0000-00004E010000}"/>
    <cellStyle name="Normal 17 6 13" xfId="330" xr:uid="{00000000-0005-0000-0000-00004F010000}"/>
    <cellStyle name="Normal 17 6 2" xfId="331" xr:uid="{00000000-0005-0000-0000-000050010000}"/>
    <cellStyle name="Normal 17 6 2 10" xfId="332" xr:uid="{00000000-0005-0000-0000-000051010000}"/>
    <cellStyle name="Normal 17 6 2 11" xfId="333" xr:uid="{00000000-0005-0000-0000-000052010000}"/>
    <cellStyle name="Normal 17 6 2 2" xfId="334" xr:uid="{00000000-0005-0000-0000-000053010000}"/>
    <cellStyle name="Normal 17 6 2 3" xfId="335" xr:uid="{00000000-0005-0000-0000-000054010000}"/>
    <cellStyle name="Normal 17 6 2 4" xfId="336" xr:uid="{00000000-0005-0000-0000-000055010000}"/>
    <cellStyle name="Normal 17 6 2 5" xfId="337" xr:uid="{00000000-0005-0000-0000-000056010000}"/>
    <cellStyle name="Normal 17 6 2 6" xfId="338" xr:uid="{00000000-0005-0000-0000-000057010000}"/>
    <cellStyle name="Normal 17 6 2 7" xfId="339" xr:uid="{00000000-0005-0000-0000-000058010000}"/>
    <cellStyle name="Normal 17 6 2 8" xfId="340" xr:uid="{00000000-0005-0000-0000-000059010000}"/>
    <cellStyle name="Normal 17 6 2 9" xfId="341" xr:uid="{00000000-0005-0000-0000-00005A010000}"/>
    <cellStyle name="Normal 17 6 3" xfId="342" xr:uid="{00000000-0005-0000-0000-00005B010000}"/>
    <cellStyle name="Normal 17 6 4" xfId="343" xr:uid="{00000000-0005-0000-0000-00005C010000}"/>
    <cellStyle name="Normal 17 6 5" xfId="344" xr:uid="{00000000-0005-0000-0000-00005D010000}"/>
    <cellStyle name="Normal 17 6 6" xfId="345" xr:uid="{00000000-0005-0000-0000-00005E010000}"/>
    <cellStyle name="Normal 17 6 7" xfId="346" xr:uid="{00000000-0005-0000-0000-00005F010000}"/>
    <cellStyle name="Normal 17 6 8" xfId="347" xr:uid="{00000000-0005-0000-0000-000060010000}"/>
    <cellStyle name="Normal 17 6 9" xfId="348" xr:uid="{00000000-0005-0000-0000-000061010000}"/>
    <cellStyle name="Normal 17 7" xfId="349" xr:uid="{00000000-0005-0000-0000-000062010000}"/>
    <cellStyle name="Normal 17 7 10" xfId="350" xr:uid="{00000000-0005-0000-0000-000063010000}"/>
    <cellStyle name="Normal 17 7 11" xfId="351" xr:uid="{00000000-0005-0000-0000-000064010000}"/>
    <cellStyle name="Normal 17 7 12" xfId="352" xr:uid="{00000000-0005-0000-0000-000065010000}"/>
    <cellStyle name="Normal 17 7 13" xfId="353" xr:uid="{00000000-0005-0000-0000-000066010000}"/>
    <cellStyle name="Normal 17 7 2" xfId="354" xr:uid="{00000000-0005-0000-0000-000067010000}"/>
    <cellStyle name="Normal 17 7 2 10" xfId="355" xr:uid="{00000000-0005-0000-0000-000068010000}"/>
    <cellStyle name="Normal 17 7 2 11" xfId="356" xr:uid="{00000000-0005-0000-0000-000069010000}"/>
    <cellStyle name="Normal 17 7 2 2" xfId="357" xr:uid="{00000000-0005-0000-0000-00006A010000}"/>
    <cellStyle name="Normal 17 7 2 3" xfId="358" xr:uid="{00000000-0005-0000-0000-00006B010000}"/>
    <cellStyle name="Normal 17 7 2 4" xfId="359" xr:uid="{00000000-0005-0000-0000-00006C010000}"/>
    <cellStyle name="Normal 17 7 2 5" xfId="360" xr:uid="{00000000-0005-0000-0000-00006D010000}"/>
    <cellStyle name="Normal 17 7 2 6" xfId="361" xr:uid="{00000000-0005-0000-0000-00006E010000}"/>
    <cellStyle name="Normal 17 7 2 7" xfId="362" xr:uid="{00000000-0005-0000-0000-00006F010000}"/>
    <cellStyle name="Normal 17 7 2 8" xfId="363" xr:uid="{00000000-0005-0000-0000-000070010000}"/>
    <cellStyle name="Normal 17 7 2 9" xfId="364" xr:uid="{00000000-0005-0000-0000-000071010000}"/>
    <cellStyle name="Normal 17 7 3" xfId="365" xr:uid="{00000000-0005-0000-0000-000072010000}"/>
    <cellStyle name="Normal 17 7 4" xfId="366" xr:uid="{00000000-0005-0000-0000-000073010000}"/>
    <cellStyle name="Normal 17 7 5" xfId="367" xr:uid="{00000000-0005-0000-0000-000074010000}"/>
    <cellStyle name="Normal 17 7 6" xfId="368" xr:uid="{00000000-0005-0000-0000-000075010000}"/>
    <cellStyle name="Normal 17 7 7" xfId="369" xr:uid="{00000000-0005-0000-0000-000076010000}"/>
    <cellStyle name="Normal 17 7 8" xfId="370" xr:uid="{00000000-0005-0000-0000-000077010000}"/>
    <cellStyle name="Normal 17 7 9" xfId="371" xr:uid="{00000000-0005-0000-0000-000078010000}"/>
    <cellStyle name="Normal 17 8" xfId="372" xr:uid="{00000000-0005-0000-0000-000079010000}"/>
    <cellStyle name="Normal 17 8 10" xfId="373" xr:uid="{00000000-0005-0000-0000-00007A010000}"/>
    <cellStyle name="Normal 17 8 11" xfId="374" xr:uid="{00000000-0005-0000-0000-00007B010000}"/>
    <cellStyle name="Normal 17 8 12" xfId="375" xr:uid="{00000000-0005-0000-0000-00007C010000}"/>
    <cellStyle name="Normal 17 8 13" xfId="376" xr:uid="{00000000-0005-0000-0000-00007D010000}"/>
    <cellStyle name="Normal 17 8 2" xfId="377" xr:uid="{00000000-0005-0000-0000-00007E010000}"/>
    <cellStyle name="Normal 17 8 2 10" xfId="378" xr:uid="{00000000-0005-0000-0000-00007F010000}"/>
    <cellStyle name="Normal 17 8 2 11" xfId="379" xr:uid="{00000000-0005-0000-0000-000080010000}"/>
    <cellStyle name="Normal 17 8 2 2" xfId="380" xr:uid="{00000000-0005-0000-0000-000081010000}"/>
    <cellStyle name="Normal 17 8 2 3" xfId="381" xr:uid="{00000000-0005-0000-0000-000082010000}"/>
    <cellStyle name="Normal 17 8 2 4" xfId="382" xr:uid="{00000000-0005-0000-0000-000083010000}"/>
    <cellStyle name="Normal 17 8 2 5" xfId="383" xr:uid="{00000000-0005-0000-0000-000084010000}"/>
    <cellStyle name="Normal 17 8 2 6" xfId="384" xr:uid="{00000000-0005-0000-0000-000085010000}"/>
    <cellStyle name="Normal 17 8 2 7" xfId="385" xr:uid="{00000000-0005-0000-0000-000086010000}"/>
    <cellStyle name="Normal 17 8 2 8" xfId="386" xr:uid="{00000000-0005-0000-0000-000087010000}"/>
    <cellStyle name="Normal 17 8 2 9" xfId="387" xr:uid="{00000000-0005-0000-0000-000088010000}"/>
    <cellStyle name="Normal 17 8 3" xfId="388" xr:uid="{00000000-0005-0000-0000-000089010000}"/>
    <cellStyle name="Normal 17 8 4" xfId="389" xr:uid="{00000000-0005-0000-0000-00008A010000}"/>
    <cellStyle name="Normal 17 8 5" xfId="390" xr:uid="{00000000-0005-0000-0000-00008B010000}"/>
    <cellStyle name="Normal 17 8 6" xfId="391" xr:uid="{00000000-0005-0000-0000-00008C010000}"/>
    <cellStyle name="Normal 17 8 7" xfId="392" xr:uid="{00000000-0005-0000-0000-00008D010000}"/>
    <cellStyle name="Normal 17 8 8" xfId="393" xr:uid="{00000000-0005-0000-0000-00008E010000}"/>
    <cellStyle name="Normal 17 8 9" xfId="394" xr:uid="{00000000-0005-0000-0000-00008F010000}"/>
    <cellStyle name="Normal 17 9" xfId="395" xr:uid="{00000000-0005-0000-0000-000090010000}"/>
    <cellStyle name="Normal 17 9 10" xfId="396" xr:uid="{00000000-0005-0000-0000-000091010000}"/>
    <cellStyle name="Normal 17 9 11" xfId="397" xr:uid="{00000000-0005-0000-0000-000092010000}"/>
    <cellStyle name="Normal 17 9 12" xfId="398" xr:uid="{00000000-0005-0000-0000-000093010000}"/>
    <cellStyle name="Normal 17 9 13" xfId="399" xr:uid="{00000000-0005-0000-0000-000094010000}"/>
    <cellStyle name="Normal 17 9 2" xfId="400" xr:uid="{00000000-0005-0000-0000-000095010000}"/>
    <cellStyle name="Normal 17 9 2 10" xfId="401" xr:uid="{00000000-0005-0000-0000-000096010000}"/>
    <cellStyle name="Normal 17 9 2 11" xfId="402" xr:uid="{00000000-0005-0000-0000-000097010000}"/>
    <cellStyle name="Normal 17 9 2 2" xfId="403" xr:uid="{00000000-0005-0000-0000-000098010000}"/>
    <cellStyle name="Normal 17 9 2 3" xfId="404" xr:uid="{00000000-0005-0000-0000-000099010000}"/>
    <cellStyle name="Normal 17 9 2 4" xfId="405" xr:uid="{00000000-0005-0000-0000-00009A010000}"/>
    <cellStyle name="Normal 17 9 2 5" xfId="406" xr:uid="{00000000-0005-0000-0000-00009B010000}"/>
    <cellStyle name="Normal 17 9 2 6" xfId="407" xr:uid="{00000000-0005-0000-0000-00009C010000}"/>
    <cellStyle name="Normal 17 9 2 7" xfId="408" xr:uid="{00000000-0005-0000-0000-00009D010000}"/>
    <cellStyle name="Normal 17 9 2 8" xfId="409" xr:uid="{00000000-0005-0000-0000-00009E010000}"/>
    <cellStyle name="Normal 17 9 2 9" xfId="410" xr:uid="{00000000-0005-0000-0000-00009F010000}"/>
    <cellStyle name="Normal 17 9 3" xfId="411" xr:uid="{00000000-0005-0000-0000-0000A0010000}"/>
    <cellStyle name="Normal 17 9 4" xfId="412" xr:uid="{00000000-0005-0000-0000-0000A1010000}"/>
    <cellStyle name="Normal 17 9 5" xfId="413" xr:uid="{00000000-0005-0000-0000-0000A2010000}"/>
    <cellStyle name="Normal 17 9 6" xfId="414" xr:uid="{00000000-0005-0000-0000-0000A3010000}"/>
    <cellStyle name="Normal 17 9 7" xfId="415" xr:uid="{00000000-0005-0000-0000-0000A4010000}"/>
    <cellStyle name="Normal 17 9 8" xfId="416" xr:uid="{00000000-0005-0000-0000-0000A5010000}"/>
    <cellStyle name="Normal 17 9 9" xfId="417" xr:uid="{00000000-0005-0000-0000-0000A6010000}"/>
    <cellStyle name="Normal 18" xfId="418" xr:uid="{00000000-0005-0000-0000-0000A7010000}"/>
    <cellStyle name="Normal 19" xfId="419" xr:uid="{00000000-0005-0000-0000-0000A8010000}"/>
    <cellStyle name="Normal 2" xfId="420" xr:uid="{00000000-0005-0000-0000-0000A9010000}"/>
    <cellStyle name="Normal 2 2" xfId="421" xr:uid="{00000000-0005-0000-0000-0000AA010000}"/>
    <cellStyle name="Normal 2 3" xfId="422" xr:uid="{00000000-0005-0000-0000-0000AB010000}"/>
    <cellStyle name="Normal 2 4" xfId="423" xr:uid="{00000000-0005-0000-0000-0000AC010000}"/>
    <cellStyle name="Normal 2 5" xfId="424" xr:uid="{00000000-0005-0000-0000-0000AD010000}"/>
    <cellStyle name="Normal 2 6" xfId="425" xr:uid="{00000000-0005-0000-0000-0000AE010000}"/>
    <cellStyle name="Normal 2 7" xfId="426" xr:uid="{00000000-0005-0000-0000-0000AF010000}"/>
    <cellStyle name="Normal 2 8" xfId="427" xr:uid="{00000000-0005-0000-0000-0000B0010000}"/>
    <cellStyle name="Normal 2 9" xfId="428" xr:uid="{00000000-0005-0000-0000-0000B1010000}"/>
    <cellStyle name="Normal 20" xfId="429" xr:uid="{00000000-0005-0000-0000-0000B2010000}"/>
    <cellStyle name="Normal 21" xfId="430" xr:uid="{00000000-0005-0000-0000-0000B3010000}"/>
    <cellStyle name="Normal 21 10" xfId="431" xr:uid="{00000000-0005-0000-0000-0000B4010000}"/>
    <cellStyle name="Normal 21 10 10" xfId="432" xr:uid="{00000000-0005-0000-0000-0000B5010000}"/>
    <cellStyle name="Normal 21 10 11" xfId="433" xr:uid="{00000000-0005-0000-0000-0000B6010000}"/>
    <cellStyle name="Normal 21 10 12" xfId="434" xr:uid="{00000000-0005-0000-0000-0000B7010000}"/>
    <cellStyle name="Normal 21 10 13" xfId="435" xr:uid="{00000000-0005-0000-0000-0000B8010000}"/>
    <cellStyle name="Normal 21 10 2" xfId="436" xr:uid="{00000000-0005-0000-0000-0000B9010000}"/>
    <cellStyle name="Normal 21 10 2 10" xfId="437" xr:uid="{00000000-0005-0000-0000-0000BA010000}"/>
    <cellStyle name="Normal 21 10 2 11" xfId="438" xr:uid="{00000000-0005-0000-0000-0000BB010000}"/>
    <cellStyle name="Normal 21 10 2 2" xfId="439" xr:uid="{00000000-0005-0000-0000-0000BC010000}"/>
    <cellStyle name="Normal 21 10 2 3" xfId="440" xr:uid="{00000000-0005-0000-0000-0000BD010000}"/>
    <cellStyle name="Normal 21 10 2 4" xfId="441" xr:uid="{00000000-0005-0000-0000-0000BE010000}"/>
    <cellStyle name="Normal 21 10 2 5" xfId="442" xr:uid="{00000000-0005-0000-0000-0000BF010000}"/>
    <cellStyle name="Normal 21 10 2 6" xfId="443" xr:uid="{00000000-0005-0000-0000-0000C0010000}"/>
    <cellStyle name="Normal 21 10 2 7" xfId="444" xr:uid="{00000000-0005-0000-0000-0000C1010000}"/>
    <cellStyle name="Normal 21 10 2 8" xfId="445" xr:uid="{00000000-0005-0000-0000-0000C2010000}"/>
    <cellStyle name="Normal 21 10 2 9" xfId="446" xr:uid="{00000000-0005-0000-0000-0000C3010000}"/>
    <cellStyle name="Normal 21 10 3" xfId="447" xr:uid="{00000000-0005-0000-0000-0000C4010000}"/>
    <cellStyle name="Normal 21 10 4" xfId="448" xr:uid="{00000000-0005-0000-0000-0000C5010000}"/>
    <cellStyle name="Normal 21 10 5" xfId="449" xr:uid="{00000000-0005-0000-0000-0000C6010000}"/>
    <cellStyle name="Normal 21 10 6" xfId="450" xr:uid="{00000000-0005-0000-0000-0000C7010000}"/>
    <cellStyle name="Normal 21 10 7" xfId="451" xr:uid="{00000000-0005-0000-0000-0000C8010000}"/>
    <cellStyle name="Normal 21 10 8" xfId="452" xr:uid="{00000000-0005-0000-0000-0000C9010000}"/>
    <cellStyle name="Normal 21 10 9" xfId="453" xr:uid="{00000000-0005-0000-0000-0000CA010000}"/>
    <cellStyle name="Normal 21 11" xfId="454" xr:uid="{00000000-0005-0000-0000-0000CB010000}"/>
    <cellStyle name="Normal 21 11 10" xfId="455" xr:uid="{00000000-0005-0000-0000-0000CC010000}"/>
    <cellStyle name="Normal 21 11 11" xfId="456" xr:uid="{00000000-0005-0000-0000-0000CD010000}"/>
    <cellStyle name="Normal 21 11 12" xfId="457" xr:uid="{00000000-0005-0000-0000-0000CE010000}"/>
    <cellStyle name="Normal 21 11 13" xfId="458" xr:uid="{00000000-0005-0000-0000-0000CF010000}"/>
    <cellStyle name="Normal 21 11 2" xfId="459" xr:uid="{00000000-0005-0000-0000-0000D0010000}"/>
    <cellStyle name="Normal 21 11 2 10" xfId="460" xr:uid="{00000000-0005-0000-0000-0000D1010000}"/>
    <cellStyle name="Normal 21 11 2 11" xfId="461" xr:uid="{00000000-0005-0000-0000-0000D2010000}"/>
    <cellStyle name="Normal 21 11 2 2" xfId="462" xr:uid="{00000000-0005-0000-0000-0000D3010000}"/>
    <cellStyle name="Normal 21 11 2 3" xfId="463" xr:uid="{00000000-0005-0000-0000-0000D4010000}"/>
    <cellStyle name="Normal 21 11 2 4" xfId="464" xr:uid="{00000000-0005-0000-0000-0000D5010000}"/>
    <cellStyle name="Normal 21 11 2 5" xfId="465" xr:uid="{00000000-0005-0000-0000-0000D6010000}"/>
    <cellStyle name="Normal 21 11 2 6" xfId="466" xr:uid="{00000000-0005-0000-0000-0000D7010000}"/>
    <cellStyle name="Normal 21 11 2 7" xfId="467" xr:uid="{00000000-0005-0000-0000-0000D8010000}"/>
    <cellStyle name="Normal 21 11 2 8" xfId="468" xr:uid="{00000000-0005-0000-0000-0000D9010000}"/>
    <cellStyle name="Normal 21 11 2 9" xfId="469" xr:uid="{00000000-0005-0000-0000-0000DA010000}"/>
    <cellStyle name="Normal 21 11 3" xfId="470" xr:uid="{00000000-0005-0000-0000-0000DB010000}"/>
    <cellStyle name="Normal 21 11 4" xfId="471" xr:uid="{00000000-0005-0000-0000-0000DC010000}"/>
    <cellStyle name="Normal 21 11 5" xfId="472" xr:uid="{00000000-0005-0000-0000-0000DD010000}"/>
    <cellStyle name="Normal 21 11 6" xfId="473" xr:uid="{00000000-0005-0000-0000-0000DE010000}"/>
    <cellStyle name="Normal 21 11 7" xfId="474" xr:uid="{00000000-0005-0000-0000-0000DF010000}"/>
    <cellStyle name="Normal 21 11 8" xfId="475" xr:uid="{00000000-0005-0000-0000-0000E0010000}"/>
    <cellStyle name="Normal 21 11 9" xfId="476" xr:uid="{00000000-0005-0000-0000-0000E1010000}"/>
    <cellStyle name="Normal 21 12" xfId="477" xr:uid="{00000000-0005-0000-0000-0000E2010000}"/>
    <cellStyle name="Normal 21 12 10" xfId="478" xr:uid="{00000000-0005-0000-0000-0000E3010000}"/>
    <cellStyle name="Normal 21 12 11" xfId="479" xr:uid="{00000000-0005-0000-0000-0000E4010000}"/>
    <cellStyle name="Normal 21 12 12" xfId="480" xr:uid="{00000000-0005-0000-0000-0000E5010000}"/>
    <cellStyle name="Normal 21 12 13" xfId="481" xr:uid="{00000000-0005-0000-0000-0000E6010000}"/>
    <cellStyle name="Normal 21 12 2" xfId="482" xr:uid="{00000000-0005-0000-0000-0000E7010000}"/>
    <cellStyle name="Normal 21 12 2 10" xfId="483" xr:uid="{00000000-0005-0000-0000-0000E8010000}"/>
    <cellStyle name="Normal 21 12 2 11" xfId="484" xr:uid="{00000000-0005-0000-0000-0000E9010000}"/>
    <cellStyle name="Normal 21 12 2 2" xfId="485" xr:uid="{00000000-0005-0000-0000-0000EA010000}"/>
    <cellStyle name="Normal 21 12 2 3" xfId="486" xr:uid="{00000000-0005-0000-0000-0000EB010000}"/>
    <cellStyle name="Normal 21 12 2 4" xfId="487" xr:uid="{00000000-0005-0000-0000-0000EC010000}"/>
    <cellStyle name="Normal 21 12 2 5" xfId="488" xr:uid="{00000000-0005-0000-0000-0000ED010000}"/>
    <cellStyle name="Normal 21 12 2 6" xfId="489" xr:uid="{00000000-0005-0000-0000-0000EE010000}"/>
    <cellStyle name="Normal 21 12 2 7" xfId="490" xr:uid="{00000000-0005-0000-0000-0000EF010000}"/>
    <cellStyle name="Normal 21 12 2 8" xfId="491" xr:uid="{00000000-0005-0000-0000-0000F0010000}"/>
    <cellStyle name="Normal 21 12 2 9" xfId="492" xr:uid="{00000000-0005-0000-0000-0000F1010000}"/>
    <cellStyle name="Normal 21 12 3" xfId="493" xr:uid="{00000000-0005-0000-0000-0000F2010000}"/>
    <cellStyle name="Normal 21 12 4" xfId="494" xr:uid="{00000000-0005-0000-0000-0000F3010000}"/>
    <cellStyle name="Normal 21 12 5" xfId="495" xr:uid="{00000000-0005-0000-0000-0000F4010000}"/>
    <cellStyle name="Normal 21 12 6" xfId="496" xr:uid="{00000000-0005-0000-0000-0000F5010000}"/>
    <cellStyle name="Normal 21 12 7" xfId="497" xr:uid="{00000000-0005-0000-0000-0000F6010000}"/>
    <cellStyle name="Normal 21 12 8" xfId="498" xr:uid="{00000000-0005-0000-0000-0000F7010000}"/>
    <cellStyle name="Normal 21 12 9" xfId="499" xr:uid="{00000000-0005-0000-0000-0000F8010000}"/>
    <cellStyle name="Normal 21 13" xfId="500" xr:uid="{00000000-0005-0000-0000-0000F9010000}"/>
    <cellStyle name="Normal 21 13 10" xfId="501" xr:uid="{00000000-0005-0000-0000-0000FA010000}"/>
    <cellStyle name="Normal 21 13 11" xfId="502" xr:uid="{00000000-0005-0000-0000-0000FB010000}"/>
    <cellStyle name="Normal 21 13 12" xfId="503" xr:uid="{00000000-0005-0000-0000-0000FC010000}"/>
    <cellStyle name="Normal 21 13 13" xfId="504" xr:uid="{00000000-0005-0000-0000-0000FD010000}"/>
    <cellStyle name="Normal 21 13 2" xfId="505" xr:uid="{00000000-0005-0000-0000-0000FE010000}"/>
    <cellStyle name="Normal 21 13 2 10" xfId="506" xr:uid="{00000000-0005-0000-0000-0000FF010000}"/>
    <cellStyle name="Normal 21 13 2 11" xfId="507" xr:uid="{00000000-0005-0000-0000-000000020000}"/>
    <cellStyle name="Normal 21 13 2 2" xfId="508" xr:uid="{00000000-0005-0000-0000-000001020000}"/>
    <cellStyle name="Normal 21 13 2 3" xfId="509" xr:uid="{00000000-0005-0000-0000-000002020000}"/>
    <cellStyle name="Normal 21 13 2 4" xfId="510" xr:uid="{00000000-0005-0000-0000-000003020000}"/>
    <cellStyle name="Normal 21 13 2 5" xfId="511" xr:uid="{00000000-0005-0000-0000-000004020000}"/>
    <cellStyle name="Normal 21 13 2 6" xfId="512" xr:uid="{00000000-0005-0000-0000-000005020000}"/>
    <cellStyle name="Normal 21 13 2 7" xfId="513" xr:uid="{00000000-0005-0000-0000-000006020000}"/>
    <cellStyle name="Normal 21 13 2 8" xfId="514" xr:uid="{00000000-0005-0000-0000-000007020000}"/>
    <cellStyle name="Normal 21 13 2 9" xfId="515" xr:uid="{00000000-0005-0000-0000-000008020000}"/>
    <cellStyle name="Normal 21 13 3" xfId="516" xr:uid="{00000000-0005-0000-0000-000009020000}"/>
    <cellStyle name="Normal 21 13 4" xfId="517" xr:uid="{00000000-0005-0000-0000-00000A020000}"/>
    <cellStyle name="Normal 21 13 5" xfId="518" xr:uid="{00000000-0005-0000-0000-00000B020000}"/>
    <cellStyle name="Normal 21 13 6" xfId="519" xr:uid="{00000000-0005-0000-0000-00000C020000}"/>
    <cellStyle name="Normal 21 13 7" xfId="520" xr:uid="{00000000-0005-0000-0000-00000D020000}"/>
    <cellStyle name="Normal 21 13 8" xfId="521" xr:uid="{00000000-0005-0000-0000-00000E020000}"/>
    <cellStyle name="Normal 21 13 9" xfId="522" xr:uid="{00000000-0005-0000-0000-00000F020000}"/>
    <cellStyle name="Normal 21 14" xfId="523" xr:uid="{00000000-0005-0000-0000-000010020000}"/>
    <cellStyle name="Normal 21 14 10" xfId="524" xr:uid="{00000000-0005-0000-0000-000011020000}"/>
    <cellStyle name="Normal 21 14 11" xfId="525" xr:uid="{00000000-0005-0000-0000-000012020000}"/>
    <cellStyle name="Normal 21 14 2" xfId="526" xr:uid="{00000000-0005-0000-0000-000013020000}"/>
    <cellStyle name="Normal 21 14 3" xfId="527" xr:uid="{00000000-0005-0000-0000-000014020000}"/>
    <cellStyle name="Normal 21 14 4" xfId="528" xr:uid="{00000000-0005-0000-0000-000015020000}"/>
    <cellStyle name="Normal 21 14 5" xfId="529" xr:uid="{00000000-0005-0000-0000-000016020000}"/>
    <cellStyle name="Normal 21 14 6" xfId="530" xr:uid="{00000000-0005-0000-0000-000017020000}"/>
    <cellStyle name="Normal 21 14 7" xfId="531" xr:uid="{00000000-0005-0000-0000-000018020000}"/>
    <cellStyle name="Normal 21 14 8" xfId="532" xr:uid="{00000000-0005-0000-0000-000019020000}"/>
    <cellStyle name="Normal 21 14 9" xfId="533" xr:uid="{00000000-0005-0000-0000-00001A020000}"/>
    <cellStyle name="Normal 21 15" xfId="534" xr:uid="{00000000-0005-0000-0000-00001B020000}"/>
    <cellStyle name="Normal 21 16" xfId="535" xr:uid="{00000000-0005-0000-0000-00001C020000}"/>
    <cellStyle name="Normal 21 17" xfId="536" xr:uid="{00000000-0005-0000-0000-00001D020000}"/>
    <cellStyle name="Normal 21 18" xfId="537" xr:uid="{00000000-0005-0000-0000-00001E020000}"/>
    <cellStyle name="Normal 21 19" xfId="538" xr:uid="{00000000-0005-0000-0000-00001F020000}"/>
    <cellStyle name="Normal 21 2" xfId="539" xr:uid="{00000000-0005-0000-0000-000020020000}"/>
    <cellStyle name="Normal 21 2 10" xfId="540" xr:uid="{00000000-0005-0000-0000-000021020000}"/>
    <cellStyle name="Normal 21 2 11" xfId="541" xr:uid="{00000000-0005-0000-0000-000022020000}"/>
    <cellStyle name="Normal 21 2 12" xfId="542" xr:uid="{00000000-0005-0000-0000-000023020000}"/>
    <cellStyle name="Normal 21 2 13" xfId="543" xr:uid="{00000000-0005-0000-0000-000024020000}"/>
    <cellStyle name="Normal 21 2 2" xfId="544" xr:uid="{00000000-0005-0000-0000-000025020000}"/>
    <cellStyle name="Normal 21 2 2 10" xfId="545" xr:uid="{00000000-0005-0000-0000-000026020000}"/>
    <cellStyle name="Normal 21 2 2 11" xfId="546" xr:uid="{00000000-0005-0000-0000-000027020000}"/>
    <cellStyle name="Normal 21 2 2 2" xfId="547" xr:uid="{00000000-0005-0000-0000-000028020000}"/>
    <cellStyle name="Normal 21 2 2 3" xfId="548" xr:uid="{00000000-0005-0000-0000-000029020000}"/>
    <cellStyle name="Normal 21 2 2 4" xfId="549" xr:uid="{00000000-0005-0000-0000-00002A020000}"/>
    <cellStyle name="Normal 21 2 2 5" xfId="550" xr:uid="{00000000-0005-0000-0000-00002B020000}"/>
    <cellStyle name="Normal 21 2 2 6" xfId="551" xr:uid="{00000000-0005-0000-0000-00002C020000}"/>
    <cellStyle name="Normal 21 2 2 7" xfId="552" xr:uid="{00000000-0005-0000-0000-00002D020000}"/>
    <cellStyle name="Normal 21 2 2 8" xfId="553" xr:uid="{00000000-0005-0000-0000-00002E020000}"/>
    <cellStyle name="Normal 21 2 2 9" xfId="554" xr:uid="{00000000-0005-0000-0000-00002F020000}"/>
    <cellStyle name="Normal 21 2 3" xfId="555" xr:uid="{00000000-0005-0000-0000-000030020000}"/>
    <cellStyle name="Normal 21 2 4" xfId="556" xr:uid="{00000000-0005-0000-0000-000031020000}"/>
    <cellStyle name="Normal 21 2 5" xfId="557" xr:uid="{00000000-0005-0000-0000-000032020000}"/>
    <cellStyle name="Normal 21 2 6" xfId="558" xr:uid="{00000000-0005-0000-0000-000033020000}"/>
    <cellStyle name="Normal 21 2 7" xfId="559" xr:uid="{00000000-0005-0000-0000-000034020000}"/>
    <cellStyle name="Normal 21 2 8" xfId="560" xr:uid="{00000000-0005-0000-0000-000035020000}"/>
    <cellStyle name="Normal 21 2 9" xfId="561" xr:uid="{00000000-0005-0000-0000-000036020000}"/>
    <cellStyle name="Normal 21 20" xfId="562" xr:uid="{00000000-0005-0000-0000-000037020000}"/>
    <cellStyle name="Normal 21 21" xfId="563" xr:uid="{00000000-0005-0000-0000-000038020000}"/>
    <cellStyle name="Normal 21 22" xfId="564" xr:uid="{00000000-0005-0000-0000-000039020000}"/>
    <cellStyle name="Normal 21 23" xfId="565" xr:uid="{00000000-0005-0000-0000-00003A020000}"/>
    <cellStyle name="Normal 21 24" xfId="566" xr:uid="{00000000-0005-0000-0000-00003B020000}"/>
    <cellStyle name="Normal 21 25" xfId="567" xr:uid="{00000000-0005-0000-0000-00003C020000}"/>
    <cellStyle name="Normal 21 3" xfId="568" xr:uid="{00000000-0005-0000-0000-00003D020000}"/>
    <cellStyle name="Normal 21 3 10" xfId="569" xr:uid="{00000000-0005-0000-0000-00003E020000}"/>
    <cellStyle name="Normal 21 3 11" xfId="570" xr:uid="{00000000-0005-0000-0000-00003F020000}"/>
    <cellStyle name="Normal 21 3 12" xfId="571" xr:uid="{00000000-0005-0000-0000-000040020000}"/>
    <cellStyle name="Normal 21 3 13" xfId="572" xr:uid="{00000000-0005-0000-0000-000041020000}"/>
    <cellStyle name="Normal 21 3 2" xfId="573" xr:uid="{00000000-0005-0000-0000-000042020000}"/>
    <cellStyle name="Normal 21 3 2 10" xfId="574" xr:uid="{00000000-0005-0000-0000-000043020000}"/>
    <cellStyle name="Normal 21 3 2 11" xfId="575" xr:uid="{00000000-0005-0000-0000-000044020000}"/>
    <cellStyle name="Normal 21 3 2 2" xfId="576" xr:uid="{00000000-0005-0000-0000-000045020000}"/>
    <cellStyle name="Normal 21 3 2 3" xfId="577" xr:uid="{00000000-0005-0000-0000-000046020000}"/>
    <cellStyle name="Normal 21 3 2 4" xfId="578" xr:uid="{00000000-0005-0000-0000-000047020000}"/>
    <cellStyle name="Normal 21 3 2 5" xfId="579" xr:uid="{00000000-0005-0000-0000-000048020000}"/>
    <cellStyle name="Normal 21 3 2 6" xfId="580" xr:uid="{00000000-0005-0000-0000-000049020000}"/>
    <cellStyle name="Normal 21 3 2 7" xfId="581" xr:uid="{00000000-0005-0000-0000-00004A020000}"/>
    <cellStyle name="Normal 21 3 2 8" xfId="582" xr:uid="{00000000-0005-0000-0000-00004B020000}"/>
    <cellStyle name="Normal 21 3 2 9" xfId="583" xr:uid="{00000000-0005-0000-0000-00004C020000}"/>
    <cellStyle name="Normal 21 3 3" xfId="584" xr:uid="{00000000-0005-0000-0000-00004D020000}"/>
    <cellStyle name="Normal 21 3 4" xfId="585" xr:uid="{00000000-0005-0000-0000-00004E020000}"/>
    <cellStyle name="Normal 21 3 5" xfId="586" xr:uid="{00000000-0005-0000-0000-00004F020000}"/>
    <cellStyle name="Normal 21 3 6" xfId="587" xr:uid="{00000000-0005-0000-0000-000050020000}"/>
    <cellStyle name="Normal 21 3 7" xfId="588" xr:uid="{00000000-0005-0000-0000-000051020000}"/>
    <cellStyle name="Normal 21 3 8" xfId="589" xr:uid="{00000000-0005-0000-0000-000052020000}"/>
    <cellStyle name="Normal 21 3 9" xfId="590" xr:uid="{00000000-0005-0000-0000-000053020000}"/>
    <cellStyle name="Normal 21 4" xfId="591" xr:uid="{00000000-0005-0000-0000-000054020000}"/>
    <cellStyle name="Normal 21 4 10" xfId="592" xr:uid="{00000000-0005-0000-0000-000055020000}"/>
    <cellStyle name="Normal 21 4 11" xfId="593" xr:uid="{00000000-0005-0000-0000-000056020000}"/>
    <cellStyle name="Normal 21 4 12" xfId="594" xr:uid="{00000000-0005-0000-0000-000057020000}"/>
    <cellStyle name="Normal 21 4 13" xfId="595" xr:uid="{00000000-0005-0000-0000-000058020000}"/>
    <cellStyle name="Normal 21 4 2" xfId="596" xr:uid="{00000000-0005-0000-0000-000059020000}"/>
    <cellStyle name="Normal 21 4 2 10" xfId="597" xr:uid="{00000000-0005-0000-0000-00005A020000}"/>
    <cellStyle name="Normal 21 4 2 11" xfId="598" xr:uid="{00000000-0005-0000-0000-00005B020000}"/>
    <cellStyle name="Normal 21 4 2 2" xfId="599" xr:uid="{00000000-0005-0000-0000-00005C020000}"/>
    <cellStyle name="Normal 21 4 2 3" xfId="600" xr:uid="{00000000-0005-0000-0000-00005D020000}"/>
    <cellStyle name="Normal 21 4 2 4" xfId="601" xr:uid="{00000000-0005-0000-0000-00005E020000}"/>
    <cellStyle name="Normal 21 4 2 5" xfId="602" xr:uid="{00000000-0005-0000-0000-00005F020000}"/>
    <cellStyle name="Normal 21 4 2 6" xfId="603" xr:uid="{00000000-0005-0000-0000-000060020000}"/>
    <cellStyle name="Normal 21 4 2 7" xfId="604" xr:uid="{00000000-0005-0000-0000-000061020000}"/>
    <cellStyle name="Normal 21 4 2 8" xfId="605" xr:uid="{00000000-0005-0000-0000-000062020000}"/>
    <cellStyle name="Normal 21 4 2 9" xfId="606" xr:uid="{00000000-0005-0000-0000-000063020000}"/>
    <cellStyle name="Normal 21 4 3" xfId="607" xr:uid="{00000000-0005-0000-0000-000064020000}"/>
    <cellStyle name="Normal 21 4 4" xfId="608" xr:uid="{00000000-0005-0000-0000-000065020000}"/>
    <cellStyle name="Normal 21 4 5" xfId="609" xr:uid="{00000000-0005-0000-0000-000066020000}"/>
    <cellStyle name="Normal 21 4 6" xfId="610" xr:uid="{00000000-0005-0000-0000-000067020000}"/>
    <cellStyle name="Normal 21 4 7" xfId="611" xr:uid="{00000000-0005-0000-0000-000068020000}"/>
    <cellStyle name="Normal 21 4 8" xfId="612" xr:uid="{00000000-0005-0000-0000-000069020000}"/>
    <cellStyle name="Normal 21 4 9" xfId="613" xr:uid="{00000000-0005-0000-0000-00006A020000}"/>
    <cellStyle name="Normal 21 5" xfId="614" xr:uid="{00000000-0005-0000-0000-00006B020000}"/>
    <cellStyle name="Normal 21 5 10" xfId="615" xr:uid="{00000000-0005-0000-0000-00006C020000}"/>
    <cellStyle name="Normal 21 5 11" xfId="616" xr:uid="{00000000-0005-0000-0000-00006D020000}"/>
    <cellStyle name="Normal 21 5 12" xfId="617" xr:uid="{00000000-0005-0000-0000-00006E020000}"/>
    <cellStyle name="Normal 21 5 13" xfId="618" xr:uid="{00000000-0005-0000-0000-00006F020000}"/>
    <cellStyle name="Normal 21 5 2" xfId="619" xr:uid="{00000000-0005-0000-0000-000070020000}"/>
    <cellStyle name="Normal 21 5 2 10" xfId="620" xr:uid="{00000000-0005-0000-0000-000071020000}"/>
    <cellStyle name="Normal 21 5 2 11" xfId="621" xr:uid="{00000000-0005-0000-0000-000072020000}"/>
    <cellStyle name="Normal 21 5 2 2" xfId="622" xr:uid="{00000000-0005-0000-0000-000073020000}"/>
    <cellStyle name="Normal 21 5 2 3" xfId="623" xr:uid="{00000000-0005-0000-0000-000074020000}"/>
    <cellStyle name="Normal 21 5 2 4" xfId="624" xr:uid="{00000000-0005-0000-0000-000075020000}"/>
    <cellStyle name="Normal 21 5 2 5" xfId="625" xr:uid="{00000000-0005-0000-0000-000076020000}"/>
    <cellStyle name="Normal 21 5 2 6" xfId="626" xr:uid="{00000000-0005-0000-0000-000077020000}"/>
    <cellStyle name="Normal 21 5 2 7" xfId="627" xr:uid="{00000000-0005-0000-0000-000078020000}"/>
    <cellStyle name="Normal 21 5 2 8" xfId="628" xr:uid="{00000000-0005-0000-0000-000079020000}"/>
    <cellStyle name="Normal 21 5 2 9" xfId="629" xr:uid="{00000000-0005-0000-0000-00007A020000}"/>
    <cellStyle name="Normal 21 5 3" xfId="630" xr:uid="{00000000-0005-0000-0000-00007B020000}"/>
    <cellStyle name="Normal 21 5 4" xfId="631" xr:uid="{00000000-0005-0000-0000-00007C020000}"/>
    <cellStyle name="Normal 21 5 5" xfId="632" xr:uid="{00000000-0005-0000-0000-00007D020000}"/>
    <cellStyle name="Normal 21 5 6" xfId="633" xr:uid="{00000000-0005-0000-0000-00007E020000}"/>
    <cellStyle name="Normal 21 5 7" xfId="634" xr:uid="{00000000-0005-0000-0000-00007F020000}"/>
    <cellStyle name="Normal 21 5 8" xfId="635" xr:uid="{00000000-0005-0000-0000-000080020000}"/>
    <cellStyle name="Normal 21 5 9" xfId="636" xr:uid="{00000000-0005-0000-0000-000081020000}"/>
    <cellStyle name="Normal 21 6" xfId="637" xr:uid="{00000000-0005-0000-0000-000082020000}"/>
    <cellStyle name="Normal 21 6 10" xfId="638" xr:uid="{00000000-0005-0000-0000-000083020000}"/>
    <cellStyle name="Normal 21 6 11" xfId="639" xr:uid="{00000000-0005-0000-0000-000084020000}"/>
    <cellStyle name="Normal 21 6 12" xfId="640" xr:uid="{00000000-0005-0000-0000-000085020000}"/>
    <cellStyle name="Normal 21 6 13" xfId="641" xr:uid="{00000000-0005-0000-0000-000086020000}"/>
    <cellStyle name="Normal 21 6 2" xfId="642" xr:uid="{00000000-0005-0000-0000-000087020000}"/>
    <cellStyle name="Normal 21 6 2 10" xfId="643" xr:uid="{00000000-0005-0000-0000-000088020000}"/>
    <cellStyle name="Normal 21 6 2 11" xfId="644" xr:uid="{00000000-0005-0000-0000-000089020000}"/>
    <cellStyle name="Normal 21 6 2 2" xfId="645" xr:uid="{00000000-0005-0000-0000-00008A020000}"/>
    <cellStyle name="Normal 21 6 2 3" xfId="646" xr:uid="{00000000-0005-0000-0000-00008B020000}"/>
    <cellStyle name="Normal 21 6 2 4" xfId="647" xr:uid="{00000000-0005-0000-0000-00008C020000}"/>
    <cellStyle name="Normal 21 6 2 5" xfId="648" xr:uid="{00000000-0005-0000-0000-00008D020000}"/>
    <cellStyle name="Normal 21 6 2 6" xfId="649" xr:uid="{00000000-0005-0000-0000-00008E020000}"/>
    <cellStyle name="Normal 21 6 2 7" xfId="650" xr:uid="{00000000-0005-0000-0000-00008F020000}"/>
    <cellStyle name="Normal 21 6 2 8" xfId="651" xr:uid="{00000000-0005-0000-0000-000090020000}"/>
    <cellStyle name="Normal 21 6 2 9" xfId="652" xr:uid="{00000000-0005-0000-0000-000091020000}"/>
    <cellStyle name="Normal 21 6 3" xfId="653" xr:uid="{00000000-0005-0000-0000-000092020000}"/>
    <cellStyle name="Normal 21 6 4" xfId="654" xr:uid="{00000000-0005-0000-0000-000093020000}"/>
    <cellStyle name="Normal 21 6 5" xfId="655" xr:uid="{00000000-0005-0000-0000-000094020000}"/>
    <cellStyle name="Normal 21 6 6" xfId="656" xr:uid="{00000000-0005-0000-0000-000095020000}"/>
    <cellStyle name="Normal 21 6 7" xfId="657" xr:uid="{00000000-0005-0000-0000-000096020000}"/>
    <cellStyle name="Normal 21 6 8" xfId="658" xr:uid="{00000000-0005-0000-0000-000097020000}"/>
    <cellStyle name="Normal 21 6 9" xfId="659" xr:uid="{00000000-0005-0000-0000-000098020000}"/>
    <cellStyle name="Normal 21 7" xfId="660" xr:uid="{00000000-0005-0000-0000-000099020000}"/>
    <cellStyle name="Normal 21 7 10" xfId="661" xr:uid="{00000000-0005-0000-0000-00009A020000}"/>
    <cellStyle name="Normal 21 7 11" xfId="662" xr:uid="{00000000-0005-0000-0000-00009B020000}"/>
    <cellStyle name="Normal 21 7 12" xfId="663" xr:uid="{00000000-0005-0000-0000-00009C020000}"/>
    <cellStyle name="Normal 21 7 13" xfId="664" xr:uid="{00000000-0005-0000-0000-00009D020000}"/>
    <cellStyle name="Normal 21 7 2" xfId="665" xr:uid="{00000000-0005-0000-0000-00009E020000}"/>
    <cellStyle name="Normal 21 7 2 10" xfId="666" xr:uid="{00000000-0005-0000-0000-00009F020000}"/>
    <cellStyle name="Normal 21 7 2 11" xfId="667" xr:uid="{00000000-0005-0000-0000-0000A0020000}"/>
    <cellStyle name="Normal 21 7 2 2" xfId="668" xr:uid="{00000000-0005-0000-0000-0000A1020000}"/>
    <cellStyle name="Normal 21 7 2 3" xfId="669" xr:uid="{00000000-0005-0000-0000-0000A2020000}"/>
    <cellStyle name="Normal 21 7 2 4" xfId="670" xr:uid="{00000000-0005-0000-0000-0000A3020000}"/>
    <cellStyle name="Normal 21 7 2 5" xfId="671" xr:uid="{00000000-0005-0000-0000-0000A4020000}"/>
    <cellStyle name="Normal 21 7 2 6" xfId="672" xr:uid="{00000000-0005-0000-0000-0000A5020000}"/>
    <cellStyle name="Normal 21 7 2 7" xfId="673" xr:uid="{00000000-0005-0000-0000-0000A6020000}"/>
    <cellStyle name="Normal 21 7 2 8" xfId="674" xr:uid="{00000000-0005-0000-0000-0000A7020000}"/>
    <cellStyle name="Normal 21 7 2 9" xfId="675" xr:uid="{00000000-0005-0000-0000-0000A8020000}"/>
    <cellStyle name="Normal 21 7 3" xfId="676" xr:uid="{00000000-0005-0000-0000-0000A9020000}"/>
    <cellStyle name="Normal 21 7 4" xfId="677" xr:uid="{00000000-0005-0000-0000-0000AA020000}"/>
    <cellStyle name="Normal 21 7 5" xfId="678" xr:uid="{00000000-0005-0000-0000-0000AB020000}"/>
    <cellStyle name="Normal 21 7 6" xfId="679" xr:uid="{00000000-0005-0000-0000-0000AC020000}"/>
    <cellStyle name="Normal 21 7 7" xfId="680" xr:uid="{00000000-0005-0000-0000-0000AD020000}"/>
    <cellStyle name="Normal 21 7 8" xfId="681" xr:uid="{00000000-0005-0000-0000-0000AE020000}"/>
    <cellStyle name="Normal 21 7 9" xfId="682" xr:uid="{00000000-0005-0000-0000-0000AF020000}"/>
    <cellStyle name="Normal 21 8" xfId="683" xr:uid="{00000000-0005-0000-0000-0000B0020000}"/>
    <cellStyle name="Normal 21 8 10" xfId="684" xr:uid="{00000000-0005-0000-0000-0000B1020000}"/>
    <cellStyle name="Normal 21 8 11" xfId="685" xr:uid="{00000000-0005-0000-0000-0000B2020000}"/>
    <cellStyle name="Normal 21 8 12" xfId="686" xr:uid="{00000000-0005-0000-0000-0000B3020000}"/>
    <cellStyle name="Normal 21 8 13" xfId="687" xr:uid="{00000000-0005-0000-0000-0000B4020000}"/>
    <cellStyle name="Normal 21 8 2" xfId="688" xr:uid="{00000000-0005-0000-0000-0000B5020000}"/>
    <cellStyle name="Normal 21 8 2 10" xfId="689" xr:uid="{00000000-0005-0000-0000-0000B6020000}"/>
    <cellStyle name="Normal 21 8 2 11" xfId="690" xr:uid="{00000000-0005-0000-0000-0000B7020000}"/>
    <cellStyle name="Normal 21 8 2 2" xfId="691" xr:uid="{00000000-0005-0000-0000-0000B8020000}"/>
    <cellStyle name="Normal 21 8 2 3" xfId="692" xr:uid="{00000000-0005-0000-0000-0000B9020000}"/>
    <cellStyle name="Normal 21 8 2 4" xfId="693" xr:uid="{00000000-0005-0000-0000-0000BA020000}"/>
    <cellStyle name="Normal 21 8 2 5" xfId="694" xr:uid="{00000000-0005-0000-0000-0000BB020000}"/>
    <cellStyle name="Normal 21 8 2 6" xfId="695" xr:uid="{00000000-0005-0000-0000-0000BC020000}"/>
    <cellStyle name="Normal 21 8 2 7" xfId="696" xr:uid="{00000000-0005-0000-0000-0000BD020000}"/>
    <cellStyle name="Normal 21 8 2 8" xfId="697" xr:uid="{00000000-0005-0000-0000-0000BE020000}"/>
    <cellStyle name="Normal 21 8 2 9" xfId="698" xr:uid="{00000000-0005-0000-0000-0000BF020000}"/>
    <cellStyle name="Normal 21 8 3" xfId="699" xr:uid="{00000000-0005-0000-0000-0000C0020000}"/>
    <cellStyle name="Normal 21 8 4" xfId="700" xr:uid="{00000000-0005-0000-0000-0000C1020000}"/>
    <cellStyle name="Normal 21 8 5" xfId="701" xr:uid="{00000000-0005-0000-0000-0000C2020000}"/>
    <cellStyle name="Normal 21 8 6" xfId="702" xr:uid="{00000000-0005-0000-0000-0000C3020000}"/>
    <cellStyle name="Normal 21 8 7" xfId="703" xr:uid="{00000000-0005-0000-0000-0000C4020000}"/>
    <cellStyle name="Normal 21 8 8" xfId="704" xr:uid="{00000000-0005-0000-0000-0000C5020000}"/>
    <cellStyle name="Normal 21 8 9" xfId="705" xr:uid="{00000000-0005-0000-0000-0000C6020000}"/>
    <cellStyle name="Normal 21 9" xfId="706" xr:uid="{00000000-0005-0000-0000-0000C7020000}"/>
    <cellStyle name="Normal 21 9 10" xfId="707" xr:uid="{00000000-0005-0000-0000-0000C8020000}"/>
    <cellStyle name="Normal 21 9 11" xfId="708" xr:uid="{00000000-0005-0000-0000-0000C9020000}"/>
    <cellStyle name="Normal 21 9 12" xfId="709" xr:uid="{00000000-0005-0000-0000-0000CA020000}"/>
    <cellStyle name="Normal 21 9 13" xfId="710" xr:uid="{00000000-0005-0000-0000-0000CB020000}"/>
    <cellStyle name="Normal 21 9 2" xfId="711" xr:uid="{00000000-0005-0000-0000-0000CC020000}"/>
    <cellStyle name="Normal 21 9 2 10" xfId="712" xr:uid="{00000000-0005-0000-0000-0000CD020000}"/>
    <cellStyle name="Normal 21 9 2 11" xfId="713" xr:uid="{00000000-0005-0000-0000-0000CE020000}"/>
    <cellStyle name="Normal 21 9 2 2" xfId="714" xr:uid="{00000000-0005-0000-0000-0000CF020000}"/>
    <cellStyle name="Normal 21 9 2 3" xfId="715" xr:uid="{00000000-0005-0000-0000-0000D0020000}"/>
    <cellStyle name="Normal 21 9 2 4" xfId="716" xr:uid="{00000000-0005-0000-0000-0000D1020000}"/>
    <cellStyle name="Normal 21 9 2 5" xfId="717" xr:uid="{00000000-0005-0000-0000-0000D2020000}"/>
    <cellStyle name="Normal 21 9 2 6" xfId="718" xr:uid="{00000000-0005-0000-0000-0000D3020000}"/>
    <cellStyle name="Normal 21 9 2 7" xfId="719" xr:uid="{00000000-0005-0000-0000-0000D4020000}"/>
    <cellStyle name="Normal 21 9 2 8" xfId="720" xr:uid="{00000000-0005-0000-0000-0000D5020000}"/>
    <cellStyle name="Normal 21 9 2 9" xfId="721" xr:uid="{00000000-0005-0000-0000-0000D6020000}"/>
    <cellStyle name="Normal 21 9 3" xfId="722" xr:uid="{00000000-0005-0000-0000-0000D7020000}"/>
    <cellStyle name="Normal 21 9 4" xfId="723" xr:uid="{00000000-0005-0000-0000-0000D8020000}"/>
    <cellStyle name="Normal 21 9 5" xfId="724" xr:uid="{00000000-0005-0000-0000-0000D9020000}"/>
    <cellStyle name="Normal 21 9 6" xfId="725" xr:uid="{00000000-0005-0000-0000-0000DA020000}"/>
    <cellStyle name="Normal 21 9 7" xfId="726" xr:uid="{00000000-0005-0000-0000-0000DB020000}"/>
    <cellStyle name="Normal 21 9 8" xfId="727" xr:uid="{00000000-0005-0000-0000-0000DC020000}"/>
    <cellStyle name="Normal 21 9 9" xfId="728" xr:uid="{00000000-0005-0000-0000-0000DD020000}"/>
    <cellStyle name="Normal 22" xfId="729" xr:uid="{00000000-0005-0000-0000-0000DE020000}"/>
    <cellStyle name="Normal 22 10" xfId="730" xr:uid="{00000000-0005-0000-0000-0000DF020000}"/>
    <cellStyle name="Normal 22 10 10" xfId="731" xr:uid="{00000000-0005-0000-0000-0000E0020000}"/>
    <cellStyle name="Normal 22 10 11" xfId="732" xr:uid="{00000000-0005-0000-0000-0000E1020000}"/>
    <cellStyle name="Normal 22 10 12" xfId="733" xr:uid="{00000000-0005-0000-0000-0000E2020000}"/>
    <cellStyle name="Normal 22 10 13" xfId="734" xr:uid="{00000000-0005-0000-0000-0000E3020000}"/>
    <cellStyle name="Normal 22 10 2" xfId="735" xr:uid="{00000000-0005-0000-0000-0000E4020000}"/>
    <cellStyle name="Normal 22 10 2 10" xfId="736" xr:uid="{00000000-0005-0000-0000-0000E5020000}"/>
    <cellStyle name="Normal 22 10 2 11" xfId="737" xr:uid="{00000000-0005-0000-0000-0000E6020000}"/>
    <cellStyle name="Normal 22 10 2 2" xfId="738" xr:uid="{00000000-0005-0000-0000-0000E7020000}"/>
    <cellStyle name="Normal 22 10 2 3" xfId="739" xr:uid="{00000000-0005-0000-0000-0000E8020000}"/>
    <cellStyle name="Normal 22 10 2 4" xfId="740" xr:uid="{00000000-0005-0000-0000-0000E9020000}"/>
    <cellStyle name="Normal 22 10 2 5" xfId="741" xr:uid="{00000000-0005-0000-0000-0000EA020000}"/>
    <cellStyle name="Normal 22 10 2 6" xfId="742" xr:uid="{00000000-0005-0000-0000-0000EB020000}"/>
    <cellStyle name="Normal 22 10 2 7" xfId="743" xr:uid="{00000000-0005-0000-0000-0000EC020000}"/>
    <cellStyle name="Normal 22 10 2 8" xfId="744" xr:uid="{00000000-0005-0000-0000-0000ED020000}"/>
    <cellStyle name="Normal 22 10 2 9" xfId="745" xr:uid="{00000000-0005-0000-0000-0000EE020000}"/>
    <cellStyle name="Normal 22 10 3" xfId="746" xr:uid="{00000000-0005-0000-0000-0000EF020000}"/>
    <cellStyle name="Normal 22 10 4" xfId="747" xr:uid="{00000000-0005-0000-0000-0000F0020000}"/>
    <cellStyle name="Normal 22 10 5" xfId="748" xr:uid="{00000000-0005-0000-0000-0000F1020000}"/>
    <cellStyle name="Normal 22 10 6" xfId="749" xr:uid="{00000000-0005-0000-0000-0000F2020000}"/>
    <cellStyle name="Normal 22 10 7" xfId="750" xr:uid="{00000000-0005-0000-0000-0000F3020000}"/>
    <cellStyle name="Normal 22 10 8" xfId="751" xr:uid="{00000000-0005-0000-0000-0000F4020000}"/>
    <cellStyle name="Normal 22 10 9" xfId="752" xr:uid="{00000000-0005-0000-0000-0000F5020000}"/>
    <cellStyle name="Normal 22 11" xfId="753" xr:uid="{00000000-0005-0000-0000-0000F6020000}"/>
    <cellStyle name="Normal 22 11 10" xfId="754" xr:uid="{00000000-0005-0000-0000-0000F7020000}"/>
    <cellStyle name="Normal 22 11 11" xfId="755" xr:uid="{00000000-0005-0000-0000-0000F8020000}"/>
    <cellStyle name="Normal 22 11 12" xfId="756" xr:uid="{00000000-0005-0000-0000-0000F9020000}"/>
    <cellStyle name="Normal 22 11 13" xfId="757" xr:uid="{00000000-0005-0000-0000-0000FA020000}"/>
    <cellStyle name="Normal 22 11 2" xfId="758" xr:uid="{00000000-0005-0000-0000-0000FB020000}"/>
    <cellStyle name="Normal 22 11 2 10" xfId="759" xr:uid="{00000000-0005-0000-0000-0000FC020000}"/>
    <cellStyle name="Normal 22 11 2 11" xfId="760" xr:uid="{00000000-0005-0000-0000-0000FD020000}"/>
    <cellStyle name="Normal 22 11 2 2" xfId="761" xr:uid="{00000000-0005-0000-0000-0000FE020000}"/>
    <cellStyle name="Normal 22 11 2 3" xfId="762" xr:uid="{00000000-0005-0000-0000-0000FF020000}"/>
    <cellStyle name="Normal 22 11 2 4" xfId="763" xr:uid="{00000000-0005-0000-0000-000000030000}"/>
    <cellStyle name="Normal 22 11 2 5" xfId="764" xr:uid="{00000000-0005-0000-0000-000001030000}"/>
    <cellStyle name="Normal 22 11 2 6" xfId="765" xr:uid="{00000000-0005-0000-0000-000002030000}"/>
    <cellStyle name="Normal 22 11 2 7" xfId="766" xr:uid="{00000000-0005-0000-0000-000003030000}"/>
    <cellStyle name="Normal 22 11 2 8" xfId="767" xr:uid="{00000000-0005-0000-0000-000004030000}"/>
    <cellStyle name="Normal 22 11 2 9" xfId="768" xr:uid="{00000000-0005-0000-0000-000005030000}"/>
    <cellStyle name="Normal 22 11 3" xfId="769" xr:uid="{00000000-0005-0000-0000-000006030000}"/>
    <cellStyle name="Normal 22 11 4" xfId="770" xr:uid="{00000000-0005-0000-0000-000007030000}"/>
    <cellStyle name="Normal 22 11 5" xfId="771" xr:uid="{00000000-0005-0000-0000-000008030000}"/>
    <cellStyle name="Normal 22 11 6" xfId="772" xr:uid="{00000000-0005-0000-0000-000009030000}"/>
    <cellStyle name="Normal 22 11 7" xfId="773" xr:uid="{00000000-0005-0000-0000-00000A030000}"/>
    <cellStyle name="Normal 22 11 8" xfId="774" xr:uid="{00000000-0005-0000-0000-00000B030000}"/>
    <cellStyle name="Normal 22 11 9" xfId="775" xr:uid="{00000000-0005-0000-0000-00000C030000}"/>
    <cellStyle name="Normal 22 12" xfId="776" xr:uid="{00000000-0005-0000-0000-00000D030000}"/>
    <cellStyle name="Normal 22 12 10" xfId="777" xr:uid="{00000000-0005-0000-0000-00000E030000}"/>
    <cellStyle name="Normal 22 12 11" xfId="778" xr:uid="{00000000-0005-0000-0000-00000F030000}"/>
    <cellStyle name="Normal 22 12 12" xfId="779" xr:uid="{00000000-0005-0000-0000-000010030000}"/>
    <cellStyle name="Normal 22 12 13" xfId="780" xr:uid="{00000000-0005-0000-0000-000011030000}"/>
    <cellStyle name="Normal 22 12 2" xfId="781" xr:uid="{00000000-0005-0000-0000-000012030000}"/>
    <cellStyle name="Normal 22 12 2 10" xfId="782" xr:uid="{00000000-0005-0000-0000-000013030000}"/>
    <cellStyle name="Normal 22 12 2 11" xfId="783" xr:uid="{00000000-0005-0000-0000-000014030000}"/>
    <cellStyle name="Normal 22 12 2 2" xfId="784" xr:uid="{00000000-0005-0000-0000-000015030000}"/>
    <cellStyle name="Normal 22 12 2 3" xfId="785" xr:uid="{00000000-0005-0000-0000-000016030000}"/>
    <cellStyle name="Normal 22 12 2 4" xfId="786" xr:uid="{00000000-0005-0000-0000-000017030000}"/>
    <cellStyle name="Normal 22 12 2 5" xfId="787" xr:uid="{00000000-0005-0000-0000-000018030000}"/>
    <cellStyle name="Normal 22 12 2 6" xfId="788" xr:uid="{00000000-0005-0000-0000-000019030000}"/>
    <cellStyle name="Normal 22 12 2 7" xfId="789" xr:uid="{00000000-0005-0000-0000-00001A030000}"/>
    <cellStyle name="Normal 22 12 2 8" xfId="790" xr:uid="{00000000-0005-0000-0000-00001B030000}"/>
    <cellStyle name="Normal 22 12 2 9" xfId="791" xr:uid="{00000000-0005-0000-0000-00001C030000}"/>
    <cellStyle name="Normal 22 12 3" xfId="792" xr:uid="{00000000-0005-0000-0000-00001D030000}"/>
    <cellStyle name="Normal 22 12 4" xfId="793" xr:uid="{00000000-0005-0000-0000-00001E030000}"/>
    <cellStyle name="Normal 22 12 5" xfId="794" xr:uid="{00000000-0005-0000-0000-00001F030000}"/>
    <cellStyle name="Normal 22 12 6" xfId="795" xr:uid="{00000000-0005-0000-0000-000020030000}"/>
    <cellStyle name="Normal 22 12 7" xfId="796" xr:uid="{00000000-0005-0000-0000-000021030000}"/>
    <cellStyle name="Normal 22 12 8" xfId="797" xr:uid="{00000000-0005-0000-0000-000022030000}"/>
    <cellStyle name="Normal 22 12 9" xfId="798" xr:uid="{00000000-0005-0000-0000-000023030000}"/>
    <cellStyle name="Normal 22 13" xfId="799" xr:uid="{00000000-0005-0000-0000-000024030000}"/>
    <cellStyle name="Normal 22 13 10" xfId="800" xr:uid="{00000000-0005-0000-0000-000025030000}"/>
    <cellStyle name="Normal 22 13 11" xfId="801" xr:uid="{00000000-0005-0000-0000-000026030000}"/>
    <cellStyle name="Normal 22 13 12" xfId="802" xr:uid="{00000000-0005-0000-0000-000027030000}"/>
    <cellStyle name="Normal 22 13 13" xfId="803" xr:uid="{00000000-0005-0000-0000-000028030000}"/>
    <cellStyle name="Normal 22 13 2" xfId="804" xr:uid="{00000000-0005-0000-0000-000029030000}"/>
    <cellStyle name="Normal 22 13 2 10" xfId="805" xr:uid="{00000000-0005-0000-0000-00002A030000}"/>
    <cellStyle name="Normal 22 13 2 11" xfId="806" xr:uid="{00000000-0005-0000-0000-00002B030000}"/>
    <cellStyle name="Normal 22 13 2 2" xfId="807" xr:uid="{00000000-0005-0000-0000-00002C030000}"/>
    <cellStyle name="Normal 22 13 2 3" xfId="808" xr:uid="{00000000-0005-0000-0000-00002D030000}"/>
    <cellStyle name="Normal 22 13 2 4" xfId="809" xr:uid="{00000000-0005-0000-0000-00002E030000}"/>
    <cellStyle name="Normal 22 13 2 5" xfId="810" xr:uid="{00000000-0005-0000-0000-00002F030000}"/>
    <cellStyle name="Normal 22 13 2 6" xfId="811" xr:uid="{00000000-0005-0000-0000-000030030000}"/>
    <cellStyle name="Normal 22 13 2 7" xfId="812" xr:uid="{00000000-0005-0000-0000-000031030000}"/>
    <cellStyle name="Normal 22 13 2 8" xfId="813" xr:uid="{00000000-0005-0000-0000-000032030000}"/>
    <cellStyle name="Normal 22 13 2 9" xfId="814" xr:uid="{00000000-0005-0000-0000-000033030000}"/>
    <cellStyle name="Normal 22 13 3" xfId="815" xr:uid="{00000000-0005-0000-0000-000034030000}"/>
    <cellStyle name="Normal 22 13 4" xfId="816" xr:uid="{00000000-0005-0000-0000-000035030000}"/>
    <cellStyle name="Normal 22 13 5" xfId="817" xr:uid="{00000000-0005-0000-0000-000036030000}"/>
    <cellStyle name="Normal 22 13 6" xfId="818" xr:uid="{00000000-0005-0000-0000-000037030000}"/>
    <cellStyle name="Normal 22 13 7" xfId="819" xr:uid="{00000000-0005-0000-0000-000038030000}"/>
    <cellStyle name="Normal 22 13 8" xfId="820" xr:uid="{00000000-0005-0000-0000-000039030000}"/>
    <cellStyle name="Normal 22 13 9" xfId="821" xr:uid="{00000000-0005-0000-0000-00003A030000}"/>
    <cellStyle name="Normal 22 14" xfId="822" xr:uid="{00000000-0005-0000-0000-00003B030000}"/>
    <cellStyle name="Normal 22 14 10" xfId="823" xr:uid="{00000000-0005-0000-0000-00003C030000}"/>
    <cellStyle name="Normal 22 14 11" xfId="824" xr:uid="{00000000-0005-0000-0000-00003D030000}"/>
    <cellStyle name="Normal 22 14 2" xfId="825" xr:uid="{00000000-0005-0000-0000-00003E030000}"/>
    <cellStyle name="Normal 22 14 3" xfId="826" xr:uid="{00000000-0005-0000-0000-00003F030000}"/>
    <cellStyle name="Normal 22 14 4" xfId="827" xr:uid="{00000000-0005-0000-0000-000040030000}"/>
    <cellStyle name="Normal 22 14 5" xfId="828" xr:uid="{00000000-0005-0000-0000-000041030000}"/>
    <cellStyle name="Normal 22 14 6" xfId="829" xr:uid="{00000000-0005-0000-0000-000042030000}"/>
    <cellStyle name="Normal 22 14 7" xfId="830" xr:uid="{00000000-0005-0000-0000-000043030000}"/>
    <cellStyle name="Normal 22 14 8" xfId="831" xr:uid="{00000000-0005-0000-0000-000044030000}"/>
    <cellStyle name="Normal 22 14 9" xfId="832" xr:uid="{00000000-0005-0000-0000-000045030000}"/>
    <cellStyle name="Normal 22 15" xfId="833" xr:uid="{00000000-0005-0000-0000-000046030000}"/>
    <cellStyle name="Normal 22 16" xfId="834" xr:uid="{00000000-0005-0000-0000-000047030000}"/>
    <cellStyle name="Normal 22 17" xfId="835" xr:uid="{00000000-0005-0000-0000-000048030000}"/>
    <cellStyle name="Normal 22 18" xfId="836" xr:uid="{00000000-0005-0000-0000-000049030000}"/>
    <cellStyle name="Normal 22 19" xfId="837" xr:uid="{00000000-0005-0000-0000-00004A030000}"/>
    <cellStyle name="Normal 22 2" xfId="838" xr:uid="{00000000-0005-0000-0000-00004B030000}"/>
    <cellStyle name="Normal 22 2 10" xfId="839" xr:uid="{00000000-0005-0000-0000-00004C030000}"/>
    <cellStyle name="Normal 22 2 11" xfId="840" xr:uid="{00000000-0005-0000-0000-00004D030000}"/>
    <cellStyle name="Normal 22 2 12" xfId="841" xr:uid="{00000000-0005-0000-0000-00004E030000}"/>
    <cellStyle name="Normal 22 2 13" xfId="842" xr:uid="{00000000-0005-0000-0000-00004F030000}"/>
    <cellStyle name="Normal 22 2 2" xfId="843" xr:uid="{00000000-0005-0000-0000-000050030000}"/>
    <cellStyle name="Normal 22 2 2 10" xfId="844" xr:uid="{00000000-0005-0000-0000-000051030000}"/>
    <cellStyle name="Normal 22 2 2 11" xfId="845" xr:uid="{00000000-0005-0000-0000-000052030000}"/>
    <cellStyle name="Normal 22 2 2 2" xfId="846" xr:uid="{00000000-0005-0000-0000-000053030000}"/>
    <cellStyle name="Normal 22 2 2 3" xfId="847" xr:uid="{00000000-0005-0000-0000-000054030000}"/>
    <cellStyle name="Normal 22 2 2 4" xfId="848" xr:uid="{00000000-0005-0000-0000-000055030000}"/>
    <cellStyle name="Normal 22 2 2 5" xfId="849" xr:uid="{00000000-0005-0000-0000-000056030000}"/>
    <cellStyle name="Normal 22 2 2 6" xfId="850" xr:uid="{00000000-0005-0000-0000-000057030000}"/>
    <cellStyle name="Normal 22 2 2 7" xfId="851" xr:uid="{00000000-0005-0000-0000-000058030000}"/>
    <cellStyle name="Normal 22 2 2 8" xfId="852" xr:uid="{00000000-0005-0000-0000-000059030000}"/>
    <cellStyle name="Normal 22 2 2 9" xfId="853" xr:uid="{00000000-0005-0000-0000-00005A030000}"/>
    <cellStyle name="Normal 22 2 3" xfId="854" xr:uid="{00000000-0005-0000-0000-00005B030000}"/>
    <cellStyle name="Normal 22 2 4" xfId="855" xr:uid="{00000000-0005-0000-0000-00005C030000}"/>
    <cellStyle name="Normal 22 2 5" xfId="856" xr:uid="{00000000-0005-0000-0000-00005D030000}"/>
    <cellStyle name="Normal 22 2 6" xfId="857" xr:uid="{00000000-0005-0000-0000-00005E030000}"/>
    <cellStyle name="Normal 22 2 7" xfId="858" xr:uid="{00000000-0005-0000-0000-00005F030000}"/>
    <cellStyle name="Normal 22 2 8" xfId="859" xr:uid="{00000000-0005-0000-0000-000060030000}"/>
    <cellStyle name="Normal 22 2 9" xfId="860" xr:uid="{00000000-0005-0000-0000-000061030000}"/>
    <cellStyle name="Normal 22 20" xfId="861" xr:uid="{00000000-0005-0000-0000-000062030000}"/>
    <cellStyle name="Normal 22 21" xfId="862" xr:uid="{00000000-0005-0000-0000-000063030000}"/>
    <cellStyle name="Normal 22 22" xfId="863" xr:uid="{00000000-0005-0000-0000-000064030000}"/>
    <cellStyle name="Normal 22 23" xfId="864" xr:uid="{00000000-0005-0000-0000-000065030000}"/>
    <cellStyle name="Normal 22 24" xfId="865" xr:uid="{00000000-0005-0000-0000-000066030000}"/>
    <cellStyle name="Normal 22 25" xfId="866" xr:uid="{00000000-0005-0000-0000-000067030000}"/>
    <cellStyle name="Normal 22 3" xfId="867" xr:uid="{00000000-0005-0000-0000-000068030000}"/>
    <cellStyle name="Normal 22 3 10" xfId="868" xr:uid="{00000000-0005-0000-0000-000069030000}"/>
    <cellStyle name="Normal 22 3 11" xfId="869" xr:uid="{00000000-0005-0000-0000-00006A030000}"/>
    <cellStyle name="Normal 22 3 12" xfId="870" xr:uid="{00000000-0005-0000-0000-00006B030000}"/>
    <cellStyle name="Normal 22 3 13" xfId="871" xr:uid="{00000000-0005-0000-0000-00006C030000}"/>
    <cellStyle name="Normal 22 3 2" xfId="872" xr:uid="{00000000-0005-0000-0000-00006D030000}"/>
    <cellStyle name="Normal 22 3 2 10" xfId="873" xr:uid="{00000000-0005-0000-0000-00006E030000}"/>
    <cellStyle name="Normal 22 3 2 11" xfId="874" xr:uid="{00000000-0005-0000-0000-00006F030000}"/>
    <cellStyle name="Normal 22 3 2 2" xfId="875" xr:uid="{00000000-0005-0000-0000-000070030000}"/>
    <cellStyle name="Normal 22 3 2 3" xfId="876" xr:uid="{00000000-0005-0000-0000-000071030000}"/>
    <cellStyle name="Normal 22 3 2 4" xfId="877" xr:uid="{00000000-0005-0000-0000-000072030000}"/>
    <cellStyle name="Normal 22 3 2 5" xfId="878" xr:uid="{00000000-0005-0000-0000-000073030000}"/>
    <cellStyle name="Normal 22 3 2 6" xfId="879" xr:uid="{00000000-0005-0000-0000-000074030000}"/>
    <cellStyle name="Normal 22 3 2 7" xfId="880" xr:uid="{00000000-0005-0000-0000-000075030000}"/>
    <cellStyle name="Normal 22 3 2 8" xfId="881" xr:uid="{00000000-0005-0000-0000-000076030000}"/>
    <cellStyle name="Normal 22 3 2 9" xfId="882" xr:uid="{00000000-0005-0000-0000-000077030000}"/>
    <cellStyle name="Normal 22 3 3" xfId="883" xr:uid="{00000000-0005-0000-0000-000078030000}"/>
    <cellStyle name="Normal 22 3 4" xfId="884" xr:uid="{00000000-0005-0000-0000-000079030000}"/>
    <cellStyle name="Normal 22 3 5" xfId="885" xr:uid="{00000000-0005-0000-0000-00007A030000}"/>
    <cellStyle name="Normal 22 3 6" xfId="886" xr:uid="{00000000-0005-0000-0000-00007B030000}"/>
    <cellStyle name="Normal 22 3 7" xfId="887" xr:uid="{00000000-0005-0000-0000-00007C030000}"/>
    <cellStyle name="Normal 22 3 8" xfId="888" xr:uid="{00000000-0005-0000-0000-00007D030000}"/>
    <cellStyle name="Normal 22 3 9" xfId="889" xr:uid="{00000000-0005-0000-0000-00007E030000}"/>
    <cellStyle name="Normal 22 4" xfId="890" xr:uid="{00000000-0005-0000-0000-00007F030000}"/>
    <cellStyle name="Normal 22 4 10" xfId="891" xr:uid="{00000000-0005-0000-0000-000080030000}"/>
    <cellStyle name="Normal 22 4 11" xfId="892" xr:uid="{00000000-0005-0000-0000-000081030000}"/>
    <cellStyle name="Normal 22 4 12" xfId="893" xr:uid="{00000000-0005-0000-0000-000082030000}"/>
    <cellStyle name="Normal 22 4 13" xfId="894" xr:uid="{00000000-0005-0000-0000-000083030000}"/>
    <cellStyle name="Normal 22 4 2" xfId="895" xr:uid="{00000000-0005-0000-0000-000084030000}"/>
    <cellStyle name="Normal 22 4 2 10" xfId="896" xr:uid="{00000000-0005-0000-0000-000085030000}"/>
    <cellStyle name="Normal 22 4 2 11" xfId="897" xr:uid="{00000000-0005-0000-0000-000086030000}"/>
    <cellStyle name="Normal 22 4 2 2" xfId="898" xr:uid="{00000000-0005-0000-0000-000087030000}"/>
    <cellStyle name="Normal 22 4 2 3" xfId="899" xr:uid="{00000000-0005-0000-0000-000088030000}"/>
    <cellStyle name="Normal 22 4 2 4" xfId="900" xr:uid="{00000000-0005-0000-0000-000089030000}"/>
    <cellStyle name="Normal 22 4 2 5" xfId="901" xr:uid="{00000000-0005-0000-0000-00008A030000}"/>
    <cellStyle name="Normal 22 4 2 6" xfId="902" xr:uid="{00000000-0005-0000-0000-00008B030000}"/>
    <cellStyle name="Normal 22 4 2 7" xfId="903" xr:uid="{00000000-0005-0000-0000-00008C030000}"/>
    <cellStyle name="Normal 22 4 2 8" xfId="904" xr:uid="{00000000-0005-0000-0000-00008D030000}"/>
    <cellStyle name="Normal 22 4 2 9" xfId="905" xr:uid="{00000000-0005-0000-0000-00008E030000}"/>
    <cellStyle name="Normal 22 4 3" xfId="906" xr:uid="{00000000-0005-0000-0000-00008F030000}"/>
    <cellStyle name="Normal 22 4 4" xfId="907" xr:uid="{00000000-0005-0000-0000-000090030000}"/>
    <cellStyle name="Normal 22 4 5" xfId="908" xr:uid="{00000000-0005-0000-0000-000091030000}"/>
    <cellStyle name="Normal 22 4 6" xfId="909" xr:uid="{00000000-0005-0000-0000-000092030000}"/>
    <cellStyle name="Normal 22 4 7" xfId="910" xr:uid="{00000000-0005-0000-0000-000093030000}"/>
    <cellStyle name="Normal 22 4 8" xfId="911" xr:uid="{00000000-0005-0000-0000-000094030000}"/>
    <cellStyle name="Normal 22 4 9" xfId="912" xr:uid="{00000000-0005-0000-0000-000095030000}"/>
    <cellStyle name="Normal 22 5" xfId="913" xr:uid="{00000000-0005-0000-0000-000096030000}"/>
    <cellStyle name="Normal 22 5 10" xfId="914" xr:uid="{00000000-0005-0000-0000-000097030000}"/>
    <cellStyle name="Normal 22 5 11" xfId="915" xr:uid="{00000000-0005-0000-0000-000098030000}"/>
    <cellStyle name="Normal 22 5 12" xfId="916" xr:uid="{00000000-0005-0000-0000-000099030000}"/>
    <cellStyle name="Normal 22 5 13" xfId="917" xr:uid="{00000000-0005-0000-0000-00009A030000}"/>
    <cellStyle name="Normal 22 5 2" xfId="918" xr:uid="{00000000-0005-0000-0000-00009B030000}"/>
    <cellStyle name="Normal 22 5 2 10" xfId="919" xr:uid="{00000000-0005-0000-0000-00009C030000}"/>
    <cellStyle name="Normal 22 5 2 11" xfId="920" xr:uid="{00000000-0005-0000-0000-00009D030000}"/>
    <cellStyle name="Normal 22 5 2 2" xfId="921" xr:uid="{00000000-0005-0000-0000-00009E030000}"/>
    <cellStyle name="Normal 22 5 2 3" xfId="922" xr:uid="{00000000-0005-0000-0000-00009F030000}"/>
    <cellStyle name="Normal 22 5 2 4" xfId="923" xr:uid="{00000000-0005-0000-0000-0000A0030000}"/>
    <cellStyle name="Normal 22 5 2 5" xfId="924" xr:uid="{00000000-0005-0000-0000-0000A1030000}"/>
    <cellStyle name="Normal 22 5 2 6" xfId="925" xr:uid="{00000000-0005-0000-0000-0000A2030000}"/>
    <cellStyle name="Normal 22 5 2 7" xfId="926" xr:uid="{00000000-0005-0000-0000-0000A3030000}"/>
    <cellStyle name="Normal 22 5 2 8" xfId="927" xr:uid="{00000000-0005-0000-0000-0000A4030000}"/>
    <cellStyle name="Normal 22 5 2 9" xfId="928" xr:uid="{00000000-0005-0000-0000-0000A5030000}"/>
    <cellStyle name="Normal 22 5 3" xfId="929" xr:uid="{00000000-0005-0000-0000-0000A6030000}"/>
    <cellStyle name="Normal 22 5 4" xfId="930" xr:uid="{00000000-0005-0000-0000-0000A7030000}"/>
    <cellStyle name="Normal 22 5 5" xfId="931" xr:uid="{00000000-0005-0000-0000-0000A8030000}"/>
    <cellStyle name="Normal 22 5 6" xfId="932" xr:uid="{00000000-0005-0000-0000-0000A9030000}"/>
    <cellStyle name="Normal 22 5 7" xfId="933" xr:uid="{00000000-0005-0000-0000-0000AA030000}"/>
    <cellStyle name="Normal 22 5 8" xfId="934" xr:uid="{00000000-0005-0000-0000-0000AB030000}"/>
    <cellStyle name="Normal 22 5 9" xfId="935" xr:uid="{00000000-0005-0000-0000-0000AC030000}"/>
    <cellStyle name="Normal 22 6" xfId="936" xr:uid="{00000000-0005-0000-0000-0000AD030000}"/>
    <cellStyle name="Normal 22 6 10" xfId="937" xr:uid="{00000000-0005-0000-0000-0000AE030000}"/>
    <cellStyle name="Normal 22 6 11" xfId="938" xr:uid="{00000000-0005-0000-0000-0000AF030000}"/>
    <cellStyle name="Normal 22 6 12" xfId="939" xr:uid="{00000000-0005-0000-0000-0000B0030000}"/>
    <cellStyle name="Normal 22 6 13" xfId="940" xr:uid="{00000000-0005-0000-0000-0000B1030000}"/>
    <cellStyle name="Normal 22 6 2" xfId="941" xr:uid="{00000000-0005-0000-0000-0000B2030000}"/>
    <cellStyle name="Normal 22 6 2 10" xfId="942" xr:uid="{00000000-0005-0000-0000-0000B3030000}"/>
    <cellStyle name="Normal 22 6 2 11" xfId="943" xr:uid="{00000000-0005-0000-0000-0000B4030000}"/>
    <cellStyle name="Normal 22 6 2 2" xfId="944" xr:uid="{00000000-0005-0000-0000-0000B5030000}"/>
    <cellStyle name="Normal 22 6 2 3" xfId="945" xr:uid="{00000000-0005-0000-0000-0000B6030000}"/>
    <cellStyle name="Normal 22 6 2 4" xfId="946" xr:uid="{00000000-0005-0000-0000-0000B7030000}"/>
    <cellStyle name="Normal 22 6 2 5" xfId="947" xr:uid="{00000000-0005-0000-0000-0000B8030000}"/>
    <cellStyle name="Normal 22 6 2 6" xfId="948" xr:uid="{00000000-0005-0000-0000-0000B9030000}"/>
    <cellStyle name="Normal 22 6 2 7" xfId="949" xr:uid="{00000000-0005-0000-0000-0000BA030000}"/>
    <cellStyle name="Normal 22 6 2 8" xfId="950" xr:uid="{00000000-0005-0000-0000-0000BB030000}"/>
    <cellStyle name="Normal 22 6 2 9" xfId="951" xr:uid="{00000000-0005-0000-0000-0000BC030000}"/>
    <cellStyle name="Normal 22 6 3" xfId="952" xr:uid="{00000000-0005-0000-0000-0000BD030000}"/>
    <cellStyle name="Normal 22 6 4" xfId="953" xr:uid="{00000000-0005-0000-0000-0000BE030000}"/>
    <cellStyle name="Normal 22 6 5" xfId="954" xr:uid="{00000000-0005-0000-0000-0000BF030000}"/>
    <cellStyle name="Normal 22 6 6" xfId="955" xr:uid="{00000000-0005-0000-0000-0000C0030000}"/>
    <cellStyle name="Normal 22 6 7" xfId="956" xr:uid="{00000000-0005-0000-0000-0000C1030000}"/>
    <cellStyle name="Normal 22 6 8" xfId="957" xr:uid="{00000000-0005-0000-0000-0000C2030000}"/>
    <cellStyle name="Normal 22 6 9" xfId="958" xr:uid="{00000000-0005-0000-0000-0000C3030000}"/>
    <cellStyle name="Normal 22 7" xfId="959" xr:uid="{00000000-0005-0000-0000-0000C4030000}"/>
    <cellStyle name="Normal 22 7 10" xfId="960" xr:uid="{00000000-0005-0000-0000-0000C5030000}"/>
    <cellStyle name="Normal 22 7 11" xfId="961" xr:uid="{00000000-0005-0000-0000-0000C6030000}"/>
    <cellStyle name="Normal 22 7 12" xfId="962" xr:uid="{00000000-0005-0000-0000-0000C7030000}"/>
    <cellStyle name="Normal 22 7 13" xfId="963" xr:uid="{00000000-0005-0000-0000-0000C8030000}"/>
    <cellStyle name="Normal 22 7 2" xfId="964" xr:uid="{00000000-0005-0000-0000-0000C9030000}"/>
    <cellStyle name="Normal 22 7 2 10" xfId="965" xr:uid="{00000000-0005-0000-0000-0000CA030000}"/>
    <cellStyle name="Normal 22 7 2 11" xfId="966" xr:uid="{00000000-0005-0000-0000-0000CB030000}"/>
    <cellStyle name="Normal 22 7 2 2" xfId="967" xr:uid="{00000000-0005-0000-0000-0000CC030000}"/>
    <cellStyle name="Normal 22 7 2 3" xfId="968" xr:uid="{00000000-0005-0000-0000-0000CD030000}"/>
    <cellStyle name="Normal 22 7 2 4" xfId="969" xr:uid="{00000000-0005-0000-0000-0000CE030000}"/>
    <cellStyle name="Normal 22 7 2 5" xfId="970" xr:uid="{00000000-0005-0000-0000-0000CF030000}"/>
    <cellStyle name="Normal 22 7 2 6" xfId="971" xr:uid="{00000000-0005-0000-0000-0000D0030000}"/>
    <cellStyle name="Normal 22 7 2 7" xfId="972" xr:uid="{00000000-0005-0000-0000-0000D1030000}"/>
    <cellStyle name="Normal 22 7 2 8" xfId="973" xr:uid="{00000000-0005-0000-0000-0000D2030000}"/>
    <cellStyle name="Normal 22 7 2 9" xfId="974" xr:uid="{00000000-0005-0000-0000-0000D3030000}"/>
    <cellStyle name="Normal 22 7 3" xfId="975" xr:uid="{00000000-0005-0000-0000-0000D4030000}"/>
    <cellStyle name="Normal 22 7 4" xfId="976" xr:uid="{00000000-0005-0000-0000-0000D5030000}"/>
    <cellStyle name="Normal 22 7 5" xfId="977" xr:uid="{00000000-0005-0000-0000-0000D6030000}"/>
    <cellStyle name="Normal 22 7 6" xfId="978" xr:uid="{00000000-0005-0000-0000-0000D7030000}"/>
    <cellStyle name="Normal 22 7 7" xfId="979" xr:uid="{00000000-0005-0000-0000-0000D8030000}"/>
    <cellStyle name="Normal 22 7 8" xfId="980" xr:uid="{00000000-0005-0000-0000-0000D9030000}"/>
    <cellStyle name="Normal 22 7 9" xfId="981" xr:uid="{00000000-0005-0000-0000-0000DA030000}"/>
    <cellStyle name="Normal 22 8" xfId="982" xr:uid="{00000000-0005-0000-0000-0000DB030000}"/>
    <cellStyle name="Normal 22 8 10" xfId="983" xr:uid="{00000000-0005-0000-0000-0000DC030000}"/>
    <cellStyle name="Normal 22 8 11" xfId="984" xr:uid="{00000000-0005-0000-0000-0000DD030000}"/>
    <cellStyle name="Normal 22 8 12" xfId="985" xr:uid="{00000000-0005-0000-0000-0000DE030000}"/>
    <cellStyle name="Normal 22 8 13" xfId="986" xr:uid="{00000000-0005-0000-0000-0000DF030000}"/>
    <cellStyle name="Normal 22 8 2" xfId="987" xr:uid="{00000000-0005-0000-0000-0000E0030000}"/>
    <cellStyle name="Normal 22 8 2 10" xfId="988" xr:uid="{00000000-0005-0000-0000-0000E1030000}"/>
    <cellStyle name="Normal 22 8 2 11" xfId="989" xr:uid="{00000000-0005-0000-0000-0000E2030000}"/>
    <cellStyle name="Normal 22 8 2 2" xfId="990" xr:uid="{00000000-0005-0000-0000-0000E3030000}"/>
    <cellStyle name="Normal 22 8 2 3" xfId="991" xr:uid="{00000000-0005-0000-0000-0000E4030000}"/>
    <cellStyle name="Normal 22 8 2 4" xfId="992" xr:uid="{00000000-0005-0000-0000-0000E5030000}"/>
    <cellStyle name="Normal 22 8 2 5" xfId="993" xr:uid="{00000000-0005-0000-0000-0000E6030000}"/>
    <cellStyle name="Normal 22 8 2 6" xfId="994" xr:uid="{00000000-0005-0000-0000-0000E7030000}"/>
    <cellStyle name="Normal 22 8 2 7" xfId="995" xr:uid="{00000000-0005-0000-0000-0000E8030000}"/>
    <cellStyle name="Normal 22 8 2 8" xfId="996" xr:uid="{00000000-0005-0000-0000-0000E9030000}"/>
    <cellStyle name="Normal 22 8 2 9" xfId="997" xr:uid="{00000000-0005-0000-0000-0000EA030000}"/>
    <cellStyle name="Normal 22 8 3" xfId="998" xr:uid="{00000000-0005-0000-0000-0000EB030000}"/>
    <cellStyle name="Normal 22 8 4" xfId="999" xr:uid="{00000000-0005-0000-0000-0000EC030000}"/>
    <cellStyle name="Normal 22 8 5" xfId="1000" xr:uid="{00000000-0005-0000-0000-0000ED030000}"/>
    <cellStyle name="Normal 22 8 6" xfId="1001" xr:uid="{00000000-0005-0000-0000-0000EE030000}"/>
    <cellStyle name="Normal 22 8 7" xfId="1002" xr:uid="{00000000-0005-0000-0000-0000EF030000}"/>
    <cellStyle name="Normal 22 8 8" xfId="1003" xr:uid="{00000000-0005-0000-0000-0000F0030000}"/>
    <cellStyle name="Normal 22 8 9" xfId="1004" xr:uid="{00000000-0005-0000-0000-0000F1030000}"/>
    <cellStyle name="Normal 22 9" xfId="1005" xr:uid="{00000000-0005-0000-0000-0000F2030000}"/>
    <cellStyle name="Normal 22 9 10" xfId="1006" xr:uid="{00000000-0005-0000-0000-0000F3030000}"/>
    <cellStyle name="Normal 22 9 11" xfId="1007" xr:uid="{00000000-0005-0000-0000-0000F4030000}"/>
    <cellStyle name="Normal 22 9 12" xfId="1008" xr:uid="{00000000-0005-0000-0000-0000F5030000}"/>
    <cellStyle name="Normal 22 9 13" xfId="1009" xr:uid="{00000000-0005-0000-0000-0000F6030000}"/>
    <cellStyle name="Normal 22 9 2" xfId="1010" xr:uid="{00000000-0005-0000-0000-0000F7030000}"/>
    <cellStyle name="Normal 22 9 2 10" xfId="1011" xr:uid="{00000000-0005-0000-0000-0000F8030000}"/>
    <cellStyle name="Normal 22 9 2 11" xfId="1012" xr:uid="{00000000-0005-0000-0000-0000F9030000}"/>
    <cellStyle name="Normal 22 9 2 2" xfId="1013" xr:uid="{00000000-0005-0000-0000-0000FA030000}"/>
    <cellStyle name="Normal 22 9 2 3" xfId="1014" xr:uid="{00000000-0005-0000-0000-0000FB030000}"/>
    <cellStyle name="Normal 22 9 2 4" xfId="1015" xr:uid="{00000000-0005-0000-0000-0000FC030000}"/>
    <cellStyle name="Normal 22 9 2 5" xfId="1016" xr:uid="{00000000-0005-0000-0000-0000FD030000}"/>
    <cellStyle name="Normal 22 9 2 6" xfId="1017" xr:uid="{00000000-0005-0000-0000-0000FE030000}"/>
    <cellStyle name="Normal 22 9 2 7" xfId="1018" xr:uid="{00000000-0005-0000-0000-0000FF030000}"/>
    <cellStyle name="Normal 22 9 2 8" xfId="1019" xr:uid="{00000000-0005-0000-0000-000000040000}"/>
    <cellStyle name="Normal 22 9 2 9" xfId="1020" xr:uid="{00000000-0005-0000-0000-000001040000}"/>
    <cellStyle name="Normal 22 9 3" xfId="1021" xr:uid="{00000000-0005-0000-0000-000002040000}"/>
    <cellStyle name="Normal 22 9 4" xfId="1022" xr:uid="{00000000-0005-0000-0000-000003040000}"/>
    <cellStyle name="Normal 22 9 5" xfId="1023" xr:uid="{00000000-0005-0000-0000-000004040000}"/>
    <cellStyle name="Normal 22 9 6" xfId="1024" xr:uid="{00000000-0005-0000-0000-000005040000}"/>
    <cellStyle name="Normal 22 9 7" xfId="1025" xr:uid="{00000000-0005-0000-0000-000006040000}"/>
    <cellStyle name="Normal 22 9 8" xfId="1026" xr:uid="{00000000-0005-0000-0000-000007040000}"/>
    <cellStyle name="Normal 22 9 9" xfId="1027" xr:uid="{00000000-0005-0000-0000-000008040000}"/>
    <cellStyle name="Normal 23" xfId="1028" xr:uid="{00000000-0005-0000-0000-000009040000}"/>
    <cellStyle name="Normal 23 10" xfId="1029" xr:uid="{00000000-0005-0000-0000-00000A040000}"/>
    <cellStyle name="Normal 23 10 10" xfId="1030" xr:uid="{00000000-0005-0000-0000-00000B040000}"/>
    <cellStyle name="Normal 23 10 11" xfId="1031" xr:uid="{00000000-0005-0000-0000-00000C040000}"/>
    <cellStyle name="Normal 23 10 12" xfId="1032" xr:uid="{00000000-0005-0000-0000-00000D040000}"/>
    <cellStyle name="Normal 23 10 13" xfId="1033" xr:uid="{00000000-0005-0000-0000-00000E040000}"/>
    <cellStyle name="Normal 23 10 2" xfId="1034" xr:uid="{00000000-0005-0000-0000-00000F040000}"/>
    <cellStyle name="Normal 23 10 2 10" xfId="1035" xr:uid="{00000000-0005-0000-0000-000010040000}"/>
    <cellStyle name="Normal 23 10 2 11" xfId="1036" xr:uid="{00000000-0005-0000-0000-000011040000}"/>
    <cellStyle name="Normal 23 10 2 2" xfId="1037" xr:uid="{00000000-0005-0000-0000-000012040000}"/>
    <cellStyle name="Normal 23 10 2 3" xfId="1038" xr:uid="{00000000-0005-0000-0000-000013040000}"/>
    <cellStyle name="Normal 23 10 2 4" xfId="1039" xr:uid="{00000000-0005-0000-0000-000014040000}"/>
    <cellStyle name="Normal 23 10 2 5" xfId="1040" xr:uid="{00000000-0005-0000-0000-000015040000}"/>
    <cellStyle name="Normal 23 10 2 6" xfId="1041" xr:uid="{00000000-0005-0000-0000-000016040000}"/>
    <cellStyle name="Normal 23 10 2 7" xfId="1042" xr:uid="{00000000-0005-0000-0000-000017040000}"/>
    <cellStyle name="Normal 23 10 2 8" xfId="1043" xr:uid="{00000000-0005-0000-0000-000018040000}"/>
    <cellStyle name="Normal 23 10 2 9" xfId="1044" xr:uid="{00000000-0005-0000-0000-000019040000}"/>
    <cellStyle name="Normal 23 10 3" xfId="1045" xr:uid="{00000000-0005-0000-0000-00001A040000}"/>
    <cellStyle name="Normal 23 10 4" xfId="1046" xr:uid="{00000000-0005-0000-0000-00001B040000}"/>
    <cellStyle name="Normal 23 10 5" xfId="1047" xr:uid="{00000000-0005-0000-0000-00001C040000}"/>
    <cellStyle name="Normal 23 10 6" xfId="1048" xr:uid="{00000000-0005-0000-0000-00001D040000}"/>
    <cellStyle name="Normal 23 10 7" xfId="1049" xr:uid="{00000000-0005-0000-0000-00001E040000}"/>
    <cellStyle name="Normal 23 10 8" xfId="1050" xr:uid="{00000000-0005-0000-0000-00001F040000}"/>
    <cellStyle name="Normal 23 10 9" xfId="1051" xr:uid="{00000000-0005-0000-0000-000020040000}"/>
    <cellStyle name="Normal 23 11" xfId="1052" xr:uid="{00000000-0005-0000-0000-000021040000}"/>
    <cellStyle name="Normal 23 11 10" xfId="1053" xr:uid="{00000000-0005-0000-0000-000022040000}"/>
    <cellStyle name="Normal 23 11 11" xfId="1054" xr:uid="{00000000-0005-0000-0000-000023040000}"/>
    <cellStyle name="Normal 23 11 12" xfId="1055" xr:uid="{00000000-0005-0000-0000-000024040000}"/>
    <cellStyle name="Normal 23 11 13" xfId="1056" xr:uid="{00000000-0005-0000-0000-000025040000}"/>
    <cellStyle name="Normal 23 11 2" xfId="1057" xr:uid="{00000000-0005-0000-0000-000026040000}"/>
    <cellStyle name="Normal 23 11 2 10" xfId="1058" xr:uid="{00000000-0005-0000-0000-000027040000}"/>
    <cellStyle name="Normal 23 11 2 11" xfId="1059" xr:uid="{00000000-0005-0000-0000-000028040000}"/>
    <cellStyle name="Normal 23 11 2 2" xfId="1060" xr:uid="{00000000-0005-0000-0000-000029040000}"/>
    <cellStyle name="Normal 23 11 2 3" xfId="1061" xr:uid="{00000000-0005-0000-0000-00002A040000}"/>
    <cellStyle name="Normal 23 11 2 4" xfId="1062" xr:uid="{00000000-0005-0000-0000-00002B040000}"/>
    <cellStyle name="Normal 23 11 2 5" xfId="1063" xr:uid="{00000000-0005-0000-0000-00002C040000}"/>
    <cellStyle name="Normal 23 11 2 6" xfId="1064" xr:uid="{00000000-0005-0000-0000-00002D040000}"/>
    <cellStyle name="Normal 23 11 2 7" xfId="1065" xr:uid="{00000000-0005-0000-0000-00002E040000}"/>
    <cellStyle name="Normal 23 11 2 8" xfId="1066" xr:uid="{00000000-0005-0000-0000-00002F040000}"/>
    <cellStyle name="Normal 23 11 2 9" xfId="1067" xr:uid="{00000000-0005-0000-0000-000030040000}"/>
    <cellStyle name="Normal 23 11 3" xfId="1068" xr:uid="{00000000-0005-0000-0000-000031040000}"/>
    <cellStyle name="Normal 23 11 4" xfId="1069" xr:uid="{00000000-0005-0000-0000-000032040000}"/>
    <cellStyle name="Normal 23 11 5" xfId="1070" xr:uid="{00000000-0005-0000-0000-000033040000}"/>
    <cellStyle name="Normal 23 11 6" xfId="1071" xr:uid="{00000000-0005-0000-0000-000034040000}"/>
    <cellStyle name="Normal 23 11 7" xfId="1072" xr:uid="{00000000-0005-0000-0000-000035040000}"/>
    <cellStyle name="Normal 23 11 8" xfId="1073" xr:uid="{00000000-0005-0000-0000-000036040000}"/>
    <cellStyle name="Normal 23 11 9" xfId="1074" xr:uid="{00000000-0005-0000-0000-000037040000}"/>
    <cellStyle name="Normal 23 12" xfId="1075" xr:uid="{00000000-0005-0000-0000-000038040000}"/>
    <cellStyle name="Normal 23 12 10" xfId="1076" xr:uid="{00000000-0005-0000-0000-000039040000}"/>
    <cellStyle name="Normal 23 12 11" xfId="1077" xr:uid="{00000000-0005-0000-0000-00003A040000}"/>
    <cellStyle name="Normal 23 12 12" xfId="1078" xr:uid="{00000000-0005-0000-0000-00003B040000}"/>
    <cellStyle name="Normal 23 12 13" xfId="1079" xr:uid="{00000000-0005-0000-0000-00003C040000}"/>
    <cellStyle name="Normal 23 12 2" xfId="1080" xr:uid="{00000000-0005-0000-0000-00003D040000}"/>
    <cellStyle name="Normal 23 12 2 10" xfId="1081" xr:uid="{00000000-0005-0000-0000-00003E040000}"/>
    <cellStyle name="Normal 23 12 2 11" xfId="1082" xr:uid="{00000000-0005-0000-0000-00003F040000}"/>
    <cellStyle name="Normal 23 12 2 2" xfId="1083" xr:uid="{00000000-0005-0000-0000-000040040000}"/>
    <cellStyle name="Normal 23 12 2 3" xfId="1084" xr:uid="{00000000-0005-0000-0000-000041040000}"/>
    <cellStyle name="Normal 23 12 2 4" xfId="1085" xr:uid="{00000000-0005-0000-0000-000042040000}"/>
    <cellStyle name="Normal 23 12 2 5" xfId="1086" xr:uid="{00000000-0005-0000-0000-000043040000}"/>
    <cellStyle name="Normal 23 12 2 6" xfId="1087" xr:uid="{00000000-0005-0000-0000-000044040000}"/>
    <cellStyle name="Normal 23 12 2 7" xfId="1088" xr:uid="{00000000-0005-0000-0000-000045040000}"/>
    <cellStyle name="Normal 23 12 2 8" xfId="1089" xr:uid="{00000000-0005-0000-0000-000046040000}"/>
    <cellStyle name="Normal 23 12 2 9" xfId="1090" xr:uid="{00000000-0005-0000-0000-000047040000}"/>
    <cellStyle name="Normal 23 12 3" xfId="1091" xr:uid="{00000000-0005-0000-0000-000048040000}"/>
    <cellStyle name="Normal 23 12 4" xfId="1092" xr:uid="{00000000-0005-0000-0000-000049040000}"/>
    <cellStyle name="Normal 23 12 5" xfId="1093" xr:uid="{00000000-0005-0000-0000-00004A040000}"/>
    <cellStyle name="Normal 23 12 6" xfId="1094" xr:uid="{00000000-0005-0000-0000-00004B040000}"/>
    <cellStyle name="Normal 23 12 7" xfId="1095" xr:uid="{00000000-0005-0000-0000-00004C040000}"/>
    <cellStyle name="Normal 23 12 8" xfId="1096" xr:uid="{00000000-0005-0000-0000-00004D040000}"/>
    <cellStyle name="Normal 23 12 9" xfId="1097" xr:uid="{00000000-0005-0000-0000-00004E040000}"/>
    <cellStyle name="Normal 23 13" xfId="1098" xr:uid="{00000000-0005-0000-0000-00004F040000}"/>
    <cellStyle name="Normal 23 13 10" xfId="1099" xr:uid="{00000000-0005-0000-0000-000050040000}"/>
    <cellStyle name="Normal 23 13 11" xfId="1100" xr:uid="{00000000-0005-0000-0000-000051040000}"/>
    <cellStyle name="Normal 23 13 12" xfId="1101" xr:uid="{00000000-0005-0000-0000-000052040000}"/>
    <cellStyle name="Normal 23 13 13" xfId="1102" xr:uid="{00000000-0005-0000-0000-000053040000}"/>
    <cellStyle name="Normal 23 13 2" xfId="1103" xr:uid="{00000000-0005-0000-0000-000054040000}"/>
    <cellStyle name="Normal 23 13 2 10" xfId="1104" xr:uid="{00000000-0005-0000-0000-000055040000}"/>
    <cellStyle name="Normal 23 13 2 11" xfId="1105" xr:uid="{00000000-0005-0000-0000-000056040000}"/>
    <cellStyle name="Normal 23 13 2 2" xfId="1106" xr:uid="{00000000-0005-0000-0000-000057040000}"/>
    <cellStyle name="Normal 23 13 2 3" xfId="1107" xr:uid="{00000000-0005-0000-0000-000058040000}"/>
    <cellStyle name="Normal 23 13 2 4" xfId="1108" xr:uid="{00000000-0005-0000-0000-000059040000}"/>
    <cellStyle name="Normal 23 13 2 5" xfId="1109" xr:uid="{00000000-0005-0000-0000-00005A040000}"/>
    <cellStyle name="Normal 23 13 2 6" xfId="1110" xr:uid="{00000000-0005-0000-0000-00005B040000}"/>
    <cellStyle name="Normal 23 13 2 7" xfId="1111" xr:uid="{00000000-0005-0000-0000-00005C040000}"/>
    <cellStyle name="Normal 23 13 2 8" xfId="1112" xr:uid="{00000000-0005-0000-0000-00005D040000}"/>
    <cellStyle name="Normal 23 13 2 9" xfId="1113" xr:uid="{00000000-0005-0000-0000-00005E040000}"/>
    <cellStyle name="Normal 23 13 3" xfId="1114" xr:uid="{00000000-0005-0000-0000-00005F040000}"/>
    <cellStyle name="Normal 23 13 4" xfId="1115" xr:uid="{00000000-0005-0000-0000-000060040000}"/>
    <cellStyle name="Normal 23 13 5" xfId="1116" xr:uid="{00000000-0005-0000-0000-000061040000}"/>
    <cellStyle name="Normal 23 13 6" xfId="1117" xr:uid="{00000000-0005-0000-0000-000062040000}"/>
    <cellStyle name="Normal 23 13 7" xfId="1118" xr:uid="{00000000-0005-0000-0000-000063040000}"/>
    <cellStyle name="Normal 23 13 8" xfId="1119" xr:uid="{00000000-0005-0000-0000-000064040000}"/>
    <cellStyle name="Normal 23 13 9" xfId="1120" xr:uid="{00000000-0005-0000-0000-000065040000}"/>
    <cellStyle name="Normal 23 14" xfId="1121" xr:uid="{00000000-0005-0000-0000-000066040000}"/>
    <cellStyle name="Normal 23 14 10" xfId="1122" xr:uid="{00000000-0005-0000-0000-000067040000}"/>
    <cellStyle name="Normal 23 14 11" xfId="1123" xr:uid="{00000000-0005-0000-0000-000068040000}"/>
    <cellStyle name="Normal 23 14 2" xfId="1124" xr:uid="{00000000-0005-0000-0000-000069040000}"/>
    <cellStyle name="Normal 23 14 3" xfId="1125" xr:uid="{00000000-0005-0000-0000-00006A040000}"/>
    <cellStyle name="Normal 23 14 4" xfId="1126" xr:uid="{00000000-0005-0000-0000-00006B040000}"/>
    <cellStyle name="Normal 23 14 5" xfId="1127" xr:uid="{00000000-0005-0000-0000-00006C040000}"/>
    <cellStyle name="Normal 23 14 6" xfId="1128" xr:uid="{00000000-0005-0000-0000-00006D040000}"/>
    <cellStyle name="Normal 23 14 7" xfId="1129" xr:uid="{00000000-0005-0000-0000-00006E040000}"/>
    <cellStyle name="Normal 23 14 8" xfId="1130" xr:uid="{00000000-0005-0000-0000-00006F040000}"/>
    <cellStyle name="Normal 23 14 9" xfId="1131" xr:uid="{00000000-0005-0000-0000-000070040000}"/>
    <cellStyle name="Normal 23 15" xfId="1132" xr:uid="{00000000-0005-0000-0000-000071040000}"/>
    <cellStyle name="Normal 23 16" xfId="1133" xr:uid="{00000000-0005-0000-0000-000072040000}"/>
    <cellStyle name="Normal 23 17" xfId="1134" xr:uid="{00000000-0005-0000-0000-000073040000}"/>
    <cellStyle name="Normal 23 18" xfId="1135" xr:uid="{00000000-0005-0000-0000-000074040000}"/>
    <cellStyle name="Normal 23 19" xfId="1136" xr:uid="{00000000-0005-0000-0000-000075040000}"/>
    <cellStyle name="Normal 23 2" xfId="1137" xr:uid="{00000000-0005-0000-0000-000076040000}"/>
    <cellStyle name="Normal 23 2 10" xfId="1138" xr:uid="{00000000-0005-0000-0000-000077040000}"/>
    <cellStyle name="Normal 23 2 11" xfId="1139" xr:uid="{00000000-0005-0000-0000-000078040000}"/>
    <cellStyle name="Normal 23 2 12" xfId="1140" xr:uid="{00000000-0005-0000-0000-000079040000}"/>
    <cellStyle name="Normal 23 2 13" xfId="1141" xr:uid="{00000000-0005-0000-0000-00007A040000}"/>
    <cellStyle name="Normal 23 2 2" xfId="1142" xr:uid="{00000000-0005-0000-0000-00007B040000}"/>
    <cellStyle name="Normal 23 2 2 10" xfId="1143" xr:uid="{00000000-0005-0000-0000-00007C040000}"/>
    <cellStyle name="Normal 23 2 2 11" xfId="1144" xr:uid="{00000000-0005-0000-0000-00007D040000}"/>
    <cellStyle name="Normal 23 2 2 2" xfId="1145" xr:uid="{00000000-0005-0000-0000-00007E040000}"/>
    <cellStyle name="Normal 23 2 2 3" xfId="1146" xr:uid="{00000000-0005-0000-0000-00007F040000}"/>
    <cellStyle name="Normal 23 2 2 4" xfId="1147" xr:uid="{00000000-0005-0000-0000-000080040000}"/>
    <cellStyle name="Normal 23 2 2 5" xfId="1148" xr:uid="{00000000-0005-0000-0000-000081040000}"/>
    <cellStyle name="Normal 23 2 2 6" xfId="1149" xr:uid="{00000000-0005-0000-0000-000082040000}"/>
    <cellStyle name="Normal 23 2 2 7" xfId="1150" xr:uid="{00000000-0005-0000-0000-000083040000}"/>
    <cellStyle name="Normal 23 2 2 8" xfId="1151" xr:uid="{00000000-0005-0000-0000-000084040000}"/>
    <cellStyle name="Normal 23 2 2 9" xfId="1152" xr:uid="{00000000-0005-0000-0000-000085040000}"/>
    <cellStyle name="Normal 23 2 3" xfId="1153" xr:uid="{00000000-0005-0000-0000-000086040000}"/>
    <cellStyle name="Normal 23 2 4" xfId="1154" xr:uid="{00000000-0005-0000-0000-000087040000}"/>
    <cellStyle name="Normal 23 2 5" xfId="1155" xr:uid="{00000000-0005-0000-0000-000088040000}"/>
    <cellStyle name="Normal 23 2 6" xfId="1156" xr:uid="{00000000-0005-0000-0000-000089040000}"/>
    <cellStyle name="Normal 23 2 7" xfId="1157" xr:uid="{00000000-0005-0000-0000-00008A040000}"/>
    <cellStyle name="Normal 23 2 8" xfId="1158" xr:uid="{00000000-0005-0000-0000-00008B040000}"/>
    <cellStyle name="Normal 23 2 9" xfId="1159" xr:uid="{00000000-0005-0000-0000-00008C040000}"/>
    <cellStyle name="Normal 23 20" xfId="1160" xr:uid="{00000000-0005-0000-0000-00008D040000}"/>
    <cellStyle name="Normal 23 21" xfId="1161" xr:uid="{00000000-0005-0000-0000-00008E040000}"/>
    <cellStyle name="Normal 23 22" xfId="1162" xr:uid="{00000000-0005-0000-0000-00008F040000}"/>
    <cellStyle name="Normal 23 23" xfId="1163" xr:uid="{00000000-0005-0000-0000-000090040000}"/>
    <cellStyle name="Normal 23 24" xfId="1164" xr:uid="{00000000-0005-0000-0000-000091040000}"/>
    <cellStyle name="Normal 23 25" xfId="1165" xr:uid="{00000000-0005-0000-0000-000092040000}"/>
    <cellStyle name="Normal 23 3" xfId="1166" xr:uid="{00000000-0005-0000-0000-000093040000}"/>
    <cellStyle name="Normal 23 3 10" xfId="1167" xr:uid="{00000000-0005-0000-0000-000094040000}"/>
    <cellStyle name="Normal 23 3 11" xfId="1168" xr:uid="{00000000-0005-0000-0000-000095040000}"/>
    <cellStyle name="Normal 23 3 12" xfId="1169" xr:uid="{00000000-0005-0000-0000-000096040000}"/>
    <cellStyle name="Normal 23 3 13" xfId="1170" xr:uid="{00000000-0005-0000-0000-000097040000}"/>
    <cellStyle name="Normal 23 3 2" xfId="1171" xr:uid="{00000000-0005-0000-0000-000098040000}"/>
    <cellStyle name="Normal 23 3 2 10" xfId="1172" xr:uid="{00000000-0005-0000-0000-000099040000}"/>
    <cellStyle name="Normal 23 3 2 11" xfId="1173" xr:uid="{00000000-0005-0000-0000-00009A040000}"/>
    <cellStyle name="Normal 23 3 2 2" xfId="1174" xr:uid="{00000000-0005-0000-0000-00009B040000}"/>
    <cellStyle name="Normal 23 3 2 3" xfId="1175" xr:uid="{00000000-0005-0000-0000-00009C040000}"/>
    <cellStyle name="Normal 23 3 2 4" xfId="1176" xr:uid="{00000000-0005-0000-0000-00009D040000}"/>
    <cellStyle name="Normal 23 3 2 5" xfId="1177" xr:uid="{00000000-0005-0000-0000-00009E040000}"/>
    <cellStyle name="Normal 23 3 2 6" xfId="1178" xr:uid="{00000000-0005-0000-0000-00009F040000}"/>
    <cellStyle name="Normal 23 3 2 7" xfId="1179" xr:uid="{00000000-0005-0000-0000-0000A0040000}"/>
    <cellStyle name="Normal 23 3 2 8" xfId="1180" xr:uid="{00000000-0005-0000-0000-0000A1040000}"/>
    <cellStyle name="Normal 23 3 2 9" xfId="1181" xr:uid="{00000000-0005-0000-0000-0000A2040000}"/>
    <cellStyle name="Normal 23 3 3" xfId="1182" xr:uid="{00000000-0005-0000-0000-0000A3040000}"/>
    <cellStyle name="Normal 23 3 4" xfId="1183" xr:uid="{00000000-0005-0000-0000-0000A4040000}"/>
    <cellStyle name="Normal 23 3 5" xfId="1184" xr:uid="{00000000-0005-0000-0000-0000A5040000}"/>
    <cellStyle name="Normal 23 3 6" xfId="1185" xr:uid="{00000000-0005-0000-0000-0000A6040000}"/>
    <cellStyle name="Normal 23 3 7" xfId="1186" xr:uid="{00000000-0005-0000-0000-0000A7040000}"/>
    <cellStyle name="Normal 23 3 8" xfId="1187" xr:uid="{00000000-0005-0000-0000-0000A8040000}"/>
    <cellStyle name="Normal 23 3 9" xfId="1188" xr:uid="{00000000-0005-0000-0000-0000A9040000}"/>
    <cellStyle name="Normal 23 4" xfId="1189" xr:uid="{00000000-0005-0000-0000-0000AA040000}"/>
    <cellStyle name="Normal 23 4 10" xfId="1190" xr:uid="{00000000-0005-0000-0000-0000AB040000}"/>
    <cellStyle name="Normal 23 4 11" xfId="1191" xr:uid="{00000000-0005-0000-0000-0000AC040000}"/>
    <cellStyle name="Normal 23 4 12" xfId="1192" xr:uid="{00000000-0005-0000-0000-0000AD040000}"/>
    <cellStyle name="Normal 23 4 13" xfId="1193" xr:uid="{00000000-0005-0000-0000-0000AE040000}"/>
    <cellStyle name="Normal 23 4 2" xfId="1194" xr:uid="{00000000-0005-0000-0000-0000AF040000}"/>
    <cellStyle name="Normal 23 4 2 10" xfId="1195" xr:uid="{00000000-0005-0000-0000-0000B0040000}"/>
    <cellStyle name="Normal 23 4 2 11" xfId="1196" xr:uid="{00000000-0005-0000-0000-0000B1040000}"/>
    <cellStyle name="Normal 23 4 2 2" xfId="1197" xr:uid="{00000000-0005-0000-0000-0000B2040000}"/>
    <cellStyle name="Normal 23 4 2 3" xfId="1198" xr:uid="{00000000-0005-0000-0000-0000B3040000}"/>
    <cellStyle name="Normal 23 4 2 4" xfId="1199" xr:uid="{00000000-0005-0000-0000-0000B4040000}"/>
    <cellStyle name="Normal 23 4 2 5" xfId="1200" xr:uid="{00000000-0005-0000-0000-0000B5040000}"/>
    <cellStyle name="Normal 23 4 2 6" xfId="1201" xr:uid="{00000000-0005-0000-0000-0000B6040000}"/>
    <cellStyle name="Normal 23 4 2 7" xfId="1202" xr:uid="{00000000-0005-0000-0000-0000B7040000}"/>
    <cellStyle name="Normal 23 4 2 8" xfId="1203" xr:uid="{00000000-0005-0000-0000-0000B8040000}"/>
    <cellStyle name="Normal 23 4 2 9" xfId="1204" xr:uid="{00000000-0005-0000-0000-0000B9040000}"/>
    <cellStyle name="Normal 23 4 3" xfId="1205" xr:uid="{00000000-0005-0000-0000-0000BA040000}"/>
    <cellStyle name="Normal 23 4 4" xfId="1206" xr:uid="{00000000-0005-0000-0000-0000BB040000}"/>
    <cellStyle name="Normal 23 4 5" xfId="1207" xr:uid="{00000000-0005-0000-0000-0000BC040000}"/>
    <cellStyle name="Normal 23 4 6" xfId="1208" xr:uid="{00000000-0005-0000-0000-0000BD040000}"/>
    <cellStyle name="Normal 23 4 7" xfId="1209" xr:uid="{00000000-0005-0000-0000-0000BE040000}"/>
    <cellStyle name="Normal 23 4 8" xfId="1210" xr:uid="{00000000-0005-0000-0000-0000BF040000}"/>
    <cellStyle name="Normal 23 4 9" xfId="1211" xr:uid="{00000000-0005-0000-0000-0000C0040000}"/>
    <cellStyle name="Normal 23 5" xfId="1212" xr:uid="{00000000-0005-0000-0000-0000C1040000}"/>
    <cellStyle name="Normal 23 5 10" xfId="1213" xr:uid="{00000000-0005-0000-0000-0000C2040000}"/>
    <cellStyle name="Normal 23 5 11" xfId="1214" xr:uid="{00000000-0005-0000-0000-0000C3040000}"/>
    <cellStyle name="Normal 23 5 12" xfId="1215" xr:uid="{00000000-0005-0000-0000-0000C4040000}"/>
    <cellStyle name="Normal 23 5 13" xfId="1216" xr:uid="{00000000-0005-0000-0000-0000C5040000}"/>
    <cellStyle name="Normal 23 5 2" xfId="1217" xr:uid="{00000000-0005-0000-0000-0000C6040000}"/>
    <cellStyle name="Normal 23 5 2 10" xfId="1218" xr:uid="{00000000-0005-0000-0000-0000C7040000}"/>
    <cellStyle name="Normal 23 5 2 11" xfId="1219" xr:uid="{00000000-0005-0000-0000-0000C8040000}"/>
    <cellStyle name="Normal 23 5 2 2" xfId="1220" xr:uid="{00000000-0005-0000-0000-0000C9040000}"/>
    <cellStyle name="Normal 23 5 2 3" xfId="1221" xr:uid="{00000000-0005-0000-0000-0000CA040000}"/>
    <cellStyle name="Normal 23 5 2 4" xfId="1222" xr:uid="{00000000-0005-0000-0000-0000CB040000}"/>
    <cellStyle name="Normal 23 5 2 5" xfId="1223" xr:uid="{00000000-0005-0000-0000-0000CC040000}"/>
    <cellStyle name="Normal 23 5 2 6" xfId="1224" xr:uid="{00000000-0005-0000-0000-0000CD040000}"/>
    <cellStyle name="Normal 23 5 2 7" xfId="1225" xr:uid="{00000000-0005-0000-0000-0000CE040000}"/>
    <cellStyle name="Normal 23 5 2 8" xfId="1226" xr:uid="{00000000-0005-0000-0000-0000CF040000}"/>
    <cellStyle name="Normal 23 5 2 9" xfId="1227" xr:uid="{00000000-0005-0000-0000-0000D0040000}"/>
    <cellStyle name="Normal 23 5 3" xfId="1228" xr:uid="{00000000-0005-0000-0000-0000D1040000}"/>
    <cellStyle name="Normal 23 5 4" xfId="1229" xr:uid="{00000000-0005-0000-0000-0000D2040000}"/>
    <cellStyle name="Normal 23 5 5" xfId="1230" xr:uid="{00000000-0005-0000-0000-0000D3040000}"/>
    <cellStyle name="Normal 23 5 6" xfId="1231" xr:uid="{00000000-0005-0000-0000-0000D4040000}"/>
    <cellStyle name="Normal 23 5 7" xfId="1232" xr:uid="{00000000-0005-0000-0000-0000D5040000}"/>
    <cellStyle name="Normal 23 5 8" xfId="1233" xr:uid="{00000000-0005-0000-0000-0000D6040000}"/>
    <cellStyle name="Normal 23 5 9" xfId="1234" xr:uid="{00000000-0005-0000-0000-0000D7040000}"/>
    <cellStyle name="Normal 23 6" xfId="1235" xr:uid="{00000000-0005-0000-0000-0000D8040000}"/>
    <cellStyle name="Normal 23 6 10" xfId="1236" xr:uid="{00000000-0005-0000-0000-0000D9040000}"/>
    <cellStyle name="Normal 23 6 11" xfId="1237" xr:uid="{00000000-0005-0000-0000-0000DA040000}"/>
    <cellStyle name="Normal 23 6 12" xfId="1238" xr:uid="{00000000-0005-0000-0000-0000DB040000}"/>
    <cellStyle name="Normal 23 6 13" xfId="1239" xr:uid="{00000000-0005-0000-0000-0000DC040000}"/>
    <cellStyle name="Normal 23 6 2" xfId="1240" xr:uid="{00000000-0005-0000-0000-0000DD040000}"/>
    <cellStyle name="Normal 23 6 2 10" xfId="1241" xr:uid="{00000000-0005-0000-0000-0000DE040000}"/>
    <cellStyle name="Normal 23 6 2 11" xfId="1242" xr:uid="{00000000-0005-0000-0000-0000DF040000}"/>
    <cellStyle name="Normal 23 6 2 2" xfId="1243" xr:uid="{00000000-0005-0000-0000-0000E0040000}"/>
    <cellStyle name="Normal 23 6 2 3" xfId="1244" xr:uid="{00000000-0005-0000-0000-0000E1040000}"/>
    <cellStyle name="Normal 23 6 2 4" xfId="1245" xr:uid="{00000000-0005-0000-0000-0000E2040000}"/>
    <cellStyle name="Normal 23 6 2 5" xfId="1246" xr:uid="{00000000-0005-0000-0000-0000E3040000}"/>
    <cellStyle name="Normal 23 6 2 6" xfId="1247" xr:uid="{00000000-0005-0000-0000-0000E4040000}"/>
    <cellStyle name="Normal 23 6 2 7" xfId="1248" xr:uid="{00000000-0005-0000-0000-0000E5040000}"/>
    <cellStyle name="Normal 23 6 2 8" xfId="1249" xr:uid="{00000000-0005-0000-0000-0000E6040000}"/>
    <cellStyle name="Normal 23 6 2 9" xfId="1250" xr:uid="{00000000-0005-0000-0000-0000E7040000}"/>
    <cellStyle name="Normal 23 6 3" xfId="1251" xr:uid="{00000000-0005-0000-0000-0000E8040000}"/>
    <cellStyle name="Normal 23 6 4" xfId="1252" xr:uid="{00000000-0005-0000-0000-0000E9040000}"/>
    <cellStyle name="Normal 23 6 5" xfId="1253" xr:uid="{00000000-0005-0000-0000-0000EA040000}"/>
    <cellStyle name="Normal 23 6 6" xfId="1254" xr:uid="{00000000-0005-0000-0000-0000EB040000}"/>
    <cellStyle name="Normal 23 6 7" xfId="1255" xr:uid="{00000000-0005-0000-0000-0000EC040000}"/>
    <cellStyle name="Normal 23 6 8" xfId="1256" xr:uid="{00000000-0005-0000-0000-0000ED040000}"/>
    <cellStyle name="Normal 23 6 9" xfId="1257" xr:uid="{00000000-0005-0000-0000-0000EE040000}"/>
    <cellStyle name="Normal 23 7" xfId="1258" xr:uid="{00000000-0005-0000-0000-0000EF040000}"/>
    <cellStyle name="Normal 23 7 10" xfId="1259" xr:uid="{00000000-0005-0000-0000-0000F0040000}"/>
    <cellStyle name="Normal 23 7 11" xfId="1260" xr:uid="{00000000-0005-0000-0000-0000F1040000}"/>
    <cellStyle name="Normal 23 7 12" xfId="1261" xr:uid="{00000000-0005-0000-0000-0000F2040000}"/>
    <cellStyle name="Normal 23 7 13" xfId="1262" xr:uid="{00000000-0005-0000-0000-0000F3040000}"/>
    <cellStyle name="Normal 23 7 2" xfId="1263" xr:uid="{00000000-0005-0000-0000-0000F4040000}"/>
    <cellStyle name="Normal 23 7 2 10" xfId="1264" xr:uid="{00000000-0005-0000-0000-0000F5040000}"/>
    <cellStyle name="Normal 23 7 2 11" xfId="1265" xr:uid="{00000000-0005-0000-0000-0000F6040000}"/>
    <cellStyle name="Normal 23 7 2 2" xfId="1266" xr:uid="{00000000-0005-0000-0000-0000F7040000}"/>
    <cellStyle name="Normal 23 7 2 3" xfId="1267" xr:uid="{00000000-0005-0000-0000-0000F8040000}"/>
    <cellStyle name="Normal 23 7 2 4" xfId="1268" xr:uid="{00000000-0005-0000-0000-0000F9040000}"/>
    <cellStyle name="Normal 23 7 2 5" xfId="1269" xr:uid="{00000000-0005-0000-0000-0000FA040000}"/>
    <cellStyle name="Normal 23 7 2 6" xfId="1270" xr:uid="{00000000-0005-0000-0000-0000FB040000}"/>
    <cellStyle name="Normal 23 7 2 7" xfId="1271" xr:uid="{00000000-0005-0000-0000-0000FC040000}"/>
    <cellStyle name="Normal 23 7 2 8" xfId="1272" xr:uid="{00000000-0005-0000-0000-0000FD040000}"/>
    <cellStyle name="Normal 23 7 2 9" xfId="1273" xr:uid="{00000000-0005-0000-0000-0000FE040000}"/>
    <cellStyle name="Normal 23 7 3" xfId="1274" xr:uid="{00000000-0005-0000-0000-0000FF040000}"/>
    <cellStyle name="Normal 23 7 4" xfId="1275" xr:uid="{00000000-0005-0000-0000-000000050000}"/>
    <cellStyle name="Normal 23 7 5" xfId="1276" xr:uid="{00000000-0005-0000-0000-000001050000}"/>
    <cellStyle name="Normal 23 7 6" xfId="1277" xr:uid="{00000000-0005-0000-0000-000002050000}"/>
    <cellStyle name="Normal 23 7 7" xfId="1278" xr:uid="{00000000-0005-0000-0000-000003050000}"/>
    <cellStyle name="Normal 23 7 8" xfId="1279" xr:uid="{00000000-0005-0000-0000-000004050000}"/>
    <cellStyle name="Normal 23 7 9" xfId="1280" xr:uid="{00000000-0005-0000-0000-000005050000}"/>
    <cellStyle name="Normal 23 8" xfId="1281" xr:uid="{00000000-0005-0000-0000-000006050000}"/>
    <cellStyle name="Normal 23 8 10" xfId="1282" xr:uid="{00000000-0005-0000-0000-000007050000}"/>
    <cellStyle name="Normal 23 8 11" xfId="1283" xr:uid="{00000000-0005-0000-0000-000008050000}"/>
    <cellStyle name="Normal 23 8 12" xfId="1284" xr:uid="{00000000-0005-0000-0000-000009050000}"/>
    <cellStyle name="Normal 23 8 13" xfId="1285" xr:uid="{00000000-0005-0000-0000-00000A050000}"/>
    <cellStyle name="Normal 23 8 2" xfId="1286" xr:uid="{00000000-0005-0000-0000-00000B050000}"/>
    <cellStyle name="Normal 23 8 2 10" xfId="1287" xr:uid="{00000000-0005-0000-0000-00000C050000}"/>
    <cellStyle name="Normal 23 8 2 11" xfId="1288" xr:uid="{00000000-0005-0000-0000-00000D050000}"/>
    <cellStyle name="Normal 23 8 2 2" xfId="1289" xr:uid="{00000000-0005-0000-0000-00000E050000}"/>
    <cellStyle name="Normal 23 8 2 3" xfId="1290" xr:uid="{00000000-0005-0000-0000-00000F050000}"/>
    <cellStyle name="Normal 23 8 2 4" xfId="1291" xr:uid="{00000000-0005-0000-0000-000010050000}"/>
    <cellStyle name="Normal 23 8 2 5" xfId="1292" xr:uid="{00000000-0005-0000-0000-000011050000}"/>
    <cellStyle name="Normal 23 8 2 6" xfId="1293" xr:uid="{00000000-0005-0000-0000-000012050000}"/>
    <cellStyle name="Normal 23 8 2 7" xfId="1294" xr:uid="{00000000-0005-0000-0000-000013050000}"/>
    <cellStyle name="Normal 23 8 2 8" xfId="1295" xr:uid="{00000000-0005-0000-0000-000014050000}"/>
    <cellStyle name="Normal 23 8 2 9" xfId="1296" xr:uid="{00000000-0005-0000-0000-000015050000}"/>
    <cellStyle name="Normal 23 8 3" xfId="1297" xr:uid="{00000000-0005-0000-0000-000016050000}"/>
    <cellStyle name="Normal 23 8 4" xfId="1298" xr:uid="{00000000-0005-0000-0000-000017050000}"/>
    <cellStyle name="Normal 23 8 5" xfId="1299" xr:uid="{00000000-0005-0000-0000-000018050000}"/>
    <cellStyle name="Normal 23 8 6" xfId="1300" xr:uid="{00000000-0005-0000-0000-000019050000}"/>
    <cellStyle name="Normal 23 8 7" xfId="1301" xr:uid="{00000000-0005-0000-0000-00001A050000}"/>
    <cellStyle name="Normal 23 8 8" xfId="1302" xr:uid="{00000000-0005-0000-0000-00001B050000}"/>
    <cellStyle name="Normal 23 8 9" xfId="1303" xr:uid="{00000000-0005-0000-0000-00001C050000}"/>
    <cellStyle name="Normal 23 9" xfId="1304" xr:uid="{00000000-0005-0000-0000-00001D050000}"/>
    <cellStyle name="Normal 23 9 10" xfId="1305" xr:uid="{00000000-0005-0000-0000-00001E050000}"/>
    <cellStyle name="Normal 23 9 11" xfId="1306" xr:uid="{00000000-0005-0000-0000-00001F050000}"/>
    <cellStyle name="Normal 23 9 12" xfId="1307" xr:uid="{00000000-0005-0000-0000-000020050000}"/>
    <cellStyle name="Normal 23 9 13" xfId="1308" xr:uid="{00000000-0005-0000-0000-000021050000}"/>
    <cellStyle name="Normal 23 9 2" xfId="1309" xr:uid="{00000000-0005-0000-0000-000022050000}"/>
    <cellStyle name="Normal 23 9 2 10" xfId="1310" xr:uid="{00000000-0005-0000-0000-000023050000}"/>
    <cellStyle name="Normal 23 9 2 11" xfId="1311" xr:uid="{00000000-0005-0000-0000-000024050000}"/>
    <cellStyle name="Normal 23 9 2 2" xfId="1312" xr:uid="{00000000-0005-0000-0000-000025050000}"/>
    <cellStyle name="Normal 23 9 2 3" xfId="1313" xr:uid="{00000000-0005-0000-0000-000026050000}"/>
    <cellStyle name="Normal 23 9 2 4" xfId="1314" xr:uid="{00000000-0005-0000-0000-000027050000}"/>
    <cellStyle name="Normal 23 9 2 5" xfId="1315" xr:uid="{00000000-0005-0000-0000-000028050000}"/>
    <cellStyle name="Normal 23 9 2 6" xfId="1316" xr:uid="{00000000-0005-0000-0000-000029050000}"/>
    <cellStyle name="Normal 23 9 2 7" xfId="1317" xr:uid="{00000000-0005-0000-0000-00002A050000}"/>
    <cellStyle name="Normal 23 9 2 8" xfId="1318" xr:uid="{00000000-0005-0000-0000-00002B050000}"/>
    <cellStyle name="Normal 23 9 2 9" xfId="1319" xr:uid="{00000000-0005-0000-0000-00002C050000}"/>
    <cellStyle name="Normal 23 9 3" xfId="1320" xr:uid="{00000000-0005-0000-0000-00002D050000}"/>
    <cellStyle name="Normal 23 9 4" xfId="1321" xr:uid="{00000000-0005-0000-0000-00002E050000}"/>
    <cellStyle name="Normal 23 9 5" xfId="1322" xr:uid="{00000000-0005-0000-0000-00002F050000}"/>
    <cellStyle name="Normal 23 9 6" xfId="1323" xr:uid="{00000000-0005-0000-0000-000030050000}"/>
    <cellStyle name="Normal 23 9 7" xfId="1324" xr:uid="{00000000-0005-0000-0000-000031050000}"/>
    <cellStyle name="Normal 23 9 8" xfId="1325" xr:uid="{00000000-0005-0000-0000-000032050000}"/>
    <cellStyle name="Normal 23 9 9" xfId="1326" xr:uid="{00000000-0005-0000-0000-000033050000}"/>
    <cellStyle name="Normal 24" xfId="1327" xr:uid="{00000000-0005-0000-0000-000034050000}"/>
    <cellStyle name="Normal 24 10" xfId="1328" xr:uid="{00000000-0005-0000-0000-000035050000}"/>
    <cellStyle name="Normal 24 10 10" xfId="1329" xr:uid="{00000000-0005-0000-0000-000036050000}"/>
    <cellStyle name="Normal 24 10 11" xfId="1330" xr:uid="{00000000-0005-0000-0000-000037050000}"/>
    <cellStyle name="Normal 24 10 12" xfId="1331" xr:uid="{00000000-0005-0000-0000-000038050000}"/>
    <cellStyle name="Normal 24 10 13" xfId="1332" xr:uid="{00000000-0005-0000-0000-000039050000}"/>
    <cellStyle name="Normal 24 10 2" xfId="1333" xr:uid="{00000000-0005-0000-0000-00003A050000}"/>
    <cellStyle name="Normal 24 10 2 10" xfId="1334" xr:uid="{00000000-0005-0000-0000-00003B050000}"/>
    <cellStyle name="Normal 24 10 2 11" xfId="1335" xr:uid="{00000000-0005-0000-0000-00003C050000}"/>
    <cellStyle name="Normal 24 10 2 2" xfId="1336" xr:uid="{00000000-0005-0000-0000-00003D050000}"/>
    <cellStyle name="Normal 24 10 2 3" xfId="1337" xr:uid="{00000000-0005-0000-0000-00003E050000}"/>
    <cellStyle name="Normal 24 10 2 4" xfId="1338" xr:uid="{00000000-0005-0000-0000-00003F050000}"/>
    <cellStyle name="Normal 24 10 2 5" xfId="1339" xr:uid="{00000000-0005-0000-0000-000040050000}"/>
    <cellStyle name="Normal 24 10 2 6" xfId="1340" xr:uid="{00000000-0005-0000-0000-000041050000}"/>
    <cellStyle name="Normal 24 10 2 7" xfId="1341" xr:uid="{00000000-0005-0000-0000-000042050000}"/>
    <cellStyle name="Normal 24 10 2 8" xfId="1342" xr:uid="{00000000-0005-0000-0000-000043050000}"/>
    <cellStyle name="Normal 24 10 2 9" xfId="1343" xr:uid="{00000000-0005-0000-0000-000044050000}"/>
    <cellStyle name="Normal 24 10 3" xfId="1344" xr:uid="{00000000-0005-0000-0000-000045050000}"/>
    <cellStyle name="Normal 24 10 4" xfId="1345" xr:uid="{00000000-0005-0000-0000-000046050000}"/>
    <cellStyle name="Normal 24 10 5" xfId="1346" xr:uid="{00000000-0005-0000-0000-000047050000}"/>
    <cellStyle name="Normal 24 10 6" xfId="1347" xr:uid="{00000000-0005-0000-0000-000048050000}"/>
    <cellStyle name="Normal 24 10 7" xfId="1348" xr:uid="{00000000-0005-0000-0000-000049050000}"/>
    <cellStyle name="Normal 24 10 8" xfId="1349" xr:uid="{00000000-0005-0000-0000-00004A050000}"/>
    <cellStyle name="Normal 24 10 9" xfId="1350" xr:uid="{00000000-0005-0000-0000-00004B050000}"/>
    <cellStyle name="Normal 24 11" xfId="1351" xr:uid="{00000000-0005-0000-0000-00004C050000}"/>
    <cellStyle name="Normal 24 11 10" xfId="1352" xr:uid="{00000000-0005-0000-0000-00004D050000}"/>
    <cellStyle name="Normal 24 11 11" xfId="1353" xr:uid="{00000000-0005-0000-0000-00004E050000}"/>
    <cellStyle name="Normal 24 11 12" xfId="1354" xr:uid="{00000000-0005-0000-0000-00004F050000}"/>
    <cellStyle name="Normal 24 11 13" xfId="1355" xr:uid="{00000000-0005-0000-0000-000050050000}"/>
    <cellStyle name="Normal 24 11 2" xfId="1356" xr:uid="{00000000-0005-0000-0000-000051050000}"/>
    <cellStyle name="Normal 24 11 2 10" xfId="1357" xr:uid="{00000000-0005-0000-0000-000052050000}"/>
    <cellStyle name="Normal 24 11 2 11" xfId="1358" xr:uid="{00000000-0005-0000-0000-000053050000}"/>
    <cellStyle name="Normal 24 11 2 2" xfId="1359" xr:uid="{00000000-0005-0000-0000-000054050000}"/>
    <cellStyle name="Normal 24 11 2 3" xfId="1360" xr:uid="{00000000-0005-0000-0000-000055050000}"/>
    <cellStyle name="Normal 24 11 2 4" xfId="1361" xr:uid="{00000000-0005-0000-0000-000056050000}"/>
    <cellStyle name="Normal 24 11 2 5" xfId="1362" xr:uid="{00000000-0005-0000-0000-000057050000}"/>
    <cellStyle name="Normal 24 11 2 6" xfId="1363" xr:uid="{00000000-0005-0000-0000-000058050000}"/>
    <cellStyle name="Normal 24 11 2 7" xfId="1364" xr:uid="{00000000-0005-0000-0000-000059050000}"/>
    <cellStyle name="Normal 24 11 2 8" xfId="1365" xr:uid="{00000000-0005-0000-0000-00005A050000}"/>
    <cellStyle name="Normal 24 11 2 9" xfId="1366" xr:uid="{00000000-0005-0000-0000-00005B050000}"/>
    <cellStyle name="Normal 24 11 3" xfId="1367" xr:uid="{00000000-0005-0000-0000-00005C050000}"/>
    <cellStyle name="Normal 24 11 4" xfId="1368" xr:uid="{00000000-0005-0000-0000-00005D050000}"/>
    <cellStyle name="Normal 24 11 5" xfId="1369" xr:uid="{00000000-0005-0000-0000-00005E050000}"/>
    <cellStyle name="Normal 24 11 6" xfId="1370" xr:uid="{00000000-0005-0000-0000-00005F050000}"/>
    <cellStyle name="Normal 24 11 7" xfId="1371" xr:uid="{00000000-0005-0000-0000-000060050000}"/>
    <cellStyle name="Normal 24 11 8" xfId="1372" xr:uid="{00000000-0005-0000-0000-000061050000}"/>
    <cellStyle name="Normal 24 11 9" xfId="1373" xr:uid="{00000000-0005-0000-0000-000062050000}"/>
    <cellStyle name="Normal 24 12" xfId="1374" xr:uid="{00000000-0005-0000-0000-000063050000}"/>
    <cellStyle name="Normal 24 12 10" xfId="1375" xr:uid="{00000000-0005-0000-0000-000064050000}"/>
    <cellStyle name="Normal 24 12 11" xfId="1376" xr:uid="{00000000-0005-0000-0000-000065050000}"/>
    <cellStyle name="Normal 24 12 12" xfId="1377" xr:uid="{00000000-0005-0000-0000-000066050000}"/>
    <cellStyle name="Normal 24 12 13" xfId="1378" xr:uid="{00000000-0005-0000-0000-000067050000}"/>
    <cellStyle name="Normal 24 12 2" xfId="1379" xr:uid="{00000000-0005-0000-0000-000068050000}"/>
    <cellStyle name="Normal 24 12 2 10" xfId="1380" xr:uid="{00000000-0005-0000-0000-000069050000}"/>
    <cellStyle name="Normal 24 12 2 11" xfId="1381" xr:uid="{00000000-0005-0000-0000-00006A050000}"/>
    <cellStyle name="Normal 24 12 2 2" xfId="1382" xr:uid="{00000000-0005-0000-0000-00006B050000}"/>
    <cellStyle name="Normal 24 12 2 3" xfId="1383" xr:uid="{00000000-0005-0000-0000-00006C050000}"/>
    <cellStyle name="Normal 24 12 2 4" xfId="1384" xr:uid="{00000000-0005-0000-0000-00006D050000}"/>
    <cellStyle name="Normal 24 12 2 5" xfId="1385" xr:uid="{00000000-0005-0000-0000-00006E050000}"/>
    <cellStyle name="Normal 24 12 2 6" xfId="1386" xr:uid="{00000000-0005-0000-0000-00006F050000}"/>
    <cellStyle name="Normal 24 12 2 7" xfId="1387" xr:uid="{00000000-0005-0000-0000-000070050000}"/>
    <cellStyle name="Normal 24 12 2 8" xfId="1388" xr:uid="{00000000-0005-0000-0000-000071050000}"/>
    <cellStyle name="Normal 24 12 2 9" xfId="1389" xr:uid="{00000000-0005-0000-0000-000072050000}"/>
    <cellStyle name="Normal 24 12 3" xfId="1390" xr:uid="{00000000-0005-0000-0000-000073050000}"/>
    <cellStyle name="Normal 24 12 4" xfId="1391" xr:uid="{00000000-0005-0000-0000-000074050000}"/>
    <cellStyle name="Normal 24 12 5" xfId="1392" xr:uid="{00000000-0005-0000-0000-000075050000}"/>
    <cellStyle name="Normal 24 12 6" xfId="1393" xr:uid="{00000000-0005-0000-0000-000076050000}"/>
    <cellStyle name="Normal 24 12 7" xfId="1394" xr:uid="{00000000-0005-0000-0000-000077050000}"/>
    <cellStyle name="Normal 24 12 8" xfId="1395" xr:uid="{00000000-0005-0000-0000-000078050000}"/>
    <cellStyle name="Normal 24 12 9" xfId="1396" xr:uid="{00000000-0005-0000-0000-000079050000}"/>
    <cellStyle name="Normal 24 13" xfId="1397" xr:uid="{00000000-0005-0000-0000-00007A050000}"/>
    <cellStyle name="Normal 24 13 10" xfId="1398" xr:uid="{00000000-0005-0000-0000-00007B050000}"/>
    <cellStyle name="Normal 24 13 11" xfId="1399" xr:uid="{00000000-0005-0000-0000-00007C050000}"/>
    <cellStyle name="Normal 24 13 12" xfId="1400" xr:uid="{00000000-0005-0000-0000-00007D050000}"/>
    <cellStyle name="Normal 24 13 13" xfId="1401" xr:uid="{00000000-0005-0000-0000-00007E050000}"/>
    <cellStyle name="Normal 24 13 2" xfId="1402" xr:uid="{00000000-0005-0000-0000-00007F050000}"/>
    <cellStyle name="Normal 24 13 2 10" xfId="1403" xr:uid="{00000000-0005-0000-0000-000080050000}"/>
    <cellStyle name="Normal 24 13 2 11" xfId="1404" xr:uid="{00000000-0005-0000-0000-000081050000}"/>
    <cellStyle name="Normal 24 13 2 2" xfId="1405" xr:uid="{00000000-0005-0000-0000-000082050000}"/>
    <cellStyle name="Normal 24 13 2 3" xfId="1406" xr:uid="{00000000-0005-0000-0000-000083050000}"/>
    <cellStyle name="Normal 24 13 2 4" xfId="1407" xr:uid="{00000000-0005-0000-0000-000084050000}"/>
    <cellStyle name="Normal 24 13 2 5" xfId="1408" xr:uid="{00000000-0005-0000-0000-000085050000}"/>
    <cellStyle name="Normal 24 13 2 6" xfId="1409" xr:uid="{00000000-0005-0000-0000-000086050000}"/>
    <cellStyle name="Normal 24 13 2 7" xfId="1410" xr:uid="{00000000-0005-0000-0000-000087050000}"/>
    <cellStyle name="Normal 24 13 2 8" xfId="1411" xr:uid="{00000000-0005-0000-0000-000088050000}"/>
    <cellStyle name="Normal 24 13 2 9" xfId="1412" xr:uid="{00000000-0005-0000-0000-000089050000}"/>
    <cellStyle name="Normal 24 13 3" xfId="1413" xr:uid="{00000000-0005-0000-0000-00008A050000}"/>
    <cellStyle name="Normal 24 13 4" xfId="1414" xr:uid="{00000000-0005-0000-0000-00008B050000}"/>
    <cellStyle name="Normal 24 13 5" xfId="1415" xr:uid="{00000000-0005-0000-0000-00008C050000}"/>
    <cellStyle name="Normal 24 13 6" xfId="1416" xr:uid="{00000000-0005-0000-0000-00008D050000}"/>
    <cellStyle name="Normal 24 13 7" xfId="1417" xr:uid="{00000000-0005-0000-0000-00008E050000}"/>
    <cellStyle name="Normal 24 13 8" xfId="1418" xr:uid="{00000000-0005-0000-0000-00008F050000}"/>
    <cellStyle name="Normal 24 13 9" xfId="1419" xr:uid="{00000000-0005-0000-0000-000090050000}"/>
    <cellStyle name="Normal 24 14" xfId="1420" xr:uid="{00000000-0005-0000-0000-000091050000}"/>
    <cellStyle name="Normal 24 14 10" xfId="1421" xr:uid="{00000000-0005-0000-0000-000092050000}"/>
    <cellStyle name="Normal 24 14 11" xfId="1422" xr:uid="{00000000-0005-0000-0000-000093050000}"/>
    <cellStyle name="Normal 24 14 2" xfId="1423" xr:uid="{00000000-0005-0000-0000-000094050000}"/>
    <cellStyle name="Normal 24 14 3" xfId="1424" xr:uid="{00000000-0005-0000-0000-000095050000}"/>
    <cellStyle name="Normal 24 14 4" xfId="1425" xr:uid="{00000000-0005-0000-0000-000096050000}"/>
    <cellStyle name="Normal 24 14 5" xfId="1426" xr:uid="{00000000-0005-0000-0000-000097050000}"/>
    <cellStyle name="Normal 24 14 6" xfId="1427" xr:uid="{00000000-0005-0000-0000-000098050000}"/>
    <cellStyle name="Normal 24 14 7" xfId="1428" xr:uid="{00000000-0005-0000-0000-000099050000}"/>
    <cellStyle name="Normal 24 14 8" xfId="1429" xr:uid="{00000000-0005-0000-0000-00009A050000}"/>
    <cellStyle name="Normal 24 14 9" xfId="1430" xr:uid="{00000000-0005-0000-0000-00009B050000}"/>
    <cellStyle name="Normal 24 15" xfId="1431" xr:uid="{00000000-0005-0000-0000-00009C050000}"/>
    <cellStyle name="Normal 24 16" xfId="1432" xr:uid="{00000000-0005-0000-0000-00009D050000}"/>
    <cellStyle name="Normal 24 17" xfId="1433" xr:uid="{00000000-0005-0000-0000-00009E050000}"/>
    <cellStyle name="Normal 24 18" xfId="1434" xr:uid="{00000000-0005-0000-0000-00009F050000}"/>
    <cellStyle name="Normal 24 19" xfId="1435" xr:uid="{00000000-0005-0000-0000-0000A0050000}"/>
    <cellStyle name="Normal 24 2" xfId="1436" xr:uid="{00000000-0005-0000-0000-0000A1050000}"/>
    <cellStyle name="Normal 24 2 10" xfId="1437" xr:uid="{00000000-0005-0000-0000-0000A2050000}"/>
    <cellStyle name="Normal 24 2 11" xfId="1438" xr:uid="{00000000-0005-0000-0000-0000A3050000}"/>
    <cellStyle name="Normal 24 2 12" xfId="1439" xr:uid="{00000000-0005-0000-0000-0000A4050000}"/>
    <cellStyle name="Normal 24 2 13" xfId="1440" xr:uid="{00000000-0005-0000-0000-0000A5050000}"/>
    <cellStyle name="Normal 24 2 2" xfId="1441" xr:uid="{00000000-0005-0000-0000-0000A6050000}"/>
    <cellStyle name="Normal 24 2 2 10" xfId="1442" xr:uid="{00000000-0005-0000-0000-0000A7050000}"/>
    <cellStyle name="Normal 24 2 2 11" xfId="1443" xr:uid="{00000000-0005-0000-0000-0000A8050000}"/>
    <cellStyle name="Normal 24 2 2 2" xfId="1444" xr:uid="{00000000-0005-0000-0000-0000A9050000}"/>
    <cellStyle name="Normal 24 2 2 3" xfId="1445" xr:uid="{00000000-0005-0000-0000-0000AA050000}"/>
    <cellStyle name="Normal 24 2 2 4" xfId="1446" xr:uid="{00000000-0005-0000-0000-0000AB050000}"/>
    <cellStyle name="Normal 24 2 2 5" xfId="1447" xr:uid="{00000000-0005-0000-0000-0000AC050000}"/>
    <cellStyle name="Normal 24 2 2 6" xfId="1448" xr:uid="{00000000-0005-0000-0000-0000AD050000}"/>
    <cellStyle name="Normal 24 2 2 7" xfId="1449" xr:uid="{00000000-0005-0000-0000-0000AE050000}"/>
    <cellStyle name="Normal 24 2 2 8" xfId="1450" xr:uid="{00000000-0005-0000-0000-0000AF050000}"/>
    <cellStyle name="Normal 24 2 2 9" xfId="1451" xr:uid="{00000000-0005-0000-0000-0000B0050000}"/>
    <cellStyle name="Normal 24 2 3" xfId="1452" xr:uid="{00000000-0005-0000-0000-0000B1050000}"/>
    <cellStyle name="Normal 24 2 4" xfId="1453" xr:uid="{00000000-0005-0000-0000-0000B2050000}"/>
    <cellStyle name="Normal 24 2 5" xfId="1454" xr:uid="{00000000-0005-0000-0000-0000B3050000}"/>
    <cellStyle name="Normal 24 2 6" xfId="1455" xr:uid="{00000000-0005-0000-0000-0000B4050000}"/>
    <cellStyle name="Normal 24 2 7" xfId="1456" xr:uid="{00000000-0005-0000-0000-0000B5050000}"/>
    <cellStyle name="Normal 24 2 8" xfId="1457" xr:uid="{00000000-0005-0000-0000-0000B6050000}"/>
    <cellStyle name="Normal 24 2 9" xfId="1458" xr:uid="{00000000-0005-0000-0000-0000B7050000}"/>
    <cellStyle name="Normal 24 20" xfId="1459" xr:uid="{00000000-0005-0000-0000-0000B8050000}"/>
    <cellStyle name="Normal 24 21" xfId="1460" xr:uid="{00000000-0005-0000-0000-0000B9050000}"/>
    <cellStyle name="Normal 24 22" xfId="1461" xr:uid="{00000000-0005-0000-0000-0000BA050000}"/>
    <cellStyle name="Normal 24 23" xfId="1462" xr:uid="{00000000-0005-0000-0000-0000BB050000}"/>
    <cellStyle name="Normal 24 24" xfId="1463" xr:uid="{00000000-0005-0000-0000-0000BC050000}"/>
    <cellStyle name="Normal 24 25" xfId="1464" xr:uid="{00000000-0005-0000-0000-0000BD050000}"/>
    <cellStyle name="Normal 24 3" xfId="1465" xr:uid="{00000000-0005-0000-0000-0000BE050000}"/>
    <cellStyle name="Normal 24 3 10" xfId="1466" xr:uid="{00000000-0005-0000-0000-0000BF050000}"/>
    <cellStyle name="Normal 24 3 11" xfId="1467" xr:uid="{00000000-0005-0000-0000-0000C0050000}"/>
    <cellStyle name="Normal 24 3 12" xfId="1468" xr:uid="{00000000-0005-0000-0000-0000C1050000}"/>
    <cellStyle name="Normal 24 3 13" xfId="1469" xr:uid="{00000000-0005-0000-0000-0000C2050000}"/>
    <cellStyle name="Normal 24 3 2" xfId="1470" xr:uid="{00000000-0005-0000-0000-0000C3050000}"/>
    <cellStyle name="Normal 24 3 2 10" xfId="1471" xr:uid="{00000000-0005-0000-0000-0000C4050000}"/>
    <cellStyle name="Normal 24 3 2 11" xfId="1472" xr:uid="{00000000-0005-0000-0000-0000C5050000}"/>
    <cellStyle name="Normal 24 3 2 2" xfId="1473" xr:uid="{00000000-0005-0000-0000-0000C6050000}"/>
    <cellStyle name="Normal 24 3 2 3" xfId="1474" xr:uid="{00000000-0005-0000-0000-0000C7050000}"/>
    <cellStyle name="Normal 24 3 2 4" xfId="1475" xr:uid="{00000000-0005-0000-0000-0000C8050000}"/>
    <cellStyle name="Normal 24 3 2 5" xfId="1476" xr:uid="{00000000-0005-0000-0000-0000C9050000}"/>
    <cellStyle name="Normal 24 3 2 6" xfId="1477" xr:uid="{00000000-0005-0000-0000-0000CA050000}"/>
    <cellStyle name="Normal 24 3 2 7" xfId="1478" xr:uid="{00000000-0005-0000-0000-0000CB050000}"/>
    <cellStyle name="Normal 24 3 2 8" xfId="1479" xr:uid="{00000000-0005-0000-0000-0000CC050000}"/>
    <cellStyle name="Normal 24 3 2 9" xfId="1480" xr:uid="{00000000-0005-0000-0000-0000CD050000}"/>
    <cellStyle name="Normal 24 3 3" xfId="1481" xr:uid="{00000000-0005-0000-0000-0000CE050000}"/>
    <cellStyle name="Normal 24 3 4" xfId="1482" xr:uid="{00000000-0005-0000-0000-0000CF050000}"/>
    <cellStyle name="Normal 24 3 5" xfId="1483" xr:uid="{00000000-0005-0000-0000-0000D0050000}"/>
    <cellStyle name="Normal 24 3 6" xfId="1484" xr:uid="{00000000-0005-0000-0000-0000D1050000}"/>
    <cellStyle name="Normal 24 3 7" xfId="1485" xr:uid="{00000000-0005-0000-0000-0000D2050000}"/>
    <cellStyle name="Normal 24 3 8" xfId="1486" xr:uid="{00000000-0005-0000-0000-0000D3050000}"/>
    <cellStyle name="Normal 24 3 9" xfId="1487" xr:uid="{00000000-0005-0000-0000-0000D4050000}"/>
    <cellStyle name="Normal 24 4" xfId="1488" xr:uid="{00000000-0005-0000-0000-0000D5050000}"/>
    <cellStyle name="Normal 24 4 10" xfId="1489" xr:uid="{00000000-0005-0000-0000-0000D6050000}"/>
    <cellStyle name="Normal 24 4 11" xfId="1490" xr:uid="{00000000-0005-0000-0000-0000D7050000}"/>
    <cellStyle name="Normal 24 4 12" xfId="1491" xr:uid="{00000000-0005-0000-0000-0000D8050000}"/>
    <cellStyle name="Normal 24 4 13" xfId="1492" xr:uid="{00000000-0005-0000-0000-0000D9050000}"/>
    <cellStyle name="Normal 24 4 2" xfId="1493" xr:uid="{00000000-0005-0000-0000-0000DA050000}"/>
    <cellStyle name="Normal 24 4 2 10" xfId="1494" xr:uid="{00000000-0005-0000-0000-0000DB050000}"/>
    <cellStyle name="Normal 24 4 2 11" xfId="1495" xr:uid="{00000000-0005-0000-0000-0000DC050000}"/>
    <cellStyle name="Normal 24 4 2 2" xfId="1496" xr:uid="{00000000-0005-0000-0000-0000DD050000}"/>
    <cellStyle name="Normal 24 4 2 3" xfId="1497" xr:uid="{00000000-0005-0000-0000-0000DE050000}"/>
    <cellStyle name="Normal 24 4 2 4" xfId="1498" xr:uid="{00000000-0005-0000-0000-0000DF050000}"/>
    <cellStyle name="Normal 24 4 2 5" xfId="1499" xr:uid="{00000000-0005-0000-0000-0000E0050000}"/>
    <cellStyle name="Normal 24 4 2 6" xfId="1500" xr:uid="{00000000-0005-0000-0000-0000E1050000}"/>
    <cellStyle name="Normal 24 4 2 7" xfId="1501" xr:uid="{00000000-0005-0000-0000-0000E2050000}"/>
    <cellStyle name="Normal 24 4 2 8" xfId="1502" xr:uid="{00000000-0005-0000-0000-0000E3050000}"/>
    <cellStyle name="Normal 24 4 2 9" xfId="1503" xr:uid="{00000000-0005-0000-0000-0000E4050000}"/>
    <cellStyle name="Normal 24 4 3" xfId="1504" xr:uid="{00000000-0005-0000-0000-0000E5050000}"/>
    <cellStyle name="Normal 24 4 4" xfId="1505" xr:uid="{00000000-0005-0000-0000-0000E6050000}"/>
    <cellStyle name="Normal 24 4 5" xfId="1506" xr:uid="{00000000-0005-0000-0000-0000E7050000}"/>
    <cellStyle name="Normal 24 4 6" xfId="1507" xr:uid="{00000000-0005-0000-0000-0000E8050000}"/>
    <cellStyle name="Normal 24 4 7" xfId="1508" xr:uid="{00000000-0005-0000-0000-0000E9050000}"/>
    <cellStyle name="Normal 24 4 8" xfId="1509" xr:uid="{00000000-0005-0000-0000-0000EA050000}"/>
    <cellStyle name="Normal 24 4 9" xfId="1510" xr:uid="{00000000-0005-0000-0000-0000EB050000}"/>
    <cellStyle name="Normal 24 5" xfId="1511" xr:uid="{00000000-0005-0000-0000-0000EC050000}"/>
    <cellStyle name="Normal 24 5 10" xfId="1512" xr:uid="{00000000-0005-0000-0000-0000ED050000}"/>
    <cellStyle name="Normal 24 5 11" xfId="1513" xr:uid="{00000000-0005-0000-0000-0000EE050000}"/>
    <cellStyle name="Normal 24 5 12" xfId="1514" xr:uid="{00000000-0005-0000-0000-0000EF050000}"/>
    <cellStyle name="Normal 24 5 13" xfId="1515" xr:uid="{00000000-0005-0000-0000-0000F0050000}"/>
    <cellStyle name="Normal 24 5 2" xfId="1516" xr:uid="{00000000-0005-0000-0000-0000F1050000}"/>
    <cellStyle name="Normal 24 5 2 10" xfId="1517" xr:uid="{00000000-0005-0000-0000-0000F2050000}"/>
    <cellStyle name="Normal 24 5 2 11" xfId="1518" xr:uid="{00000000-0005-0000-0000-0000F3050000}"/>
    <cellStyle name="Normal 24 5 2 2" xfId="1519" xr:uid="{00000000-0005-0000-0000-0000F4050000}"/>
    <cellStyle name="Normal 24 5 2 3" xfId="1520" xr:uid="{00000000-0005-0000-0000-0000F5050000}"/>
    <cellStyle name="Normal 24 5 2 4" xfId="1521" xr:uid="{00000000-0005-0000-0000-0000F6050000}"/>
    <cellStyle name="Normal 24 5 2 5" xfId="1522" xr:uid="{00000000-0005-0000-0000-0000F7050000}"/>
    <cellStyle name="Normal 24 5 2 6" xfId="1523" xr:uid="{00000000-0005-0000-0000-0000F8050000}"/>
    <cellStyle name="Normal 24 5 2 7" xfId="1524" xr:uid="{00000000-0005-0000-0000-0000F9050000}"/>
    <cellStyle name="Normal 24 5 2 8" xfId="1525" xr:uid="{00000000-0005-0000-0000-0000FA050000}"/>
    <cellStyle name="Normal 24 5 2 9" xfId="1526" xr:uid="{00000000-0005-0000-0000-0000FB050000}"/>
    <cellStyle name="Normal 24 5 3" xfId="1527" xr:uid="{00000000-0005-0000-0000-0000FC050000}"/>
    <cellStyle name="Normal 24 5 4" xfId="1528" xr:uid="{00000000-0005-0000-0000-0000FD050000}"/>
    <cellStyle name="Normal 24 5 5" xfId="1529" xr:uid="{00000000-0005-0000-0000-0000FE050000}"/>
    <cellStyle name="Normal 24 5 6" xfId="1530" xr:uid="{00000000-0005-0000-0000-0000FF050000}"/>
    <cellStyle name="Normal 24 5 7" xfId="1531" xr:uid="{00000000-0005-0000-0000-000000060000}"/>
    <cellStyle name="Normal 24 5 8" xfId="1532" xr:uid="{00000000-0005-0000-0000-000001060000}"/>
    <cellStyle name="Normal 24 5 9" xfId="1533" xr:uid="{00000000-0005-0000-0000-000002060000}"/>
    <cellStyle name="Normal 24 6" xfId="1534" xr:uid="{00000000-0005-0000-0000-000003060000}"/>
    <cellStyle name="Normal 24 6 10" xfId="1535" xr:uid="{00000000-0005-0000-0000-000004060000}"/>
    <cellStyle name="Normal 24 6 11" xfId="1536" xr:uid="{00000000-0005-0000-0000-000005060000}"/>
    <cellStyle name="Normal 24 6 12" xfId="1537" xr:uid="{00000000-0005-0000-0000-000006060000}"/>
    <cellStyle name="Normal 24 6 13" xfId="1538" xr:uid="{00000000-0005-0000-0000-000007060000}"/>
    <cellStyle name="Normal 24 6 2" xfId="1539" xr:uid="{00000000-0005-0000-0000-000008060000}"/>
    <cellStyle name="Normal 24 6 2 10" xfId="1540" xr:uid="{00000000-0005-0000-0000-000009060000}"/>
    <cellStyle name="Normal 24 6 2 11" xfId="1541" xr:uid="{00000000-0005-0000-0000-00000A060000}"/>
    <cellStyle name="Normal 24 6 2 2" xfId="1542" xr:uid="{00000000-0005-0000-0000-00000B060000}"/>
    <cellStyle name="Normal 24 6 2 3" xfId="1543" xr:uid="{00000000-0005-0000-0000-00000C060000}"/>
    <cellStyle name="Normal 24 6 2 4" xfId="1544" xr:uid="{00000000-0005-0000-0000-00000D060000}"/>
    <cellStyle name="Normal 24 6 2 5" xfId="1545" xr:uid="{00000000-0005-0000-0000-00000E060000}"/>
    <cellStyle name="Normal 24 6 2 6" xfId="1546" xr:uid="{00000000-0005-0000-0000-00000F060000}"/>
    <cellStyle name="Normal 24 6 2 7" xfId="1547" xr:uid="{00000000-0005-0000-0000-000010060000}"/>
    <cellStyle name="Normal 24 6 2 8" xfId="1548" xr:uid="{00000000-0005-0000-0000-000011060000}"/>
    <cellStyle name="Normal 24 6 2 9" xfId="1549" xr:uid="{00000000-0005-0000-0000-000012060000}"/>
    <cellStyle name="Normal 24 6 3" xfId="1550" xr:uid="{00000000-0005-0000-0000-000013060000}"/>
    <cellStyle name="Normal 24 6 4" xfId="1551" xr:uid="{00000000-0005-0000-0000-000014060000}"/>
    <cellStyle name="Normal 24 6 5" xfId="1552" xr:uid="{00000000-0005-0000-0000-000015060000}"/>
    <cellStyle name="Normal 24 6 6" xfId="1553" xr:uid="{00000000-0005-0000-0000-000016060000}"/>
    <cellStyle name="Normal 24 6 7" xfId="1554" xr:uid="{00000000-0005-0000-0000-000017060000}"/>
    <cellStyle name="Normal 24 6 8" xfId="1555" xr:uid="{00000000-0005-0000-0000-000018060000}"/>
    <cellStyle name="Normal 24 6 9" xfId="1556" xr:uid="{00000000-0005-0000-0000-000019060000}"/>
    <cellStyle name="Normal 24 7" xfId="1557" xr:uid="{00000000-0005-0000-0000-00001A060000}"/>
    <cellStyle name="Normal 24 7 10" xfId="1558" xr:uid="{00000000-0005-0000-0000-00001B060000}"/>
    <cellStyle name="Normal 24 7 11" xfId="1559" xr:uid="{00000000-0005-0000-0000-00001C060000}"/>
    <cellStyle name="Normal 24 7 12" xfId="1560" xr:uid="{00000000-0005-0000-0000-00001D060000}"/>
    <cellStyle name="Normal 24 7 13" xfId="1561" xr:uid="{00000000-0005-0000-0000-00001E060000}"/>
    <cellStyle name="Normal 24 7 2" xfId="1562" xr:uid="{00000000-0005-0000-0000-00001F060000}"/>
    <cellStyle name="Normal 24 7 2 10" xfId="1563" xr:uid="{00000000-0005-0000-0000-000020060000}"/>
    <cellStyle name="Normal 24 7 2 11" xfId="1564" xr:uid="{00000000-0005-0000-0000-000021060000}"/>
    <cellStyle name="Normal 24 7 2 2" xfId="1565" xr:uid="{00000000-0005-0000-0000-000022060000}"/>
    <cellStyle name="Normal 24 7 2 3" xfId="1566" xr:uid="{00000000-0005-0000-0000-000023060000}"/>
    <cellStyle name="Normal 24 7 2 4" xfId="1567" xr:uid="{00000000-0005-0000-0000-000024060000}"/>
    <cellStyle name="Normal 24 7 2 5" xfId="1568" xr:uid="{00000000-0005-0000-0000-000025060000}"/>
    <cellStyle name="Normal 24 7 2 6" xfId="1569" xr:uid="{00000000-0005-0000-0000-000026060000}"/>
    <cellStyle name="Normal 24 7 2 7" xfId="1570" xr:uid="{00000000-0005-0000-0000-000027060000}"/>
    <cellStyle name="Normal 24 7 2 8" xfId="1571" xr:uid="{00000000-0005-0000-0000-000028060000}"/>
    <cellStyle name="Normal 24 7 2 9" xfId="1572" xr:uid="{00000000-0005-0000-0000-000029060000}"/>
    <cellStyle name="Normal 24 7 3" xfId="1573" xr:uid="{00000000-0005-0000-0000-00002A060000}"/>
    <cellStyle name="Normal 24 7 4" xfId="1574" xr:uid="{00000000-0005-0000-0000-00002B060000}"/>
    <cellStyle name="Normal 24 7 5" xfId="1575" xr:uid="{00000000-0005-0000-0000-00002C060000}"/>
    <cellStyle name="Normal 24 7 6" xfId="1576" xr:uid="{00000000-0005-0000-0000-00002D060000}"/>
    <cellStyle name="Normal 24 7 7" xfId="1577" xr:uid="{00000000-0005-0000-0000-00002E060000}"/>
    <cellStyle name="Normal 24 7 8" xfId="1578" xr:uid="{00000000-0005-0000-0000-00002F060000}"/>
    <cellStyle name="Normal 24 7 9" xfId="1579" xr:uid="{00000000-0005-0000-0000-000030060000}"/>
    <cellStyle name="Normal 24 8" xfId="1580" xr:uid="{00000000-0005-0000-0000-000031060000}"/>
    <cellStyle name="Normal 24 8 10" xfId="1581" xr:uid="{00000000-0005-0000-0000-000032060000}"/>
    <cellStyle name="Normal 24 8 11" xfId="1582" xr:uid="{00000000-0005-0000-0000-000033060000}"/>
    <cellStyle name="Normal 24 8 12" xfId="1583" xr:uid="{00000000-0005-0000-0000-000034060000}"/>
    <cellStyle name="Normal 24 8 13" xfId="1584" xr:uid="{00000000-0005-0000-0000-000035060000}"/>
    <cellStyle name="Normal 24 8 2" xfId="1585" xr:uid="{00000000-0005-0000-0000-000036060000}"/>
    <cellStyle name="Normal 24 8 2 10" xfId="1586" xr:uid="{00000000-0005-0000-0000-000037060000}"/>
    <cellStyle name="Normal 24 8 2 11" xfId="1587" xr:uid="{00000000-0005-0000-0000-000038060000}"/>
    <cellStyle name="Normal 24 8 2 2" xfId="1588" xr:uid="{00000000-0005-0000-0000-000039060000}"/>
    <cellStyle name="Normal 24 8 2 3" xfId="1589" xr:uid="{00000000-0005-0000-0000-00003A060000}"/>
    <cellStyle name="Normal 24 8 2 4" xfId="1590" xr:uid="{00000000-0005-0000-0000-00003B060000}"/>
    <cellStyle name="Normal 24 8 2 5" xfId="1591" xr:uid="{00000000-0005-0000-0000-00003C060000}"/>
    <cellStyle name="Normal 24 8 2 6" xfId="1592" xr:uid="{00000000-0005-0000-0000-00003D060000}"/>
    <cellStyle name="Normal 24 8 2 7" xfId="1593" xr:uid="{00000000-0005-0000-0000-00003E060000}"/>
    <cellStyle name="Normal 24 8 2 8" xfId="1594" xr:uid="{00000000-0005-0000-0000-00003F060000}"/>
    <cellStyle name="Normal 24 8 2 9" xfId="1595" xr:uid="{00000000-0005-0000-0000-000040060000}"/>
    <cellStyle name="Normal 24 8 3" xfId="1596" xr:uid="{00000000-0005-0000-0000-000041060000}"/>
    <cellStyle name="Normal 24 8 4" xfId="1597" xr:uid="{00000000-0005-0000-0000-000042060000}"/>
    <cellStyle name="Normal 24 8 5" xfId="1598" xr:uid="{00000000-0005-0000-0000-000043060000}"/>
    <cellStyle name="Normal 24 8 6" xfId="1599" xr:uid="{00000000-0005-0000-0000-000044060000}"/>
    <cellStyle name="Normal 24 8 7" xfId="1600" xr:uid="{00000000-0005-0000-0000-000045060000}"/>
    <cellStyle name="Normal 24 8 8" xfId="1601" xr:uid="{00000000-0005-0000-0000-000046060000}"/>
    <cellStyle name="Normal 24 8 9" xfId="1602" xr:uid="{00000000-0005-0000-0000-000047060000}"/>
    <cellStyle name="Normal 24 9" xfId="1603" xr:uid="{00000000-0005-0000-0000-000048060000}"/>
    <cellStyle name="Normal 24 9 10" xfId="1604" xr:uid="{00000000-0005-0000-0000-000049060000}"/>
    <cellStyle name="Normal 24 9 11" xfId="1605" xr:uid="{00000000-0005-0000-0000-00004A060000}"/>
    <cellStyle name="Normal 24 9 12" xfId="1606" xr:uid="{00000000-0005-0000-0000-00004B060000}"/>
    <cellStyle name="Normal 24 9 13" xfId="1607" xr:uid="{00000000-0005-0000-0000-00004C060000}"/>
    <cellStyle name="Normal 24 9 2" xfId="1608" xr:uid="{00000000-0005-0000-0000-00004D060000}"/>
    <cellStyle name="Normal 24 9 2 10" xfId="1609" xr:uid="{00000000-0005-0000-0000-00004E060000}"/>
    <cellStyle name="Normal 24 9 2 11" xfId="1610" xr:uid="{00000000-0005-0000-0000-00004F060000}"/>
    <cellStyle name="Normal 24 9 2 2" xfId="1611" xr:uid="{00000000-0005-0000-0000-000050060000}"/>
    <cellStyle name="Normal 24 9 2 3" xfId="1612" xr:uid="{00000000-0005-0000-0000-000051060000}"/>
    <cellStyle name="Normal 24 9 2 4" xfId="1613" xr:uid="{00000000-0005-0000-0000-000052060000}"/>
    <cellStyle name="Normal 24 9 2 5" xfId="1614" xr:uid="{00000000-0005-0000-0000-000053060000}"/>
    <cellStyle name="Normal 24 9 2 6" xfId="1615" xr:uid="{00000000-0005-0000-0000-000054060000}"/>
    <cellStyle name="Normal 24 9 2 7" xfId="1616" xr:uid="{00000000-0005-0000-0000-000055060000}"/>
    <cellStyle name="Normal 24 9 2 8" xfId="1617" xr:uid="{00000000-0005-0000-0000-000056060000}"/>
    <cellStyle name="Normal 24 9 2 9" xfId="1618" xr:uid="{00000000-0005-0000-0000-000057060000}"/>
    <cellStyle name="Normal 24 9 3" xfId="1619" xr:uid="{00000000-0005-0000-0000-000058060000}"/>
    <cellStyle name="Normal 24 9 4" xfId="1620" xr:uid="{00000000-0005-0000-0000-000059060000}"/>
    <cellStyle name="Normal 24 9 5" xfId="1621" xr:uid="{00000000-0005-0000-0000-00005A060000}"/>
    <cellStyle name="Normal 24 9 6" xfId="1622" xr:uid="{00000000-0005-0000-0000-00005B060000}"/>
    <cellStyle name="Normal 24 9 7" xfId="1623" xr:uid="{00000000-0005-0000-0000-00005C060000}"/>
    <cellStyle name="Normal 24 9 8" xfId="1624" xr:uid="{00000000-0005-0000-0000-00005D060000}"/>
    <cellStyle name="Normal 24 9 9" xfId="1625" xr:uid="{00000000-0005-0000-0000-00005E060000}"/>
    <cellStyle name="Normal 25" xfId="1626" xr:uid="{00000000-0005-0000-0000-00005F060000}"/>
    <cellStyle name="Normal 25 10" xfId="1627" xr:uid="{00000000-0005-0000-0000-000060060000}"/>
    <cellStyle name="Normal 25 10 10" xfId="1628" xr:uid="{00000000-0005-0000-0000-000061060000}"/>
    <cellStyle name="Normal 25 10 11" xfId="1629" xr:uid="{00000000-0005-0000-0000-000062060000}"/>
    <cellStyle name="Normal 25 10 12" xfId="1630" xr:uid="{00000000-0005-0000-0000-000063060000}"/>
    <cellStyle name="Normal 25 10 13" xfId="1631" xr:uid="{00000000-0005-0000-0000-000064060000}"/>
    <cellStyle name="Normal 25 10 2" xfId="1632" xr:uid="{00000000-0005-0000-0000-000065060000}"/>
    <cellStyle name="Normal 25 10 2 10" xfId="1633" xr:uid="{00000000-0005-0000-0000-000066060000}"/>
    <cellStyle name="Normal 25 10 2 11" xfId="1634" xr:uid="{00000000-0005-0000-0000-000067060000}"/>
    <cellStyle name="Normal 25 10 2 2" xfId="1635" xr:uid="{00000000-0005-0000-0000-000068060000}"/>
    <cellStyle name="Normal 25 10 2 3" xfId="1636" xr:uid="{00000000-0005-0000-0000-000069060000}"/>
    <cellStyle name="Normal 25 10 2 4" xfId="1637" xr:uid="{00000000-0005-0000-0000-00006A060000}"/>
    <cellStyle name="Normal 25 10 2 5" xfId="1638" xr:uid="{00000000-0005-0000-0000-00006B060000}"/>
    <cellStyle name="Normal 25 10 2 6" xfId="1639" xr:uid="{00000000-0005-0000-0000-00006C060000}"/>
    <cellStyle name="Normal 25 10 2 7" xfId="1640" xr:uid="{00000000-0005-0000-0000-00006D060000}"/>
    <cellStyle name="Normal 25 10 2 8" xfId="1641" xr:uid="{00000000-0005-0000-0000-00006E060000}"/>
    <cellStyle name="Normal 25 10 2 9" xfId="1642" xr:uid="{00000000-0005-0000-0000-00006F060000}"/>
    <cellStyle name="Normal 25 10 3" xfId="1643" xr:uid="{00000000-0005-0000-0000-000070060000}"/>
    <cellStyle name="Normal 25 10 4" xfId="1644" xr:uid="{00000000-0005-0000-0000-000071060000}"/>
    <cellStyle name="Normal 25 10 5" xfId="1645" xr:uid="{00000000-0005-0000-0000-000072060000}"/>
    <cellStyle name="Normal 25 10 6" xfId="1646" xr:uid="{00000000-0005-0000-0000-000073060000}"/>
    <cellStyle name="Normal 25 10 7" xfId="1647" xr:uid="{00000000-0005-0000-0000-000074060000}"/>
    <cellStyle name="Normal 25 10 8" xfId="1648" xr:uid="{00000000-0005-0000-0000-000075060000}"/>
    <cellStyle name="Normal 25 10 9" xfId="1649" xr:uid="{00000000-0005-0000-0000-000076060000}"/>
    <cellStyle name="Normal 25 11" xfId="1650" xr:uid="{00000000-0005-0000-0000-000077060000}"/>
    <cellStyle name="Normal 25 11 10" xfId="1651" xr:uid="{00000000-0005-0000-0000-000078060000}"/>
    <cellStyle name="Normal 25 11 11" xfId="1652" xr:uid="{00000000-0005-0000-0000-000079060000}"/>
    <cellStyle name="Normal 25 11 12" xfId="1653" xr:uid="{00000000-0005-0000-0000-00007A060000}"/>
    <cellStyle name="Normal 25 11 13" xfId="1654" xr:uid="{00000000-0005-0000-0000-00007B060000}"/>
    <cellStyle name="Normal 25 11 2" xfId="1655" xr:uid="{00000000-0005-0000-0000-00007C060000}"/>
    <cellStyle name="Normal 25 11 2 10" xfId="1656" xr:uid="{00000000-0005-0000-0000-00007D060000}"/>
    <cellStyle name="Normal 25 11 2 11" xfId="1657" xr:uid="{00000000-0005-0000-0000-00007E060000}"/>
    <cellStyle name="Normal 25 11 2 2" xfId="1658" xr:uid="{00000000-0005-0000-0000-00007F060000}"/>
    <cellStyle name="Normal 25 11 2 3" xfId="1659" xr:uid="{00000000-0005-0000-0000-000080060000}"/>
    <cellStyle name="Normal 25 11 2 4" xfId="1660" xr:uid="{00000000-0005-0000-0000-000081060000}"/>
    <cellStyle name="Normal 25 11 2 5" xfId="1661" xr:uid="{00000000-0005-0000-0000-000082060000}"/>
    <cellStyle name="Normal 25 11 2 6" xfId="1662" xr:uid="{00000000-0005-0000-0000-000083060000}"/>
    <cellStyle name="Normal 25 11 2 7" xfId="1663" xr:uid="{00000000-0005-0000-0000-000084060000}"/>
    <cellStyle name="Normal 25 11 2 8" xfId="1664" xr:uid="{00000000-0005-0000-0000-000085060000}"/>
    <cellStyle name="Normal 25 11 2 9" xfId="1665" xr:uid="{00000000-0005-0000-0000-000086060000}"/>
    <cellStyle name="Normal 25 11 3" xfId="1666" xr:uid="{00000000-0005-0000-0000-000087060000}"/>
    <cellStyle name="Normal 25 11 4" xfId="1667" xr:uid="{00000000-0005-0000-0000-000088060000}"/>
    <cellStyle name="Normal 25 11 5" xfId="1668" xr:uid="{00000000-0005-0000-0000-000089060000}"/>
    <cellStyle name="Normal 25 11 6" xfId="1669" xr:uid="{00000000-0005-0000-0000-00008A060000}"/>
    <cellStyle name="Normal 25 11 7" xfId="1670" xr:uid="{00000000-0005-0000-0000-00008B060000}"/>
    <cellStyle name="Normal 25 11 8" xfId="1671" xr:uid="{00000000-0005-0000-0000-00008C060000}"/>
    <cellStyle name="Normal 25 11 9" xfId="1672" xr:uid="{00000000-0005-0000-0000-00008D060000}"/>
    <cellStyle name="Normal 25 12" xfId="1673" xr:uid="{00000000-0005-0000-0000-00008E060000}"/>
    <cellStyle name="Normal 25 12 10" xfId="1674" xr:uid="{00000000-0005-0000-0000-00008F060000}"/>
    <cellStyle name="Normal 25 12 11" xfId="1675" xr:uid="{00000000-0005-0000-0000-000090060000}"/>
    <cellStyle name="Normal 25 12 12" xfId="1676" xr:uid="{00000000-0005-0000-0000-000091060000}"/>
    <cellStyle name="Normal 25 12 13" xfId="1677" xr:uid="{00000000-0005-0000-0000-000092060000}"/>
    <cellStyle name="Normal 25 12 2" xfId="1678" xr:uid="{00000000-0005-0000-0000-000093060000}"/>
    <cellStyle name="Normal 25 12 2 10" xfId="1679" xr:uid="{00000000-0005-0000-0000-000094060000}"/>
    <cellStyle name="Normal 25 12 2 11" xfId="1680" xr:uid="{00000000-0005-0000-0000-000095060000}"/>
    <cellStyle name="Normal 25 12 2 2" xfId="1681" xr:uid="{00000000-0005-0000-0000-000096060000}"/>
    <cellStyle name="Normal 25 12 2 3" xfId="1682" xr:uid="{00000000-0005-0000-0000-000097060000}"/>
    <cellStyle name="Normal 25 12 2 4" xfId="1683" xr:uid="{00000000-0005-0000-0000-000098060000}"/>
    <cellStyle name="Normal 25 12 2 5" xfId="1684" xr:uid="{00000000-0005-0000-0000-000099060000}"/>
    <cellStyle name="Normal 25 12 2 6" xfId="1685" xr:uid="{00000000-0005-0000-0000-00009A060000}"/>
    <cellStyle name="Normal 25 12 2 7" xfId="1686" xr:uid="{00000000-0005-0000-0000-00009B060000}"/>
    <cellStyle name="Normal 25 12 2 8" xfId="1687" xr:uid="{00000000-0005-0000-0000-00009C060000}"/>
    <cellStyle name="Normal 25 12 2 9" xfId="1688" xr:uid="{00000000-0005-0000-0000-00009D060000}"/>
    <cellStyle name="Normal 25 12 3" xfId="1689" xr:uid="{00000000-0005-0000-0000-00009E060000}"/>
    <cellStyle name="Normal 25 12 4" xfId="1690" xr:uid="{00000000-0005-0000-0000-00009F060000}"/>
    <cellStyle name="Normal 25 12 5" xfId="1691" xr:uid="{00000000-0005-0000-0000-0000A0060000}"/>
    <cellStyle name="Normal 25 12 6" xfId="1692" xr:uid="{00000000-0005-0000-0000-0000A1060000}"/>
    <cellStyle name="Normal 25 12 7" xfId="1693" xr:uid="{00000000-0005-0000-0000-0000A2060000}"/>
    <cellStyle name="Normal 25 12 8" xfId="1694" xr:uid="{00000000-0005-0000-0000-0000A3060000}"/>
    <cellStyle name="Normal 25 12 9" xfId="1695" xr:uid="{00000000-0005-0000-0000-0000A4060000}"/>
    <cellStyle name="Normal 25 13" xfId="1696" xr:uid="{00000000-0005-0000-0000-0000A5060000}"/>
    <cellStyle name="Normal 25 13 10" xfId="1697" xr:uid="{00000000-0005-0000-0000-0000A6060000}"/>
    <cellStyle name="Normal 25 13 11" xfId="1698" xr:uid="{00000000-0005-0000-0000-0000A7060000}"/>
    <cellStyle name="Normal 25 13 12" xfId="1699" xr:uid="{00000000-0005-0000-0000-0000A8060000}"/>
    <cellStyle name="Normal 25 13 13" xfId="1700" xr:uid="{00000000-0005-0000-0000-0000A9060000}"/>
    <cellStyle name="Normal 25 13 2" xfId="1701" xr:uid="{00000000-0005-0000-0000-0000AA060000}"/>
    <cellStyle name="Normal 25 13 2 10" xfId="1702" xr:uid="{00000000-0005-0000-0000-0000AB060000}"/>
    <cellStyle name="Normal 25 13 2 11" xfId="1703" xr:uid="{00000000-0005-0000-0000-0000AC060000}"/>
    <cellStyle name="Normal 25 13 2 2" xfId="1704" xr:uid="{00000000-0005-0000-0000-0000AD060000}"/>
    <cellStyle name="Normal 25 13 2 3" xfId="1705" xr:uid="{00000000-0005-0000-0000-0000AE060000}"/>
    <cellStyle name="Normal 25 13 2 4" xfId="1706" xr:uid="{00000000-0005-0000-0000-0000AF060000}"/>
    <cellStyle name="Normal 25 13 2 5" xfId="1707" xr:uid="{00000000-0005-0000-0000-0000B0060000}"/>
    <cellStyle name="Normal 25 13 2 6" xfId="1708" xr:uid="{00000000-0005-0000-0000-0000B1060000}"/>
    <cellStyle name="Normal 25 13 2 7" xfId="1709" xr:uid="{00000000-0005-0000-0000-0000B2060000}"/>
    <cellStyle name="Normal 25 13 2 8" xfId="1710" xr:uid="{00000000-0005-0000-0000-0000B3060000}"/>
    <cellStyle name="Normal 25 13 2 9" xfId="1711" xr:uid="{00000000-0005-0000-0000-0000B4060000}"/>
    <cellStyle name="Normal 25 13 3" xfId="1712" xr:uid="{00000000-0005-0000-0000-0000B5060000}"/>
    <cellStyle name="Normal 25 13 4" xfId="1713" xr:uid="{00000000-0005-0000-0000-0000B6060000}"/>
    <cellStyle name="Normal 25 13 5" xfId="1714" xr:uid="{00000000-0005-0000-0000-0000B7060000}"/>
    <cellStyle name="Normal 25 13 6" xfId="1715" xr:uid="{00000000-0005-0000-0000-0000B8060000}"/>
    <cellStyle name="Normal 25 13 7" xfId="1716" xr:uid="{00000000-0005-0000-0000-0000B9060000}"/>
    <cellStyle name="Normal 25 13 8" xfId="1717" xr:uid="{00000000-0005-0000-0000-0000BA060000}"/>
    <cellStyle name="Normal 25 13 9" xfId="1718" xr:uid="{00000000-0005-0000-0000-0000BB060000}"/>
    <cellStyle name="Normal 25 14" xfId="1719" xr:uid="{00000000-0005-0000-0000-0000BC060000}"/>
    <cellStyle name="Normal 25 14 10" xfId="1720" xr:uid="{00000000-0005-0000-0000-0000BD060000}"/>
    <cellStyle name="Normal 25 14 11" xfId="1721" xr:uid="{00000000-0005-0000-0000-0000BE060000}"/>
    <cellStyle name="Normal 25 14 2" xfId="1722" xr:uid="{00000000-0005-0000-0000-0000BF060000}"/>
    <cellStyle name="Normal 25 14 3" xfId="1723" xr:uid="{00000000-0005-0000-0000-0000C0060000}"/>
    <cellStyle name="Normal 25 14 4" xfId="1724" xr:uid="{00000000-0005-0000-0000-0000C1060000}"/>
    <cellStyle name="Normal 25 14 5" xfId="1725" xr:uid="{00000000-0005-0000-0000-0000C2060000}"/>
    <cellStyle name="Normal 25 14 6" xfId="1726" xr:uid="{00000000-0005-0000-0000-0000C3060000}"/>
    <cellStyle name="Normal 25 14 7" xfId="1727" xr:uid="{00000000-0005-0000-0000-0000C4060000}"/>
    <cellStyle name="Normal 25 14 8" xfId="1728" xr:uid="{00000000-0005-0000-0000-0000C5060000}"/>
    <cellStyle name="Normal 25 14 9" xfId="1729" xr:uid="{00000000-0005-0000-0000-0000C6060000}"/>
    <cellStyle name="Normal 25 15" xfId="1730" xr:uid="{00000000-0005-0000-0000-0000C7060000}"/>
    <cellStyle name="Normal 25 16" xfId="1731" xr:uid="{00000000-0005-0000-0000-0000C8060000}"/>
    <cellStyle name="Normal 25 17" xfId="1732" xr:uid="{00000000-0005-0000-0000-0000C9060000}"/>
    <cellStyle name="Normal 25 18" xfId="1733" xr:uid="{00000000-0005-0000-0000-0000CA060000}"/>
    <cellStyle name="Normal 25 19" xfId="1734" xr:uid="{00000000-0005-0000-0000-0000CB060000}"/>
    <cellStyle name="Normal 25 2" xfId="1735" xr:uid="{00000000-0005-0000-0000-0000CC060000}"/>
    <cellStyle name="Normal 25 2 10" xfId="1736" xr:uid="{00000000-0005-0000-0000-0000CD060000}"/>
    <cellStyle name="Normal 25 2 11" xfId="1737" xr:uid="{00000000-0005-0000-0000-0000CE060000}"/>
    <cellStyle name="Normal 25 2 12" xfId="1738" xr:uid="{00000000-0005-0000-0000-0000CF060000}"/>
    <cellStyle name="Normal 25 2 13" xfId="1739" xr:uid="{00000000-0005-0000-0000-0000D0060000}"/>
    <cellStyle name="Normal 25 2 2" xfId="1740" xr:uid="{00000000-0005-0000-0000-0000D1060000}"/>
    <cellStyle name="Normal 25 2 2 10" xfId="1741" xr:uid="{00000000-0005-0000-0000-0000D2060000}"/>
    <cellStyle name="Normal 25 2 2 11" xfId="1742" xr:uid="{00000000-0005-0000-0000-0000D3060000}"/>
    <cellStyle name="Normal 25 2 2 2" xfId="1743" xr:uid="{00000000-0005-0000-0000-0000D4060000}"/>
    <cellStyle name="Normal 25 2 2 3" xfId="1744" xr:uid="{00000000-0005-0000-0000-0000D5060000}"/>
    <cellStyle name="Normal 25 2 2 4" xfId="1745" xr:uid="{00000000-0005-0000-0000-0000D6060000}"/>
    <cellStyle name="Normal 25 2 2 5" xfId="1746" xr:uid="{00000000-0005-0000-0000-0000D7060000}"/>
    <cellStyle name="Normal 25 2 2 6" xfId="1747" xr:uid="{00000000-0005-0000-0000-0000D8060000}"/>
    <cellStyle name="Normal 25 2 2 7" xfId="1748" xr:uid="{00000000-0005-0000-0000-0000D9060000}"/>
    <cellStyle name="Normal 25 2 2 8" xfId="1749" xr:uid="{00000000-0005-0000-0000-0000DA060000}"/>
    <cellStyle name="Normal 25 2 2 9" xfId="1750" xr:uid="{00000000-0005-0000-0000-0000DB060000}"/>
    <cellStyle name="Normal 25 2 3" xfId="1751" xr:uid="{00000000-0005-0000-0000-0000DC060000}"/>
    <cellStyle name="Normal 25 2 4" xfId="1752" xr:uid="{00000000-0005-0000-0000-0000DD060000}"/>
    <cellStyle name="Normal 25 2 5" xfId="1753" xr:uid="{00000000-0005-0000-0000-0000DE060000}"/>
    <cellStyle name="Normal 25 2 6" xfId="1754" xr:uid="{00000000-0005-0000-0000-0000DF060000}"/>
    <cellStyle name="Normal 25 2 7" xfId="1755" xr:uid="{00000000-0005-0000-0000-0000E0060000}"/>
    <cellStyle name="Normal 25 2 8" xfId="1756" xr:uid="{00000000-0005-0000-0000-0000E1060000}"/>
    <cellStyle name="Normal 25 2 9" xfId="1757" xr:uid="{00000000-0005-0000-0000-0000E2060000}"/>
    <cellStyle name="Normal 25 20" xfId="1758" xr:uid="{00000000-0005-0000-0000-0000E3060000}"/>
    <cellStyle name="Normal 25 21" xfId="1759" xr:uid="{00000000-0005-0000-0000-0000E4060000}"/>
    <cellStyle name="Normal 25 22" xfId="1760" xr:uid="{00000000-0005-0000-0000-0000E5060000}"/>
    <cellStyle name="Normal 25 23" xfId="1761" xr:uid="{00000000-0005-0000-0000-0000E6060000}"/>
    <cellStyle name="Normal 25 24" xfId="1762" xr:uid="{00000000-0005-0000-0000-0000E7060000}"/>
    <cellStyle name="Normal 25 25" xfId="1763" xr:uid="{00000000-0005-0000-0000-0000E8060000}"/>
    <cellStyle name="Normal 25 3" xfId="1764" xr:uid="{00000000-0005-0000-0000-0000E9060000}"/>
    <cellStyle name="Normal 25 3 10" xfId="1765" xr:uid="{00000000-0005-0000-0000-0000EA060000}"/>
    <cellStyle name="Normal 25 3 11" xfId="1766" xr:uid="{00000000-0005-0000-0000-0000EB060000}"/>
    <cellStyle name="Normal 25 3 12" xfId="1767" xr:uid="{00000000-0005-0000-0000-0000EC060000}"/>
    <cellStyle name="Normal 25 3 13" xfId="1768" xr:uid="{00000000-0005-0000-0000-0000ED060000}"/>
    <cellStyle name="Normal 25 3 2" xfId="1769" xr:uid="{00000000-0005-0000-0000-0000EE060000}"/>
    <cellStyle name="Normal 25 3 2 10" xfId="1770" xr:uid="{00000000-0005-0000-0000-0000EF060000}"/>
    <cellStyle name="Normal 25 3 2 11" xfId="1771" xr:uid="{00000000-0005-0000-0000-0000F0060000}"/>
    <cellStyle name="Normal 25 3 2 2" xfId="1772" xr:uid="{00000000-0005-0000-0000-0000F1060000}"/>
    <cellStyle name="Normal 25 3 2 3" xfId="1773" xr:uid="{00000000-0005-0000-0000-0000F2060000}"/>
    <cellStyle name="Normal 25 3 2 4" xfId="1774" xr:uid="{00000000-0005-0000-0000-0000F3060000}"/>
    <cellStyle name="Normal 25 3 2 5" xfId="1775" xr:uid="{00000000-0005-0000-0000-0000F4060000}"/>
    <cellStyle name="Normal 25 3 2 6" xfId="1776" xr:uid="{00000000-0005-0000-0000-0000F5060000}"/>
    <cellStyle name="Normal 25 3 2 7" xfId="1777" xr:uid="{00000000-0005-0000-0000-0000F6060000}"/>
    <cellStyle name="Normal 25 3 2 8" xfId="1778" xr:uid="{00000000-0005-0000-0000-0000F7060000}"/>
    <cellStyle name="Normal 25 3 2 9" xfId="1779" xr:uid="{00000000-0005-0000-0000-0000F8060000}"/>
    <cellStyle name="Normal 25 3 3" xfId="1780" xr:uid="{00000000-0005-0000-0000-0000F9060000}"/>
    <cellStyle name="Normal 25 3 4" xfId="1781" xr:uid="{00000000-0005-0000-0000-0000FA060000}"/>
    <cellStyle name="Normal 25 3 5" xfId="1782" xr:uid="{00000000-0005-0000-0000-0000FB060000}"/>
    <cellStyle name="Normal 25 3 6" xfId="1783" xr:uid="{00000000-0005-0000-0000-0000FC060000}"/>
    <cellStyle name="Normal 25 3 7" xfId="1784" xr:uid="{00000000-0005-0000-0000-0000FD060000}"/>
    <cellStyle name="Normal 25 3 8" xfId="1785" xr:uid="{00000000-0005-0000-0000-0000FE060000}"/>
    <cellStyle name="Normal 25 3 9" xfId="1786" xr:uid="{00000000-0005-0000-0000-0000FF060000}"/>
    <cellStyle name="Normal 25 4" xfId="1787" xr:uid="{00000000-0005-0000-0000-000000070000}"/>
    <cellStyle name="Normal 25 4 10" xfId="1788" xr:uid="{00000000-0005-0000-0000-000001070000}"/>
    <cellStyle name="Normal 25 4 11" xfId="1789" xr:uid="{00000000-0005-0000-0000-000002070000}"/>
    <cellStyle name="Normal 25 4 12" xfId="1790" xr:uid="{00000000-0005-0000-0000-000003070000}"/>
    <cellStyle name="Normal 25 4 13" xfId="1791" xr:uid="{00000000-0005-0000-0000-000004070000}"/>
    <cellStyle name="Normal 25 4 2" xfId="1792" xr:uid="{00000000-0005-0000-0000-000005070000}"/>
    <cellStyle name="Normal 25 4 2 10" xfId="1793" xr:uid="{00000000-0005-0000-0000-000006070000}"/>
    <cellStyle name="Normal 25 4 2 11" xfId="1794" xr:uid="{00000000-0005-0000-0000-000007070000}"/>
    <cellStyle name="Normal 25 4 2 2" xfId="1795" xr:uid="{00000000-0005-0000-0000-000008070000}"/>
    <cellStyle name="Normal 25 4 2 3" xfId="1796" xr:uid="{00000000-0005-0000-0000-000009070000}"/>
    <cellStyle name="Normal 25 4 2 4" xfId="1797" xr:uid="{00000000-0005-0000-0000-00000A070000}"/>
    <cellStyle name="Normal 25 4 2 5" xfId="1798" xr:uid="{00000000-0005-0000-0000-00000B070000}"/>
    <cellStyle name="Normal 25 4 2 6" xfId="1799" xr:uid="{00000000-0005-0000-0000-00000C070000}"/>
    <cellStyle name="Normal 25 4 2 7" xfId="1800" xr:uid="{00000000-0005-0000-0000-00000D070000}"/>
    <cellStyle name="Normal 25 4 2 8" xfId="1801" xr:uid="{00000000-0005-0000-0000-00000E070000}"/>
    <cellStyle name="Normal 25 4 2 9" xfId="1802" xr:uid="{00000000-0005-0000-0000-00000F070000}"/>
    <cellStyle name="Normal 25 4 3" xfId="1803" xr:uid="{00000000-0005-0000-0000-000010070000}"/>
    <cellStyle name="Normal 25 4 4" xfId="1804" xr:uid="{00000000-0005-0000-0000-000011070000}"/>
    <cellStyle name="Normal 25 4 5" xfId="1805" xr:uid="{00000000-0005-0000-0000-000012070000}"/>
    <cellStyle name="Normal 25 4 6" xfId="1806" xr:uid="{00000000-0005-0000-0000-000013070000}"/>
    <cellStyle name="Normal 25 4 7" xfId="1807" xr:uid="{00000000-0005-0000-0000-000014070000}"/>
    <cellStyle name="Normal 25 4 8" xfId="1808" xr:uid="{00000000-0005-0000-0000-000015070000}"/>
    <cellStyle name="Normal 25 4 9" xfId="1809" xr:uid="{00000000-0005-0000-0000-000016070000}"/>
    <cellStyle name="Normal 25 5" xfId="1810" xr:uid="{00000000-0005-0000-0000-000017070000}"/>
    <cellStyle name="Normal 25 5 10" xfId="1811" xr:uid="{00000000-0005-0000-0000-000018070000}"/>
    <cellStyle name="Normal 25 5 11" xfId="1812" xr:uid="{00000000-0005-0000-0000-000019070000}"/>
    <cellStyle name="Normal 25 5 12" xfId="1813" xr:uid="{00000000-0005-0000-0000-00001A070000}"/>
    <cellStyle name="Normal 25 5 13" xfId="1814" xr:uid="{00000000-0005-0000-0000-00001B070000}"/>
    <cellStyle name="Normal 25 5 2" xfId="1815" xr:uid="{00000000-0005-0000-0000-00001C070000}"/>
    <cellStyle name="Normal 25 5 2 10" xfId="1816" xr:uid="{00000000-0005-0000-0000-00001D070000}"/>
    <cellStyle name="Normal 25 5 2 11" xfId="1817" xr:uid="{00000000-0005-0000-0000-00001E070000}"/>
    <cellStyle name="Normal 25 5 2 2" xfId="1818" xr:uid="{00000000-0005-0000-0000-00001F070000}"/>
    <cellStyle name="Normal 25 5 2 3" xfId="1819" xr:uid="{00000000-0005-0000-0000-000020070000}"/>
    <cellStyle name="Normal 25 5 2 4" xfId="1820" xr:uid="{00000000-0005-0000-0000-000021070000}"/>
    <cellStyle name="Normal 25 5 2 5" xfId="1821" xr:uid="{00000000-0005-0000-0000-000022070000}"/>
    <cellStyle name="Normal 25 5 2 6" xfId="1822" xr:uid="{00000000-0005-0000-0000-000023070000}"/>
    <cellStyle name="Normal 25 5 2 7" xfId="1823" xr:uid="{00000000-0005-0000-0000-000024070000}"/>
    <cellStyle name="Normal 25 5 2 8" xfId="1824" xr:uid="{00000000-0005-0000-0000-000025070000}"/>
    <cellStyle name="Normal 25 5 2 9" xfId="1825" xr:uid="{00000000-0005-0000-0000-000026070000}"/>
    <cellStyle name="Normal 25 5 3" xfId="1826" xr:uid="{00000000-0005-0000-0000-000027070000}"/>
    <cellStyle name="Normal 25 5 4" xfId="1827" xr:uid="{00000000-0005-0000-0000-000028070000}"/>
    <cellStyle name="Normal 25 5 5" xfId="1828" xr:uid="{00000000-0005-0000-0000-000029070000}"/>
    <cellStyle name="Normal 25 5 6" xfId="1829" xr:uid="{00000000-0005-0000-0000-00002A070000}"/>
    <cellStyle name="Normal 25 5 7" xfId="1830" xr:uid="{00000000-0005-0000-0000-00002B070000}"/>
    <cellStyle name="Normal 25 5 8" xfId="1831" xr:uid="{00000000-0005-0000-0000-00002C070000}"/>
    <cellStyle name="Normal 25 5 9" xfId="1832" xr:uid="{00000000-0005-0000-0000-00002D070000}"/>
    <cellStyle name="Normal 25 6" xfId="1833" xr:uid="{00000000-0005-0000-0000-00002E070000}"/>
    <cellStyle name="Normal 25 6 10" xfId="1834" xr:uid="{00000000-0005-0000-0000-00002F070000}"/>
    <cellStyle name="Normal 25 6 11" xfId="1835" xr:uid="{00000000-0005-0000-0000-000030070000}"/>
    <cellStyle name="Normal 25 6 12" xfId="1836" xr:uid="{00000000-0005-0000-0000-000031070000}"/>
    <cellStyle name="Normal 25 6 13" xfId="1837" xr:uid="{00000000-0005-0000-0000-000032070000}"/>
    <cellStyle name="Normal 25 6 2" xfId="1838" xr:uid="{00000000-0005-0000-0000-000033070000}"/>
    <cellStyle name="Normal 25 6 2 10" xfId="1839" xr:uid="{00000000-0005-0000-0000-000034070000}"/>
    <cellStyle name="Normal 25 6 2 11" xfId="1840" xr:uid="{00000000-0005-0000-0000-000035070000}"/>
    <cellStyle name="Normal 25 6 2 2" xfId="1841" xr:uid="{00000000-0005-0000-0000-000036070000}"/>
    <cellStyle name="Normal 25 6 2 3" xfId="1842" xr:uid="{00000000-0005-0000-0000-000037070000}"/>
    <cellStyle name="Normal 25 6 2 4" xfId="1843" xr:uid="{00000000-0005-0000-0000-000038070000}"/>
    <cellStyle name="Normal 25 6 2 5" xfId="1844" xr:uid="{00000000-0005-0000-0000-000039070000}"/>
    <cellStyle name="Normal 25 6 2 6" xfId="1845" xr:uid="{00000000-0005-0000-0000-00003A070000}"/>
    <cellStyle name="Normal 25 6 2 7" xfId="1846" xr:uid="{00000000-0005-0000-0000-00003B070000}"/>
    <cellStyle name="Normal 25 6 2 8" xfId="1847" xr:uid="{00000000-0005-0000-0000-00003C070000}"/>
    <cellStyle name="Normal 25 6 2 9" xfId="1848" xr:uid="{00000000-0005-0000-0000-00003D070000}"/>
    <cellStyle name="Normal 25 6 3" xfId="1849" xr:uid="{00000000-0005-0000-0000-00003E070000}"/>
    <cellStyle name="Normal 25 6 4" xfId="1850" xr:uid="{00000000-0005-0000-0000-00003F070000}"/>
    <cellStyle name="Normal 25 6 5" xfId="1851" xr:uid="{00000000-0005-0000-0000-000040070000}"/>
    <cellStyle name="Normal 25 6 6" xfId="1852" xr:uid="{00000000-0005-0000-0000-000041070000}"/>
    <cellStyle name="Normal 25 6 7" xfId="1853" xr:uid="{00000000-0005-0000-0000-000042070000}"/>
    <cellStyle name="Normal 25 6 8" xfId="1854" xr:uid="{00000000-0005-0000-0000-000043070000}"/>
    <cellStyle name="Normal 25 6 9" xfId="1855" xr:uid="{00000000-0005-0000-0000-000044070000}"/>
    <cellStyle name="Normal 25 7" xfId="1856" xr:uid="{00000000-0005-0000-0000-000045070000}"/>
    <cellStyle name="Normal 25 7 10" xfId="1857" xr:uid="{00000000-0005-0000-0000-000046070000}"/>
    <cellStyle name="Normal 25 7 11" xfId="1858" xr:uid="{00000000-0005-0000-0000-000047070000}"/>
    <cellStyle name="Normal 25 7 12" xfId="1859" xr:uid="{00000000-0005-0000-0000-000048070000}"/>
    <cellStyle name="Normal 25 7 13" xfId="1860" xr:uid="{00000000-0005-0000-0000-000049070000}"/>
    <cellStyle name="Normal 25 7 2" xfId="1861" xr:uid="{00000000-0005-0000-0000-00004A070000}"/>
    <cellStyle name="Normal 25 7 2 10" xfId="1862" xr:uid="{00000000-0005-0000-0000-00004B070000}"/>
    <cellStyle name="Normal 25 7 2 11" xfId="1863" xr:uid="{00000000-0005-0000-0000-00004C070000}"/>
    <cellStyle name="Normal 25 7 2 2" xfId="1864" xr:uid="{00000000-0005-0000-0000-00004D070000}"/>
    <cellStyle name="Normal 25 7 2 3" xfId="1865" xr:uid="{00000000-0005-0000-0000-00004E070000}"/>
    <cellStyle name="Normal 25 7 2 4" xfId="1866" xr:uid="{00000000-0005-0000-0000-00004F070000}"/>
    <cellStyle name="Normal 25 7 2 5" xfId="1867" xr:uid="{00000000-0005-0000-0000-000050070000}"/>
    <cellStyle name="Normal 25 7 2 6" xfId="1868" xr:uid="{00000000-0005-0000-0000-000051070000}"/>
    <cellStyle name="Normal 25 7 2 7" xfId="1869" xr:uid="{00000000-0005-0000-0000-000052070000}"/>
    <cellStyle name="Normal 25 7 2 8" xfId="1870" xr:uid="{00000000-0005-0000-0000-000053070000}"/>
    <cellStyle name="Normal 25 7 2 9" xfId="1871" xr:uid="{00000000-0005-0000-0000-000054070000}"/>
    <cellStyle name="Normal 25 7 3" xfId="1872" xr:uid="{00000000-0005-0000-0000-000055070000}"/>
    <cellStyle name="Normal 25 7 4" xfId="1873" xr:uid="{00000000-0005-0000-0000-000056070000}"/>
    <cellStyle name="Normal 25 7 5" xfId="1874" xr:uid="{00000000-0005-0000-0000-000057070000}"/>
    <cellStyle name="Normal 25 7 6" xfId="1875" xr:uid="{00000000-0005-0000-0000-000058070000}"/>
    <cellStyle name="Normal 25 7 7" xfId="1876" xr:uid="{00000000-0005-0000-0000-000059070000}"/>
    <cellStyle name="Normal 25 7 8" xfId="1877" xr:uid="{00000000-0005-0000-0000-00005A070000}"/>
    <cellStyle name="Normal 25 7 9" xfId="1878" xr:uid="{00000000-0005-0000-0000-00005B070000}"/>
    <cellStyle name="Normal 25 8" xfId="1879" xr:uid="{00000000-0005-0000-0000-00005C070000}"/>
    <cellStyle name="Normal 25 8 10" xfId="1880" xr:uid="{00000000-0005-0000-0000-00005D070000}"/>
    <cellStyle name="Normal 25 8 11" xfId="1881" xr:uid="{00000000-0005-0000-0000-00005E070000}"/>
    <cellStyle name="Normal 25 8 12" xfId="1882" xr:uid="{00000000-0005-0000-0000-00005F070000}"/>
    <cellStyle name="Normal 25 8 13" xfId="1883" xr:uid="{00000000-0005-0000-0000-000060070000}"/>
    <cellStyle name="Normal 25 8 2" xfId="1884" xr:uid="{00000000-0005-0000-0000-000061070000}"/>
    <cellStyle name="Normal 25 8 2 10" xfId="1885" xr:uid="{00000000-0005-0000-0000-000062070000}"/>
    <cellStyle name="Normal 25 8 2 11" xfId="1886" xr:uid="{00000000-0005-0000-0000-000063070000}"/>
    <cellStyle name="Normal 25 8 2 2" xfId="1887" xr:uid="{00000000-0005-0000-0000-000064070000}"/>
    <cellStyle name="Normal 25 8 2 3" xfId="1888" xr:uid="{00000000-0005-0000-0000-000065070000}"/>
    <cellStyle name="Normal 25 8 2 4" xfId="1889" xr:uid="{00000000-0005-0000-0000-000066070000}"/>
    <cellStyle name="Normal 25 8 2 5" xfId="1890" xr:uid="{00000000-0005-0000-0000-000067070000}"/>
    <cellStyle name="Normal 25 8 2 6" xfId="1891" xr:uid="{00000000-0005-0000-0000-000068070000}"/>
    <cellStyle name="Normal 25 8 2 7" xfId="1892" xr:uid="{00000000-0005-0000-0000-000069070000}"/>
    <cellStyle name="Normal 25 8 2 8" xfId="1893" xr:uid="{00000000-0005-0000-0000-00006A070000}"/>
    <cellStyle name="Normal 25 8 2 9" xfId="1894" xr:uid="{00000000-0005-0000-0000-00006B070000}"/>
    <cellStyle name="Normal 25 8 3" xfId="1895" xr:uid="{00000000-0005-0000-0000-00006C070000}"/>
    <cellStyle name="Normal 25 8 4" xfId="1896" xr:uid="{00000000-0005-0000-0000-00006D070000}"/>
    <cellStyle name="Normal 25 8 5" xfId="1897" xr:uid="{00000000-0005-0000-0000-00006E070000}"/>
    <cellStyle name="Normal 25 8 6" xfId="1898" xr:uid="{00000000-0005-0000-0000-00006F070000}"/>
    <cellStyle name="Normal 25 8 7" xfId="1899" xr:uid="{00000000-0005-0000-0000-000070070000}"/>
    <cellStyle name="Normal 25 8 8" xfId="1900" xr:uid="{00000000-0005-0000-0000-000071070000}"/>
    <cellStyle name="Normal 25 8 9" xfId="1901" xr:uid="{00000000-0005-0000-0000-000072070000}"/>
    <cellStyle name="Normal 25 9" xfId="1902" xr:uid="{00000000-0005-0000-0000-000073070000}"/>
    <cellStyle name="Normal 25 9 10" xfId="1903" xr:uid="{00000000-0005-0000-0000-000074070000}"/>
    <cellStyle name="Normal 25 9 11" xfId="1904" xr:uid="{00000000-0005-0000-0000-000075070000}"/>
    <cellStyle name="Normal 25 9 12" xfId="1905" xr:uid="{00000000-0005-0000-0000-000076070000}"/>
    <cellStyle name="Normal 25 9 13" xfId="1906" xr:uid="{00000000-0005-0000-0000-000077070000}"/>
    <cellStyle name="Normal 25 9 2" xfId="1907" xr:uid="{00000000-0005-0000-0000-000078070000}"/>
    <cellStyle name="Normal 25 9 2 10" xfId="1908" xr:uid="{00000000-0005-0000-0000-000079070000}"/>
    <cellStyle name="Normal 25 9 2 11" xfId="1909" xr:uid="{00000000-0005-0000-0000-00007A070000}"/>
    <cellStyle name="Normal 25 9 2 2" xfId="1910" xr:uid="{00000000-0005-0000-0000-00007B070000}"/>
    <cellStyle name="Normal 25 9 2 3" xfId="1911" xr:uid="{00000000-0005-0000-0000-00007C070000}"/>
    <cellStyle name="Normal 25 9 2 4" xfId="1912" xr:uid="{00000000-0005-0000-0000-00007D070000}"/>
    <cellStyle name="Normal 25 9 2 5" xfId="1913" xr:uid="{00000000-0005-0000-0000-00007E070000}"/>
    <cellStyle name="Normal 25 9 2 6" xfId="1914" xr:uid="{00000000-0005-0000-0000-00007F070000}"/>
    <cellStyle name="Normal 25 9 2 7" xfId="1915" xr:uid="{00000000-0005-0000-0000-000080070000}"/>
    <cellStyle name="Normal 25 9 2 8" xfId="1916" xr:uid="{00000000-0005-0000-0000-000081070000}"/>
    <cellStyle name="Normal 25 9 2 9" xfId="1917" xr:uid="{00000000-0005-0000-0000-000082070000}"/>
    <cellStyle name="Normal 25 9 3" xfId="1918" xr:uid="{00000000-0005-0000-0000-000083070000}"/>
    <cellStyle name="Normal 25 9 4" xfId="1919" xr:uid="{00000000-0005-0000-0000-000084070000}"/>
    <cellStyle name="Normal 25 9 5" xfId="1920" xr:uid="{00000000-0005-0000-0000-000085070000}"/>
    <cellStyle name="Normal 25 9 6" xfId="1921" xr:uid="{00000000-0005-0000-0000-000086070000}"/>
    <cellStyle name="Normal 25 9 7" xfId="1922" xr:uid="{00000000-0005-0000-0000-000087070000}"/>
    <cellStyle name="Normal 25 9 8" xfId="1923" xr:uid="{00000000-0005-0000-0000-000088070000}"/>
    <cellStyle name="Normal 25 9 9" xfId="1924" xr:uid="{00000000-0005-0000-0000-000089070000}"/>
    <cellStyle name="Normal 26" xfId="1925" xr:uid="{00000000-0005-0000-0000-00008A070000}"/>
    <cellStyle name="Normal 26 10" xfId="1926" xr:uid="{00000000-0005-0000-0000-00008B070000}"/>
    <cellStyle name="Normal 26 10 10" xfId="1927" xr:uid="{00000000-0005-0000-0000-00008C070000}"/>
    <cellStyle name="Normal 26 10 11" xfId="1928" xr:uid="{00000000-0005-0000-0000-00008D070000}"/>
    <cellStyle name="Normal 26 10 12" xfId="1929" xr:uid="{00000000-0005-0000-0000-00008E070000}"/>
    <cellStyle name="Normal 26 10 13" xfId="1930" xr:uid="{00000000-0005-0000-0000-00008F070000}"/>
    <cellStyle name="Normal 26 10 2" xfId="1931" xr:uid="{00000000-0005-0000-0000-000090070000}"/>
    <cellStyle name="Normal 26 10 2 10" xfId="1932" xr:uid="{00000000-0005-0000-0000-000091070000}"/>
    <cellStyle name="Normal 26 10 2 11" xfId="1933" xr:uid="{00000000-0005-0000-0000-000092070000}"/>
    <cellStyle name="Normal 26 10 2 2" xfId="1934" xr:uid="{00000000-0005-0000-0000-000093070000}"/>
    <cellStyle name="Normal 26 10 2 3" xfId="1935" xr:uid="{00000000-0005-0000-0000-000094070000}"/>
    <cellStyle name="Normal 26 10 2 4" xfId="1936" xr:uid="{00000000-0005-0000-0000-000095070000}"/>
    <cellStyle name="Normal 26 10 2 5" xfId="1937" xr:uid="{00000000-0005-0000-0000-000096070000}"/>
    <cellStyle name="Normal 26 10 2 6" xfId="1938" xr:uid="{00000000-0005-0000-0000-000097070000}"/>
    <cellStyle name="Normal 26 10 2 7" xfId="1939" xr:uid="{00000000-0005-0000-0000-000098070000}"/>
    <cellStyle name="Normal 26 10 2 8" xfId="1940" xr:uid="{00000000-0005-0000-0000-000099070000}"/>
    <cellStyle name="Normal 26 10 2 9" xfId="1941" xr:uid="{00000000-0005-0000-0000-00009A070000}"/>
    <cellStyle name="Normal 26 10 3" xfId="1942" xr:uid="{00000000-0005-0000-0000-00009B070000}"/>
    <cellStyle name="Normal 26 10 4" xfId="1943" xr:uid="{00000000-0005-0000-0000-00009C070000}"/>
    <cellStyle name="Normal 26 10 5" xfId="1944" xr:uid="{00000000-0005-0000-0000-00009D070000}"/>
    <cellStyle name="Normal 26 10 6" xfId="1945" xr:uid="{00000000-0005-0000-0000-00009E070000}"/>
    <cellStyle name="Normal 26 10 7" xfId="1946" xr:uid="{00000000-0005-0000-0000-00009F070000}"/>
    <cellStyle name="Normal 26 10 8" xfId="1947" xr:uid="{00000000-0005-0000-0000-0000A0070000}"/>
    <cellStyle name="Normal 26 10 9" xfId="1948" xr:uid="{00000000-0005-0000-0000-0000A1070000}"/>
    <cellStyle name="Normal 26 11" xfId="1949" xr:uid="{00000000-0005-0000-0000-0000A2070000}"/>
    <cellStyle name="Normal 26 11 10" xfId="1950" xr:uid="{00000000-0005-0000-0000-0000A3070000}"/>
    <cellStyle name="Normal 26 11 11" xfId="1951" xr:uid="{00000000-0005-0000-0000-0000A4070000}"/>
    <cellStyle name="Normal 26 11 12" xfId="1952" xr:uid="{00000000-0005-0000-0000-0000A5070000}"/>
    <cellStyle name="Normal 26 11 13" xfId="1953" xr:uid="{00000000-0005-0000-0000-0000A6070000}"/>
    <cellStyle name="Normal 26 11 2" xfId="1954" xr:uid="{00000000-0005-0000-0000-0000A7070000}"/>
    <cellStyle name="Normal 26 11 2 10" xfId="1955" xr:uid="{00000000-0005-0000-0000-0000A8070000}"/>
    <cellStyle name="Normal 26 11 2 11" xfId="1956" xr:uid="{00000000-0005-0000-0000-0000A9070000}"/>
    <cellStyle name="Normal 26 11 2 2" xfId="1957" xr:uid="{00000000-0005-0000-0000-0000AA070000}"/>
    <cellStyle name="Normal 26 11 2 3" xfId="1958" xr:uid="{00000000-0005-0000-0000-0000AB070000}"/>
    <cellStyle name="Normal 26 11 2 4" xfId="1959" xr:uid="{00000000-0005-0000-0000-0000AC070000}"/>
    <cellStyle name="Normal 26 11 2 5" xfId="1960" xr:uid="{00000000-0005-0000-0000-0000AD070000}"/>
    <cellStyle name="Normal 26 11 2 6" xfId="1961" xr:uid="{00000000-0005-0000-0000-0000AE070000}"/>
    <cellStyle name="Normal 26 11 2 7" xfId="1962" xr:uid="{00000000-0005-0000-0000-0000AF070000}"/>
    <cellStyle name="Normal 26 11 2 8" xfId="1963" xr:uid="{00000000-0005-0000-0000-0000B0070000}"/>
    <cellStyle name="Normal 26 11 2 9" xfId="1964" xr:uid="{00000000-0005-0000-0000-0000B1070000}"/>
    <cellStyle name="Normal 26 11 3" xfId="1965" xr:uid="{00000000-0005-0000-0000-0000B2070000}"/>
    <cellStyle name="Normal 26 11 4" xfId="1966" xr:uid="{00000000-0005-0000-0000-0000B3070000}"/>
    <cellStyle name="Normal 26 11 5" xfId="1967" xr:uid="{00000000-0005-0000-0000-0000B4070000}"/>
    <cellStyle name="Normal 26 11 6" xfId="1968" xr:uid="{00000000-0005-0000-0000-0000B5070000}"/>
    <cellStyle name="Normal 26 11 7" xfId="1969" xr:uid="{00000000-0005-0000-0000-0000B6070000}"/>
    <cellStyle name="Normal 26 11 8" xfId="1970" xr:uid="{00000000-0005-0000-0000-0000B7070000}"/>
    <cellStyle name="Normal 26 11 9" xfId="1971" xr:uid="{00000000-0005-0000-0000-0000B8070000}"/>
    <cellStyle name="Normal 26 12" xfId="1972" xr:uid="{00000000-0005-0000-0000-0000B9070000}"/>
    <cellStyle name="Normal 26 12 10" xfId="1973" xr:uid="{00000000-0005-0000-0000-0000BA070000}"/>
    <cellStyle name="Normal 26 12 11" xfId="1974" xr:uid="{00000000-0005-0000-0000-0000BB070000}"/>
    <cellStyle name="Normal 26 12 12" xfId="1975" xr:uid="{00000000-0005-0000-0000-0000BC070000}"/>
    <cellStyle name="Normal 26 12 13" xfId="1976" xr:uid="{00000000-0005-0000-0000-0000BD070000}"/>
    <cellStyle name="Normal 26 12 2" xfId="1977" xr:uid="{00000000-0005-0000-0000-0000BE070000}"/>
    <cellStyle name="Normal 26 12 2 10" xfId="1978" xr:uid="{00000000-0005-0000-0000-0000BF070000}"/>
    <cellStyle name="Normal 26 12 2 11" xfId="1979" xr:uid="{00000000-0005-0000-0000-0000C0070000}"/>
    <cellStyle name="Normal 26 12 2 2" xfId="1980" xr:uid="{00000000-0005-0000-0000-0000C1070000}"/>
    <cellStyle name="Normal 26 12 2 3" xfId="1981" xr:uid="{00000000-0005-0000-0000-0000C2070000}"/>
    <cellStyle name="Normal 26 12 2 4" xfId="1982" xr:uid="{00000000-0005-0000-0000-0000C3070000}"/>
    <cellStyle name="Normal 26 12 2 5" xfId="1983" xr:uid="{00000000-0005-0000-0000-0000C4070000}"/>
    <cellStyle name="Normal 26 12 2 6" xfId="1984" xr:uid="{00000000-0005-0000-0000-0000C5070000}"/>
    <cellStyle name="Normal 26 12 2 7" xfId="1985" xr:uid="{00000000-0005-0000-0000-0000C6070000}"/>
    <cellStyle name="Normal 26 12 2 8" xfId="1986" xr:uid="{00000000-0005-0000-0000-0000C7070000}"/>
    <cellStyle name="Normal 26 12 2 9" xfId="1987" xr:uid="{00000000-0005-0000-0000-0000C8070000}"/>
    <cellStyle name="Normal 26 12 3" xfId="1988" xr:uid="{00000000-0005-0000-0000-0000C9070000}"/>
    <cellStyle name="Normal 26 12 4" xfId="1989" xr:uid="{00000000-0005-0000-0000-0000CA070000}"/>
    <cellStyle name="Normal 26 12 5" xfId="1990" xr:uid="{00000000-0005-0000-0000-0000CB070000}"/>
    <cellStyle name="Normal 26 12 6" xfId="1991" xr:uid="{00000000-0005-0000-0000-0000CC070000}"/>
    <cellStyle name="Normal 26 12 7" xfId="1992" xr:uid="{00000000-0005-0000-0000-0000CD070000}"/>
    <cellStyle name="Normal 26 12 8" xfId="1993" xr:uid="{00000000-0005-0000-0000-0000CE070000}"/>
    <cellStyle name="Normal 26 12 9" xfId="1994" xr:uid="{00000000-0005-0000-0000-0000CF070000}"/>
    <cellStyle name="Normal 26 13" xfId="1995" xr:uid="{00000000-0005-0000-0000-0000D0070000}"/>
    <cellStyle name="Normal 26 13 10" xfId="1996" xr:uid="{00000000-0005-0000-0000-0000D1070000}"/>
    <cellStyle name="Normal 26 13 11" xfId="1997" xr:uid="{00000000-0005-0000-0000-0000D2070000}"/>
    <cellStyle name="Normal 26 13 12" xfId="1998" xr:uid="{00000000-0005-0000-0000-0000D3070000}"/>
    <cellStyle name="Normal 26 13 13" xfId="1999" xr:uid="{00000000-0005-0000-0000-0000D4070000}"/>
    <cellStyle name="Normal 26 13 2" xfId="2000" xr:uid="{00000000-0005-0000-0000-0000D5070000}"/>
    <cellStyle name="Normal 26 13 2 10" xfId="2001" xr:uid="{00000000-0005-0000-0000-0000D6070000}"/>
    <cellStyle name="Normal 26 13 2 11" xfId="2002" xr:uid="{00000000-0005-0000-0000-0000D7070000}"/>
    <cellStyle name="Normal 26 13 2 2" xfId="2003" xr:uid="{00000000-0005-0000-0000-0000D8070000}"/>
    <cellStyle name="Normal 26 13 2 3" xfId="2004" xr:uid="{00000000-0005-0000-0000-0000D9070000}"/>
    <cellStyle name="Normal 26 13 2 4" xfId="2005" xr:uid="{00000000-0005-0000-0000-0000DA070000}"/>
    <cellStyle name="Normal 26 13 2 5" xfId="2006" xr:uid="{00000000-0005-0000-0000-0000DB070000}"/>
    <cellStyle name="Normal 26 13 2 6" xfId="2007" xr:uid="{00000000-0005-0000-0000-0000DC070000}"/>
    <cellStyle name="Normal 26 13 2 7" xfId="2008" xr:uid="{00000000-0005-0000-0000-0000DD070000}"/>
    <cellStyle name="Normal 26 13 2 8" xfId="2009" xr:uid="{00000000-0005-0000-0000-0000DE070000}"/>
    <cellStyle name="Normal 26 13 2 9" xfId="2010" xr:uid="{00000000-0005-0000-0000-0000DF070000}"/>
    <cellStyle name="Normal 26 13 3" xfId="2011" xr:uid="{00000000-0005-0000-0000-0000E0070000}"/>
    <cellStyle name="Normal 26 13 4" xfId="2012" xr:uid="{00000000-0005-0000-0000-0000E1070000}"/>
    <cellStyle name="Normal 26 13 5" xfId="2013" xr:uid="{00000000-0005-0000-0000-0000E2070000}"/>
    <cellStyle name="Normal 26 13 6" xfId="2014" xr:uid="{00000000-0005-0000-0000-0000E3070000}"/>
    <cellStyle name="Normal 26 13 7" xfId="2015" xr:uid="{00000000-0005-0000-0000-0000E4070000}"/>
    <cellStyle name="Normal 26 13 8" xfId="2016" xr:uid="{00000000-0005-0000-0000-0000E5070000}"/>
    <cellStyle name="Normal 26 13 9" xfId="2017" xr:uid="{00000000-0005-0000-0000-0000E6070000}"/>
    <cellStyle name="Normal 26 14" xfId="2018" xr:uid="{00000000-0005-0000-0000-0000E7070000}"/>
    <cellStyle name="Normal 26 14 10" xfId="2019" xr:uid="{00000000-0005-0000-0000-0000E8070000}"/>
    <cellStyle name="Normal 26 14 11" xfId="2020" xr:uid="{00000000-0005-0000-0000-0000E9070000}"/>
    <cellStyle name="Normal 26 14 2" xfId="2021" xr:uid="{00000000-0005-0000-0000-0000EA070000}"/>
    <cellStyle name="Normal 26 14 3" xfId="2022" xr:uid="{00000000-0005-0000-0000-0000EB070000}"/>
    <cellStyle name="Normal 26 14 4" xfId="2023" xr:uid="{00000000-0005-0000-0000-0000EC070000}"/>
    <cellStyle name="Normal 26 14 5" xfId="2024" xr:uid="{00000000-0005-0000-0000-0000ED070000}"/>
    <cellStyle name="Normal 26 14 6" xfId="2025" xr:uid="{00000000-0005-0000-0000-0000EE070000}"/>
    <cellStyle name="Normal 26 14 7" xfId="2026" xr:uid="{00000000-0005-0000-0000-0000EF070000}"/>
    <cellStyle name="Normal 26 14 8" xfId="2027" xr:uid="{00000000-0005-0000-0000-0000F0070000}"/>
    <cellStyle name="Normal 26 14 9" xfId="2028" xr:uid="{00000000-0005-0000-0000-0000F1070000}"/>
    <cellStyle name="Normal 26 15" xfId="2029" xr:uid="{00000000-0005-0000-0000-0000F2070000}"/>
    <cellStyle name="Normal 26 16" xfId="2030" xr:uid="{00000000-0005-0000-0000-0000F3070000}"/>
    <cellStyle name="Normal 26 17" xfId="2031" xr:uid="{00000000-0005-0000-0000-0000F4070000}"/>
    <cellStyle name="Normal 26 18" xfId="2032" xr:uid="{00000000-0005-0000-0000-0000F5070000}"/>
    <cellStyle name="Normal 26 19" xfId="2033" xr:uid="{00000000-0005-0000-0000-0000F6070000}"/>
    <cellStyle name="Normal 26 2" xfId="2034" xr:uid="{00000000-0005-0000-0000-0000F7070000}"/>
    <cellStyle name="Normal 26 2 10" xfId="2035" xr:uid="{00000000-0005-0000-0000-0000F8070000}"/>
    <cellStyle name="Normal 26 2 11" xfId="2036" xr:uid="{00000000-0005-0000-0000-0000F9070000}"/>
    <cellStyle name="Normal 26 2 12" xfId="2037" xr:uid="{00000000-0005-0000-0000-0000FA070000}"/>
    <cellStyle name="Normal 26 2 13" xfId="2038" xr:uid="{00000000-0005-0000-0000-0000FB070000}"/>
    <cellStyle name="Normal 26 2 2" xfId="2039" xr:uid="{00000000-0005-0000-0000-0000FC070000}"/>
    <cellStyle name="Normal 26 2 2 10" xfId="2040" xr:uid="{00000000-0005-0000-0000-0000FD070000}"/>
    <cellStyle name="Normal 26 2 2 11" xfId="2041" xr:uid="{00000000-0005-0000-0000-0000FE070000}"/>
    <cellStyle name="Normal 26 2 2 2" xfId="2042" xr:uid="{00000000-0005-0000-0000-0000FF070000}"/>
    <cellStyle name="Normal 26 2 2 3" xfId="2043" xr:uid="{00000000-0005-0000-0000-000000080000}"/>
    <cellStyle name="Normal 26 2 2 4" xfId="2044" xr:uid="{00000000-0005-0000-0000-000001080000}"/>
    <cellStyle name="Normal 26 2 2 5" xfId="2045" xr:uid="{00000000-0005-0000-0000-000002080000}"/>
    <cellStyle name="Normal 26 2 2 6" xfId="2046" xr:uid="{00000000-0005-0000-0000-000003080000}"/>
    <cellStyle name="Normal 26 2 2 7" xfId="2047" xr:uid="{00000000-0005-0000-0000-000004080000}"/>
    <cellStyle name="Normal 26 2 2 8" xfId="2048" xr:uid="{00000000-0005-0000-0000-000005080000}"/>
    <cellStyle name="Normal 26 2 2 9" xfId="2049" xr:uid="{00000000-0005-0000-0000-000006080000}"/>
    <cellStyle name="Normal 26 2 3" xfId="2050" xr:uid="{00000000-0005-0000-0000-000007080000}"/>
    <cellStyle name="Normal 26 2 4" xfId="2051" xr:uid="{00000000-0005-0000-0000-000008080000}"/>
    <cellStyle name="Normal 26 2 5" xfId="2052" xr:uid="{00000000-0005-0000-0000-000009080000}"/>
    <cellStyle name="Normal 26 2 6" xfId="2053" xr:uid="{00000000-0005-0000-0000-00000A080000}"/>
    <cellStyle name="Normal 26 2 7" xfId="2054" xr:uid="{00000000-0005-0000-0000-00000B080000}"/>
    <cellStyle name="Normal 26 2 8" xfId="2055" xr:uid="{00000000-0005-0000-0000-00000C080000}"/>
    <cellStyle name="Normal 26 2 9" xfId="2056" xr:uid="{00000000-0005-0000-0000-00000D080000}"/>
    <cellStyle name="Normal 26 20" xfId="2057" xr:uid="{00000000-0005-0000-0000-00000E080000}"/>
    <cellStyle name="Normal 26 21" xfId="2058" xr:uid="{00000000-0005-0000-0000-00000F080000}"/>
    <cellStyle name="Normal 26 22" xfId="2059" xr:uid="{00000000-0005-0000-0000-000010080000}"/>
    <cellStyle name="Normal 26 23" xfId="2060" xr:uid="{00000000-0005-0000-0000-000011080000}"/>
    <cellStyle name="Normal 26 24" xfId="2061" xr:uid="{00000000-0005-0000-0000-000012080000}"/>
    <cellStyle name="Normal 26 25" xfId="2062" xr:uid="{00000000-0005-0000-0000-000013080000}"/>
    <cellStyle name="Normal 26 3" xfId="2063" xr:uid="{00000000-0005-0000-0000-000014080000}"/>
    <cellStyle name="Normal 26 3 10" xfId="2064" xr:uid="{00000000-0005-0000-0000-000015080000}"/>
    <cellStyle name="Normal 26 3 11" xfId="2065" xr:uid="{00000000-0005-0000-0000-000016080000}"/>
    <cellStyle name="Normal 26 3 12" xfId="2066" xr:uid="{00000000-0005-0000-0000-000017080000}"/>
    <cellStyle name="Normal 26 3 13" xfId="2067" xr:uid="{00000000-0005-0000-0000-000018080000}"/>
    <cellStyle name="Normal 26 3 2" xfId="2068" xr:uid="{00000000-0005-0000-0000-000019080000}"/>
    <cellStyle name="Normal 26 3 2 10" xfId="2069" xr:uid="{00000000-0005-0000-0000-00001A080000}"/>
    <cellStyle name="Normal 26 3 2 11" xfId="2070" xr:uid="{00000000-0005-0000-0000-00001B080000}"/>
    <cellStyle name="Normal 26 3 2 2" xfId="2071" xr:uid="{00000000-0005-0000-0000-00001C080000}"/>
    <cellStyle name="Normal 26 3 2 3" xfId="2072" xr:uid="{00000000-0005-0000-0000-00001D080000}"/>
    <cellStyle name="Normal 26 3 2 4" xfId="2073" xr:uid="{00000000-0005-0000-0000-00001E080000}"/>
    <cellStyle name="Normal 26 3 2 5" xfId="2074" xr:uid="{00000000-0005-0000-0000-00001F080000}"/>
    <cellStyle name="Normal 26 3 2 6" xfId="2075" xr:uid="{00000000-0005-0000-0000-000020080000}"/>
    <cellStyle name="Normal 26 3 2 7" xfId="2076" xr:uid="{00000000-0005-0000-0000-000021080000}"/>
    <cellStyle name="Normal 26 3 2 8" xfId="2077" xr:uid="{00000000-0005-0000-0000-000022080000}"/>
    <cellStyle name="Normal 26 3 2 9" xfId="2078" xr:uid="{00000000-0005-0000-0000-000023080000}"/>
    <cellStyle name="Normal 26 3 3" xfId="2079" xr:uid="{00000000-0005-0000-0000-000024080000}"/>
    <cellStyle name="Normal 26 3 4" xfId="2080" xr:uid="{00000000-0005-0000-0000-000025080000}"/>
    <cellStyle name="Normal 26 3 5" xfId="2081" xr:uid="{00000000-0005-0000-0000-000026080000}"/>
    <cellStyle name="Normal 26 3 6" xfId="2082" xr:uid="{00000000-0005-0000-0000-000027080000}"/>
    <cellStyle name="Normal 26 3 7" xfId="2083" xr:uid="{00000000-0005-0000-0000-000028080000}"/>
    <cellStyle name="Normal 26 3 8" xfId="2084" xr:uid="{00000000-0005-0000-0000-000029080000}"/>
    <cellStyle name="Normal 26 3 9" xfId="2085" xr:uid="{00000000-0005-0000-0000-00002A080000}"/>
    <cellStyle name="Normal 26 4" xfId="2086" xr:uid="{00000000-0005-0000-0000-00002B080000}"/>
    <cellStyle name="Normal 26 4 10" xfId="2087" xr:uid="{00000000-0005-0000-0000-00002C080000}"/>
    <cellStyle name="Normal 26 4 11" xfId="2088" xr:uid="{00000000-0005-0000-0000-00002D080000}"/>
    <cellStyle name="Normal 26 4 12" xfId="2089" xr:uid="{00000000-0005-0000-0000-00002E080000}"/>
    <cellStyle name="Normal 26 4 13" xfId="2090" xr:uid="{00000000-0005-0000-0000-00002F080000}"/>
    <cellStyle name="Normal 26 4 2" xfId="2091" xr:uid="{00000000-0005-0000-0000-000030080000}"/>
    <cellStyle name="Normal 26 4 2 10" xfId="2092" xr:uid="{00000000-0005-0000-0000-000031080000}"/>
    <cellStyle name="Normal 26 4 2 11" xfId="2093" xr:uid="{00000000-0005-0000-0000-000032080000}"/>
    <cellStyle name="Normal 26 4 2 2" xfId="2094" xr:uid="{00000000-0005-0000-0000-000033080000}"/>
    <cellStyle name="Normal 26 4 2 3" xfId="2095" xr:uid="{00000000-0005-0000-0000-000034080000}"/>
    <cellStyle name="Normal 26 4 2 4" xfId="2096" xr:uid="{00000000-0005-0000-0000-000035080000}"/>
    <cellStyle name="Normal 26 4 2 5" xfId="2097" xr:uid="{00000000-0005-0000-0000-000036080000}"/>
    <cellStyle name="Normal 26 4 2 6" xfId="2098" xr:uid="{00000000-0005-0000-0000-000037080000}"/>
    <cellStyle name="Normal 26 4 2 7" xfId="2099" xr:uid="{00000000-0005-0000-0000-000038080000}"/>
    <cellStyle name="Normal 26 4 2 8" xfId="2100" xr:uid="{00000000-0005-0000-0000-000039080000}"/>
    <cellStyle name="Normal 26 4 2 9" xfId="2101" xr:uid="{00000000-0005-0000-0000-00003A080000}"/>
    <cellStyle name="Normal 26 4 3" xfId="2102" xr:uid="{00000000-0005-0000-0000-00003B080000}"/>
    <cellStyle name="Normal 26 4 4" xfId="2103" xr:uid="{00000000-0005-0000-0000-00003C080000}"/>
    <cellStyle name="Normal 26 4 5" xfId="2104" xr:uid="{00000000-0005-0000-0000-00003D080000}"/>
    <cellStyle name="Normal 26 4 6" xfId="2105" xr:uid="{00000000-0005-0000-0000-00003E080000}"/>
    <cellStyle name="Normal 26 4 7" xfId="2106" xr:uid="{00000000-0005-0000-0000-00003F080000}"/>
    <cellStyle name="Normal 26 4 8" xfId="2107" xr:uid="{00000000-0005-0000-0000-000040080000}"/>
    <cellStyle name="Normal 26 4 9" xfId="2108" xr:uid="{00000000-0005-0000-0000-000041080000}"/>
    <cellStyle name="Normal 26 5" xfId="2109" xr:uid="{00000000-0005-0000-0000-000042080000}"/>
    <cellStyle name="Normal 26 5 10" xfId="2110" xr:uid="{00000000-0005-0000-0000-000043080000}"/>
    <cellStyle name="Normal 26 5 11" xfId="2111" xr:uid="{00000000-0005-0000-0000-000044080000}"/>
    <cellStyle name="Normal 26 5 12" xfId="2112" xr:uid="{00000000-0005-0000-0000-000045080000}"/>
    <cellStyle name="Normal 26 5 13" xfId="2113" xr:uid="{00000000-0005-0000-0000-000046080000}"/>
    <cellStyle name="Normal 26 5 2" xfId="2114" xr:uid="{00000000-0005-0000-0000-000047080000}"/>
    <cellStyle name="Normal 26 5 2 10" xfId="2115" xr:uid="{00000000-0005-0000-0000-000048080000}"/>
    <cellStyle name="Normal 26 5 2 11" xfId="2116" xr:uid="{00000000-0005-0000-0000-000049080000}"/>
    <cellStyle name="Normal 26 5 2 2" xfId="2117" xr:uid="{00000000-0005-0000-0000-00004A080000}"/>
    <cellStyle name="Normal 26 5 2 3" xfId="2118" xr:uid="{00000000-0005-0000-0000-00004B080000}"/>
    <cellStyle name="Normal 26 5 2 4" xfId="2119" xr:uid="{00000000-0005-0000-0000-00004C080000}"/>
    <cellStyle name="Normal 26 5 2 5" xfId="2120" xr:uid="{00000000-0005-0000-0000-00004D080000}"/>
    <cellStyle name="Normal 26 5 2 6" xfId="2121" xr:uid="{00000000-0005-0000-0000-00004E080000}"/>
    <cellStyle name="Normal 26 5 2 7" xfId="2122" xr:uid="{00000000-0005-0000-0000-00004F080000}"/>
    <cellStyle name="Normal 26 5 2 8" xfId="2123" xr:uid="{00000000-0005-0000-0000-000050080000}"/>
    <cellStyle name="Normal 26 5 2 9" xfId="2124" xr:uid="{00000000-0005-0000-0000-000051080000}"/>
    <cellStyle name="Normal 26 5 3" xfId="2125" xr:uid="{00000000-0005-0000-0000-000052080000}"/>
    <cellStyle name="Normal 26 5 4" xfId="2126" xr:uid="{00000000-0005-0000-0000-000053080000}"/>
    <cellStyle name="Normal 26 5 5" xfId="2127" xr:uid="{00000000-0005-0000-0000-000054080000}"/>
    <cellStyle name="Normal 26 5 6" xfId="2128" xr:uid="{00000000-0005-0000-0000-000055080000}"/>
    <cellStyle name="Normal 26 5 7" xfId="2129" xr:uid="{00000000-0005-0000-0000-000056080000}"/>
    <cellStyle name="Normal 26 5 8" xfId="2130" xr:uid="{00000000-0005-0000-0000-000057080000}"/>
    <cellStyle name="Normal 26 5 9" xfId="2131" xr:uid="{00000000-0005-0000-0000-000058080000}"/>
    <cellStyle name="Normal 26 6" xfId="2132" xr:uid="{00000000-0005-0000-0000-000059080000}"/>
    <cellStyle name="Normal 26 6 10" xfId="2133" xr:uid="{00000000-0005-0000-0000-00005A080000}"/>
    <cellStyle name="Normal 26 6 11" xfId="2134" xr:uid="{00000000-0005-0000-0000-00005B080000}"/>
    <cellStyle name="Normal 26 6 12" xfId="2135" xr:uid="{00000000-0005-0000-0000-00005C080000}"/>
    <cellStyle name="Normal 26 6 13" xfId="2136" xr:uid="{00000000-0005-0000-0000-00005D080000}"/>
    <cellStyle name="Normal 26 6 2" xfId="2137" xr:uid="{00000000-0005-0000-0000-00005E080000}"/>
    <cellStyle name="Normal 26 6 2 10" xfId="2138" xr:uid="{00000000-0005-0000-0000-00005F080000}"/>
    <cellStyle name="Normal 26 6 2 11" xfId="2139" xr:uid="{00000000-0005-0000-0000-000060080000}"/>
    <cellStyle name="Normal 26 6 2 2" xfId="2140" xr:uid="{00000000-0005-0000-0000-000061080000}"/>
    <cellStyle name="Normal 26 6 2 3" xfId="2141" xr:uid="{00000000-0005-0000-0000-000062080000}"/>
    <cellStyle name="Normal 26 6 2 4" xfId="2142" xr:uid="{00000000-0005-0000-0000-000063080000}"/>
    <cellStyle name="Normal 26 6 2 5" xfId="2143" xr:uid="{00000000-0005-0000-0000-000064080000}"/>
    <cellStyle name="Normal 26 6 2 6" xfId="2144" xr:uid="{00000000-0005-0000-0000-000065080000}"/>
    <cellStyle name="Normal 26 6 2 7" xfId="2145" xr:uid="{00000000-0005-0000-0000-000066080000}"/>
    <cellStyle name="Normal 26 6 2 8" xfId="2146" xr:uid="{00000000-0005-0000-0000-000067080000}"/>
    <cellStyle name="Normal 26 6 2 9" xfId="2147" xr:uid="{00000000-0005-0000-0000-000068080000}"/>
    <cellStyle name="Normal 26 6 3" xfId="2148" xr:uid="{00000000-0005-0000-0000-000069080000}"/>
    <cellStyle name="Normal 26 6 4" xfId="2149" xr:uid="{00000000-0005-0000-0000-00006A080000}"/>
    <cellStyle name="Normal 26 6 5" xfId="2150" xr:uid="{00000000-0005-0000-0000-00006B080000}"/>
    <cellStyle name="Normal 26 6 6" xfId="2151" xr:uid="{00000000-0005-0000-0000-00006C080000}"/>
    <cellStyle name="Normal 26 6 7" xfId="2152" xr:uid="{00000000-0005-0000-0000-00006D080000}"/>
    <cellStyle name="Normal 26 6 8" xfId="2153" xr:uid="{00000000-0005-0000-0000-00006E080000}"/>
    <cellStyle name="Normal 26 6 9" xfId="2154" xr:uid="{00000000-0005-0000-0000-00006F080000}"/>
    <cellStyle name="Normal 26 7" xfId="2155" xr:uid="{00000000-0005-0000-0000-000070080000}"/>
    <cellStyle name="Normal 26 7 10" xfId="2156" xr:uid="{00000000-0005-0000-0000-000071080000}"/>
    <cellStyle name="Normal 26 7 11" xfId="2157" xr:uid="{00000000-0005-0000-0000-000072080000}"/>
    <cellStyle name="Normal 26 7 12" xfId="2158" xr:uid="{00000000-0005-0000-0000-000073080000}"/>
    <cellStyle name="Normal 26 7 13" xfId="2159" xr:uid="{00000000-0005-0000-0000-000074080000}"/>
    <cellStyle name="Normal 26 7 2" xfId="2160" xr:uid="{00000000-0005-0000-0000-000075080000}"/>
    <cellStyle name="Normal 26 7 2 10" xfId="2161" xr:uid="{00000000-0005-0000-0000-000076080000}"/>
    <cellStyle name="Normal 26 7 2 11" xfId="2162" xr:uid="{00000000-0005-0000-0000-000077080000}"/>
    <cellStyle name="Normal 26 7 2 2" xfId="2163" xr:uid="{00000000-0005-0000-0000-000078080000}"/>
    <cellStyle name="Normal 26 7 2 3" xfId="2164" xr:uid="{00000000-0005-0000-0000-000079080000}"/>
    <cellStyle name="Normal 26 7 2 4" xfId="2165" xr:uid="{00000000-0005-0000-0000-00007A080000}"/>
    <cellStyle name="Normal 26 7 2 5" xfId="2166" xr:uid="{00000000-0005-0000-0000-00007B080000}"/>
    <cellStyle name="Normal 26 7 2 6" xfId="2167" xr:uid="{00000000-0005-0000-0000-00007C080000}"/>
    <cellStyle name="Normal 26 7 2 7" xfId="2168" xr:uid="{00000000-0005-0000-0000-00007D080000}"/>
    <cellStyle name="Normal 26 7 2 8" xfId="2169" xr:uid="{00000000-0005-0000-0000-00007E080000}"/>
    <cellStyle name="Normal 26 7 2 9" xfId="2170" xr:uid="{00000000-0005-0000-0000-00007F080000}"/>
    <cellStyle name="Normal 26 7 3" xfId="2171" xr:uid="{00000000-0005-0000-0000-000080080000}"/>
    <cellStyle name="Normal 26 7 4" xfId="2172" xr:uid="{00000000-0005-0000-0000-000081080000}"/>
    <cellStyle name="Normal 26 7 5" xfId="2173" xr:uid="{00000000-0005-0000-0000-000082080000}"/>
    <cellStyle name="Normal 26 7 6" xfId="2174" xr:uid="{00000000-0005-0000-0000-000083080000}"/>
    <cellStyle name="Normal 26 7 7" xfId="2175" xr:uid="{00000000-0005-0000-0000-000084080000}"/>
    <cellStyle name="Normal 26 7 8" xfId="2176" xr:uid="{00000000-0005-0000-0000-000085080000}"/>
    <cellStyle name="Normal 26 7 9" xfId="2177" xr:uid="{00000000-0005-0000-0000-000086080000}"/>
    <cellStyle name="Normal 26 8" xfId="2178" xr:uid="{00000000-0005-0000-0000-000087080000}"/>
    <cellStyle name="Normal 26 8 10" xfId="2179" xr:uid="{00000000-0005-0000-0000-000088080000}"/>
    <cellStyle name="Normal 26 8 11" xfId="2180" xr:uid="{00000000-0005-0000-0000-000089080000}"/>
    <cellStyle name="Normal 26 8 12" xfId="2181" xr:uid="{00000000-0005-0000-0000-00008A080000}"/>
    <cellStyle name="Normal 26 8 13" xfId="2182" xr:uid="{00000000-0005-0000-0000-00008B080000}"/>
    <cellStyle name="Normal 26 8 2" xfId="2183" xr:uid="{00000000-0005-0000-0000-00008C080000}"/>
    <cellStyle name="Normal 26 8 2 10" xfId="2184" xr:uid="{00000000-0005-0000-0000-00008D080000}"/>
    <cellStyle name="Normal 26 8 2 11" xfId="2185" xr:uid="{00000000-0005-0000-0000-00008E080000}"/>
    <cellStyle name="Normal 26 8 2 2" xfId="2186" xr:uid="{00000000-0005-0000-0000-00008F080000}"/>
    <cellStyle name="Normal 26 8 2 3" xfId="2187" xr:uid="{00000000-0005-0000-0000-000090080000}"/>
    <cellStyle name="Normal 26 8 2 4" xfId="2188" xr:uid="{00000000-0005-0000-0000-000091080000}"/>
    <cellStyle name="Normal 26 8 2 5" xfId="2189" xr:uid="{00000000-0005-0000-0000-000092080000}"/>
    <cellStyle name="Normal 26 8 2 6" xfId="2190" xr:uid="{00000000-0005-0000-0000-000093080000}"/>
    <cellStyle name="Normal 26 8 2 7" xfId="2191" xr:uid="{00000000-0005-0000-0000-000094080000}"/>
    <cellStyle name="Normal 26 8 2 8" xfId="2192" xr:uid="{00000000-0005-0000-0000-000095080000}"/>
    <cellStyle name="Normal 26 8 2 9" xfId="2193" xr:uid="{00000000-0005-0000-0000-000096080000}"/>
    <cellStyle name="Normal 26 8 3" xfId="2194" xr:uid="{00000000-0005-0000-0000-000097080000}"/>
    <cellStyle name="Normal 26 8 4" xfId="2195" xr:uid="{00000000-0005-0000-0000-000098080000}"/>
    <cellStyle name="Normal 26 8 5" xfId="2196" xr:uid="{00000000-0005-0000-0000-000099080000}"/>
    <cellStyle name="Normal 26 8 6" xfId="2197" xr:uid="{00000000-0005-0000-0000-00009A080000}"/>
    <cellStyle name="Normal 26 8 7" xfId="2198" xr:uid="{00000000-0005-0000-0000-00009B080000}"/>
    <cellStyle name="Normal 26 8 8" xfId="2199" xr:uid="{00000000-0005-0000-0000-00009C080000}"/>
    <cellStyle name="Normal 26 8 9" xfId="2200" xr:uid="{00000000-0005-0000-0000-00009D080000}"/>
    <cellStyle name="Normal 26 9" xfId="2201" xr:uid="{00000000-0005-0000-0000-00009E080000}"/>
    <cellStyle name="Normal 26 9 10" xfId="2202" xr:uid="{00000000-0005-0000-0000-00009F080000}"/>
    <cellStyle name="Normal 26 9 11" xfId="2203" xr:uid="{00000000-0005-0000-0000-0000A0080000}"/>
    <cellStyle name="Normal 26 9 12" xfId="2204" xr:uid="{00000000-0005-0000-0000-0000A1080000}"/>
    <cellStyle name="Normal 26 9 13" xfId="2205" xr:uid="{00000000-0005-0000-0000-0000A2080000}"/>
    <cellStyle name="Normal 26 9 2" xfId="2206" xr:uid="{00000000-0005-0000-0000-0000A3080000}"/>
    <cellStyle name="Normal 26 9 2 10" xfId="2207" xr:uid="{00000000-0005-0000-0000-0000A4080000}"/>
    <cellStyle name="Normal 26 9 2 11" xfId="2208" xr:uid="{00000000-0005-0000-0000-0000A5080000}"/>
    <cellStyle name="Normal 26 9 2 2" xfId="2209" xr:uid="{00000000-0005-0000-0000-0000A6080000}"/>
    <cellStyle name="Normal 26 9 2 3" xfId="2210" xr:uid="{00000000-0005-0000-0000-0000A7080000}"/>
    <cellStyle name="Normal 26 9 2 4" xfId="2211" xr:uid="{00000000-0005-0000-0000-0000A8080000}"/>
    <cellStyle name="Normal 26 9 2 5" xfId="2212" xr:uid="{00000000-0005-0000-0000-0000A9080000}"/>
    <cellStyle name="Normal 26 9 2 6" xfId="2213" xr:uid="{00000000-0005-0000-0000-0000AA080000}"/>
    <cellStyle name="Normal 26 9 2 7" xfId="2214" xr:uid="{00000000-0005-0000-0000-0000AB080000}"/>
    <cellStyle name="Normal 26 9 2 8" xfId="2215" xr:uid="{00000000-0005-0000-0000-0000AC080000}"/>
    <cellStyle name="Normal 26 9 2 9" xfId="2216" xr:uid="{00000000-0005-0000-0000-0000AD080000}"/>
    <cellStyle name="Normal 26 9 3" xfId="2217" xr:uid="{00000000-0005-0000-0000-0000AE080000}"/>
    <cellStyle name="Normal 26 9 4" xfId="2218" xr:uid="{00000000-0005-0000-0000-0000AF080000}"/>
    <cellStyle name="Normal 26 9 5" xfId="2219" xr:uid="{00000000-0005-0000-0000-0000B0080000}"/>
    <cellStyle name="Normal 26 9 6" xfId="2220" xr:uid="{00000000-0005-0000-0000-0000B1080000}"/>
    <cellStyle name="Normal 26 9 7" xfId="2221" xr:uid="{00000000-0005-0000-0000-0000B2080000}"/>
    <cellStyle name="Normal 26 9 8" xfId="2222" xr:uid="{00000000-0005-0000-0000-0000B3080000}"/>
    <cellStyle name="Normal 26 9 9" xfId="2223" xr:uid="{00000000-0005-0000-0000-0000B4080000}"/>
    <cellStyle name="Normal 27" xfId="2224" xr:uid="{00000000-0005-0000-0000-0000B5080000}"/>
    <cellStyle name="Normal 27 10" xfId="2225" xr:uid="{00000000-0005-0000-0000-0000B6080000}"/>
    <cellStyle name="Normal 27 10 10" xfId="2226" xr:uid="{00000000-0005-0000-0000-0000B7080000}"/>
    <cellStyle name="Normal 27 10 11" xfId="2227" xr:uid="{00000000-0005-0000-0000-0000B8080000}"/>
    <cellStyle name="Normal 27 10 12" xfId="2228" xr:uid="{00000000-0005-0000-0000-0000B9080000}"/>
    <cellStyle name="Normal 27 10 13" xfId="2229" xr:uid="{00000000-0005-0000-0000-0000BA080000}"/>
    <cellStyle name="Normal 27 10 2" xfId="2230" xr:uid="{00000000-0005-0000-0000-0000BB080000}"/>
    <cellStyle name="Normal 27 10 2 10" xfId="2231" xr:uid="{00000000-0005-0000-0000-0000BC080000}"/>
    <cellStyle name="Normal 27 10 2 11" xfId="2232" xr:uid="{00000000-0005-0000-0000-0000BD080000}"/>
    <cellStyle name="Normal 27 10 2 2" xfId="2233" xr:uid="{00000000-0005-0000-0000-0000BE080000}"/>
    <cellStyle name="Normal 27 10 2 3" xfId="2234" xr:uid="{00000000-0005-0000-0000-0000BF080000}"/>
    <cellStyle name="Normal 27 10 2 4" xfId="2235" xr:uid="{00000000-0005-0000-0000-0000C0080000}"/>
    <cellStyle name="Normal 27 10 2 5" xfId="2236" xr:uid="{00000000-0005-0000-0000-0000C1080000}"/>
    <cellStyle name="Normal 27 10 2 6" xfId="2237" xr:uid="{00000000-0005-0000-0000-0000C2080000}"/>
    <cellStyle name="Normal 27 10 2 7" xfId="2238" xr:uid="{00000000-0005-0000-0000-0000C3080000}"/>
    <cellStyle name="Normal 27 10 2 8" xfId="2239" xr:uid="{00000000-0005-0000-0000-0000C4080000}"/>
    <cellStyle name="Normal 27 10 2 9" xfId="2240" xr:uid="{00000000-0005-0000-0000-0000C5080000}"/>
    <cellStyle name="Normal 27 10 3" xfId="2241" xr:uid="{00000000-0005-0000-0000-0000C6080000}"/>
    <cellStyle name="Normal 27 10 4" xfId="2242" xr:uid="{00000000-0005-0000-0000-0000C7080000}"/>
    <cellStyle name="Normal 27 10 5" xfId="2243" xr:uid="{00000000-0005-0000-0000-0000C8080000}"/>
    <cellStyle name="Normal 27 10 6" xfId="2244" xr:uid="{00000000-0005-0000-0000-0000C9080000}"/>
    <cellStyle name="Normal 27 10 7" xfId="2245" xr:uid="{00000000-0005-0000-0000-0000CA080000}"/>
    <cellStyle name="Normal 27 10 8" xfId="2246" xr:uid="{00000000-0005-0000-0000-0000CB080000}"/>
    <cellStyle name="Normal 27 10 9" xfId="2247" xr:uid="{00000000-0005-0000-0000-0000CC080000}"/>
    <cellStyle name="Normal 27 11" xfId="2248" xr:uid="{00000000-0005-0000-0000-0000CD080000}"/>
    <cellStyle name="Normal 27 11 10" xfId="2249" xr:uid="{00000000-0005-0000-0000-0000CE080000}"/>
    <cellStyle name="Normal 27 11 11" xfId="2250" xr:uid="{00000000-0005-0000-0000-0000CF080000}"/>
    <cellStyle name="Normal 27 11 12" xfId="2251" xr:uid="{00000000-0005-0000-0000-0000D0080000}"/>
    <cellStyle name="Normal 27 11 13" xfId="2252" xr:uid="{00000000-0005-0000-0000-0000D1080000}"/>
    <cellStyle name="Normal 27 11 2" xfId="2253" xr:uid="{00000000-0005-0000-0000-0000D2080000}"/>
    <cellStyle name="Normal 27 11 2 10" xfId="2254" xr:uid="{00000000-0005-0000-0000-0000D3080000}"/>
    <cellStyle name="Normal 27 11 2 11" xfId="2255" xr:uid="{00000000-0005-0000-0000-0000D4080000}"/>
    <cellStyle name="Normal 27 11 2 2" xfId="2256" xr:uid="{00000000-0005-0000-0000-0000D5080000}"/>
    <cellStyle name="Normal 27 11 2 3" xfId="2257" xr:uid="{00000000-0005-0000-0000-0000D6080000}"/>
    <cellStyle name="Normal 27 11 2 4" xfId="2258" xr:uid="{00000000-0005-0000-0000-0000D7080000}"/>
    <cellStyle name="Normal 27 11 2 5" xfId="2259" xr:uid="{00000000-0005-0000-0000-0000D8080000}"/>
    <cellStyle name="Normal 27 11 2 6" xfId="2260" xr:uid="{00000000-0005-0000-0000-0000D9080000}"/>
    <cellStyle name="Normal 27 11 2 7" xfId="2261" xr:uid="{00000000-0005-0000-0000-0000DA080000}"/>
    <cellStyle name="Normal 27 11 2 8" xfId="2262" xr:uid="{00000000-0005-0000-0000-0000DB080000}"/>
    <cellStyle name="Normal 27 11 2 9" xfId="2263" xr:uid="{00000000-0005-0000-0000-0000DC080000}"/>
    <cellStyle name="Normal 27 11 3" xfId="2264" xr:uid="{00000000-0005-0000-0000-0000DD080000}"/>
    <cellStyle name="Normal 27 11 4" xfId="2265" xr:uid="{00000000-0005-0000-0000-0000DE080000}"/>
    <cellStyle name="Normal 27 11 5" xfId="2266" xr:uid="{00000000-0005-0000-0000-0000DF080000}"/>
    <cellStyle name="Normal 27 11 6" xfId="2267" xr:uid="{00000000-0005-0000-0000-0000E0080000}"/>
    <cellStyle name="Normal 27 11 7" xfId="2268" xr:uid="{00000000-0005-0000-0000-0000E1080000}"/>
    <cellStyle name="Normal 27 11 8" xfId="2269" xr:uid="{00000000-0005-0000-0000-0000E2080000}"/>
    <cellStyle name="Normal 27 11 9" xfId="2270" xr:uid="{00000000-0005-0000-0000-0000E3080000}"/>
    <cellStyle name="Normal 27 12" xfId="2271" xr:uid="{00000000-0005-0000-0000-0000E4080000}"/>
    <cellStyle name="Normal 27 12 10" xfId="2272" xr:uid="{00000000-0005-0000-0000-0000E5080000}"/>
    <cellStyle name="Normal 27 12 11" xfId="2273" xr:uid="{00000000-0005-0000-0000-0000E6080000}"/>
    <cellStyle name="Normal 27 12 12" xfId="2274" xr:uid="{00000000-0005-0000-0000-0000E7080000}"/>
    <cellStyle name="Normal 27 12 13" xfId="2275" xr:uid="{00000000-0005-0000-0000-0000E8080000}"/>
    <cellStyle name="Normal 27 12 2" xfId="2276" xr:uid="{00000000-0005-0000-0000-0000E9080000}"/>
    <cellStyle name="Normal 27 12 2 10" xfId="2277" xr:uid="{00000000-0005-0000-0000-0000EA080000}"/>
    <cellStyle name="Normal 27 12 2 11" xfId="2278" xr:uid="{00000000-0005-0000-0000-0000EB080000}"/>
    <cellStyle name="Normal 27 12 2 2" xfId="2279" xr:uid="{00000000-0005-0000-0000-0000EC080000}"/>
    <cellStyle name="Normal 27 12 2 3" xfId="2280" xr:uid="{00000000-0005-0000-0000-0000ED080000}"/>
    <cellStyle name="Normal 27 12 2 4" xfId="2281" xr:uid="{00000000-0005-0000-0000-0000EE080000}"/>
    <cellStyle name="Normal 27 12 2 5" xfId="2282" xr:uid="{00000000-0005-0000-0000-0000EF080000}"/>
    <cellStyle name="Normal 27 12 2 6" xfId="2283" xr:uid="{00000000-0005-0000-0000-0000F0080000}"/>
    <cellStyle name="Normal 27 12 2 7" xfId="2284" xr:uid="{00000000-0005-0000-0000-0000F1080000}"/>
    <cellStyle name="Normal 27 12 2 8" xfId="2285" xr:uid="{00000000-0005-0000-0000-0000F2080000}"/>
    <cellStyle name="Normal 27 12 2 9" xfId="2286" xr:uid="{00000000-0005-0000-0000-0000F3080000}"/>
    <cellStyle name="Normal 27 12 3" xfId="2287" xr:uid="{00000000-0005-0000-0000-0000F4080000}"/>
    <cellStyle name="Normal 27 12 4" xfId="2288" xr:uid="{00000000-0005-0000-0000-0000F5080000}"/>
    <cellStyle name="Normal 27 12 5" xfId="2289" xr:uid="{00000000-0005-0000-0000-0000F6080000}"/>
    <cellStyle name="Normal 27 12 6" xfId="2290" xr:uid="{00000000-0005-0000-0000-0000F7080000}"/>
    <cellStyle name="Normal 27 12 7" xfId="2291" xr:uid="{00000000-0005-0000-0000-0000F8080000}"/>
    <cellStyle name="Normal 27 12 8" xfId="2292" xr:uid="{00000000-0005-0000-0000-0000F9080000}"/>
    <cellStyle name="Normal 27 12 9" xfId="2293" xr:uid="{00000000-0005-0000-0000-0000FA080000}"/>
    <cellStyle name="Normal 27 13" xfId="2294" xr:uid="{00000000-0005-0000-0000-0000FB080000}"/>
    <cellStyle name="Normal 27 13 10" xfId="2295" xr:uid="{00000000-0005-0000-0000-0000FC080000}"/>
    <cellStyle name="Normal 27 13 11" xfId="2296" xr:uid="{00000000-0005-0000-0000-0000FD080000}"/>
    <cellStyle name="Normal 27 13 12" xfId="2297" xr:uid="{00000000-0005-0000-0000-0000FE080000}"/>
    <cellStyle name="Normal 27 13 13" xfId="2298" xr:uid="{00000000-0005-0000-0000-0000FF080000}"/>
    <cellStyle name="Normal 27 13 2" xfId="2299" xr:uid="{00000000-0005-0000-0000-000000090000}"/>
    <cellStyle name="Normal 27 13 2 10" xfId="2300" xr:uid="{00000000-0005-0000-0000-000001090000}"/>
    <cellStyle name="Normal 27 13 2 11" xfId="2301" xr:uid="{00000000-0005-0000-0000-000002090000}"/>
    <cellStyle name="Normal 27 13 2 2" xfId="2302" xr:uid="{00000000-0005-0000-0000-000003090000}"/>
    <cellStyle name="Normal 27 13 2 3" xfId="2303" xr:uid="{00000000-0005-0000-0000-000004090000}"/>
    <cellStyle name="Normal 27 13 2 4" xfId="2304" xr:uid="{00000000-0005-0000-0000-000005090000}"/>
    <cellStyle name="Normal 27 13 2 5" xfId="2305" xr:uid="{00000000-0005-0000-0000-000006090000}"/>
    <cellStyle name="Normal 27 13 2 6" xfId="2306" xr:uid="{00000000-0005-0000-0000-000007090000}"/>
    <cellStyle name="Normal 27 13 2 7" xfId="2307" xr:uid="{00000000-0005-0000-0000-000008090000}"/>
    <cellStyle name="Normal 27 13 2 8" xfId="2308" xr:uid="{00000000-0005-0000-0000-000009090000}"/>
    <cellStyle name="Normal 27 13 2 9" xfId="2309" xr:uid="{00000000-0005-0000-0000-00000A090000}"/>
    <cellStyle name="Normal 27 13 3" xfId="2310" xr:uid="{00000000-0005-0000-0000-00000B090000}"/>
    <cellStyle name="Normal 27 13 4" xfId="2311" xr:uid="{00000000-0005-0000-0000-00000C090000}"/>
    <cellStyle name="Normal 27 13 5" xfId="2312" xr:uid="{00000000-0005-0000-0000-00000D090000}"/>
    <cellStyle name="Normal 27 13 6" xfId="2313" xr:uid="{00000000-0005-0000-0000-00000E090000}"/>
    <cellStyle name="Normal 27 13 7" xfId="2314" xr:uid="{00000000-0005-0000-0000-00000F090000}"/>
    <cellStyle name="Normal 27 13 8" xfId="2315" xr:uid="{00000000-0005-0000-0000-000010090000}"/>
    <cellStyle name="Normal 27 13 9" xfId="2316" xr:uid="{00000000-0005-0000-0000-000011090000}"/>
    <cellStyle name="Normal 27 14" xfId="2317" xr:uid="{00000000-0005-0000-0000-000012090000}"/>
    <cellStyle name="Normal 27 14 10" xfId="2318" xr:uid="{00000000-0005-0000-0000-000013090000}"/>
    <cellStyle name="Normal 27 14 11" xfId="2319" xr:uid="{00000000-0005-0000-0000-000014090000}"/>
    <cellStyle name="Normal 27 14 2" xfId="2320" xr:uid="{00000000-0005-0000-0000-000015090000}"/>
    <cellStyle name="Normal 27 14 3" xfId="2321" xr:uid="{00000000-0005-0000-0000-000016090000}"/>
    <cellStyle name="Normal 27 14 4" xfId="2322" xr:uid="{00000000-0005-0000-0000-000017090000}"/>
    <cellStyle name="Normal 27 14 5" xfId="2323" xr:uid="{00000000-0005-0000-0000-000018090000}"/>
    <cellStyle name="Normal 27 14 6" xfId="2324" xr:uid="{00000000-0005-0000-0000-000019090000}"/>
    <cellStyle name="Normal 27 14 7" xfId="2325" xr:uid="{00000000-0005-0000-0000-00001A090000}"/>
    <cellStyle name="Normal 27 14 8" xfId="2326" xr:uid="{00000000-0005-0000-0000-00001B090000}"/>
    <cellStyle name="Normal 27 14 9" xfId="2327" xr:uid="{00000000-0005-0000-0000-00001C090000}"/>
    <cellStyle name="Normal 27 15" xfId="2328" xr:uid="{00000000-0005-0000-0000-00001D090000}"/>
    <cellStyle name="Normal 27 16" xfId="2329" xr:uid="{00000000-0005-0000-0000-00001E090000}"/>
    <cellStyle name="Normal 27 17" xfId="2330" xr:uid="{00000000-0005-0000-0000-00001F090000}"/>
    <cellStyle name="Normal 27 18" xfId="2331" xr:uid="{00000000-0005-0000-0000-000020090000}"/>
    <cellStyle name="Normal 27 19" xfId="2332" xr:uid="{00000000-0005-0000-0000-000021090000}"/>
    <cellStyle name="Normal 27 2" xfId="2333" xr:uid="{00000000-0005-0000-0000-000022090000}"/>
    <cellStyle name="Normal 27 2 10" xfId="2334" xr:uid="{00000000-0005-0000-0000-000023090000}"/>
    <cellStyle name="Normal 27 2 11" xfId="2335" xr:uid="{00000000-0005-0000-0000-000024090000}"/>
    <cellStyle name="Normal 27 2 12" xfId="2336" xr:uid="{00000000-0005-0000-0000-000025090000}"/>
    <cellStyle name="Normal 27 2 13" xfId="2337" xr:uid="{00000000-0005-0000-0000-000026090000}"/>
    <cellStyle name="Normal 27 2 2" xfId="2338" xr:uid="{00000000-0005-0000-0000-000027090000}"/>
    <cellStyle name="Normal 27 2 2 10" xfId="2339" xr:uid="{00000000-0005-0000-0000-000028090000}"/>
    <cellStyle name="Normal 27 2 2 11" xfId="2340" xr:uid="{00000000-0005-0000-0000-000029090000}"/>
    <cellStyle name="Normal 27 2 2 2" xfId="2341" xr:uid="{00000000-0005-0000-0000-00002A090000}"/>
    <cellStyle name="Normal 27 2 2 3" xfId="2342" xr:uid="{00000000-0005-0000-0000-00002B090000}"/>
    <cellStyle name="Normal 27 2 2 4" xfId="2343" xr:uid="{00000000-0005-0000-0000-00002C090000}"/>
    <cellStyle name="Normal 27 2 2 5" xfId="2344" xr:uid="{00000000-0005-0000-0000-00002D090000}"/>
    <cellStyle name="Normal 27 2 2 6" xfId="2345" xr:uid="{00000000-0005-0000-0000-00002E090000}"/>
    <cellStyle name="Normal 27 2 2 7" xfId="2346" xr:uid="{00000000-0005-0000-0000-00002F090000}"/>
    <cellStyle name="Normal 27 2 2 8" xfId="2347" xr:uid="{00000000-0005-0000-0000-000030090000}"/>
    <cellStyle name="Normal 27 2 2 9" xfId="2348" xr:uid="{00000000-0005-0000-0000-000031090000}"/>
    <cellStyle name="Normal 27 2 3" xfId="2349" xr:uid="{00000000-0005-0000-0000-000032090000}"/>
    <cellStyle name="Normal 27 2 4" xfId="2350" xr:uid="{00000000-0005-0000-0000-000033090000}"/>
    <cellStyle name="Normal 27 2 5" xfId="2351" xr:uid="{00000000-0005-0000-0000-000034090000}"/>
    <cellStyle name="Normal 27 2 6" xfId="2352" xr:uid="{00000000-0005-0000-0000-000035090000}"/>
    <cellStyle name="Normal 27 2 7" xfId="2353" xr:uid="{00000000-0005-0000-0000-000036090000}"/>
    <cellStyle name="Normal 27 2 8" xfId="2354" xr:uid="{00000000-0005-0000-0000-000037090000}"/>
    <cellStyle name="Normal 27 2 9" xfId="2355" xr:uid="{00000000-0005-0000-0000-000038090000}"/>
    <cellStyle name="Normal 27 20" xfId="2356" xr:uid="{00000000-0005-0000-0000-000039090000}"/>
    <cellStyle name="Normal 27 21" xfId="2357" xr:uid="{00000000-0005-0000-0000-00003A090000}"/>
    <cellStyle name="Normal 27 22" xfId="2358" xr:uid="{00000000-0005-0000-0000-00003B090000}"/>
    <cellStyle name="Normal 27 23" xfId="2359" xr:uid="{00000000-0005-0000-0000-00003C090000}"/>
    <cellStyle name="Normal 27 24" xfId="2360" xr:uid="{00000000-0005-0000-0000-00003D090000}"/>
    <cellStyle name="Normal 27 25" xfId="2361" xr:uid="{00000000-0005-0000-0000-00003E090000}"/>
    <cellStyle name="Normal 27 3" xfId="2362" xr:uid="{00000000-0005-0000-0000-00003F090000}"/>
    <cellStyle name="Normal 27 3 10" xfId="2363" xr:uid="{00000000-0005-0000-0000-000040090000}"/>
    <cellStyle name="Normal 27 3 11" xfId="2364" xr:uid="{00000000-0005-0000-0000-000041090000}"/>
    <cellStyle name="Normal 27 3 12" xfId="2365" xr:uid="{00000000-0005-0000-0000-000042090000}"/>
    <cellStyle name="Normal 27 3 13" xfId="2366" xr:uid="{00000000-0005-0000-0000-000043090000}"/>
    <cellStyle name="Normal 27 3 2" xfId="2367" xr:uid="{00000000-0005-0000-0000-000044090000}"/>
    <cellStyle name="Normal 27 3 2 10" xfId="2368" xr:uid="{00000000-0005-0000-0000-000045090000}"/>
    <cellStyle name="Normal 27 3 2 11" xfId="2369" xr:uid="{00000000-0005-0000-0000-000046090000}"/>
    <cellStyle name="Normal 27 3 2 2" xfId="2370" xr:uid="{00000000-0005-0000-0000-000047090000}"/>
    <cellStyle name="Normal 27 3 2 3" xfId="2371" xr:uid="{00000000-0005-0000-0000-000048090000}"/>
    <cellStyle name="Normal 27 3 2 4" xfId="2372" xr:uid="{00000000-0005-0000-0000-000049090000}"/>
    <cellStyle name="Normal 27 3 2 5" xfId="2373" xr:uid="{00000000-0005-0000-0000-00004A090000}"/>
    <cellStyle name="Normal 27 3 2 6" xfId="2374" xr:uid="{00000000-0005-0000-0000-00004B090000}"/>
    <cellStyle name="Normal 27 3 2 7" xfId="2375" xr:uid="{00000000-0005-0000-0000-00004C090000}"/>
    <cellStyle name="Normal 27 3 2 8" xfId="2376" xr:uid="{00000000-0005-0000-0000-00004D090000}"/>
    <cellStyle name="Normal 27 3 2 9" xfId="2377" xr:uid="{00000000-0005-0000-0000-00004E090000}"/>
    <cellStyle name="Normal 27 3 3" xfId="2378" xr:uid="{00000000-0005-0000-0000-00004F090000}"/>
    <cellStyle name="Normal 27 3 4" xfId="2379" xr:uid="{00000000-0005-0000-0000-000050090000}"/>
    <cellStyle name="Normal 27 3 5" xfId="2380" xr:uid="{00000000-0005-0000-0000-000051090000}"/>
    <cellStyle name="Normal 27 3 6" xfId="2381" xr:uid="{00000000-0005-0000-0000-000052090000}"/>
    <cellStyle name="Normal 27 3 7" xfId="2382" xr:uid="{00000000-0005-0000-0000-000053090000}"/>
    <cellStyle name="Normal 27 3 8" xfId="2383" xr:uid="{00000000-0005-0000-0000-000054090000}"/>
    <cellStyle name="Normal 27 3 9" xfId="2384" xr:uid="{00000000-0005-0000-0000-000055090000}"/>
    <cellStyle name="Normal 27 4" xfId="2385" xr:uid="{00000000-0005-0000-0000-000056090000}"/>
    <cellStyle name="Normal 27 4 10" xfId="2386" xr:uid="{00000000-0005-0000-0000-000057090000}"/>
    <cellStyle name="Normal 27 4 11" xfId="2387" xr:uid="{00000000-0005-0000-0000-000058090000}"/>
    <cellStyle name="Normal 27 4 12" xfId="2388" xr:uid="{00000000-0005-0000-0000-000059090000}"/>
    <cellStyle name="Normal 27 4 13" xfId="2389" xr:uid="{00000000-0005-0000-0000-00005A090000}"/>
    <cellStyle name="Normal 27 4 2" xfId="2390" xr:uid="{00000000-0005-0000-0000-00005B090000}"/>
    <cellStyle name="Normal 27 4 2 10" xfId="2391" xr:uid="{00000000-0005-0000-0000-00005C090000}"/>
    <cellStyle name="Normal 27 4 2 11" xfId="2392" xr:uid="{00000000-0005-0000-0000-00005D090000}"/>
    <cellStyle name="Normal 27 4 2 2" xfId="2393" xr:uid="{00000000-0005-0000-0000-00005E090000}"/>
    <cellStyle name="Normal 27 4 2 3" xfId="2394" xr:uid="{00000000-0005-0000-0000-00005F090000}"/>
    <cellStyle name="Normal 27 4 2 4" xfId="2395" xr:uid="{00000000-0005-0000-0000-000060090000}"/>
    <cellStyle name="Normal 27 4 2 5" xfId="2396" xr:uid="{00000000-0005-0000-0000-000061090000}"/>
    <cellStyle name="Normal 27 4 2 6" xfId="2397" xr:uid="{00000000-0005-0000-0000-000062090000}"/>
    <cellStyle name="Normal 27 4 2 7" xfId="2398" xr:uid="{00000000-0005-0000-0000-000063090000}"/>
    <cellStyle name="Normal 27 4 2 8" xfId="2399" xr:uid="{00000000-0005-0000-0000-000064090000}"/>
    <cellStyle name="Normal 27 4 2 9" xfId="2400" xr:uid="{00000000-0005-0000-0000-000065090000}"/>
    <cellStyle name="Normal 27 4 3" xfId="2401" xr:uid="{00000000-0005-0000-0000-000066090000}"/>
    <cellStyle name="Normal 27 4 4" xfId="2402" xr:uid="{00000000-0005-0000-0000-000067090000}"/>
    <cellStyle name="Normal 27 4 5" xfId="2403" xr:uid="{00000000-0005-0000-0000-000068090000}"/>
    <cellStyle name="Normal 27 4 6" xfId="2404" xr:uid="{00000000-0005-0000-0000-000069090000}"/>
    <cellStyle name="Normal 27 4 7" xfId="2405" xr:uid="{00000000-0005-0000-0000-00006A090000}"/>
    <cellStyle name="Normal 27 4 8" xfId="2406" xr:uid="{00000000-0005-0000-0000-00006B090000}"/>
    <cellStyle name="Normal 27 4 9" xfId="2407" xr:uid="{00000000-0005-0000-0000-00006C090000}"/>
    <cellStyle name="Normal 27 5" xfId="2408" xr:uid="{00000000-0005-0000-0000-00006D090000}"/>
    <cellStyle name="Normal 27 5 10" xfId="2409" xr:uid="{00000000-0005-0000-0000-00006E090000}"/>
    <cellStyle name="Normal 27 5 11" xfId="2410" xr:uid="{00000000-0005-0000-0000-00006F090000}"/>
    <cellStyle name="Normal 27 5 12" xfId="2411" xr:uid="{00000000-0005-0000-0000-000070090000}"/>
    <cellStyle name="Normal 27 5 13" xfId="2412" xr:uid="{00000000-0005-0000-0000-000071090000}"/>
    <cellStyle name="Normal 27 5 2" xfId="2413" xr:uid="{00000000-0005-0000-0000-000072090000}"/>
    <cellStyle name="Normal 27 5 2 10" xfId="2414" xr:uid="{00000000-0005-0000-0000-000073090000}"/>
    <cellStyle name="Normal 27 5 2 11" xfId="2415" xr:uid="{00000000-0005-0000-0000-000074090000}"/>
    <cellStyle name="Normal 27 5 2 2" xfId="2416" xr:uid="{00000000-0005-0000-0000-000075090000}"/>
    <cellStyle name="Normal 27 5 2 3" xfId="2417" xr:uid="{00000000-0005-0000-0000-000076090000}"/>
    <cellStyle name="Normal 27 5 2 4" xfId="2418" xr:uid="{00000000-0005-0000-0000-000077090000}"/>
    <cellStyle name="Normal 27 5 2 5" xfId="2419" xr:uid="{00000000-0005-0000-0000-000078090000}"/>
    <cellStyle name="Normal 27 5 2 6" xfId="2420" xr:uid="{00000000-0005-0000-0000-000079090000}"/>
    <cellStyle name="Normal 27 5 2 7" xfId="2421" xr:uid="{00000000-0005-0000-0000-00007A090000}"/>
    <cellStyle name="Normal 27 5 2 8" xfId="2422" xr:uid="{00000000-0005-0000-0000-00007B090000}"/>
    <cellStyle name="Normal 27 5 2 9" xfId="2423" xr:uid="{00000000-0005-0000-0000-00007C090000}"/>
    <cellStyle name="Normal 27 5 3" xfId="2424" xr:uid="{00000000-0005-0000-0000-00007D090000}"/>
    <cellStyle name="Normal 27 5 4" xfId="2425" xr:uid="{00000000-0005-0000-0000-00007E090000}"/>
    <cellStyle name="Normal 27 5 5" xfId="2426" xr:uid="{00000000-0005-0000-0000-00007F090000}"/>
    <cellStyle name="Normal 27 5 6" xfId="2427" xr:uid="{00000000-0005-0000-0000-000080090000}"/>
    <cellStyle name="Normal 27 5 7" xfId="2428" xr:uid="{00000000-0005-0000-0000-000081090000}"/>
    <cellStyle name="Normal 27 5 8" xfId="2429" xr:uid="{00000000-0005-0000-0000-000082090000}"/>
    <cellStyle name="Normal 27 5 9" xfId="2430" xr:uid="{00000000-0005-0000-0000-000083090000}"/>
    <cellStyle name="Normal 27 6" xfId="2431" xr:uid="{00000000-0005-0000-0000-000084090000}"/>
    <cellStyle name="Normal 27 6 10" xfId="2432" xr:uid="{00000000-0005-0000-0000-000085090000}"/>
    <cellStyle name="Normal 27 6 11" xfId="2433" xr:uid="{00000000-0005-0000-0000-000086090000}"/>
    <cellStyle name="Normal 27 6 12" xfId="2434" xr:uid="{00000000-0005-0000-0000-000087090000}"/>
    <cellStyle name="Normal 27 6 13" xfId="2435" xr:uid="{00000000-0005-0000-0000-000088090000}"/>
    <cellStyle name="Normal 27 6 2" xfId="2436" xr:uid="{00000000-0005-0000-0000-000089090000}"/>
    <cellStyle name="Normal 27 6 2 10" xfId="2437" xr:uid="{00000000-0005-0000-0000-00008A090000}"/>
    <cellStyle name="Normal 27 6 2 11" xfId="2438" xr:uid="{00000000-0005-0000-0000-00008B090000}"/>
    <cellStyle name="Normal 27 6 2 2" xfId="2439" xr:uid="{00000000-0005-0000-0000-00008C090000}"/>
    <cellStyle name="Normal 27 6 2 3" xfId="2440" xr:uid="{00000000-0005-0000-0000-00008D090000}"/>
    <cellStyle name="Normal 27 6 2 4" xfId="2441" xr:uid="{00000000-0005-0000-0000-00008E090000}"/>
    <cellStyle name="Normal 27 6 2 5" xfId="2442" xr:uid="{00000000-0005-0000-0000-00008F090000}"/>
    <cellStyle name="Normal 27 6 2 6" xfId="2443" xr:uid="{00000000-0005-0000-0000-000090090000}"/>
    <cellStyle name="Normal 27 6 2 7" xfId="2444" xr:uid="{00000000-0005-0000-0000-000091090000}"/>
    <cellStyle name="Normal 27 6 2 8" xfId="2445" xr:uid="{00000000-0005-0000-0000-000092090000}"/>
    <cellStyle name="Normal 27 6 2 9" xfId="2446" xr:uid="{00000000-0005-0000-0000-000093090000}"/>
    <cellStyle name="Normal 27 6 3" xfId="2447" xr:uid="{00000000-0005-0000-0000-000094090000}"/>
    <cellStyle name="Normal 27 6 4" xfId="2448" xr:uid="{00000000-0005-0000-0000-000095090000}"/>
    <cellStyle name="Normal 27 6 5" xfId="2449" xr:uid="{00000000-0005-0000-0000-000096090000}"/>
    <cellStyle name="Normal 27 6 6" xfId="2450" xr:uid="{00000000-0005-0000-0000-000097090000}"/>
    <cellStyle name="Normal 27 6 7" xfId="2451" xr:uid="{00000000-0005-0000-0000-000098090000}"/>
    <cellStyle name="Normal 27 6 8" xfId="2452" xr:uid="{00000000-0005-0000-0000-000099090000}"/>
    <cellStyle name="Normal 27 6 9" xfId="2453" xr:uid="{00000000-0005-0000-0000-00009A090000}"/>
    <cellStyle name="Normal 27 7" xfId="2454" xr:uid="{00000000-0005-0000-0000-00009B090000}"/>
    <cellStyle name="Normal 27 7 10" xfId="2455" xr:uid="{00000000-0005-0000-0000-00009C090000}"/>
    <cellStyle name="Normal 27 7 11" xfId="2456" xr:uid="{00000000-0005-0000-0000-00009D090000}"/>
    <cellStyle name="Normal 27 7 12" xfId="2457" xr:uid="{00000000-0005-0000-0000-00009E090000}"/>
    <cellStyle name="Normal 27 7 13" xfId="2458" xr:uid="{00000000-0005-0000-0000-00009F090000}"/>
    <cellStyle name="Normal 27 7 2" xfId="2459" xr:uid="{00000000-0005-0000-0000-0000A0090000}"/>
    <cellStyle name="Normal 27 7 2 10" xfId="2460" xr:uid="{00000000-0005-0000-0000-0000A1090000}"/>
    <cellStyle name="Normal 27 7 2 11" xfId="2461" xr:uid="{00000000-0005-0000-0000-0000A2090000}"/>
    <cellStyle name="Normal 27 7 2 2" xfId="2462" xr:uid="{00000000-0005-0000-0000-0000A3090000}"/>
    <cellStyle name="Normal 27 7 2 3" xfId="2463" xr:uid="{00000000-0005-0000-0000-0000A4090000}"/>
    <cellStyle name="Normal 27 7 2 4" xfId="2464" xr:uid="{00000000-0005-0000-0000-0000A5090000}"/>
    <cellStyle name="Normal 27 7 2 5" xfId="2465" xr:uid="{00000000-0005-0000-0000-0000A6090000}"/>
    <cellStyle name="Normal 27 7 2 6" xfId="2466" xr:uid="{00000000-0005-0000-0000-0000A7090000}"/>
    <cellStyle name="Normal 27 7 2 7" xfId="2467" xr:uid="{00000000-0005-0000-0000-0000A8090000}"/>
    <cellStyle name="Normal 27 7 2 8" xfId="2468" xr:uid="{00000000-0005-0000-0000-0000A9090000}"/>
    <cellStyle name="Normal 27 7 2 9" xfId="2469" xr:uid="{00000000-0005-0000-0000-0000AA090000}"/>
    <cellStyle name="Normal 27 7 3" xfId="2470" xr:uid="{00000000-0005-0000-0000-0000AB090000}"/>
    <cellStyle name="Normal 27 7 4" xfId="2471" xr:uid="{00000000-0005-0000-0000-0000AC090000}"/>
    <cellStyle name="Normal 27 7 5" xfId="2472" xr:uid="{00000000-0005-0000-0000-0000AD090000}"/>
    <cellStyle name="Normal 27 7 6" xfId="2473" xr:uid="{00000000-0005-0000-0000-0000AE090000}"/>
    <cellStyle name="Normal 27 7 7" xfId="2474" xr:uid="{00000000-0005-0000-0000-0000AF090000}"/>
    <cellStyle name="Normal 27 7 8" xfId="2475" xr:uid="{00000000-0005-0000-0000-0000B0090000}"/>
    <cellStyle name="Normal 27 7 9" xfId="2476" xr:uid="{00000000-0005-0000-0000-0000B1090000}"/>
    <cellStyle name="Normal 27 8" xfId="2477" xr:uid="{00000000-0005-0000-0000-0000B2090000}"/>
    <cellStyle name="Normal 27 8 10" xfId="2478" xr:uid="{00000000-0005-0000-0000-0000B3090000}"/>
    <cellStyle name="Normal 27 8 11" xfId="2479" xr:uid="{00000000-0005-0000-0000-0000B4090000}"/>
    <cellStyle name="Normal 27 8 12" xfId="2480" xr:uid="{00000000-0005-0000-0000-0000B5090000}"/>
    <cellStyle name="Normal 27 8 13" xfId="2481" xr:uid="{00000000-0005-0000-0000-0000B6090000}"/>
    <cellStyle name="Normal 27 8 2" xfId="2482" xr:uid="{00000000-0005-0000-0000-0000B7090000}"/>
    <cellStyle name="Normal 27 8 2 10" xfId="2483" xr:uid="{00000000-0005-0000-0000-0000B8090000}"/>
    <cellStyle name="Normal 27 8 2 11" xfId="2484" xr:uid="{00000000-0005-0000-0000-0000B9090000}"/>
    <cellStyle name="Normal 27 8 2 2" xfId="2485" xr:uid="{00000000-0005-0000-0000-0000BA090000}"/>
    <cellStyle name="Normal 27 8 2 3" xfId="2486" xr:uid="{00000000-0005-0000-0000-0000BB090000}"/>
    <cellStyle name="Normal 27 8 2 4" xfId="2487" xr:uid="{00000000-0005-0000-0000-0000BC090000}"/>
    <cellStyle name="Normal 27 8 2 5" xfId="2488" xr:uid="{00000000-0005-0000-0000-0000BD090000}"/>
    <cellStyle name="Normal 27 8 2 6" xfId="2489" xr:uid="{00000000-0005-0000-0000-0000BE090000}"/>
    <cellStyle name="Normal 27 8 2 7" xfId="2490" xr:uid="{00000000-0005-0000-0000-0000BF090000}"/>
    <cellStyle name="Normal 27 8 2 8" xfId="2491" xr:uid="{00000000-0005-0000-0000-0000C0090000}"/>
    <cellStyle name="Normal 27 8 2 9" xfId="2492" xr:uid="{00000000-0005-0000-0000-0000C1090000}"/>
    <cellStyle name="Normal 27 8 3" xfId="2493" xr:uid="{00000000-0005-0000-0000-0000C2090000}"/>
    <cellStyle name="Normal 27 8 4" xfId="2494" xr:uid="{00000000-0005-0000-0000-0000C3090000}"/>
    <cellStyle name="Normal 27 8 5" xfId="2495" xr:uid="{00000000-0005-0000-0000-0000C4090000}"/>
    <cellStyle name="Normal 27 8 6" xfId="2496" xr:uid="{00000000-0005-0000-0000-0000C5090000}"/>
    <cellStyle name="Normal 27 8 7" xfId="2497" xr:uid="{00000000-0005-0000-0000-0000C6090000}"/>
    <cellStyle name="Normal 27 8 8" xfId="2498" xr:uid="{00000000-0005-0000-0000-0000C7090000}"/>
    <cellStyle name="Normal 27 8 9" xfId="2499" xr:uid="{00000000-0005-0000-0000-0000C8090000}"/>
    <cellStyle name="Normal 27 9" xfId="2500" xr:uid="{00000000-0005-0000-0000-0000C9090000}"/>
    <cellStyle name="Normal 27 9 10" xfId="2501" xr:uid="{00000000-0005-0000-0000-0000CA090000}"/>
    <cellStyle name="Normal 27 9 11" xfId="2502" xr:uid="{00000000-0005-0000-0000-0000CB090000}"/>
    <cellStyle name="Normal 27 9 12" xfId="2503" xr:uid="{00000000-0005-0000-0000-0000CC090000}"/>
    <cellStyle name="Normal 27 9 13" xfId="2504" xr:uid="{00000000-0005-0000-0000-0000CD090000}"/>
    <cellStyle name="Normal 27 9 2" xfId="2505" xr:uid="{00000000-0005-0000-0000-0000CE090000}"/>
    <cellStyle name="Normal 27 9 2 10" xfId="2506" xr:uid="{00000000-0005-0000-0000-0000CF090000}"/>
    <cellStyle name="Normal 27 9 2 11" xfId="2507" xr:uid="{00000000-0005-0000-0000-0000D0090000}"/>
    <cellStyle name="Normal 27 9 2 2" xfId="2508" xr:uid="{00000000-0005-0000-0000-0000D1090000}"/>
    <cellStyle name="Normal 27 9 2 3" xfId="2509" xr:uid="{00000000-0005-0000-0000-0000D2090000}"/>
    <cellStyle name="Normal 27 9 2 4" xfId="2510" xr:uid="{00000000-0005-0000-0000-0000D3090000}"/>
    <cellStyle name="Normal 27 9 2 5" xfId="2511" xr:uid="{00000000-0005-0000-0000-0000D4090000}"/>
    <cellStyle name="Normal 27 9 2 6" xfId="2512" xr:uid="{00000000-0005-0000-0000-0000D5090000}"/>
    <cellStyle name="Normal 27 9 2 7" xfId="2513" xr:uid="{00000000-0005-0000-0000-0000D6090000}"/>
    <cellStyle name="Normal 27 9 2 8" xfId="2514" xr:uid="{00000000-0005-0000-0000-0000D7090000}"/>
    <cellStyle name="Normal 27 9 2 9" xfId="2515" xr:uid="{00000000-0005-0000-0000-0000D8090000}"/>
    <cellStyle name="Normal 27 9 3" xfId="2516" xr:uid="{00000000-0005-0000-0000-0000D9090000}"/>
    <cellStyle name="Normal 27 9 4" xfId="2517" xr:uid="{00000000-0005-0000-0000-0000DA090000}"/>
    <cellStyle name="Normal 27 9 5" xfId="2518" xr:uid="{00000000-0005-0000-0000-0000DB090000}"/>
    <cellStyle name="Normal 27 9 6" xfId="2519" xr:uid="{00000000-0005-0000-0000-0000DC090000}"/>
    <cellStyle name="Normal 27 9 7" xfId="2520" xr:uid="{00000000-0005-0000-0000-0000DD090000}"/>
    <cellStyle name="Normal 27 9 8" xfId="2521" xr:uid="{00000000-0005-0000-0000-0000DE090000}"/>
    <cellStyle name="Normal 27 9 9" xfId="2522" xr:uid="{00000000-0005-0000-0000-0000DF090000}"/>
    <cellStyle name="Normal 28" xfId="2523" xr:uid="{00000000-0005-0000-0000-0000E0090000}"/>
    <cellStyle name="Normal 28 10" xfId="2524" xr:uid="{00000000-0005-0000-0000-0000E1090000}"/>
    <cellStyle name="Normal 28 10 10" xfId="2525" xr:uid="{00000000-0005-0000-0000-0000E2090000}"/>
    <cellStyle name="Normal 28 10 11" xfId="2526" xr:uid="{00000000-0005-0000-0000-0000E3090000}"/>
    <cellStyle name="Normal 28 10 12" xfId="2527" xr:uid="{00000000-0005-0000-0000-0000E4090000}"/>
    <cellStyle name="Normal 28 10 13" xfId="2528" xr:uid="{00000000-0005-0000-0000-0000E5090000}"/>
    <cellStyle name="Normal 28 10 2" xfId="2529" xr:uid="{00000000-0005-0000-0000-0000E6090000}"/>
    <cellStyle name="Normal 28 10 2 10" xfId="2530" xr:uid="{00000000-0005-0000-0000-0000E7090000}"/>
    <cellStyle name="Normal 28 10 2 11" xfId="2531" xr:uid="{00000000-0005-0000-0000-0000E8090000}"/>
    <cellStyle name="Normal 28 10 2 2" xfId="2532" xr:uid="{00000000-0005-0000-0000-0000E9090000}"/>
    <cellStyle name="Normal 28 10 2 3" xfId="2533" xr:uid="{00000000-0005-0000-0000-0000EA090000}"/>
    <cellStyle name="Normal 28 10 2 4" xfId="2534" xr:uid="{00000000-0005-0000-0000-0000EB090000}"/>
    <cellStyle name="Normal 28 10 2 5" xfId="2535" xr:uid="{00000000-0005-0000-0000-0000EC090000}"/>
    <cellStyle name="Normal 28 10 2 6" xfId="2536" xr:uid="{00000000-0005-0000-0000-0000ED090000}"/>
    <cellStyle name="Normal 28 10 2 7" xfId="2537" xr:uid="{00000000-0005-0000-0000-0000EE090000}"/>
    <cellStyle name="Normal 28 10 2 8" xfId="2538" xr:uid="{00000000-0005-0000-0000-0000EF090000}"/>
    <cellStyle name="Normal 28 10 2 9" xfId="2539" xr:uid="{00000000-0005-0000-0000-0000F0090000}"/>
    <cellStyle name="Normal 28 10 3" xfId="2540" xr:uid="{00000000-0005-0000-0000-0000F1090000}"/>
    <cellStyle name="Normal 28 10 4" xfId="2541" xr:uid="{00000000-0005-0000-0000-0000F2090000}"/>
    <cellStyle name="Normal 28 10 5" xfId="2542" xr:uid="{00000000-0005-0000-0000-0000F3090000}"/>
    <cellStyle name="Normal 28 10 6" xfId="2543" xr:uid="{00000000-0005-0000-0000-0000F4090000}"/>
    <cellStyle name="Normal 28 10 7" xfId="2544" xr:uid="{00000000-0005-0000-0000-0000F5090000}"/>
    <cellStyle name="Normal 28 10 8" xfId="2545" xr:uid="{00000000-0005-0000-0000-0000F6090000}"/>
    <cellStyle name="Normal 28 10 9" xfId="2546" xr:uid="{00000000-0005-0000-0000-0000F7090000}"/>
    <cellStyle name="Normal 28 11" xfId="2547" xr:uid="{00000000-0005-0000-0000-0000F8090000}"/>
    <cellStyle name="Normal 28 11 10" xfId="2548" xr:uid="{00000000-0005-0000-0000-0000F9090000}"/>
    <cellStyle name="Normal 28 11 11" xfId="2549" xr:uid="{00000000-0005-0000-0000-0000FA090000}"/>
    <cellStyle name="Normal 28 11 12" xfId="2550" xr:uid="{00000000-0005-0000-0000-0000FB090000}"/>
    <cellStyle name="Normal 28 11 13" xfId="2551" xr:uid="{00000000-0005-0000-0000-0000FC090000}"/>
    <cellStyle name="Normal 28 11 2" xfId="2552" xr:uid="{00000000-0005-0000-0000-0000FD090000}"/>
    <cellStyle name="Normal 28 11 2 10" xfId="2553" xr:uid="{00000000-0005-0000-0000-0000FE090000}"/>
    <cellStyle name="Normal 28 11 2 11" xfId="2554" xr:uid="{00000000-0005-0000-0000-0000FF090000}"/>
    <cellStyle name="Normal 28 11 2 2" xfId="2555" xr:uid="{00000000-0005-0000-0000-0000000A0000}"/>
    <cellStyle name="Normal 28 11 2 3" xfId="2556" xr:uid="{00000000-0005-0000-0000-0000010A0000}"/>
    <cellStyle name="Normal 28 11 2 4" xfId="2557" xr:uid="{00000000-0005-0000-0000-0000020A0000}"/>
    <cellStyle name="Normal 28 11 2 5" xfId="2558" xr:uid="{00000000-0005-0000-0000-0000030A0000}"/>
    <cellStyle name="Normal 28 11 2 6" xfId="2559" xr:uid="{00000000-0005-0000-0000-0000040A0000}"/>
    <cellStyle name="Normal 28 11 2 7" xfId="2560" xr:uid="{00000000-0005-0000-0000-0000050A0000}"/>
    <cellStyle name="Normal 28 11 2 8" xfId="2561" xr:uid="{00000000-0005-0000-0000-0000060A0000}"/>
    <cellStyle name="Normal 28 11 2 9" xfId="2562" xr:uid="{00000000-0005-0000-0000-0000070A0000}"/>
    <cellStyle name="Normal 28 11 3" xfId="2563" xr:uid="{00000000-0005-0000-0000-0000080A0000}"/>
    <cellStyle name="Normal 28 11 4" xfId="2564" xr:uid="{00000000-0005-0000-0000-0000090A0000}"/>
    <cellStyle name="Normal 28 11 5" xfId="2565" xr:uid="{00000000-0005-0000-0000-00000A0A0000}"/>
    <cellStyle name="Normal 28 11 6" xfId="2566" xr:uid="{00000000-0005-0000-0000-00000B0A0000}"/>
    <cellStyle name="Normal 28 11 7" xfId="2567" xr:uid="{00000000-0005-0000-0000-00000C0A0000}"/>
    <cellStyle name="Normal 28 11 8" xfId="2568" xr:uid="{00000000-0005-0000-0000-00000D0A0000}"/>
    <cellStyle name="Normal 28 11 9" xfId="2569" xr:uid="{00000000-0005-0000-0000-00000E0A0000}"/>
    <cellStyle name="Normal 28 12" xfId="2570" xr:uid="{00000000-0005-0000-0000-00000F0A0000}"/>
    <cellStyle name="Normal 28 12 10" xfId="2571" xr:uid="{00000000-0005-0000-0000-0000100A0000}"/>
    <cellStyle name="Normal 28 12 11" xfId="2572" xr:uid="{00000000-0005-0000-0000-0000110A0000}"/>
    <cellStyle name="Normal 28 12 12" xfId="2573" xr:uid="{00000000-0005-0000-0000-0000120A0000}"/>
    <cellStyle name="Normal 28 12 13" xfId="2574" xr:uid="{00000000-0005-0000-0000-0000130A0000}"/>
    <cellStyle name="Normal 28 12 2" xfId="2575" xr:uid="{00000000-0005-0000-0000-0000140A0000}"/>
    <cellStyle name="Normal 28 12 2 10" xfId="2576" xr:uid="{00000000-0005-0000-0000-0000150A0000}"/>
    <cellStyle name="Normal 28 12 2 11" xfId="2577" xr:uid="{00000000-0005-0000-0000-0000160A0000}"/>
    <cellStyle name="Normal 28 12 2 2" xfId="2578" xr:uid="{00000000-0005-0000-0000-0000170A0000}"/>
    <cellStyle name="Normal 28 12 2 3" xfId="2579" xr:uid="{00000000-0005-0000-0000-0000180A0000}"/>
    <cellStyle name="Normal 28 12 2 4" xfId="2580" xr:uid="{00000000-0005-0000-0000-0000190A0000}"/>
    <cellStyle name="Normal 28 12 2 5" xfId="2581" xr:uid="{00000000-0005-0000-0000-00001A0A0000}"/>
    <cellStyle name="Normal 28 12 2 6" xfId="2582" xr:uid="{00000000-0005-0000-0000-00001B0A0000}"/>
    <cellStyle name="Normal 28 12 2 7" xfId="2583" xr:uid="{00000000-0005-0000-0000-00001C0A0000}"/>
    <cellStyle name="Normal 28 12 2 8" xfId="2584" xr:uid="{00000000-0005-0000-0000-00001D0A0000}"/>
    <cellStyle name="Normal 28 12 2 9" xfId="2585" xr:uid="{00000000-0005-0000-0000-00001E0A0000}"/>
    <cellStyle name="Normal 28 12 3" xfId="2586" xr:uid="{00000000-0005-0000-0000-00001F0A0000}"/>
    <cellStyle name="Normal 28 12 4" xfId="2587" xr:uid="{00000000-0005-0000-0000-0000200A0000}"/>
    <cellStyle name="Normal 28 12 5" xfId="2588" xr:uid="{00000000-0005-0000-0000-0000210A0000}"/>
    <cellStyle name="Normal 28 12 6" xfId="2589" xr:uid="{00000000-0005-0000-0000-0000220A0000}"/>
    <cellStyle name="Normal 28 12 7" xfId="2590" xr:uid="{00000000-0005-0000-0000-0000230A0000}"/>
    <cellStyle name="Normal 28 12 8" xfId="2591" xr:uid="{00000000-0005-0000-0000-0000240A0000}"/>
    <cellStyle name="Normal 28 12 9" xfId="2592" xr:uid="{00000000-0005-0000-0000-0000250A0000}"/>
    <cellStyle name="Normal 28 13" xfId="2593" xr:uid="{00000000-0005-0000-0000-0000260A0000}"/>
    <cellStyle name="Normal 28 13 10" xfId="2594" xr:uid="{00000000-0005-0000-0000-0000270A0000}"/>
    <cellStyle name="Normal 28 13 11" xfId="2595" xr:uid="{00000000-0005-0000-0000-0000280A0000}"/>
    <cellStyle name="Normal 28 13 12" xfId="2596" xr:uid="{00000000-0005-0000-0000-0000290A0000}"/>
    <cellStyle name="Normal 28 13 13" xfId="2597" xr:uid="{00000000-0005-0000-0000-00002A0A0000}"/>
    <cellStyle name="Normal 28 13 2" xfId="2598" xr:uid="{00000000-0005-0000-0000-00002B0A0000}"/>
    <cellStyle name="Normal 28 13 2 10" xfId="2599" xr:uid="{00000000-0005-0000-0000-00002C0A0000}"/>
    <cellStyle name="Normal 28 13 2 11" xfId="2600" xr:uid="{00000000-0005-0000-0000-00002D0A0000}"/>
    <cellStyle name="Normal 28 13 2 2" xfId="2601" xr:uid="{00000000-0005-0000-0000-00002E0A0000}"/>
    <cellStyle name="Normal 28 13 2 3" xfId="2602" xr:uid="{00000000-0005-0000-0000-00002F0A0000}"/>
    <cellStyle name="Normal 28 13 2 4" xfId="2603" xr:uid="{00000000-0005-0000-0000-0000300A0000}"/>
    <cellStyle name="Normal 28 13 2 5" xfId="2604" xr:uid="{00000000-0005-0000-0000-0000310A0000}"/>
    <cellStyle name="Normal 28 13 2 6" xfId="2605" xr:uid="{00000000-0005-0000-0000-0000320A0000}"/>
    <cellStyle name="Normal 28 13 2 7" xfId="2606" xr:uid="{00000000-0005-0000-0000-0000330A0000}"/>
    <cellStyle name="Normal 28 13 2 8" xfId="2607" xr:uid="{00000000-0005-0000-0000-0000340A0000}"/>
    <cellStyle name="Normal 28 13 2 9" xfId="2608" xr:uid="{00000000-0005-0000-0000-0000350A0000}"/>
    <cellStyle name="Normal 28 13 3" xfId="2609" xr:uid="{00000000-0005-0000-0000-0000360A0000}"/>
    <cellStyle name="Normal 28 13 4" xfId="2610" xr:uid="{00000000-0005-0000-0000-0000370A0000}"/>
    <cellStyle name="Normal 28 13 5" xfId="2611" xr:uid="{00000000-0005-0000-0000-0000380A0000}"/>
    <cellStyle name="Normal 28 13 6" xfId="2612" xr:uid="{00000000-0005-0000-0000-0000390A0000}"/>
    <cellStyle name="Normal 28 13 7" xfId="2613" xr:uid="{00000000-0005-0000-0000-00003A0A0000}"/>
    <cellStyle name="Normal 28 13 8" xfId="2614" xr:uid="{00000000-0005-0000-0000-00003B0A0000}"/>
    <cellStyle name="Normal 28 13 9" xfId="2615" xr:uid="{00000000-0005-0000-0000-00003C0A0000}"/>
    <cellStyle name="Normal 28 14" xfId="2616" xr:uid="{00000000-0005-0000-0000-00003D0A0000}"/>
    <cellStyle name="Normal 28 14 10" xfId="2617" xr:uid="{00000000-0005-0000-0000-00003E0A0000}"/>
    <cellStyle name="Normal 28 14 11" xfId="2618" xr:uid="{00000000-0005-0000-0000-00003F0A0000}"/>
    <cellStyle name="Normal 28 14 2" xfId="2619" xr:uid="{00000000-0005-0000-0000-0000400A0000}"/>
    <cellStyle name="Normal 28 14 3" xfId="2620" xr:uid="{00000000-0005-0000-0000-0000410A0000}"/>
    <cellStyle name="Normal 28 14 4" xfId="2621" xr:uid="{00000000-0005-0000-0000-0000420A0000}"/>
    <cellStyle name="Normal 28 14 5" xfId="2622" xr:uid="{00000000-0005-0000-0000-0000430A0000}"/>
    <cellStyle name="Normal 28 14 6" xfId="2623" xr:uid="{00000000-0005-0000-0000-0000440A0000}"/>
    <cellStyle name="Normal 28 14 7" xfId="2624" xr:uid="{00000000-0005-0000-0000-0000450A0000}"/>
    <cellStyle name="Normal 28 14 8" xfId="2625" xr:uid="{00000000-0005-0000-0000-0000460A0000}"/>
    <cellStyle name="Normal 28 14 9" xfId="2626" xr:uid="{00000000-0005-0000-0000-0000470A0000}"/>
    <cellStyle name="Normal 28 15" xfId="2627" xr:uid="{00000000-0005-0000-0000-0000480A0000}"/>
    <cellStyle name="Normal 28 16" xfId="2628" xr:uid="{00000000-0005-0000-0000-0000490A0000}"/>
    <cellStyle name="Normal 28 17" xfId="2629" xr:uid="{00000000-0005-0000-0000-00004A0A0000}"/>
    <cellStyle name="Normal 28 18" xfId="2630" xr:uid="{00000000-0005-0000-0000-00004B0A0000}"/>
    <cellStyle name="Normal 28 19" xfId="2631" xr:uid="{00000000-0005-0000-0000-00004C0A0000}"/>
    <cellStyle name="Normal 28 2" xfId="2632" xr:uid="{00000000-0005-0000-0000-00004D0A0000}"/>
    <cellStyle name="Normal 28 2 10" xfId="2633" xr:uid="{00000000-0005-0000-0000-00004E0A0000}"/>
    <cellStyle name="Normal 28 2 11" xfId="2634" xr:uid="{00000000-0005-0000-0000-00004F0A0000}"/>
    <cellStyle name="Normal 28 2 12" xfId="2635" xr:uid="{00000000-0005-0000-0000-0000500A0000}"/>
    <cellStyle name="Normal 28 2 13" xfId="2636" xr:uid="{00000000-0005-0000-0000-0000510A0000}"/>
    <cellStyle name="Normal 28 2 2" xfId="2637" xr:uid="{00000000-0005-0000-0000-0000520A0000}"/>
    <cellStyle name="Normal 28 2 2 10" xfId="2638" xr:uid="{00000000-0005-0000-0000-0000530A0000}"/>
    <cellStyle name="Normal 28 2 2 11" xfId="2639" xr:uid="{00000000-0005-0000-0000-0000540A0000}"/>
    <cellStyle name="Normal 28 2 2 2" xfId="2640" xr:uid="{00000000-0005-0000-0000-0000550A0000}"/>
    <cellStyle name="Normal 28 2 2 3" xfId="2641" xr:uid="{00000000-0005-0000-0000-0000560A0000}"/>
    <cellStyle name="Normal 28 2 2 4" xfId="2642" xr:uid="{00000000-0005-0000-0000-0000570A0000}"/>
    <cellStyle name="Normal 28 2 2 5" xfId="2643" xr:uid="{00000000-0005-0000-0000-0000580A0000}"/>
    <cellStyle name="Normal 28 2 2 6" xfId="2644" xr:uid="{00000000-0005-0000-0000-0000590A0000}"/>
    <cellStyle name="Normal 28 2 2 7" xfId="2645" xr:uid="{00000000-0005-0000-0000-00005A0A0000}"/>
    <cellStyle name="Normal 28 2 2 8" xfId="2646" xr:uid="{00000000-0005-0000-0000-00005B0A0000}"/>
    <cellStyle name="Normal 28 2 2 9" xfId="2647" xr:uid="{00000000-0005-0000-0000-00005C0A0000}"/>
    <cellStyle name="Normal 28 2 3" xfId="2648" xr:uid="{00000000-0005-0000-0000-00005D0A0000}"/>
    <cellStyle name="Normal 28 2 4" xfId="2649" xr:uid="{00000000-0005-0000-0000-00005E0A0000}"/>
    <cellStyle name="Normal 28 2 5" xfId="2650" xr:uid="{00000000-0005-0000-0000-00005F0A0000}"/>
    <cellStyle name="Normal 28 2 6" xfId="2651" xr:uid="{00000000-0005-0000-0000-0000600A0000}"/>
    <cellStyle name="Normal 28 2 7" xfId="2652" xr:uid="{00000000-0005-0000-0000-0000610A0000}"/>
    <cellStyle name="Normal 28 2 8" xfId="2653" xr:uid="{00000000-0005-0000-0000-0000620A0000}"/>
    <cellStyle name="Normal 28 2 9" xfId="2654" xr:uid="{00000000-0005-0000-0000-0000630A0000}"/>
    <cellStyle name="Normal 28 20" xfId="2655" xr:uid="{00000000-0005-0000-0000-0000640A0000}"/>
    <cellStyle name="Normal 28 21" xfId="2656" xr:uid="{00000000-0005-0000-0000-0000650A0000}"/>
    <cellStyle name="Normal 28 22" xfId="2657" xr:uid="{00000000-0005-0000-0000-0000660A0000}"/>
    <cellStyle name="Normal 28 23" xfId="2658" xr:uid="{00000000-0005-0000-0000-0000670A0000}"/>
    <cellStyle name="Normal 28 24" xfId="2659" xr:uid="{00000000-0005-0000-0000-0000680A0000}"/>
    <cellStyle name="Normal 28 25" xfId="2660" xr:uid="{00000000-0005-0000-0000-0000690A0000}"/>
    <cellStyle name="Normal 28 3" xfId="2661" xr:uid="{00000000-0005-0000-0000-00006A0A0000}"/>
    <cellStyle name="Normal 28 3 10" xfId="2662" xr:uid="{00000000-0005-0000-0000-00006B0A0000}"/>
    <cellStyle name="Normal 28 3 11" xfId="2663" xr:uid="{00000000-0005-0000-0000-00006C0A0000}"/>
    <cellStyle name="Normal 28 3 12" xfId="2664" xr:uid="{00000000-0005-0000-0000-00006D0A0000}"/>
    <cellStyle name="Normal 28 3 13" xfId="2665" xr:uid="{00000000-0005-0000-0000-00006E0A0000}"/>
    <cellStyle name="Normal 28 3 2" xfId="2666" xr:uid="{00000000-0005-0000-0000-00006F0A0000}"/>
    <cellStyle name="Normal 28 3 2 10" xfId="2667" xr:uid="{00000000-0005-0000-0000-0000700A0000}"/>
    <cellStyle name="Normal 28 3 2 11" xfId="2668" xr:uid="{00000000-0005-0000-0000-0000710A0000}"/>
    <cellStyle name="Normal 28 3 2 2" xfId="2669" xr:uid="{00000000-0005-0000-0000-0000720A0000}"/>
    <cellStyle name="Normal 28 3 2 3" xfId="2670" xr:uid="{00000000-0005-0000-0000-0000730A0000}"/>
    <cellStyle name="Normal 28 3 2 4" xfId="2671" xr:uid="{00000000-0005-0000-0000-0000740A0000}"/>
    <cellStyle name="Normal 28 3 2 5" xfId="2672" xr:uid="{00000000-0005-0000-0000-0000750A0000}"/>
    <cellStyle name="Normal 28 3 2 6" xfId="2673" xr:uid="{00000000-0005-0000-0000-0000760A0000}"/>
    <cellStyle name="Normal 28 3 2 7" xfId="2674" xr:uid="{00000000-0005-0000-0000-0000770A0000}"/>
    <cellStyle name="Normal 28 3 2 8" xfId="2675" xr:uid="{00000000-0005-0000-0000-0000780A0000}"/>
    <cellStyle name="Normal 28 3 2 9" xfId="2676" xr:uid="{00000000-0005-0000-0000-0000790A0000}"/>
    <cellStyle name="Normal 28 3 3" xfId="2677" xr:uid="{00000000-0005-0000-0000-00007A0A0000}"/>
    <cellStyle name="Normal 28 3 4" xfId="2678" xr:uid="{00000000-0005-0000-0000-00007B0A0000}"/>
    <cellStyle name="Normal 28 3 5" xfId="2679" xr:uid="{00000000-0005-0000-0000-00007C0A0000}"/>
    <cellStyle name="Normal 28 3 6" xfId="2680" xr:uid="{00000000-0005-0000-0000-00007D0A0000}"/>
    <cellStyle name="Normal 28 3 7" xfId="2681" xr:uid="{00000000-0005-0000-0000-00007E0A0000}"/>
    <cellStyle name="Normal 28 3 8" xfId="2682" xr:uid="{00000000-0005-0000-0000-00007F0A0000}"/>
    <cellStyle name="Normal 28 3 9" xfId="2683" xr:uid="{00000000-0005-0000-0000-0000800A0000}"/>
    <cellStyle name="Normal 28 4" xfId="2684" xr:uid="{00000000-0005-0000-0000-0000810A0000}"/>
    <cellStyle name="Normal 28 4 10" xfId="2685" xr:uid="{00000000-0005-0000-0000-0000820A0000}"/>
    <cellStyle name="Normal 28 4 11" xfId="2686" xr:uid="{00000000-0005-0000-0000-0000830A0000}"/>
    <cellStyle name="Normal 28 4 12" xfId="2687" xr:uid="{00000000-0005-0000-0000-0000840A0000}"/>
    <cellStyle name="Normal 28 4 13" xfId="2688" xr:uid="{00000000-0005-0000-0000-0000850A0000}"/>
    <cellStyle name="Normal 28 4 2" xfId="2689" xr:uid="{00000000-0005-0000-0000-0000860A0000}"/>
    <cellStyle name="Normal 28 4 2 10" xfId="2690" xr:uid="{00000000-0005-0000-0000-0000870A0000}"/>
    <cellStyle name="Normal 28 4 2 11" xfId="2691" xr:uid="{00000000-0005-0000-0000-0000880A0000}"/>
    <cellStyle name="Normal 28 4 2 2" xfId="2692" xr:uid="{00000000-0005-0000-0000-0000890A0000}"/>
    <cellStyle name="Normal 28 4 2 3" xfId="2693" xr:uid="{00000000-0005-0000-0000-00008A0A0000}"/>
    <cellStyle name="Normal 28 4 2 4" xfId="2694" xr:uid="{00000000-0005-0000-0000-00008B0A0000}"/>
    <cellStyle name="Normal 28 4 2 5" xfId="2695" xr:uid="{00000000-0005-0000-0000-00008C0A0000}"/>
    <cellStyle name="Normal 28 4 2 6" xfId="2696" xr:uid="{00000000-0005-0000-0000-00008D0A0000}"/>
    <cellStyle name="Normal 28 4 2 7" xfId="2697" xr:uid="{00000000-0005-0000-0000-00008E0A0000}"/>
    <cellStyle name="Normal 28 4 2 8" xfId="2698" xr:uid="{00000000-0005-0000-0000-00008F0A0000}"/>
    <cellStyle name="Normal 28 4 2 9" xfId="2699" xr:uid="{00000000-0005-0000-0000-0000900A0000}"/>
    <cellStyle name="Normal 28 4 3" xfId="2700" xr:uid="{00000000-0005-0000-0000-0000910A0000}"/>
    <cellStyle name="Normal 28 4 4" xfId="2701" xr:uid="{00000000-0005-0000-0000-0000920A0000}"/>
    <cellStyle name="Normal 28 4 5" xfId="2702" xr:uid="{00000000-0005-0000-0000-0000930A0000}"/>
    <cellStyle name="Normal 28 4 6" xfId="2703" xr:uid="{00000000-0005-0000-0000-0000940A0000}"/>
    <cellStyle name="Normal 28 4 7" xfId="2704" xr:uid="{00000000-0005-0000-0000-0000950A0000}"/>
    <cellStyle name="Normal 28 4 8" xfId="2705" xr:uid="{00000000-0005-0000-0000-0000960A0000}"/>
    <cellStyle name="Normal 28 4 9" xfId="2706" xr:uid="{00000000-0005-0000-0000-0000970A0000}"/>
    <cellStyle name="Normal 28 5" xfId="2707" xr:uid="{00000000-0005-0000-0000-0000980A0000}"/>
    <cellStyle name="Normal 28 5 10" xfId="2708" xr:uid="{00000000-0005-0000-0000-0000990A0000}"/>
    <cellStyle name="Normal 28 5 11" xfId="2709" xr:uid="{00000000-0005-0000-0000-00009A0A0000}"/>
    <cellStyle name="Normal 28 5 12" xfId="2710" xr:uid="{00000000-0005-0000-0000-00009B0A0000}"/>
    <cellStyle name="Normal 28 5 13" xfId="2711" xr:uid="{00000000-0005-0000-0000-00009C0A0000}"/>
    <cellStyle name="Normal 28 5 2" xfId="2712" xr:uid="{00000000-0005-0000-0000-00009D0A0000}"/>
    <cellStyle name="Normal 28 5 2 10" xfId="2713" xr:uid="{00000000-0005-0000-0000-00009E0A0000}"/>
    <cellStyle name="Normal 28 5 2 11" xfId="2714" xr:uid="{00000000-0005-0000-0000-00009F0A0000}"/>
    <cellStyle name="Normal 28 5 2 2" xfId="2715" xr:uid="{00000000-0005-0000-0000-0000A00A0000}"/>
    <cellStyle name="Normal 28 5 2 3" xfId="2716" xr:uid="{00000000-0005-0000-0000-0000A10A0000}"/>
    <cellStyle name="Normal 28 5 2 4" xfId="2717" xr:uid="{00000000-0005-0000-0000-0000A20A0000}"/>
    <cellStyle name="Normal 28 5 2 5" xfId="2718" xr:uid="{00000000-0005-0000-0000-0000A30A0000}"/>
    <cellStyle name="Normal 28 5 2 6" xfId="2719" xr:uid="{00000000-0005-0000-0000-0000A40A0000}"/>
    <cellStyle name="Normal 28 5 2 7" xfId="2720" xr:uid="{00000000-0005-0000-0000-0000A50A0000}"/>
    <cellStyle name="Normal 28 5 2 8" xfId="2721" xr:uid="{00000000-0005-0000-0000-0000A60A0000}"/>
    <cellStyle name="Normal 28 5 2 9" xfId="2722" xr:uid="{00000000-0005-0000-0000-0000A70A0000}"/>
    <cellStyle name="Normal 28 5 3" xfId="2723" xr:uid="{00000000-0005-0000-0000-0000A80A0000}"/>
    <cellStyle name="Normal 28 5 4" xfId="2724" xr:uid="{00000000-0005-0000-0000-0000A90A0000}"/>
    <cellStyle name="Normal 28 5 5" xfId="2725" xr:uid="{00000000-0005-0000-0000-0000AA0A0000}"/>
    <cellStyle name="Normal 28 5 6" xfId="2726" xr:uid="{00000000-0005-0000-0000-0000AB0A0000}"/>
    <cellStyle name="Normal 28 5 7" xfId="2727" xr:uid="{00000000-0005-0000-0000-0000AC0A0000}"/>
    <cellStyle name="Normal 28 5 8" xfId="2728" xr:uid="{00000000-0005-0000-0000-0000AD0A0000}"/>
    <cellStyle name="Normal 28 5 9" xfId="2729" xr:uid="{00000000-0005-0000-0000-0000AE0A0000}"/>
    <cellStyle name="Normal 28 6" xfId="2730" xr:uid="{00000000-0005-0000-0000-0000AF0A0000}"/>
    <cellStyle name="Normal 28 6 10" xfId="2731" xr:uid="{00000000-0005-0000-0000-0000B00A0000}"/>
    <cellStyle name="Normal 28 6 11" xfId="2732" xr:uid="{00000000-0005-0000-0000-0000B10A0000}"/>
    <cellStyle name="Normal 28 6 12" xfId="2733" xr:uid="{00000000-0005-0000-0000-0000B20A0000}"/>
    <cellStyle name="Normal 28 6 13" xfId="2734" xr:uid="{00000000-0005-0000-0000-0000B30A0000}"/>
    <cellStyle name="Normal 28 6 2" xfId="2735" xr:uid="{00000000-0005-0000-0000-0000B40A0000}"/>
    <cellStyle name="Normal 28 6 2 10" xfId="2736" xr:uid="{00000000-0005-0000-0000-0000B50A0000}"/>
    <cellStyle name="Normal 28 6 2 11" xfId="2737" xr:uid="{00000000-0005-0000-0000-0000B60A0000}"/>
    <cellStyle name="Normal 28 6 2 2" xfId="2738" xr:uid="{00000000-0005-0000-0000-0000B70A0000}"/>
    <cellStyle name="Normal 28 6 2 3" xfId="2739" xr:uid="{00000000-0005-0000-0000-0000B80A0000}"/>
    <cellStyle name="Normal 28 6 2 4" xfId="2740" xr:uid="{00000000-0005-0000-0000-0000B90A0000}"/>
    <cellStyle name="Normal 28 6 2 5" xfId="2741" xr:uid="{00000000-0005-0000-0000-0000BA0A0000}"/>
    <cellStyle name="Normal 28 6 2 6" xfId="2742" xr:uid="{00000000-0005-0000-0000-0000BB0A0000}"/>
    <cellStyle name="Normal 28 6 2 7" xfId="2743" xr:uid="{00000000-0005-0000-0000-0000BC0A0000}"/>
    <cellStyle name="Normal 28 6 2 8" xfId="2744" xr:uid="{00000000-0005-0000-0000-0000BD0A0000}"/>
    <cellStyle name="Normal 28 6 2 9" xfId="2745" xr:uid="{00000000-0005-0000-0000-0000BE0A0000}"/>
    <cellStyle name="Normal 28 6 3" xfId="2746" xr:uid="{00000000-0005-0000-0000-0000BF0A0000}"/>
    <cellStyle name="Normal 28 6 4" xfId="2747" xr:uid="{00000000-0005-0000-0000-0000C00A0000}"/>
    <cellStyle name="Normal 28 6 5" xfId="2748" xr:uid="{00000000-0005-0000-0000-0000C10A0000}"/>
    <cellStyle name="Normal 28 6 6" xfId="2749" xr:uid="{00000000-0005-0000-0000-0000C20A0000}"/>
    <cellStyle name="Normal 28 6 7" xfId="2750" xr:uid="{00000000-0005-0000-0000-0000C30A0000}"/>
    <cellStyle name="Normal 28 6 8" xfId="2751" xr:uid="{00000000-0005-0000-0000-0000C40A0000}"/>
    <cellStyle name="Normal 28 6 9" xfId="2752" xr:uid="{00000000-0005-0000-0000-0000C50A0000}"/>
    <cellStyle name="Normal 28 7" xfId="2753" xr:uid="{00000000-0005-0000-0000-0000C60A0000}"/>
    <cellStyle name="Normal 28 7 10" xfId="2754" xr:uid="{00000000-0005-0000-0000-0000C70A0000}"/>
    <cellStyle name="Normal 28 7 11" xfId="2755" xr:uid="{00000000-0005-0000-0000-0000C80A0000}"/>
    <cellStyle name="Normal 28 7 12" xfId="2756" xr:uid="{00000000-0005-0000-0000-0000C90A0000}"/>
    <cellStyle name="Normal 28 7 13" xfId="2757" xr:uid="{00000000-0005-0000-0000-0000CA0A0000}"/>
    <cellStyle name="Normal 28 7 2" xfId="2758" xr:uid="{00000000-0005-0000-0000-0000CB0A0000}"/>
    <cellStyle name="Normal 28 7 2 10" xfId="2759" xr:uid="{00000000-0005-0000-0000-0000CC0A0000}"/>
    <cellStyle name="Normal 28 7 2 11" xfId="2760" xr:uid="{00000000-0005-0000-0000-0000CD0A0000}"/>
    <cellStyle name="Normal 28 7 2 2" xfId="2761" xr:uid="{00000000-0005-0000-0000-0000CE0A0000}"/>
    <cellStyle name="Normal 28 7 2 3" xfId="2762" xr:uid="{00000000-0005-0000-0000-0000CF0A0000}"/>
    <cellStyle name="Normal 28 7 2 4" xfId="2763" xr:uid="{00000000-0005-0000-0000-0000D00A0000}"/>
    <cellStyle name="Normal 28 7 2 5" xfId="2764" xr:uid="{00000000-0005-0000-0000-0000D10A0000}"/>
    <cellStyle name="Normal 28 7 2 6" xfId="2765" xr:uid="{00000000-0005-0000-0000-0000D20A0000}"/>
    <cellStyle name="Normal 28 7 2 7" xfId="2766" xr:uid="{00000000-0005-0000-0000-0000D30A0000}"/>
    <cellStyle name="Normal 28 7 2 8" xfId="2767" xr:uid="{00000000-0005-0000-0000-0000D40A0000}"/>
    <cellStyle name="Normal 28 7 2 9" xfId="2768" xr:uid="{00000000-0005-0000-0000-0000D50A0000}"/>
    <cellStyle name="Normal 28 7 3" xfId="2769" xr:uid="{00000000-0005-0000-0000-0000D60A0000}"/>
    <cellStyle name="Normal 28 7 4" xfId="2770" xr:uid="{00000000-0005-0000-0000-0000D70A0000}"/>
    <cellStyle name="Normal 28 7 5" xfId="2771" xr:uid="{00000000-0005-0000-0000-0000D80A0000}"/>
    <cellStyle name="Normal 28 7 6" xfId="2772" xr:uid="{00000000-0005-0000-0000-0000D90A0000}"/>
    <cellStyle name="Normal 28 7 7" xfId="2773" xr:uid="{00000000-0005-0000-0000-0000DA0A0000}"/>
    <cellStyle name="Normal 28 7 8" xfId="2774" xr:uid="{00000000-0005-0000-0000-0000DB0A0000}"/>
    <cellStyle name="Normal 28 7 9" xfId="2775" xr:uid="{00000000-0005-0000-0000-0000DC0A0000}"/>
    <cellStyle name="Normal 28 8" xfId="2776" xr:uid="{00000000-0005-0000-0000-0000DD0A0000}"/>
    <cellStyle name="Normal 28 8 10" xfId="2777" xr:uid="{00000000-0005-0000-0000-0000DE0A0000}"/>
    <cellStyle name="Normal 28 8 11" xfId="2778" xr:uid="{00000000-0005-0000-0000-0000DF0A0000}"/>
    <cellStyle name="Normal 28 8 12" xfId="2779" xr:uid="{00000000-0005-0000-0000-0000E00A0000}"/>
    <cellStyle name="Normal 28 8 13" xfId="2780" xr:uid="{00000000-0005-0000-0000-0000E10A0000}"/>
    <cellStyle name="Normal 28 8 2" xfId="2781" xr:uid="{00000000-0005-0000-0000-0000E20A0000}"/>
    <cellStyle name="Normal 28 8 2 10" xfId="2782" xr:uid="{00000000-0005-0000-0000-0000E30A0000}"/>
    <cellStyle name="Normal 28 8 2 11" xfId="2783" xr:uid="{00000000-0005-0000-0000-0000E40A0000}"/>
    <cellStyle name="Normal 28 8 2 2" xfId="2784" xr:uid="{00000000-0005-0000-0000-0000E50A0000}"/>
    <cellStyle name="Normal 28 8 2 3" xfId="2785" xr:uid="{00000000-0005-0000-0000-0000E60A0000}"/>
    <cellStyle name="Normal 28 8 2 4" xfId="2786" xr:uid="{00000000-0005-0000-0000-0000E70A0000}"/>
    <cellStyle name="Normal 28 8 2 5" xfId="2787" xr:uid="{00000000-0005-0000-0000-0000E80A0000}"/>
    <cellStyle name="Normal 28 8 2 6" xfId="2788" xr:uid="{00000000-0005-0000-0000-0000E90A0000}"/>
    <cellStyle name="Normal 28 8 2 7" xfId="2789" xr:uid="{00000000-0005-0000-0000-0000EA0A0000}"/>
    <cellStyle name="Normal 28 8 2 8" xfId="2790" xr:uid="{00000000-0005-0000-0000-0000EB0A0000}"/>
    <cellStyle name="Normal 28 8 2 9" xfId="2791" xr:uid="{00000000-0005-0000-0000-0000EC0A0000}"/>
    <cellStyle name="Normal 28 8 3" xfId="2792" xr:uid="{00000000-0005-0000-0000-0000ED0A0000}"/>
    <cellStyle name="Normal 28 8 4" xfId="2793" xr:uid="{00000000-0005-0000-0000-0000EE0A0000}"/>
    <cellStyle name="Normal 28 8 5" xfId="2794" xr:uid="{00000000-0005-0000-0000-0000EF0A0000}"/>
    <cellStyle name="Normal 28 8 6" xfId="2795" xr:uid="{00000000-0005-0000-0000-0000F00A0000}"/>
    <cellStyle name="Normal 28 8 7" xfId="2796" xr:uid="{00000000-0005-0000-0000-0000F10A0000}"/>
    <cellStyle name="Normal 28 8 8" xfId="2797" xr:uid="{00000000-0005-0000-0000-0000F20A0000}"/>
    <cellStyle name="Normal 28 8 9" xfId="2798" xr:uid="{00000000-0005-0000-0000-0000F30A0000}"/>
    <cellStyle name="Normal 28 9" xfId="2799" xr:uid="{00000000-0005-0000-0000-0000F40A0000}"/>
    <cellStyle name="Normal 28 9 10" xfId="2800" xr:uid="{00000000-0005-0000-0000-0000F50A0000}"/>
    <cellStyle name="Normal 28 9 11" xfId="2801" xr:uid="{00000000-0005-0000-0000-0000F60A0000}"/>
    <cellStyle name="Normal 28 9 12" xfId="2802" xr:uid="{00000000-0005-0000-0000-0000F70A0000}"/>
    <cellStyle name="Normal 28 9 13" xfId="2803" xr:uid="{00000000-0005-0000-0000-0000F80A0000}"/>
    <cellStyle name="Normal 28 9 2" xfId="2804" xr:uid="{00000000-0005-0000-0000-0000F90A0000}"/>
    <cellStyle name="Normal 28 9 2 10" xfId="2805" xr:uid="{00000000-0005-0000-0000-0000FA0A0000}"/>
    <cellStyle name="Normal 28 9 2 11" xfId="2806" xr:uid="{00000000-0005-0000-0000-0000FB0A0000}"/>
    <cellStyle name="Normal 28 9 2 2" xfId="2807" xr:uid="{00000000-0005-0000-0000-0000FC0A0000}"/>
    <cellStyle name="Normal 28 9 2 3" xfId="2808" xr:uid="{00000000-0005-0000-0000-0000FD0A0000}"/>
    <cellStyle name="Normal 28 9 2 4" xfId="2809" xr:uid="{00000000-0005-0000-0000-0000FE0A0000}"/>
    <cellStyle name="Normal 28 9 2 5" xfId="2810" xr:uid="{00000000-0005-0000-0000-0000FF0A0000}"/>
    <cellStyle name="Normal 28 9 2 6" xfId="2811" xr:uid="{00000000-0005-0000-0000-0000000B0000}"/>
    <cellStyle name="Normal 28 9 2 7" xfId="2812" xr:uid="{00000000-0005-0000-0000-0000010B0000}"/>
    <cellStyle name="Normal 28 9 2 8" xfId="2813" xr:uid="{00000000-0005-0000-0000-0000020B0000}"/>
    <cellStyle name="Normal 28 9 2 9" xfId="2814" xr:uid="{00000000-0005-0000-0000-0000030B0000}"/>
    <cellStyle name="Normal 28 9 3" xfId="2815" xr:uid="{00000000-0005-0000-0000-0000040B0000}"/>
    <cellStyle name="Normal 28 9 4" xfId="2816" xr:uid="{00000000-0005-0000-0000-0000050B0000}"/>
    <cellStyle name="Normal 28 9 5" xfId="2817" xr:uid="{00000000-0005-0000-0000-0000060B0000}"/>
    <cellStyle name="Normal 28 9 6" xfId="2818" xr:uid="{00000000-0005-0000-0000-0000070B0000}"/>
    <cellStyle name="Normal 28 9 7" xfId="2819" xr:uid="{00000000-0005-0000-0000-0000080B0000}"/>
    <cellStyle name="Normal 28 9 8" xfId="2820" xr:uid="{00000000-0005-0000-0000-0000090B0000}"/>
    <cellStyle name="Normal 28 9 9" xfId="2821" xr:uid="{00000000-0005-0000-0000-00000A0B0000}"/>
    <cellStyle name="Normal 29" xfId="2822" xr:uid="{00000000-0005-0000-0000-00000B0B0000}"/>
    <cellStyle name="Normal 29 10" xfId="2823" xr:uid="{00000000-0005-0000-0000-00000C0B0000}"/>
    <cellStyle name="Normal 29 10 10" xfId="2824" xr:uid="{00000000-0005-0000-0000-00000D0B0000}"/>
    <cellStyle name="Normal 29 10 11" xfId="2825" xr:uid="{00000000-0005-0000-0000-00000E0B0000}"/>
    <cellStyle name="Normal 29 10 12" xfId="2826" xr:uid="{00000000-0005-0000-0000-00000F0B0000}"/>
    <cellStyle name="Normal 29 10 13" xfId="2827" xr:uid="{00000000-0005-0000-0000-0000100B0000}"/>
    <cellStyle name="Normal 29 10 2" xfId="2828" xr:uid="{00000000-0005-0000-0000-0000110B0000}"/>
    <cellStyle name="Normal 29 10 2 10" xfId="2829" xr:uid="{00000000-0005-0000-0000-0000120B0000}"/>
    <cellStyle name="Normal 29 10 2 11" xfId="2830" xr:uid="{00000000-0005-0000-0000-0000130B0000}"/>
    <cellStyle name="Normal 29 10 2 2" xfId="2831" xr:uid="{00000000-0005-0000-0000-0000140B0000}"/>
    <cellStyle name="Normal 29 10 2 3" xfId="2832" xr:uid="{00000000-0005-0000-0000-0000150B0000}"/>
    <cellStyle name="Normal 29 10 2 4" xfId="2833" xr:uid="{00000000-0005-0000-0000-0000160B0000}"/>
    <cellStyle name="Normal 29 10 2 5" xfId="2834" xr:uid="{00000000-0005-0000-0000-0000170B0000}"/>
    <cellStyle name="Normal 29 10 2 6" xfId="2835" xr:uid="{00000000-0005-0000-0000-0000180B0000}"/>
    <cellStyle name="Normal 29 10 2 7" xfId="2836" xr:uid="{00000000-0005-0000-0000-0000190B0000}"/>
    <cellStyle name="Normal 29 10 2 8" xfId="2837" xr:uid="{00000000-0005-0000-0000-00001A0B0000}"/>
    <cellStyle name="Normal 29 10 2 9" xfId="2838" xr:uid="{00000000-0005-0000-0000-00001B0B0000}"/>
    <cellStyle name="Normal 29 10 3" xfId="2839" xr:uid="{00000000-0005-0000-0000-00001C0B0000}"/>
    <cellStyle name="Normal 29 10 4" xfId="2840" xr:uid="{00000000-0005-0000-0000-00001D0B0000}"/>
    <cellStyle name="Normal 29 10 5" xfId="2841" xr:uid="{00000000-0005-0000-0000-00001E0B0000}"/>
    <cellStyle name="Normal 29 10 6" xfId="2842" xr:uid="{00000000-0005-0000-0000-00001F0B0000}"/>
    <cellStyle name="Normal 29 10 7" xfId="2843" xr:uid="{00000000-0005-0000-0000-0000200B0000}"/>
    <cellStyle name="Normal 29 10 8" xfId="2844" xr:uid="{00000000-0005-0000-0000-0000210B0000}"/>
    <cellStyle name="Normal 29 10 9" xfId="2845" xr:uid="{00000000-0005-0000-0000-0000220B0000}"/>
    <cellStyle name="Normal 29 11" xfId="2846" xr:uid="{00000000-0005-0000-0000-0000230B0000}"/>
    <cellStyle name="Normal 29 11 10" xfId="2847" xr:uid="{00000000-0005-0000-0000-0000240B0000}"/>
    <cellStyle name="Normal 29 11 11" xfId="2848" xr:uid="{00000000-0005-0000-0000-0000250B0000}"/>
    <cellStyle name="Normal 29 11 12" xfId="2849" xr:uid="{00000000-0005-0000-0000-0000260B0000}"/>
    <cellStyle name="Normal 29 11 13" xfId="2850" xr:uid="{00000000-0005-0000-0000-0000270B0000}"/>
    <cellStyle name="Normal 29 11 2" xfId="2851" xr:uid="{00000000-0005-0000-0000-0000280B0000}"/>
    <cellStyle name="Normal 29 11 2 10" xfId="2852" xr:uid="{00000000-0005-0000-0000-0000290B0000}"/>
    <cellStyle name="Normal 29 11 2 11" xfId="2853" xr:uid="{00000000-0005-0000-0000-00002A0B0000}"/>
    <cellStyle name="Normal 29 11 2 2" xfId="2854" xr:uid="{00000000-0005-0000-0000-00002B0B0000}"/>
    <cellStyle name="Normal 29 11 2 3" xfId="2855" xr:uid="{00000000-0005-0000-0000-00002C0B0000}"/>
    <cellStyle name="Normal 29 11 2 4" xfId="2856" xr:uid="{00000000-0005-0000-0000-00002D0B0000}"/>
    <cellStyle name="Normal 29 11 2 5" xfId="2857" xr:uid="{00000000-0005-0000-0000-00002E0B0000}"/>
    <cellStyle name="Normal 29 11 2 6" xfId="2858" xr:uid="{00000000-0005-0000-0000-00002F0B0000}"/>
    <cellStyle name="Normal 29 11 2 7" xfId="2859" xr:uid="{00000000-0005-0000-0000-0000300B0000}"/>
    <cellStyle name="Normal 29 11 2 8" xfId="2860" xr:uid="{00000000-0005-0000-0000-0000310B0000}"/>
    <cellStyle name="Normal 29 11 2 9" xfId="2861" xr:uid="{00000000-0005-0000-0000-0000320B0000}"/>
    <cellStyle name="Normal 29 11 3" xfId="2862" xr:uid="{00000000-0005-0000-0000-0000330B0000}"/>
    <cellStyle name="Normal 29 11 4" xfId="2863" xr:uid="{00000000-0005-0000-0000-0000340B0000}"/>
    <cellStyle name="Normal 29 11 5" xfId="2864" xr:uid="{00000000-0005-0000-0000-0000350B0000}"/>
    <cellStyle name="Normal 29 11 6" xfId="2865" xr:uid="{00000000-0005-0000-0000-0000360B0000}"/>
    <cellStyle name="Normal 29 11 7" xfId="2866" xr:uid="{00000000-0005-0000-0000-0000370B0000}"/>
    <cellStyle name="Normal 29 11 8" xfId="2867" xr:uid="{00000000-0005-0000-0000-0000380B0000}"/>
    <cellStyle name="Normal 29 11 9" xfId="2868" xr:uid="{00000000-0005-0000-0000-0000390B0000}"/>
    <cellStyle name="Normal 29 12" xfId="2869" xr:uid="{00000000-0005-0000-0000-00003A0B0000}"/>
    <cellStyle name="Normal 29 12 10" xfId="2870" xr:uid="{00000000-0005-0000-0000-00003B0B0000}"/>
    <cellStyle name="Normal 29 12 11" xfId="2871" xr:uid="{00000000-0005-0000-0000-00003C0B0000}"/>
    <cellStyle name="Normal 29 12 12" xfId="2872" xr:uid="{00000000-0005-0000-0000-00003D0B0000}"/>
    <cellStyle name="Normal 29 12 13" xfId="2873" xr:uid="{00000000-0005-0000-0000-00003E0B0000}"/>
    <cellStyle name="Normal 29 12 2" xfId="2874" xr:uid="{00000000-0005-0000-0000-00003F0B0000}"/>
    <cellStyle name="Normal 29 12 2 10" xfId="2875" xr:uid="{00000000-0005-0000-0000-0000400B0000}"/>
    <cellStyle name="Normal 29 12 2 11" xfId="2876" xr:uid="{00000000-0005-0000-0000-0000410B0000}"/>
    <cellStyle name="Normal 29 12 2 2" xfId="2877" xr:uid="{00000000-0005-0000-0000-0000420B0000}"/>
    <cellStyle name="Normal 29 12 2 3" xfId="2878" xr:uid="{00000000-0005-0000-0000-0000430B0000}"/>
    <cellStyle name="Normal 29 12 2 4" xfId="2879" xr:uid="{00000000-0005-0000-0000-0000440B0000}"/>
    <cellStyle name="Normal 29 12 2 5" xfId="2880" xr:uid="{00000000-0005-0000-0000-0000450B0000}"/>
    <cellStyle name="Normal 29 12 2 6" xfId="2881" xr:uid="{00000000-0005-0000-0000-0000460B0000}"/>
    <cellStyle name="Normal 29 12 2 7" xfId="2882" xr:uid="{00000000-0005-0000-0000-0000470B0000}"/>
    <cellStyle name="Normal 29 12 2 8" xfId="2883" xr:uid="{00000000-0005-0000-0000-0000480B0000}"/>
    <cellStyle name="Normal 29 12 2 9" xfId="2884" xr:uid="{00000000-0005-0000-0000-0000490B0000}"/>
    <cellStyle name="Normal 29 12 3" xfId="2885" xr:uid="{00000000-0005-0000-0000-00004A0B0000}"/>
    <cellStyle name="Normal 29 12 4" xfId="2886" xr:uid="{00000000-0005-0000-0000-00004B0B0000}"/>
    <cellStyle name="Normal 29 12 5" xfId="2887" xr:uid="{00000000-0005-0000-0000-00004C0B0000}"/>
    <cellStyle name="Normal 29 12 6" xfId="2888" xr:uid="{00000000-0005-0000-0000-00004D0B0000}"/>
    <cellStyle name="Normal 29 12 7" xfId="2889" xr:uid="{00000000-0005-0000-0000-00004E0B0000}"/>
    <cellStyle name="Normal 29 12 8" xfId="2890" xr:uid="{00000000-0005-0000-0000-00004F0B0000}"/>
    <cellStyle name="Normal 29 12 9" xfId="2891" xr:uid="{00000000-0005-0000-0000-0000500B0000}"/>
    <cellStyle name="Normal 29 13" xfId="2892" xr:uid="{00000000-0005-0000-0000-0000510B0000}"/>
    <cellStyle name="Normal 29 13 10" xfId="2893" xr:uid="{00000000-0005-0000-0000-0000520B0000}"/>
    <cellStyle name="Normal 29 13 11" xfId="2894" xr:uid="{00000000-0005-0000-0000-0000530B0000}"/>
    <cellStyle name="Normal 29 13 12" xfId="2895" xr:uid="{00000000-0005-0000-0000-0000540B0000}"/>
    <cellStyle name="Normal 29 13 13" xfId="2896" xr:uid="{00000000-0005-0000-0000-0000550B0000}"/>
    <cellStyle name="Normal 29 13 2" xfId="2897" xr:uid="{00000000-0005-0000-0000-0000560B0000}"/>
    <cellStyle name="Normal 29 13 2 10" xfId="2898" xr:uid="{00000000-0005-0000-0000-0000570B0000}"/>
    <cellStyle name="Normal 29 13 2 11" xfId="2899" xr:uid="{00000000-0005-0000-0000-0000580B0000}"/>
    <cellStyle name="Normal 29 13 2 2" xfId="2900" xr:uid="{00000000-0005-0000-0000-0000590B0000}"/>
    <cellStyle name="Normal 29 13 2 3" xfId="2901" xr:uid="{00000000-0005-0000-0000-00005A0B0000}"/>
    <cellStyle name="Normal 29 13 2 4" xfId="2902" xr:uid="{00000000-0005-0000-0000-00005B0B0000}"/>
    <cellStyle name="Normal 29 13 2 5" xfId="2903" xr:uid="{00000000-0005-0000-0000-00005C0B0000}"/>
    <cellStyle name="Normal 29 13 2 6" xfId="2904" xr:uid="{00000000-0005-0000-0000-00005D0B0000}"/>
    <cellStyle name="Normal 29 13 2 7" xfId="2905" xr:uid="{00000000-0005-0000-0000-00005E0B0000}"/>
    <cellStyle name="Normal 29 13 2 8" xfId="2906" xr:uid="{00000000-0005-0000-0000-00005F0B0000}"/>
    <cellStyle name="Normal 29 13 2 9" xfId="2907" xr:uid="{00000000-0005-0000-0000-0000600B0000}"/>
    <cellStyle name="Normal 29 13 3" xfId="2908" xr:uid="{00000000-0005-0000-0000-0000610B0000}"/>
    <cellStyle name="Normal 29 13 4" xfId="2909" xr:uid="{00000000-0005-0000-0000-0000620B0000}"/>
    <cellStyle name="Normal 29 13 5" xfId="2910" xr:uid="{00000000-0005-0000-0000-0000630B0000}"/>
    <cellStyle name="Normal 29 13 6" xfId="2911" xr:uid="{00000000-0005-0000-0000-0000640B0000}"/>
    <cellStyle name="Normal 29 13 7" xfId="2912" xr:uid="{00000000-0005-0000-0000-0000650B0000}"/>
    <cellStyle name="Normal 29 13 8" xfId="2913" xr:uid="{00000000-0005-0000-0000-0000660B0000}"/>
    <cellStyle name="Normal 29 13 9" xfId="2914" xr:uid="{00000000-0005-0000-0000-0000670B0000}"/>
    <cellStyle name="Normal 29 14" xfId="2915" xr:uid="{00000000-0005-0000-0000-0000680B0000}"/>
    <cellStyle name="Normal 29 14 10" xfId="2916" xr:uid="{00000000-0005-0000-0000-0000690B0000}"/>
    <cellStyle name="Normal 29 14 11" xfId="2917" xr:uid="{00000000-0005-0000-0000-00006A0B0000}"/>
    <cellStyle name="Normal 29 14 2" xfId="2918" xr:uid="{00000000-0005-0000-0000-00006B0B0000}"/>
    <cellStyle name="Normal 29 14 3" xfId="2919" xr:uid="{00000000-0005-0000-0000-00006C0B0000}"/>
    <cellStyle name="Normal 29 14 4" xfId="2920" xr:uid="{00000000-0005-0000-0000-00006D0B0000}"/>
    <cellStyle name="Normal 29 14 5" xfId="2921" xr:uid="{00000000-0005-0000-0000-00006E0B0000}"/>
    <cellStyle name="Normal 29 14 6" xfId="2922" xr:uid="{00000000-0005-0000-0000-00006F0B0000}"/>
    <cellStyle name="Normal 29 14 7" xfId="2923" xr:uid="{00000000-0005-0000-0000-0000700B0000}"/>
    <cellStyle name="Normal 29 14 8" xfId="2924" xr:uid="{00000000-0005-0000-0000-0000710B0000}"/>
    <cellStyle name="Normal 29 14 9" xfId="2925" xr:uid="{00000000-0005-0000-0000-0000720B0000}"/>
    <cellStyle name="Normal 29 15" xfId="2926" xr:uid="{00000000-0005-0000-0000-0000730B0000}"/>
    <cellStyle name="Normal 29 16" xfId="2927" xr:uid="{00000000-0005-0000-0000-0000740B0000}"/>
    <cellStyle name="Normal 29 17" xfId="2928" xr:uid="{00000000-0005-0000-0000-0000750B0000}"/>
    <cellStyle name="Normal 29 18" xfId="2929" xr:uid="{00000000-0005-0000-0000-0000760B0000}"/>
    <cellStyle name="Normal 29 19" xfId="2930" xr:uid="{00000000-0005-0000-0000-0000770B0000}"/>
    <cellStyle name="Normal 29 2" xfId="2931" xr:uid="{00000000-0005-0000-0000-0000780B0000}"/>
    <cellStyle name="Normal 29 2 10" xfId="2932" xr:uid="{00000000-0005-0000-0000-0000790B0000}"/>
    <cellStyle name="Normal 29 2 11" xfId="2933" xr:uid="{00000000-0005-0000-0000-00007A0B0000}"/>
    <cellStyle name="Normal 29 2 12" xfId="2934" xr:uid="{00000000-0005-0000-0000-00007B0B0000}"/>
    <cellStyle name="Normal 29 2 13" xfId="2935" xr:uid="{00000000-0005-0000-0000-00007C0B0000}"/>
    <cellStyle name="Normal 29 2 2" xfId="2936" xr:uid="{00000000-0005-0000-0000-00007D0B0000}"/>
    <cellStyle name="Normal 29 2 2 10" xfId="2937" xr:uid="{00000000-0005-0000-0000-00007E0B0000}"/>
    <cellStyle name="Normal 29 2 2 11" xfId="2938" xr:uid="{00000000-0005-0000-0000-00007F0B0000}"/>
    <cellStyle name="Normal 29 2 2 2" xfId="2939" xr:uid="{00000000-0005-0000-0000-0000800B0000}"/>
    <cellStyle name="Normal 29 2 2 3" xfId="2940" xr:uid="{00000000-0005-0000-0000-0000810B0000}"/>
    <cellStyle name="Normal 29 2 2 4" xfId="2941" xr:uid="{00000000-0005-0000-0000-0000820B0000}"/>
    <cellStyle name="Normal 29 2 2 5" xfId="2942" xr:uid="{00000000-0005-0000-0000-0000830B0000}"/>
    <cellStyle name="Normal 29 2 2 6" xfId="2943" xr:uid="{00000000-0005-0000-0000-0000840B0000}"/>
    <cellStyle name="Normal 29 2 2 7" xfId="2944" xr:uid="{00000000-0005-0000-0000-0000850B0000}"/>
    <cellStyle name="Normal 29 2 2 8" xfId="2945" xr:uid="{00000000-0005-0000-0000-0000860B0000}"/>
    <cellStyle name="Normal 29 2 2 9" xfId="2946" xr:uid="{00000000-0005-0000-0000-0000870B0000}"/>
    <cellStyle name="Normal 29 2 3" xfId="2947" xr:uid="{00000000-0005-0000-0000-0000880B0000}"/>
    <cellStyle name="Normal 29 2 4" xfId="2948" xr:uid="{00000000-0005-0000-0000-0000890B0000}"/>
    <cellStyle name="Normal 29 2 5" xfId="2949" xr:uid="{00000000-0005-0000-0000-00008A0B0000}"/>
    <cellStyle name="Normal 29 2 6" xfId="2950" xr:uid="{00000000-0005-0000-0000-00008B0B0000}"/>
    <cellStyle name="Normal 29 2 7" xfId="2951" xr:uid="{00000000-0005-0000-0000-00008C0B0000}"/>
    <cellStyle name="Normal 29 2 8" xfId="2952" xr:uid="{00000000-0005-0000-0000-00008D0B0000}"/>
    <cellStyle name="Normal 29 2 9" xfId="2953" xr:uid="{00000000-0005-0000-0000-00008E0B0000}"/>
    <cellStyle name="Normal 29 20" xfId="2954" xr:uid="{00000000-0005-0000-0000-00008F0B0000}"/>
    <cellStyle name="Normal 29 21" xfId="2955" xr:uid="{00000000-0005-0000-0000-0000900B0000}"/>
    <cellStyle name="Normal 29 22" xfId="2956" xr:uid="{00000000-0005-0000-0000-0000910B0000}"/>
    <cellStyle name="Normal 29 23" xfId="2957" xr:uid="{00000000-0005-0000-0000-0000920B0000}"/>
    <cellStyle name="Normal 29 24" xfId="2958" xr:uid="{00000000-0005-0000-0000-0000930B0000}"/>
    <cellStyle name="Normal 29 25" xfId="2959" xr:uid="{00000000-0005-0000-0000-0000940B0000}"/>
    <cellStyle name="Normal 29 3" xfId="2960" xr:uid="{00000000-0005-0000-0000-0000950B0000}"/>
    <cellStyle name="Normal 29 3 10" xfId="2961" xr:uid="{00000000-0005-0000-0000-0000960B0000}"/>
    <cellStyle name="Normal 29 3 11" xfId="2962" xr:uid="{00000000-0005-0000-0000-0000970B0000}"/>
    <cellStyle name="Normal 29 3 12" xfId="2963" xr:uid="{00000000-0005-0000-0000-0000980B0000}"/>
    <cellStyle name="Normal 29 3 13" xfId="2964" xr:uid="{00000000-0005-0000-0000-0000990B0000}"/>
    <cellStyle name="Normal 29 3 2" xfId="2965" xr:uid="{00000000-0005-0000-0000-00009A0B0000}"/>
    <cellStyle name="Normal 29 3 2 10" xfId="2966" xr:uid="{00000000-0005-0000-0000-00009B0B0000}"/>
    <cellStyle name="Normal 29 3 2 11" xfId="2967" xr:uid="{00000000-0005-0000-0000-00009C0B0000}"/>
    <cellStyle name="Normal 29 3 2 2" xfId="2968" xr:uid="{00000000-0005-0000-0000-00009D0B0000}"/>
    <cellStyle name="Normal 29 3 2 3" xfId="2969" xr:uid="{00000000-0005-0000-0000-00009E0B0000}"/>
    <cellStyle name="Normal 29 3 2 4" xfId="2970" xr:uid="{00000000-0005-0000-0000-00009F0B0000}"/>
    <cellStyle name="Normal 29 3 2 5" xfId="2971" xr:uid="{00000000-0005-0000-0000-0000A00B0000}"/>
    <cellStyle name="Normal 29 3 2 6" xfId="2972" xr:uid="{00000000-0005-0000-0000-0000A10B0000}"/>
    <cellStyle name="Normal 29 3 2 7" xfId="2973" xr:uid="{00000000-0005-0000-0000-0000A20B0000}"/>
    <cellStyle name="Normal 29 3 2 8" xfId="2974" xr:uid="{00000000-0005-0000-0000-0000A30B0000}"/>
    <cellStyle name="Normal 29 3 2 9" xfId="2975" xr:uid="{00000000-0005-0000-0000-0000A40B0000}"/>
    <cellStyle name="Normal 29 3 3" xfId="2976" xr:uid="{00000000-0005-0000-0000-0000A50B0000}"/>
    <cellStyle name="Normal 29 3 4" xfId="2977" xr:uid="{00000000-0005-0000-0000-0000A60B0000}"/>
    <cellStyle name="Normal 29 3 5" xfId="2978" xr:uid="{00000000-0005-0000-0000-0000A70B0000}"/>
    <cellStyle name="Normal 29 3 6" xfId="2979" xr:uid="{00000000-0005-0000-0000-0000A80B0000}"/>
    <cellStyle name="Normal 29 3 7" xfId="2980" xr:uid="{00000000-0005-0000-0000-0000A90B0000}"/>
    <cellStyle name="Normal 29 3 8" xfId="2981" xr:uid="{00000000-0005-0000-0000-0000AA0B0000}"/>
    <cellStyle name="Normal 29 3 9" xfId="2982" xr:uid="{00000000-0005-0000-0000-0000AB0B0000}"/>
    <cellStyle name="Normal 29 4" xfId="2983" xr:uid="{00000000-0005-0000-0000-0000AC0B0000}"/>
    <cellStyle name="Normal 29 4 10" xfId="2984" xr:uid="{00000000-0005-0000-0000-0000AD0B0000}"/>
    <cellStyle name="Normal 29 4 11" xfId="2985" xr:uid="{00000000-0005-0000-0000-0000AE0B0000}"/>
    <cellStyle name="Normal 29 4 12" xfId="2986" xr:uid="{00000000-0005-0000-0000-0000AF0B0000}"/>
    <cellStyle name="Normal 29 4 13" xfId="2987" xr:uid="{00000000-0005-0000-0000-0000B00B0000}"/>
    <cellStyle name="Normal 29 4 2" xfId="2988" xr:uid="{00000000-0005-0000-0000-0000B10B0000}"/>
    <cellStyle name="Normal 29 4 2 10" xfId="2989" xr:uid="{00000000-0005-0000-0000-0000B20B0000}"/>
    <cellStyle name="Normal 29 4 2 11" xfId="2990" xr:uid="{00000000-0005-0000-0000-0000B30B0000}"/>
    <cellStyle name="Normal 29 4 2 2" xfId="2991" xr:uid="{00000000-0005-0000-0000-0000B40B0000}"/>
    <cellStyle name="Normal 29 4 2 3" xfId="2992" xr:uid="{00000000-0005-0000-0000-0000B50B0000}"/>
    <cellStyle name="Normal 29 4 2 4" xfId="2993" xr:uid="{00000000-0005-0000-0000-0000B60B0000}"/>
    <cellStyle name="Normal 29 4 2 5" xfId="2994" xr:uid="{00000000-0005-0000-0000-0000B70B0000}"/>
    <cellStyle name="Normal 29 4 2 6" xfId="2995" xr:uid="{00000000-0005-0000-0000-0000B80B0000}"/>
    <cellStyle name="Normal 29 4 2 7" xfId="2996" xr:uid="{00000000-0005-0000-0000-0000B90B0000}"/>
    <cellStyle name="Normal 29 4 2 8" xfId="2997" xr:uid="{00000000-0005-0000-0000-0000BA0B0000}"/>
    <cellStyle name="Normal 29 4 2 9" xfId="2998" xr:uid="{00000000-0005-0000-0000-0000BB0B0000}"/>
    <cellStyle name="Normal 29 4 3" xfId="2999" xr:uid="{00000000-0005-0000-0000-0000BC0B0000}"/>
    <cellStyle name="Normal 29 4 4" xfId="3000" xr:uid="{00000000-0005-0000-0000-0000BD0B0000}"/>
    <cellStyle name="Normal 29 4 5" xfId="3001" xr:uid="{00000000-0005-0000-0000-0000BE0B0000}"/>
    <cellStyle name="Normal 29 4 6" xfId="3002" xr:uid="{00000000-0005-0000-0000-0000BF0B0000}"/>
    <cellStyle name="Normal 29 4 7" xfId="3003" xr:uid="{00000000-0005-0000-0000-0000C00B0000}"/>
    <cellStyle name="Normal 29 4 8" xfId="3004" xr:uid="{00000000-0005-0000-0000-0000C10B0000}"/>
    <cellStyle name="Normal 29 4 9" xfId="3005" xr:uid="{00000000-0005-0000-0000-0000C20B0000}"/>
    <cellStyle name="Normal 29 5" xfId="3006" xr:uid="{00000000-0005-0000-0000-0000C30B0000}"/>
    <cellStyle name="Normal 29 5 10" xfId="3007" xr:uid="{00000000-0005-0000-0000-0000C40B0000}"/>
    <cellStyle name="Normal 29 5 11" xfId="3008" xr:uid="{00000000-0005-0000-0000-0000C50B0000}"/>
    <cellStyle name="Normal 29 5 12" xfId="3009" xr:uid="{00000000-0005-0000-0000-0000C60B0000}"/>
    <cellStyle name="Normal 29 5 13" xfId="3010" xr:uid="{00000000-0005-0000-0000-0000C70B0000}"/>
    <cellStyle name="Normal 29 5 2" xfId="3011" xr:uid="{00000000-0005-0000-0000-0000C80B0000}"/>
    <cellStyle name="Normal 29 5 2 10" xfId="3012" xr:uid="{00000000-0005-0000-0000-0000C90B0000}"/>
    <cellStyle name="Normal 29 5 2 11" xfId="3013" xr:uid="{00000000-0005-0000-0000-0000CA0B0000}"/>
    <cellStyle name="Normal 29 5 2 2" xfId="3014" xr:uid="{00000000-0005-0000-0000-0000CB0B0000}"/>
    <cellStyle name="Normal 29 5 2 3" xfId="3015" xr:uid="{00000000-0005-0000-0000-0000CC0B0000}"/>
    <cellStyle name="Normal 29 5 2 4" xfId="3016" xr:uid="{00000000-0005-0000-0000-0000CD0B0000}"/>
    <cellStyle name="Normal 29 5 2 5" xfId="3017" xr:uid="{00000000-0005-0000-0000-0000CE0B0000}"/>
    <cellStyle name="Normal 29 5 2 6" xfId="3018" xr:uid="{00000000-0005-0000-0000-0000CF0B0000}"/>
    <cellStyle name="Normal 29 5 2 7" xfId="3019" xr:uid="{00000000-0005-0000-0000-0000D00B0000}"/>
    <cellStyle name="Normal 29 5 2 8" xfId="3020" xr:uid="{00000000-0005-0000-0000-0000D10B0000}"/>
    <cellStyle name="Normal 29 5 2 9" xfId="3021" xr:uid="{00000000-0005-0000-0000-0000D20B0000}"/>
    <cellStyle name="Normal 29 5 3" xfId="3022" xr:uid="{00000000-0005-0000-0000-0000D30B0000}"/>
    <cellStyle name="Normal 29 5 4" xfId="3023" xr:uid="{00000000-0005-0000-0000-0000D40B0000}"/>
    <cellStyle name="Normal 29 5 5" xfId="3024" xr:uid="{00000000-0005-0000-0000-0000D50B0000}"/>
    <cellStyle name="Normal 29 5 6" xfId="3025" xr:uid="{00000000-0005-0000-0000-0000D60B0000}"/>
    <cellStyle name="Normal 29 5 7" xfId="3026" xr:uid="{00000000-0005-0000-0000-0000D70B0000}"/>
    <cellStyle name="Normal 29 5 8" xfId="3027" xr:uid="{00000000-0005-0000-0000-0000D80B0000}"/>
    <cellStyle name="Normal 29 5 9" xfId="3028" xr:uid="{00000000-0005-0000-0000-0000D90B0000}"/>
    <cellStyle name="Normal 29 6" xfId="3029" xr:uid="{00000000-0005-0000-0000-0000DA0B0000}"/>
    <cellStyle name="Normal 29 6 10" xfId="3030" xr:uid="{00000000-0005-0000-0000-0000DB0B0000}"/>
    <cellStyle name="Normal 29 6 11" xfId="3031" xr:uid="{00000000-0005-0000-0000-0000DC0B0000}"/>
    <cellStyle name="Normal 29 6 12" xfId="3032" xr:uid="{00000000-0005-0000-0000-0000DD0B0000}"/>
    <cellStyle name="Normal 29 6 13" xfId="3033" xr:uid="{00000000-0005-0000-0000-0000DE0B0000}"/>
    <cellStyle name="Normal 29 6 2" xfId="3034" xr:uid="{00000000-0005-0000-0000-0000DF0B0000}"/>
    <cellStyle name="Normal 29 6 2 10" xfId="3035" xr:uid="{00000000-0005-0000-0000-0000E00B0000}"/>
    <cellStyle name="Normal 29 6 2 11" xfId="3036" xr:uid="{00000000-0005-0000-0000-0000E10B0000}"/>
    <cellStyle name="Normal 29 6 2 2" xfId="3037" xr:uid="{00000000-0005-0000-0000-0000E20B0000}"/>
    <cellStyle name="Normal 29 6 2 3" xfId="3038" xr:uid="{00000000-0005-0000-0000-0000E30B0000}"/>
    <cellStyle name="Normal 29 6 2 4" xfId="3039" xr:uid="{00000000-0005-0000-0000-0000E40B0000}"/>
    <cellStyle name="Normal 29 6 2 5" xfId="3040" xr:uid="{00000000-0005-0000-0000-0000E50B0000}"/>
    <cellStyle name="Normal 29 6 2 6" xfId="3041" xr:uid="{00000000-0005-0000-0000-0000E60B0000}"/>
    <cellStyle name="Normal 29 6 2 7" xfId="3042" xr:uid="{00000000-0005-0000-0000-0000E70B0000}"/>
    <cellStyle name="Normal 29 6 2 8" xfId="3043" xr:uid="{00000000-0005-0000-0000-0000E80B0000}"/>
    <cellStyle name="Normal 29 6 2 9" xfId="3044" xr:uid="{00000000-0005-0000-0000-0000E90B0000}"/>
    <cellStyle name="Normal 29 6 3" xfId="3045" xr:uid="{00000000-0005-0000-0000-0000EA0B0000}"/>
    <cellStyle name="Normal 29 6 4" xfId="3046" xr:uid="{00000000-0005-0000-0000-0000EB0B0000}"/>
    <cellStyle name="Normal 29 6 5" xfId="3047" xr:uid="{00000000-0005-0000-0000-0000EC0B0000}"/>
    <cellStyle name="Normal 29 6 6" xfId="3048" xr:uid="{00000000-0005-0000-0000-0000ED0B0000}"/>
    <cellStyle name="Normal 29 6 7" xfId="3049" xr:uid="{00000000-0005-0000-0000-0000EE0B0000}"/>
    <cellStyle name="Normal 29 6 8" xfId="3050" xr:uid="{00000000-0005-0000-0000-0000EF0B0000}"/>
    <cellStyle name="Normal 29 6 9" xfId="3051" xr:uid="{00000000-0005-0000-0000-0000F00B0000}"/>
    <cellStyle name="Normal 29 7" xfId="3052" xr:uid="{00000000-0005-0000-0000-0000F10B0000}"/>
    <cellStyle name="Normal 29 7 10" xfId="3053" xr:uid="{00000000-0005-0000-0000-0000F20B0000}"/>
    <cellStyle name="Normal 29 7 11" xfId="3054" xr:uid="{00000000-0005-0000-0000-0000F30B0000}"/>
    <cellStyle name="Normal 29 7 12" xfId="3055" xr:uid="{00000000-0005-0000-0000-0000F40B0000}"/>
    <cellStyle name="Normal 29 7 13" xfId="3056" xr:uid="{00000000-0005-0000-0000-0000F50B0000}"/>
    <cellStyle name="Normal 29 7 2" xfId="3057" xr:uid="{00000000-0005-0000-0000-0000F60B0000}"/>
    <cellStyle name="Normal 29 7 2 10" xfId="3058" xr:uid="{00000000-0005-0000-0000-0000F70B0000}"/>
    <cellStyle name="Normal 29 7 2 11" xfId="3059" xr:uid="{00000000-0005-0000-0000-0000F80B0000}"/>
    <cellStyle name="Normal 29 7 2 2" xfId="3060" xr:uid="{00000000-0005-0000-0000-0000F90B0000}"/>
    <cellStyle name="Normal 29 7 2 3" xfId="3061" xr:uid="{00000000-0005-0000-0000-0000FA0B0000}"/>
    <cellStyle name="Normal 29 7 2 4" xfId="3062" xr:uid="{00000000-0005-0000-0000-0000FB0B0000}"/>
    <cellStyle name="Normal 29 7 2 5" xfId="3063" xr:uid="{00000000-0005-0000-0000-0000FC0B0000}"/>
    <cellStyle name="Normal 29 7 2 6" xfId="3064" xr:uid="{00000000-0005-0000-0000-0000FD0B0000}"/>
    <cellStyle name="Normal 29 7 2 7" xfId="3065" xr:uid="{00000000-0005-0000-0000-0000FE0B0000}"/>
    <cellStyle name="Normal 29 7 2 8" xfId="3066" xr:uid="{00000000-0005-0000-0000-0000FF0B0000}"/>
    <cellStyle name="Normal 29 7 2 9" xfId="3067" xr:uid="{00000000-0005-0000-0000-0000000C0000}"/>
    <cellStyle name="Normal 29 7 3" xfId="3068" xr:uid="{00000000-0005-0000-0000-0000010C0000}"/>
    <cellStyle name="Normal 29 7 4" xfId="3069" xr:uid="{00000000-0005-0000-0000-0000020C0000}"/>
    <cellStyle name="Normal 29 7 5" xfId="3070" xr:uid="{00000000-0005-0000-0000-0000030C0000}"/>
    <cellStyle name="Normal 29 7 6" xfId="3071" xr:uid="{00000000-0005-0000-0000-0000040C0000}"/>
    <cellStyle name="Normal 29 7 7" xfId="3072" xr:uid="{00000000-0005-0000-0000-0000050C0000}"/>
    <cellStyle name="Normal 29 7 8" xfId="3073" xr:uid="{00000000-0005-0000-0000-0000060C0000}"/>
    <cellStyle name="Normal 29 7 9" xfId="3074" xr:uid="{00000000-0005-0000-0000-0000070C0000}"/>
    <cellStyle name="Normal 29 8" xfId="3075" xr:uid="{00000000-0005-0000-0000-0000080C0000}"/>
    <cellStyle name="Normal 29 8 10" xfId="3076" xr:uid="{00000000-0005-0000-0000-0000090C0000}"/>
    <cellStyle name="Normal 29 8 11" xfId="3077" xr:uid="{00000000-0005-0000-0000-00000A0C0000}"/>
    <cellStyle name="Normal 29 8 12" xfId="3078" xr:uid="{00000000-0005-0000-0000-00000B0C0000}"/>
    <cellStyle name="Normal 29 8 13" xfId="3079" xr:uid="{00000000-0005-0000-0000-00000C0C0000}"/>
    <cellStyle name="Normal 29 8 2" xfId="3080" xr:uid="{00000000-0005-0000-0000-00000D0C0000}"/>
    <cellStyle name="Normal 29 8 2 10" xfId="3081" xr:uid="{00000000-0005-0000-0000-00000E0C0000}"/>
    <cellStyle name="Normal 29 8 2 11" xfId="3082" xr:uid="{00000000-0005-0000-0000-00000F0C0000}"/>
    <cellStyle name="Normal 29 8 2 2" xfId="3083" xr:uid="{00000000-0005-0000-0000-0000100C0000}"/>
    <cellStyle name="Normal 29 8 2 3" xfId="3084" xr:uid="{00000000-0005-0000-0000-0000110C0000}"/>
    <cellStyle name="Normal 29 8 2 4" xfId="3085" xr:uid="{00000000-0005-0000-0000-0000120C0000}"/>
    <cellStyle name="Normal 29 8 2 5" xfId="3086" xr:uid="{00000000-0005-0000-0000-0000130C0000}"/>
    <cellStyle name="Normal 29 8 2 6" xfId="3087" xr:uid="{00000000-0005-0000-0000-0000140C0000}"/>
    <cellStyle name="Normal 29 8 2 7" xfId="3088" xr:uid="{00000000-0005-0000-0000-0000150C0000}"/>
    <cellStyle name="Normal 29 8 2 8" xfId="3089" xr:uid="{00000000-0005-0000-0000-0000160C0000}"/>
    <cellStyle name="Normal 29 8 2 9" xfId="3090" xr:uid="{00000000-0005-0000-0000-0000170C0000}"/>
    <cellStyle name="Normal 29 8 3" xfId="3091" xr:uid="{00000000-0005-0000-0000-0000180C0000}"/>
    <cellStyle name="Normal 29 8 4" xfId="3092" xr:uid="{00000000-0005-0000-0000-0000190C0000}"/>
    <cellStyle name="Normal 29 8 5" xfId="3093" xr:uid="{00000000-0005-0000-0000-00001A0C0000}"/>
    <cellStyle name="Normal 29 8 6" xfId="3094" xr:uid="{00000000-0005-0000-0000-00001B0C0000}"/>
    <cellStyle name="Normal 29 8 7" xfId="3095" xr:uid="{00000000-0005-0000-0000-00001C0C0000}"/>
    <cellStyle name="Normal 29 8 8" xfId="3096" xr:uid="{00000000-0005-0000-0000-00001D0C0000}"/>
    <cellStyle name="Normal 29 8 9" xfId="3097" xr:uid="{00000000-0005-0000-0000-00001E0C0000}"/>
    <cellStyle name="Normal 29 9" xfId="3098" xr:uid="{00000000-0005-0000-0000-00001F0C0000}"/>
    <cellStyle name="Normal 29 9 10" xfId="3099" xr:uid="{00000000-0005-0000-0000-0000200C0000}"/>
    <cellStyle name="Normal 29 9 11" xfId="3100" xr:uid="{00000000-0005-0000-0000-0000210C0000}"/>
    <cellStyle name="Normal 29 9 12" xfId="3101" xr:uid="{00000000-0005-0000-0000-0000220C0000}"/>
    <cellStyle name="Normal 29 9 13" xfId="3102" xr:uid="{00000000-0005-0000-0000-0000230C0000}"/>
    <cellStyle name="Normal 29 9 2" xfId="3103" xr:uid="{00000000-0005-0000-0000-0000240C0000}"/>
    <cellStyle name="Normal 29 9 2 10" xfId="3104" xr:uid="{00000000-0005-0000-0000-0000250C0000}"/>
    <cellStyle name="Normal 29 9 2 11" xfId="3105" xr:uid="{00000000-0005-0000-0000-0000260C0000}"/>
    <cellStyle name="Normal 29 9 2 2" xfId="3106" xr:uid="{00000000-0005-0000-0000-0000270C0000}"/>
    <cellStyle name="Normal 29 9 2 3" xfId="3107" xr:uid="{00000000-0005-0000-0000-0000280C0000}"/>
    <cellStyle name="Normal 29 9 2 4" xfId="3108" xr:uid="{00000000-0005-0000-0000-0000290C0000}"/>
    <cellStyle name="Normal 29 9 2 5" xfId="3109" xr:uid="{00000000-0005-0000-0000-00002A0C0000}"/>
    <cellStyle name="Normal 29 9 2 6" xfId="3110" xr:uid="{00000000-0005-0000-0000-00002B0C0000}"/>
    <cellStyle name="Normal 29 9 2 7" xfId="3111" xr:uid="{00000000-0005-0000-0000-00002C0C0000}"/>
    <cellStyle name="Normal 29 9 2 8" xfId="3112" xr:uid="{00000000-0005-0000-0000-00002D0C0000}"/>
    <cellStyle name="Normal 29 9 2 9" xfId="3113" xr:uid="{00000000-0005-0000-0000-00002E0C0000}"/>
    <cellStyle name="Normal 29 9 3" xfId="3114" xr:uid="{00000000-0005-0000-0000-00002F0C0000}"/>
    <cellStyle name="Normal 29 9 4" xfId="3115" xr:uid="{00000000-0005-0000-0000-0000300C0000}"/>
    <cellStyle name="Normal 29 9 5" xfId="3116" xr:uid="{00000000-0005-0000-0000-0000310C0000}"/>
    <cellStyle name="Normal 29 9 6" xfId="3117" xr:uid="{00000000-0005-0000-0000-0000320C0000}"/>
    <cellStyle name="Normal 29 9 7" xfId="3118" xr:uid="{00000000-0005-0000-0000-0000330C0000}"/>
    <cellStyle name="Normal 29 9 8" xfId="3119" xr:uid="{00000000-0005-0000-0000-0000340C0000}"/>
    <cellStyle name="Normal 29 9 9" xfId="3120" xr:uid="{00000000-0005-0000-0000-0000350C0000}"/>
    <cellStyle name="Normal 3" xfId="3121" xr:uid="{00000000-0005-0000-0000-0000360C0000}"/>
    <cellStyle name="Normal 3 2" xfId="3122" xr:uid="{00000000-0005-0000-0000-0000370C0000}"/>
    <cellStyle name="Normal 3 3" xfId="3123" xr:uid="{00000000-0005-0000-0000-0000380C0000}"/>
    <cellStyle name="Normal 3 4" xfId="3124" xr:uid="{00000000-0005-0000-0000-0000390C0000}"/>
    <cellStyle name="Normal 30" xfId="3125" xr:uid="{00000000-0005-0000-0000-00003A0C0000}"/>
    <cellStyle name="Normal 30 10" xfId="3126" xr:uid="{00000000-0005-0000-0000-00003B0C0000}"/>
    <cellStyle name="Normal 30 10 10" xfId="3127" xr:uid="{00000000-0005-0000-0000-00003C0C0000}"/>
    <cellStyle name="Normal 30 10 11" xfId="3128" xr:uid="{00000000-0005-0000-0000-00003D0C0000}"/>
    <cellStyle name="Normal 30 10 12" xfId="3129" xr:uid="{00000000-0005-0000-0000-00003E0C0000}"/>
    <cellStyle name="Normal 30 10 13" xfId="3130" xr:uid="{00000000-0005-0000-0000-00003F0C0000}"/>
    <cellStyle name="Normal 30 10 2" xfId="3131" xr:uid="{00000000-0005-0000-0000-0000400C0000}"/>
    <cellStyle name="Normal 30 10 2 10" xfId="3132" xr:uid="{00000000-0005-0000-0000-0000410C0000}"/>
    <cellStyle name="Normal 30 10 2 11" xfId="3133" xr:uid="{00000000-0005-0000-0000-0000420C0000}"/>
    <cellStyle name="Normal 30 10 2 2" xfId="3134" xr:uid="{00000000-0005-0000-0000-0000430C0000}"/>
    <cellStyle name="Normal 30 10 2 3" xfId="3135" xr:uid="{00000000-0005-0000-0000-0000440C0000}"/>
    <cellStyle name="Normal 30 10 2 4" xfId="3136" xr:uid="{00000000-0005-0000-0000-0000450C0000}"/>
    <cellStyle name="Normal 30 10 2 5" xfId="3137" xr:uid="{00000000-0005-0000-0000-0000460C0000}"/>
    <cellStyle name="Normal 30 10 2 6" xfId="3138" xr:uid="{00000000-0005-0000-0000-0000470C0000}"/>
    <cellStyle name="Normal 30 10 2 7" xfId="3139" xr:uid="{00000000-0005-0000-0000-0000480C0000}"/>
    <cellStyle name="Normal 30 10 2 8" xfId="3140" xr:uid="{00000000-0005-0000-0000-0000490C0000}"/>
    <cellStyle name="Normal 30 10 2 9" xfId="3141" xr:uid="{00000000-0005-0000-0000-00004A0C0000}"/>
    <cellStyle name="Normal 30 10 3" xfId="3142" xr:uid="{00000000-0005-0000-0000-00004B0C0000}"/>
    <cellStyle name="Normal 30 10 4" xfId="3143" xr:uid="{00000000-0005-0000-0000-00004C0C0000}"/>
    <cellStyle name="Normal 30 10 5" xfId="3144" xr:uid="{00000000-0005-0000-0000-00004D0C0000}"/>
    <cellStyle name="Normal 30 10 6" xfId="3145" xr:uid="{00000000-0005-0000-0000-00004E0C0000}"/>
    <cellStyle name="Normal 30 10 7" xfId="3146" xr:uid="{00000000-0005-0000-0000-00004F0C0000}"/>
    <cellStyle name="Normal 30 10 8" xfId="3147" xr:uid="{00000000-0005-0000-0000-0000500C0000}"/>
    <cellStyle name="Normal 30 10 9" xfId="3148" xr:uid="{00000000-0005-0000-0000-0000510C0000}"/>
    <cellStyle name="Normal 30 11" xfId="3149" xr:uid="{00000000-0005-0000-0000-0000520C0000}"/>
    <cellStyle name="Normal 30 11 10" xfId="3150" xr:uid="{00000000-0005-0000-0000-0000530C0000}"/>
    <cellStyle name="Normal 30 11 11" xfId="3151" xr:uid="{00000000-0005-0000-0000-0000540C0000}"/>
    <cellStyle name="Normal 30 11 12" xfId="3152" xr:uid="{00000000-0005-0000-0000-0000550C0000}"/>
    <cellStyle name="Normal 30 11 13" xfId="3153" xr:uid="{00000000-0005-0000-0000-0000560C0000}"/>
    <cellStyle name="Normal 30 11 2" xfId="3154" xr:uid="{00000000-0005-0000-0000-0000570C0000}"/>
    <cellStyle name="Normal 30 11 2 10" xfId="3155" xr:uid="{00000000-0005-0000-0000-0000580C0000}"/>
    <cellStyle name="Normal 30 11 2 11" xfId="3156" xr:uid="{00000000-0005-0000-0000-0000590C0000}"/>
    <cellStyle name="Normal 30 11 2 2" xfId="3157" xr:uid="{00000000-0005-0000-0000-00005A0C0000}"/>
    <cellStyle name="Normal 30 11 2 3" xfId="3158" xr:uid="{00000000-0005-0000-0000-00005B0C0000}"/>
    <cellStyle name="Normal 30 11 2 4" xfId="3159" xr:uid="{00000000-0005-0000-0000-00005C0C0000}"/>
    <cellStyle name="Normal 30 11 2 5" xfId="3160" xr:uid="{00000000-0005-0000-0000-00005D0C0000}"/>
    <cellStyle name="Normal 30 11 2 6" xfId="3161" xr:uid="{00000000-0005-0000-0000-00005E0C0000}"/>
    <cellStyle name="Normal 30 11 2 7" xfId="3162" xr:uid="{00000000-0005-0000-0000-00005F0C0000}"/>
    <cellStyle name="Normal 30 11 2 8" xfId="3163" xr:uid="{00000000-0005-0000-0000-0000600C0000}"/>
    <cellStyle name="Normal 30 11 2 9" xfId="3164" xr:uid="{00000000-0005-0000-0000-0000610C0000}"/>
    <cellStyle name="Normal 30 11 3" xfId="3165" xr:uid="{00000000-0005-0000-0000-0000620C0000}"/>
    <cellStyle name="Normal 30 11 4" xfId="3166" xr:uid="{00000000-0005-0000-0000-0000630C0000}"/>
    <cellStyle name="Normal 30 11 5" xfId="3167" xr:uid="{00000000-0005-0000-0000-0000640C0000}"/>
    <cellStyle name="Normal 30 11 6" xfId="3168" xr:uid="{00000000-0005-0000-0000-0000650C0000}"/>
    <cellStyle name="Normal 30 11 7" xfId="3169" xr:uid="{00000000-0005-0000-0000-0000660C0000}"/>
    <cellStyle name="Normal 30 11 8" xfId="3170" xr:uid="{00000000-0005-0000-0000-0000670C0000}"/>
    <cellStyle name="Normal 30 11 9" xfId="3171" xr:uid="{00000000-0005-0000-0000-0000680C0000}"/>
    <cellStyle name="Normal 30 12" xfId="3172" xr:uid="{00000000-0005-0000-0000-0000690C0000}"/>
    <cellStyle name="Normal 30 12 10" xfId="3173" xr:uid="{00000000-0005-0000-0000-00006A0C0000}"/>
    <cellStyle name="Normal 30 12 11" xfId="3174" xr:uid="{00000000-0005-0000-0000-00006B0C0000}"/>
    <cellStyle name="Normal 30 12 12" xfId="3175" xr:uid="{00000000-0005-0000-0000-00006C0C0000}"/>
    <cellStyle name="Normal 30 12 13" xfId="3176" xr:uid="{00000000-0005-0000-0000-00006D0C0000}"/>
    <cellStyle name="Normal 30 12 2" xfId="3177" xr:uid="{00000000-0005-0000-0000-00006E0C0000}"/>
    <cellStyle name="Normal 30 12 2 10" xfId="3178" xr:uid="{00000000-0005-0000-0000-00006F0C0000}"/>
    <cellStyle name="Normal 30 12 2 11" xfId="3179" xr:uid="{00000000-0005-0000-0000-0000700C0000}"/>
    <cellStyle name="Normal 30 12 2 2" xfId="3180" xr:uid="{00000000-0005-0000-0000-0000710C0000}"/>
    <cellStyle name="Normal 30 12 2 3" xfId="3181" xr:uid="{00000000-0005-0000-0000-0000720C0000}"/>
    <cellStyle name="Normal 30 12 2 4" xfId="3182" xr:uid="{00000000-0005-0000-0000-0000730C0000}"/>
    <cellStyle name="Normal 30 12 2 5" xfId="3183" xr:uid="{00000000-0005-0000-0000-0000740C0000}"/>
    <cellStyle name="Normal 30 12 2 6" xfId="3184" xr:uid="{00000000-0005-0000-0000-0000750C0000}"/>
    <cellStyle name="Normal 30 12 2 7" xfId="3185" xr:uid="{00000000-0005-0000-0000-0000760C0000}"/>
    <cellStyle name="Normal 30 12 2 8" xfId="3186" xr:uid="{00000000-0005-0000-0000-0000770C0000}"/>
    <cellStyle name="Normal 30 12 2 9" xfId="3187" xr:uid="{00000000-0005-0000-0000-0000780C0000}"/>
    <cellStyle name="Normal 30 12 3" xfId="3188" xr:uid="{00000000-0005-0000-0000-0000790C0000}"/>
    <cellStyle name="Normal 30 12 4" xfId="3189" xr:uid="{00000000-0005-0000-0000-00007A0C0000}"/>
    <cellStyle name="Normal 30 12 5" xfId="3190" xr:uid="{00000000-0005-0000-0000-00007B0C0000}"/>
    <cellStyle name="Normal 30 12 6" xfId="3191" xr:uid="{00000000-0005-0000-0000-00007C0C0000}"/>
    <cellStyle name="Normal 30 12 7" xfId="3192" xr:uid="{00000000-0005-0000-0000-00007D0C0000}"/>
    <cellStyle name="Normal 30 12 8" xfId="3193" xr:uid="{00000000-0005-0000-0000-00007E0C0000}"/>
    <cellStyle name="Normal 30 12 9" xfId="3194" xr:uid="{00000000-0005-0000-0000-00007F0C0000}"/>
    <cellStyle name="Normal 30 13" xfId="3195" xr:uid="{00000000-0005-0000-0000-0000800C0000}"/>
    <cellStyle name="Normal 30 13 10" xfId="3196" xr:uid="{00000000-0005-0000-0000-0000810C0000}"/>
    <cellStyle name="Normal 30 13 11" xfId="3197" xr:uid="{00000000-0005-0000-0000-0000820C0000}"/>
    <cellStyle name="Normal 30 13 12" xfId="3198" xr:uid="{00000000-0005-0000-0000-0000830C0000}"/>
    <cellStyle name="Normal 30 13 13" xfId="3199" xr:uid="{00000000-0005-0000-0000-0000840C0000}"/>
    <cellStyle name="Normal 30 13 2" xfId="3200" xr:uid="{00000000-0005-0000-0000-0000850C0000}"/>
    <cellStyle name="Normal 30 13 2 10" xfId="3201" xr:uid="{00000000-0005-0000-0000-0000860C0000}"/>
    <cellStyle name="Normal 30 13 2 11" xfId="3202" xr:uid="{00000000-0005-0000-0000-0000870C0000}"/>
    <cellStyle name="Normal 30 13 2 2" xfId="3203" xr:uid="{00000000-0005-0000-0000-0000880C0000}"/>
    <cellStyle name="Normal 30 13 2 3" xfId="3204" xr:uid="{00000000-0005-0000-0000-0000890C0000}"/>
    <cellStyle name="Normal 30 13 2 4" xfId="3205" xr:uid="{00000000-0005-0000-0000-00008A0C0000}"/>
    <cellStyle name="Normal 30 13 2 5" xfId="3206" xr:uid="{00000000-0005-0000-0000-00008B0C0000}"/>
    <cellStyle name="Normal 30 13 2 6" xfId="3207" xr:uid="{00000000-0005-0000-0000-00008C0C0000}"/>
    <cellStyle name="Normal 30 13 2 7" xfId="3208" xr:uid="{00000000-0005-0000-0000-00008D0C0000}"/>
    <cellStyle name="Normal 30 13 2 8" xfId="3209" xr:uid="{00000000-0005-0000-0000-00008E0C0000}"/>
    <cellStyle name="Normal 30 13 2 9" xfId="3210" xr:uid="{00000000-0005-0000-0000-00008F0C0000}"/>
    <cellStyle name="Normal 30 13 3" xfId="3211" xr:uid="{00000000-0005-0000-0000-0000900C0000}"/>
    <cellStyle name="Normal 30 13 4" xfId="3212" xr:uid="{00000000-0005-0000-0000-0000910C0000}"/>
    <cellStyle name="Normal 30 13 5" xfId="3213" xr:uid="{00000000-0005-0000-0000-0000920C0000}"/>
    <cellStyle name="Normal 30 13 6" xfId="3214" xr:uid="{00000000-0005-0000-0000-0000930C0000}"/>
    <cellStyle name="Normal 30 13 7" xfId="3215" xr:uid="{00000000-0005-0000-0000-0000940C0000}"/>
    <cellStyle name="Normal 30 13 8" xfId="3216" xr:uid="{00000000-0005-0000-0000-0000950C0000}"/>
    <cellStyle name="Normal 30 13 9" xfId="3217" xr:uid="{00000000-0005-0000-0000-0000960C0000}"/>
    <cellStyle name="Normal 30 14" xfId="3218" xr:uid="{00000000-0005-0000-0000-0000970C0000}"/>
    <cellStyle name="Normal 30 14 10" xfId="3219" xr:uid="{00000000-0005-0000-0000-0000980C0000}"/>
    <cellStyle name="Normal 30 14 11" xfId="3220" xr:uid="{00000000-0005-0000-0000-0000990C0000}"/>
    <cellStyle name="Normal 30 14 2" xfId="3221" xr:uid="{00000000-0005-0000-0000-00009A0C0000}"/>
    <cellStyle name="Normal 30 14 3" xfId="3222" xr:uid="{00000000-0005-0000-0000-00009B0C0000}"/>
    <cellStyle name="Normal 30 14 4" xfId="3223" xr:uid="{00000000-0005-0000-0000-00009C0C0000}"/>
    <cellStyle name="Normal 30 14 5" xfId="3224" xr:uid="{00000000-0005-0000-0000-00009D0C0000}"/>
    <cellStyle name="Normal 30 14 6" xfId="3225" xr:uid="{00000000-0005-0000-0000-00009E0C0000}"/>
    <cellStyle name="Normal 30 14 7" xfId="3226" xr:uid="{00000000-0005-0000-0000-00009F0C0000}"/>
    <cellStyle name="Normal 30 14 8" xfId="3227" xr:uid="{00000000-0005-0000-0000-0000A00C0000}"/>
    <cellStyle name="Normal 30 14 9" xfId="3228" xr:uid="{00000000-0005-0000-0000-0000A10C0000}"/>
    <cellStyle name="Normal 30 15" xfId="3229" xr:uid="{00000000-0005-0000-0000-0000A20C0000}"/>
    <cellStyle name="Normal 30 16" xfId="3230" xr:uid="{00000000-0005-0000-0000-0000A30C0000}"/>
    <cellStyle name="Normal 30 17" xfId="3231" xr:uid="{00000000-0005-0000-0000-0000A40C0000}"/>
    <cellStyle name="Normal 30 18" xfId="3232" xr:uid="{00000000-0005-0000-0000-0000A50C0000}"/>
    <cellStyle name="Normal 30 19" xfId="3233" xr:uid="{00000000-0005-0000-0000-0000A60C0000}"/>
    <cellStyle name="Normal 30 2" xfId="3234" xr:uid="{00000000-0005-0000-0000-0000A70C0000}"/>
    <cellStyle name="Normal 30 2 10" xfId="3235" xr:uid="{00000000-0005-0000-0000-0000A80C0000}"/>
    <cellStyle name="Normal 30 2 11" xfId="3236" xr:uid="{00000000-0005-0000-0000-0000A90C0000}"/>
    <cellStyle name="Normal 30 2 12" xfId="3237" xr:uid="{00000000-0005-0000-0000-0000AA0C0000}"/>
    <cellStyle name="Normal 30 2 13" xfId="3238" xr:uid="{00000000-0005-0000-0000-0000AB0C0000}"/>
    <cellStyle name="Normal 30 2 2" xfId="3239" xr:uid="{00000000-0005-0000-0000-0000AC0C0000}"/>
    <cellStyle name="Normal 30 2 2 10" xfId="3240" xr:uid="{00000000-0005-0000-0000-0000AD0C0000}"/>
    <cellStyle name="Normal 30 2 2 11" xfId="3241" xr:uid="{00000000-0005-0000-0000-0000AE0C0000}"/>
    <cellStyle name="Normal 30 2 2 2" xfId="3242" xr:uid="{00000000-0005-0000-0000-0000AF0C0000}"/>
    <cellStyle name="Normal 30 2 2 3" xfId="3243" xr:uid="{00000000-0005-0000-0000-0000B00C0000}"/>
    <cellStyle name="Normal 30 2 2 4" xfId="3244" xr:uid="{00000000-0005-0000-0000-0000B10C0000}"/>
    <cellStyle name="Normal 30 2 2 5" xfId="3245" xr:uid="{00000000-0005-0000-0000-0000B20C0000}"/>
    <cellStyle name="Normal 30 2 2 6" xfId="3246" xr:uid="{00000000-0005-0000-0000-0000B30C0000}"/>
    <cellStyle name="Normal 30 2 2 7" xfId="3247" xr:uid="{00000000-0005-0000-0000-0000B40C0000}"/>
    <cellStyle name="Normal 30 2 2 8" xfId="3248" xr:uid="{00000000-0005-0000-0000-0000B50C0000}"/>
    <cellStyle name="Normal 30 2 2 9" xfId="3249" xr:uid="{00000000-0005-0000-0000-0000B60C0000}"/>
    <cellStyle name="Normal 30 2 3" xfId="3250" xr:uid="{00000000-0005-0000-0000-0000B70C0000}"/>
    <cellStyle name="Normal 30 2 4" xfId="3251" xr:uid="{00000000-0005-0000-0000-0000B80C0000}"/>
    <cellStyle name="Normal 30 2 5" xfId="3252" xr:uid="{00000000-0005-0000-0000-0000B90C0000}"/>
    <cellStyle name="Normal 30 2 6" xfId="3253" xr:uid="{00000000-0005-0000-0000-0000BA0C0000}"/>
    <cellStyle name="Normal 30 2 7" xfId="3254" xr:uid="{00000000-0005-0000-0000-0000BB0C0000}"/>
    <cellStyle name="Normal 30 2 8" xfId="3255" xr:uid="{00000000-0005-0000-0000-0000BC0C0000}"/>
    <cellStyle name="Normal 30 2 9" xfId="3256" xr:uid="{00000000-0005-0000-0000-0000BD0C0000}"/>
    <cellStyle name="Normal 30 20" xfId="3257" xr:uid="{00000000-0005-0000-0000-0000BE0C0000}"/>
    <cellStyle name="Normal 30 21" xfId="3258" xr:uid="{00000000-0005-0000-0000-0000BF0C0000}"/>
    <cellStyle name="Normal 30 22" xfId="3259" xr:uid="{00000000-0005-0000-0000-0000C00C0000}"/>
    <cellStyle name="Normal 30 23" xfId="3260" xr:uid="{00000000-0005-0000-0000-0000C10C0000}"/>
    <cellStyle name="Normal 30 24" xfId="3261" xr:uid="{00000000-0005-0000-0000-0000C20C0000}"/>
    <cellStyle name="Normal 30 25" xfId="3262" xr:uid="{00000000-0005-0000-0000-0000C30C0000}"/>
    <cellStyle name="Normal 30 3" xfId="3263" xr:uid="{00000000-0005-0000-0000-0000C40C0000}"/>
    <cellStyle name="Normal 30 3 10" xfId="3264" xr:uid="{00000000-0005-0000-0000-0000C50C0000}"/>
    <cellStyle name="Normal 30 3 11" xfId="3265" xr:uid="{00000000-0005-0000-0000-0000C60C0000}"/>
    <cellStyle name="Normal 30 3 12" xfId="3266" xr:uid="{00000000-0005-0000-0000-0000C70C0000}"/>
    <cellStyle name="Normal 30 3 13" xfId="3267" xr:uid="{00000000-0005-0000-0000-0000C80C0000}"/>
    <cellStyle name="Normal 30 3 2" xfId="3268" xr:uid="{00000000-0005-0000-0000-0000C90C0000}"/>
    <cellStyle name="Normal 30 3 2 10" xfId="3269" xr:uid="{00000000-0005-0000-0000-0000CA0C0000}"/>
    <cellStyle name="Normal 30 3 2 11" xfId="3270" xr:uid="{00000000-0005-0000-0000-0000CB0C0000}"/>
    <cellStyle name="Normal 30 3 2 2" xfId="3271" xr:uid="{00000000-0005-0000-0000-0000CC0C0000}"/>
    <cellStyle name="Normal 30 3 2 3" xfId="3272" xr:uid="{00000000-0005-0000-0000-0000CD0C0000}"/>
    <cellStyle name="Normal 30 3 2 4" xfId="3273" xr:uid="{00000000-0005-0000-0000-0000CE0C0000}"/>
    <cellStyle name="Normal 30 3 2 5" xfId="3274" xr:uid="{00000000-0005-0000-0000-0000CF0C0000}"/>
    <cellStyle name="Normal 30 3 2 6" xfId="3275" xr:uid="{00000000-0005-0000-0000-0000D00C0000}"/>
    <cellStyle name="Normal 30 3 2 7" xfId="3276" xr:uid="{00000000-0005-0000-0000-0000D10C0000}"/>
    <cellStyle name="Normal 30 3 2 8" xfId="3277" xr:uid="{00000000-0005-0000-0000-0000D20C0000}"/>
    <cellStyle name="Normal 30 3 2 9" xfId="3278" xr:uid="{00000000-0005-0000-0000-0000D30C0000}"/>
    <cellStyle name="Normal 30 3 3" xfId="3279" xr:uid="{00000000-0005-0000-0000-0000D40C0000}"/>
    <cellStyle name="Normal 30 3 4" xfId="3280" xr:uid="{00000000-0005-0000-0000-0000D50C0000}"/>
    <cellStyle name="Normal 30 3 5" xfId="3281" xr:uid="{00000000-0005-0000-0000-0000D60C0000}"/>
    <cellStyle name="Normal 30 3 6" xfId="3282" xr:uid="{00000000-0005-0000-0000-0000D70C0000}"/>
    <cellStyle name="Normal 30 3 7" xfId="3283" xr:uid="{00000000-0005-0000-0000-0000D80C0000}"/>
    <cellStyle name="Normal 30 3 8" xfId="3284" xr:uid="{00000000-0005-0000-0000-0000D90C0000}"/>
    <cellStyle name="Normal 30 3 9" xfId="3285" xr:uid="{00000000-0005-0000-0000-0000DA0C0000}"/>
    <cellStyle name="Normal 30 4" xfId="3286" xr:uid="{00000000-0005-0000-0000-0000DB0C0000}"/>
    <cellStyle name="Normal 30 4 10" xfId="3287" xr:uid="{00000000-0005-0000-0000-0000DC0C0000}"/>
    <cellStyle name="Normal 30 4 11" xfId="3288" xr:uid="{00000000-0005-0000-0000-0000DD0C0000}"/>
    <cellStyle name="Normal 30 4 12" xfId="3289" xr:uid="{00000000-0005-0000-0000-0000DE0C0000}"/>
    <cellStyle name="Normal 30 4 13" xfId="3290" xr:uid="{00000000-0005-0000-0000-0000DF0C0000}"/>
    <cellStyle name="Normal 30 4 2" xfId="3291" xr:uid="{00000000-0005-0000-0000-0000E00C0000}"/>
    <cellStyle name="Normal 30 4 2 10" xfId="3292" xr:uid="{00000000-0005-0000-0000-0000E10C0000}"/>
    <cellStyle name="Normal 30 4 2 11" xfId="3293" xr:uid="{00000000-0005-0000-0000-0000E20C0000}"/>
    <cellStyle name="Normal 30 4 2 2" xfId="3294" xr:uid="{00000000-0005-0000-0000-0000E30C0000}"/>
    <cellStyle name="Normal 30 4 2 3" xfId="3295" xr:uid="{00000000-0005-0000-0000-0000E40C0000}"/>
    <cellStyle name="Normal 30 4 2 4" xfId="3296" xr:uid="{00000000-0005-0000-0000-0000E50C0000}"/>
    <cellStyle name="Normal 30 4 2 5" xfId="3297" xr:uid="{00000000-0005-0000-0000-0000E60C0000}"/>
    <cellStyle name="Normal 30 4 2 6" xfId="3298" xr:uid="{00000000-0005-0000-0000-0000E70C0000}"/>
    <cellStyle name="Normal 30 4 2 7" xfId="3299" xr:uid="{00000000-0005-0000-0000-0000E80C0000}"/>
    <cellStyle name="Normal 30 4 2 8" xfId="3300" xr:uid="{00000000-0005-0000-0000-0000E90C0000}"/>
    <cellStyle name="Normal 30 4 2 9" xfId="3301" xr:uid="{00000000-0005-0000-0000-0000EA0C0000}"/>
    <cellStyle name="Normal 30 4 3" xfId="3302" xr:uid="{00000000-0005-0000-0000-0000EB0C0000}"/>
    <cellStyle name="Normal 30 4 4" xfId="3303" xr:uid="{00000000-0005-0000-0000-0000EC0C0000}"/>
    <cellStyle name="Normal 30 4 5" xfId="3304" xr:uid="{00000000-0005-0000-0000-0000ED0C0000}"/>
    <cellStyle name="Normal 30 4 6" xfId="3305" xr:uid="{00000000-0005-0000-0000-0000EE0C0000}"/>
    <cellStyle name="Normal 30 4 7" xfId="3306" xr:uid="{00000000-0005-0000-0000-0000EF0C0000}"/>
    <cellStyle name="Normal 30 4 8" xfId="3307" xr:uid="{00000000-0005-0000-0000-0000F00C0000}"/>
    <cellStyle name="Normal 30 4 9" xfId="3308" xr:uid="{00000000-0005-0000-0000-0000F10C0000}"/>
    <cellStyle name="Normal 30 5" xfId="3309" xr:uid="{00000000-0005-0000-0000-0000F20C0000}"/>
    <cellStyle name="Normal 30 5 10" xfId="3310" xr:uid="{00000000-0005-0000-0000-0000F30C0000}"/>
    <cellStyle name="Normal 30 5 11" xfId="3311" xr:uid="{00000000-0005-0000-0000-0000F40C0000}"/>
    <cellStyle name="Normal 30 5 12" xfId="3312" xr:uid="{00000000-0005-0000-0000-0000F50C0000}"/>
    <cellStyle name="Normal 30 5 13" xfId="3313" xr:uid="{00000000-0005-0000-0000-0000F60C0000}"/>
    <cellStyle name="Normal 30 5 2" xfId="3314" xr:uid="{00000000-0005-0000-0000-0000F70C0000}"/>
    <cellStyle name="Normal 30 5 2 10" xfId="3315" xr:uid="{00000000-0005-0000-0000-0000F80C0000}"/>
    <cellStyle name="Normal 30 5 2 11" xfId="3316" xr:uid="{00000000-0005-0000-0000-0000F90C0000}"/>
    <cellStyle name="Normal 30 5 2 2" xfId="3317" xr:uid="{00000000-0005-0000-0000-0000FA0C0000}"/>
    <cellStyle name="Normal 30 5 2 3" xfId="3318" xr:uid="{00000000-0005-0000-0000-0000FB0C0000}"/>
    <cellStyle name="Normal 30 5 2 4" xfId="3319" xr:uid="{00000000-0005-0000-0000-0000FC0C0000}"/>
    <cellStyle name="Normal 30 5 2 5" xfId="3320" xr:uid="{00000000-0005-0000-0000-0000FD0C0000}"/>
    <cellStyle name="Normal 30 5 2 6" xfId="3321" xr:uid="{00000000-0005-0000-0000-0000FE0C0000}"/>
    <cellStyle name="Normal 30 5 2 7" xfId="3322" xr:uid="{00000000-0005-0000-0000-0000FF0C0000}"/>
    <cellStyle name="Normal 30 5 2 8" xfId="3323" xr:uid="{00000000-0005-0000-0000-0000000D0000}"/>
    <cellStyle name="Normal 30 5 2 9" xfId="3324" xr:uid="{00000000-0005-0000-0000-0000010D0000}"/>
    <cellStyle name="Normal 30 5 3" xfId="3325" xr:uid="{00000000-0005-0000-0000-0000020D0000}"/>
    <cellStyle name="Normal 30 5 4" xfId="3326" xr:uid="{00000000-0005-0000-0000-0000030D0000}"/>
    <cellStyle name="Normal 30 5 5" xfId="3327" xr:uid="{00000000-0005-0000-0000-0000040D0000}"/>
    <cellStyle name="Normal 30 5 6" xfId="3328" xr:uid="{00000000-0005-0000-0000-0000050D0000}"/>
    <cellStyle name="Normal 30 5 7" xfId="3329" xr:uid="{00000000-0005-0000-0000-0000060D0000}"/>
    <cellStyle name="Normal 30 5 8" xfId="3330" xr:uid="{00000000-0005-0000-0000-0000070D0000}"/>
    <cellStyle name="Normal 30 5 9" xfId="3331" xr:uid="{00000000-0005-0000-0000-0000080D0000}"/>
    <cellStyle name="Normal 30 6" xfId="3332" xr:uid="{00000000-0005-0000-0000-0000090D0000}"/>
    <cellStyle name="Normal 30 6 10" xfId="3333" xr:uid="{00000000-0005-0000-0000-00000A0D0000}"/>
    <cellStyle name="Normal 30 6 11" xfId="3334" xr:uid="{00000000-0005-0000-0000-00000B0D0000}"/>
    <cellStyle name="Normal 30 6 12" xfId="3335" xr:uid="{00000000-0005-0000-0000-00000C0D0000}"/>
    <cellStyle name="Normal 30 6 13" xfId="3336" xr:uid="{00000000-0005-0000-0000-00000D0D0000}"/>
    <cellStyle name="Normal 30 6 2" xfId="3337" xr:uid="{00000000-0005-0000-0000-00000E0D0000}"/>
    <cellStyle name="Normal 30 6 2 10" xfId="3338" xr:uid="{00000000-0005-0000-0000-00000F0D0000}"/>
    <cellStyle name="Normal 30 6 2 11" xfId="3339" xr:uid="{00000000-0005-0000-0000-0000100D0000}"/>
    <cellStyle name="Normal 30 6 2 2" xfId="3340" xr:uid="{00000000-0005-0000-0000-0000110D0000}"/>
    <cellStyle name="Normal 30 6 2 3" xfId="3341" xr:uid="{00000000-0005-0000-0000-0000120D0000}"/>
    <cellStyle name="Normal 30 6 2 4" xfId="3342" xr:uid="{00000000-0005-0000-0000-0000130D0000}"/>
    <cellStyle name="Normal 30 6 2 5" xfId="3343" xr:uid="{00000000-0005-0000-0000-0000140D0000}"/>
    <cellStyle name="Normal 30 6 2 6" xfId="3344" xr:uid="{00000000-0005-0000-0000-0000150D0000}"/>
    <cellStyle name="Normal 30 6 2 7" xfId="3345" xr:uid="{00000000-0005-0000-0000-0000160D0000}"/>
    <cellStyle name="Normal 30 6 2 8" xfId="3346" xr:uid="{00000000-0005-0000-0000-0000170D0000}"/>
    <cellStyle name="Normal 30 6 2 9" xfId="3347" xr:uid="{00000000-0005-0000-0000-0000180D0000}"/>
    <cellStyle name="Normal 30 6 3" xfId="3348" xr:uid="{00000000-0005-0000-0000-0000190D0000}"/>
    <cellStyle name="Normal 30 6 4" xfId="3349" xr:uid="{00000000-0005-0000-0000-00001A0D0000}"/>
    <cellStyle name="Normal 30 6 5" xfId="3350" xr:uid="{00000000-0005-0000-0000-00001B0D0000}"/>
    <cellStyle name="Normal 30 6 6" xfId="3351" xr:uid="{00000000-0005-0000-0000-00001C0D0000}"/>
    <cellStyle name="Normal 30 6 7" xfId="3352" xr:uid="{00000000-0005-0000-0000-00001D0D0000}"/>
    <cellStyle name="Normal 30 6 8" xfId="3353" xr:uid="{00000000-0005-0000-0000-00001E0D0000}"/>
    <cellStyle name="Normal 30 6 9" xfId="3354" xr:uid="{00000000-0005-0000-0000-00001F0D0000}"/>
    <cellStyle name="Normal 30 7" xfId="3355" xr:uid="{00000000-0005-0000-0000-0000200D0000}"/>
    <cellStyle name="Normal 30 7 10" xfId="3356" xr:uid="{00000000-0005-0000-0000-0000210D0000}"/>
    <cellStyle name="Normal 30 7 11" xfId="3357" xr:uid="{00000000-0005-0000-0000-0000220D0000}"/>
    <cellStyle name="Normal 30 7 12" xfId="3358" xr:uid="{00000000-0005-0000-0000-0000230D0000}"/>
    <cellStyle name="Normal 30 7 13" xfId="3359" xr:uid="{00000000-0005-0000-0000-0000240D0000}"/>
    <cellStyle name="Normal 30 7 2" xfId="3360" xr:uid="{00000000-0005-0000-0000-0000250D0000}"/>
    <cellStyle name="Normal 30 7 2 10" xfId="3361" xr:uid="{00000000-0005-0000-0000-0000260D0000}"/>
    <cellStyle name="Normal 30 7 2 11" xfId="3362" xr:uid="{00000000-0005-0000-0000-0000270D0000}"/>
    <cellStyle name="Normal 30 7 2 2" xfId="3363" xr:uid="{00000000-0005-0000-0000-0000280D0000}"/>
    <cellStyle name="Normal 30 7 2 3" xfId="3364" xr:uid="{00000000-0005-0000-0000-0000290D0000}"/>
    <cellStyle name="Normal 30 7 2 4" xfId="3365" xr:uid="{00000000-0005-0000-0000-00002A0D0000}"/>
    <cellStyle name="Normal 30 7 2 5" xfId="3366" xr:uid="{00000000-0005-0000-0000-00002B0D0000}"/>
    <cellStyle name="Normal 30 7 2 6" xfId="3367" xr:uid="{00000000-0005-0000-0000-00002C0D0000}"/>
    <cellStyle name="Normal 30 7 2 7" xfId="3368" xr:uid="{00000000-0005-0000-0000-00002D0D0000}"/>
    <cellStyle name="Normal 30 7 2 8" xfId="3369" xr:uid="{00000000-0005-0000-0000-00002E0D0000}"/>
    <cellStyle name="Normal 30 7 2 9" xfId="3370" xr:uid="{00000000-0005-0000-0000-00002F0D0000}"/>
    <cellStyle name="Normal 30 7 3" xfId="3371" xr:uid="{00000000-0005-0000-0000-0000300D0000}"/>
    <cellStyle name="Normal 30 7 4" xfId="3372" xr:uid="{00000000-0005-0000-0000-0000310D0000}"/>
    <cellStyle name="Normal 30 7 5" xfId="3373" xr:uid="{00000000-0005-0000-0000-0000320D0000}"/>
    <cellStyle name="Normal 30 7 6" xfId="3374" xr:uid="{00000000-0005-0000-0000-0000330D0000}"/>
    <cellStyle name="Normal 30 7 7" xfId="3375" xr:uid="{00000000-0005-0000-0000-0000340D0000}"/>
    <cellStyle name="Normal 30 7 8" xfId="3376" xr:uid="{00000000-0005-0000-0000-0000350D0000}"/>
    <cellStyle name="Normal 30 7 9" xfId="3377" xr:uid="{00000000-0005-0000-0000-0000360D0000}"/>
    <cellStyle name="Normal 30 8" xfId="3378" xr:uid="{00000000-0005-0000-0000-0000370D0000}"/>
    <cellStyle name="Normal 30 8 10" xfId="3379" xr:uid="{00000000-0005-0000-0000-0000380D0000}"/>
    <cellStyle name="Normal 30 8 11" xfId="3380" xr:uid="{00000000-0005-0000-0000-0000390D0000}"/>
    <cellStyle name="Normal 30 8 12" xfId="3381" xr:uid="{00000000-0005-0000-0000-00003A0D0000}"/>
    <cellStyle name="Normal 30 8 13" xfId="3382" xr:uid="{00000000-0005-0000-0000-00003B0D0000}"/>
    <cellStyle name="Normal 30 8 2" xfId="3383" xr:uid="{00000000-0005-0000-0000-00003C0D0000}"/>
    <cellStyle name="Normal 30 8 2 10" xfId="3384" xr:uid="{00000000-0005-0000-0000-00003D0D0000}"/>
    <cellStyle name="Normal 30 8 2 11" xfId="3385" xr:uid="{00000000-0005-0000-0000-00003E0D0000}"/>
    <cellStyle name="Normal 30 8 2 2" xfId="3386" xr:uid="{00000000-0005-0000-0000-00003F0D0000}"/>
    <cellStyle name="Normal 30 8 2 3" xfId="3387" xr:uid="{00000000-0005-0000-0000-0000400D0000}"/>
    <cellStyle name="Normal 30 8 2 4" xfId="3388" xr:uid="{00000000-0005-0000-0000-0000410D0000}"/>
    <cellStyle name="Normal 30 8 2 5" xfId="3389" xr:uid="{00000000-0005-0000-0000-0000420D0000}"/>
    <cellStyle name="Normal 30 8 2 6" xfId="3390" xr:uid="{00000000-0005-0000-0000-0000430D0000}"/>
    <cellStyle name="Normal 30 8 2 7" xfId="3391" xr:uid="{00000000-0005-0000-0000-0000440D0000}"/>
    <cellStyle name="Normal 30 8 2 8" xfId="3392" xr:uid="{00000000-0005-0000-0000-0000450D0000}"/>
    <cellStyle name="Normal 30 8 2 9" xfId="3393" xr:uid="{00000000-0005-0000-0000-0000460D0000}"/>
    <cellStyle name="Normal 30 8 3" xfId="3394" xr:uid="{00000000-0005-0000-0000-0000470D0000}"/>
    <cellStyle name="Normal 30 8 4" xfId="3395" xr:uid="{00000000-0005-0000-0000-0000480D0000}"/>
    <cellStyle name="Normal 30 8 5" xfId="3396" xr:uid="{00000000-0005-0000-0000-0000490D0000}"/>
    <cellStyle name="Normal 30 8 6" xfId="3397" xr:uid="{00000000-0005-0000-0000-00004A0D0000}"/>
    <cellStyle name="Normal 30 8 7" xfId="3398" xr:uid="{00000000-0005-0000-0000-00004B0D0000}"/>
    <cellStyle name="Normal 30 8 8" xfId="3399" xr:uid="{00000000-0005-0000-0000-00004C0D0000}"/>
    <cellStyle name="Normal 30 8 9" xfId="3400" xr:uid="{00000000-0005-0000-0000-00004D0D0000}"/>
    <cellStyle name="Normal 30 9" xfId="3401" xr:uid="{00000000-0005-0000-0000-00004E0D0000}"/>
    <cellStyle name="Normal 30 9 10" xfId="3402" xr:uid="{00000000-0005-0000-0000-00004F0D0000}"/>
    <cellStyle name="Normal 30 9 11" xfId="3403" xr:uid="{00000000-0005-0000-0000-0000500D0000}"/>
    <cellStyle name="Normal 30 9 12" xfId="3404" xr:uid="{00000000-0005-0000-0000-0000510D0000}"/>
    <cellStyle name="Normal 30 9 13" xfId="3405" xr:uid="{00000000-0005-0000-0000-0000520D0000}"/>
    <cellStyle name="Normal 30 9 2" xfId="3406" xr:uid="{00000000-0005-0000-0000-0000530D0000}"/>
    <cellStyle name="Normal 30 9 2 10" xfId="3407" xr:uid="{00000000-0005-0000-0000-0000540D0000}"/>
    <cellStyle name="Normal 30 9 2 11" xfId="3408" xr:uid="{00000000-0005-0000-0000-0000550D0000}"/>
    <cellStyle name="Normal 30 9 2 2" xfId="3409" xr:uid="{00000000-0005-0000-0000-0000560D0000}"/>
    <cellStyle name="Normal 30 9 2 3" xfId="3410" xr:uid="{00000000-0005-0000-0000-0000570D0000}"/>
    <cellStyle name="Normal 30 9 2 4" xfId="3411" xr:uid="{00000000-0005-0000-0000-0000580D0000}"/>
    <cellStyle name="Normal 30 9 2 5" xfId="3412" xr:uid="{00000000-0005-0000-0000-0000590D0000}"/>
    <cellStyle name="Normal 30 9 2 6" xfId="3413" xr:uid="{00000000-0005-0000-0000-00005A0D0000}"/>
    <cellStyle name="Normal 30 9 2 7" xfId="3414" xr:uid="{00000000-0005-0000-0000-00005B0D0000}"/>
    <cellStyle name="Normal 30 9 2 8" xfId="3415" xr:uid="{00000000-0005-0000-0000-00005C0D0000}"/>
    <cellStyle name="Normal 30 9 2 9" xfId="3416" xr:uid="{00000000-0005-0000-0000-00005D0D0000}"/>
    <cellStyle name="Normal 30 9 3" xfId="3417" xr:uid="{00000000-0005-0000-0000-00005E0D0000}"/>
    <cellStyle name="Normal 30 9 4" xfId="3418" xr:uid="{00000000-0005-0000-0000-00005F0D0000}"/>
    <cellStyle name="Normal 30 9 5" xfId="3419" xr:uid="{00000000-0005-0000-0000-0000600D0000}"/>
    <cellStyle name="Normal 30 9 6" xfId="3420" xr:uid="{00000000-0005-0000-0000-0000610D0000}"/>
    <cellStyle name="Normal 30 9 7" xfId="3421" xr:uid="{00000000-0005-0000-0000-0000620D0000}"/>
    <cellStyle name="Normal 30 9 8" xfId="3422" xr:uid="{00000000-0005-0000-0000-0000630D0000}"/>
    <cellStyle name="Normal 30 9 9" xfId="3423" xr:uid="{00000000-0005-0000-0000-0000640D0000}"/>
    <cellStyle name="Normal 31" xfId="3424" xr:uid="{00000000-0005-0000-0000-0000650D0000}"/>
    <cellStyle name="Normal 31 10" xfId="3425" xr:uid="{00000000-0005-0000-0000-0000660D0000}"/>
    <cellStyle name="Normal 31 10 10" xfId="3426" xr:uid="{00000000-0005-0000-0000-0000670D0000}"/>
    <cellStyle name="Normal 31 10 11" xfId="3427" xr:uid="{00000000-0005-0000-0000-0000680D0000}"/>
    <cellStyle name="Normal 31 10 12" xfId="3428" xr:uid="{00000000-0005-0000-0000-0000690D0000}"/>
    <cellStyle name="Normal 31 10 13" xfId="3429" xr:uid="{00000000-0005-0000-0000-00006A0D0000}"/>
    <cellStyle name="Normal 31 10 2" xfId="3430" xr:uid="{00000000-0005-0000-0000-00006B0D0000}"/>
    <cellStyle name="Normal 31 10 2 10" xfId="3431" xr:uid="{00000000-0005-0000-0000-00006C0D0000}"/>
    <cellStyle name="Normal 31 10 2 11" xfId="3432" xr:uid="{00000000-0005-0000-0000-00006D0D0000}"/>
    <cellStyle name="Normal 31 10 2 2" xfId="3433" xr:uid="{00000000-0005-0000-0000-00006E0D0000}"/>
    <cellStyle name="Normal 31 10 2 3" xfId="3434" xr:uid="{00000000-0005-0000-0000-00006F0D0000}"/>
    <cellStyle name="Normal 31 10 2 4" xfId="3435" xr:uid="{00000000-0005-0000-0000-0000700D0000}"/>
    <cellStyle name="Normal 31 10 2 5" xfId="3436" xr:uid="{00000000-0005-0000-0000-0000710D0000}"/>
    <cellStyle name="Normal 31 10 2 6" xfId="3437" xr:uid="{00000000-0005-0000-0000-0000720D0000}"/>
    <cellStyle name="Normal 31 10 2 7" xfId="3438" xr:uid="{00000000-0005-0000-0000-0000730D0000}"/>
    <cellStyle name="Normal 31 10 2 8" xfId="3439" xr:uid="{00000000-0005-0000-0000-0000740D0000}"/>
    <cellStyle name="Normal 31 10 2 9" xfId="3440" xr:uid="{00000000-0005-0000-0000-0000750D0000}"/>
    <cellStyle name="Normal 31 10 3" xfId="3441" xr:uid="{00000000-0005-0000-0000-0000760D0000}"/>
    <cellStyle name="Normal 31 10 4" xfId="3442" xr:uid="{00000000-0005-0000-0000-0000770D0000}"/>
    <cellStyle name="Normal 31 10 5" xfId="3443" xr:uid="{00000000-0005-0000-0000-0000780D0000}"/>
    <cellStyle name="Normal 31 10 6" xfId="3444" xr:uid="{00000000-0005-0000-0000-0000790D0000}"/>
    <cellStyle name="Normal 31 10 7" xfId="3445" xr:uid="{00000000-0005-0000-0000-00007A0D0000}"/>
    <cellStyle name="Normal 31 10 8" xfId="3446" xr:uid="{00000000-0005-0000-0000-00007B0D0000}"/>
    <cellStyle name="Normal 31 10 9" xfId="3447" xr:uid="{00000000-0005-0000-0000-00007C0D0000}"/>
    <cellStyle name="Normal 31 11" xfId="3448" xr:uid="{00000000-0005-0000-0000-00007D0D0000}"/>
    <cellStyle name="Normal 31 11 10" xfId="3449" xr:uid="{00000000-0005-0000-0000-00007E0D0000}"/>
    <cellStyle name="Normal 31 11 11" xfId="3450" xr:uid="{00000000-0005-0000-0000-00007F0D0000}"/>
    <cellStyle name="Normal 31 11 12" xfId="3451" xr:uid="{00000000-0005-0000-0000-0000800D0000}"/>
    <cellStyle name="Normal 31 11 13" xfId="3452" xr:uid="{00000000-0005-0000-0000-0000810D0000}"/>
    <cellStyle name="Normal 31 11 2" xfId="3453" xr:uid="{00000000-0005-0000-0000-0000820D0000}"/>
    <cellStyle name="Normal 31 11 2 10" xfId="3454" xr:uid="{00000000-0005-0000-0000-0000830D0000}"/>
    <cellStyle name="Normal 31 11 2 11" xfId="3455" xr:uid="{00000000-0005-0000-0000-0000840D0000}"/>
    <cellStyle name="Normal 31 11 2 2" xfId="3456" xr:uid="{00000000-0005-0000-0000-0000850D0000}"/>
    <cellStyle name="Normal 31 11 2 3" xfId="3457" xr:uid="{00000000-0005-0000-0000-0000860D0000}"/>
    <cellStyle name="Normal 31 11 2 4" xfId="3458" xr:uid="{00000000-0005-0000-0000-0000870D0000}"/>
    <cellStyle name="Normal 31 11 2 5" xfId="3459" xr:uid="{00000000-0005-0000-0000-0000880D0000}"/>
    <cellStyle name="Normal 31 11 2 6" xfId="3460" xr:uid="{00000000-0005-0000-0000-0000890D0000}"/>
    <cellStyle name="Normal 31 11 2 7" xfId="3461" xr:uid="{00000000-0005-0000-0000-00008A0D0000}"/>
    <cellStyle name="Normal 31 11 2 8" xfId="3462" xr:uid="{00000000-0005-0000-0000-00008B0D0000}"/>
    <cellStyle name="Normal 31 11 2 9" xfId="3463" xr:uid="{00000000-0005-0000-0000-00008C0D0000}"/>
    <cellStyle name="Normal 31 11 3" xfId="3464" xr:uid="{00000000-0005-0000-0000-00008D0D0000}"/>
    <cellStyle name="Normal 31 11 4" xfId="3465" xr:uid="{00000000-0005-0000-0000-00008E0D0000}"/>
    <cellStyle name="Normal 31 11 5" xfId="3466" xr:uid="{00000000-0005-0000-0000-00008F0D0000}"/>
    <cellStyle name="Normal 31 11 6" xfId="3467" xr:uid="{00000000-0005-0000-0000-0000900D0000}"/>
    <cellStyle name="Normal 31 11 7" xfId="3468" xr:uid="{00000000-0005-0000-0000-0000910D0000}"/>
    <cellStyle name="Normal 31 11 8" xfId="3469" xr:uid="{00000000-0005-0000-0000-0000920D0000}"/>
    <cellStyle name="Normal 31 11 9" xfId="3470" xr:uid="{00000000-0005-0000-0000-0000930D0000}"/>
    <cellStyle name="Normal 31 12" xfId="3471" xr:uid="{00000000-0005-0000-0000-0000940D0000}"/>
    <cellStyle name="Normal 31 12 10" xfId="3472" xr:uid="{00000000-0005-0000-0000-0000950D0000}"/>
    <cellStyle name="Normal 31 12 11" xfId="3473" xr:uid="{00000000-0005-0000-0000-0000960D0000}"/>
    <cellStyle name="Normal 31 12 12" xfId="3474" xr:uid="{00000000-0005-0000-0000-0000970D0000}"/>
    <cellStyle name="Normal 31 12 13" xfId="3475" xr:uid="{00000000-0005-0000-0000-0000980D0000}"/>
    <cellStyle name="Normal 31 12 2" xfId="3476" xr:uid="{00000000-0005-0000-0000-0000990D0000}"/>
    <cellStyle name="Normal 31 12 2 10" xfId="3477" xr:uid="{00000000-0005-0000-0000-00009A0D0000}"/>
    <cellStyle name="Normal 31 12 2 11" xfId="3478" xr:uid="{00000000-0005-0000-0000-00009B0D0000}"/>
    <cellStyle name="Normal 31 12 2 2" xfId="3479" xr:uid="{00000000-0005-0000-0000-00009C0D0000}"/>
    <cellStyle name="Normal 31 12 2 3" xfId="3480" xr:uid="{00000000-0005-0000-0000-00009D0D0000}"/>
    <cellStyle name="Normal 31 12 2 4" xfId="3481" xr:uid="{00000000-0005-0000-0000-00009E0D0000}"/>
    <cellStyle name="Normal 31 12 2 5" xfId="3482" xr:uid="{00000000-0005-0000-0000-00009F0D0000}"/>
    <cellStyle name="Normal 31 12 2 6" xfId="3483" xr:uid="{00000000-0005-0000-0000-0000A00D0000}"/>
    <cellStyle name="Normal 31 12 2 7" xfId="3484" xr:uid="{00000000-0005-0000-0000-0000A10D0000}"/>
    <cellStyle name="Normal 31 12 2 8" xfId="3485" xr:uid="{00000000-0005-0000-0000-0000A20D0000}"/>
    <cellStyle name="Normal 31 12 2 9" xfId="3486" xr:uid="{00000000-0005-0000-0000-0000A30D0000}"/>
    <cellStyle name="Normal 31 12 3" xfId="3487" xr:uid="{00000000-0005-0000-0000-0000A40D0000}"/>
    <cellStyle name="Normal 31 12 4" xfId="3488" xr:uid="{00000000-0005-0000-0000-0000A50D0000}"/>
    <cellStyle name="Normal 31 12 5" xfId="3489" xr:uid="{00000000-0005-0000-0000-0000A60D0000}"/>
    <cellStyle name="Normal 31 12 6" xfId="3490" xr:uid="{00000000-0005-0000-0000-0000A70D0000}"/>
    <cellStyle name="Normal 31 12 7" xfId="3491" xr:uid="{00000000-0005-0000-0000-0000A80D0000}"/>
    <cellStyle name="Normal 31 12 8" xfId="3492" xr:uid="{00000000-0005-0000-0000-0000A90D0000}"/>
    <cellStyle name="Normal 31 12 9" xfId="3493" xr:uid="{00000000-0005-0000-0000-0000AA0D0000}"/>
    <cellStyle name="Normal 31 13" xfId="3494" xr:uid="{00000000-0005-0000-0000-0000AB0D0000}"/>
    <cellStyle name="Normal 31 13 10" xfId="3495" xr:uid="{00000000-0005-0000-0000-0000AC0D0000}"/>
    <cellStyle name="Normal 31 13 11" xfId="3496" xr:uid="{00000000-0005-0000-0000-0000AD0D0000}"/>
    <cellStyle name="Normal 31 13 12" xfId="3497" xr:uid="{00000000-0005-0000-0000-0000AE0D0000}"/>
    <cellStyle name="Normal 31 13 13" xfId="3498" xr:uid="{00000000-0005-0000-0000-0000AF0D0000}"/>
    <cellStyle name="Normal 31 13 2" xfId="3499" xr:uid="{00000000-0005-0000-0000-0000B00D0000}"/>
    <cellStyle name="Normal 31 13 2 10" xfId="3500" xr:uid="{00000000-0005-0000-0000-0000B10D0000}"/>
    <cellStyle name="Normal 31 13 2 11" xfId="3501" xr:uid="{00000000-0005-0000-0000-0000B20D0000}"/>
    <cellStyle name="Normal 31 13 2 2" xfId="3502" xr:uid="{00000000-0005-0000-0000-0000B30D0000}"/>
    <cellStyle name="Normal 31 13 2 3" xfId="3503" xr:uid="{00000000-0005-0000-0000-0000B40D0000}"/>
    <cellStyle name="Normal 31 13 2 4" xfId="3504" xr:uid="{00000000-0005-0000-0000-0000B50D0000}"/>
    <cellStyle name="Normal 31 13 2 5" xfId="3505" xr:uid="{00000000-0005-0000-0000-0000B60D0000}"/>
    <cellStyle name="Normal 31 13 2 6" xfId="3506" xr:uid="{00000000-0005-0000-0000-0000B70D0000}"/>
    <cellStyle name="Normal 31 13 2 7" xfId="3507" xr:uid="{00000000-0005-0000-0000-0000B80D0000}"/>
    <cellStyle name="Normal 31 13 2 8" xfId="3508" xr:uid="{00000000-0005-0000-0000-0000B90D0000}"/>
    <cellStyle name="Normal 31 13 2 9" xfId="3509" xr:uid="{00000000-0005-0000-0000-0000BA0D0000}"/>
    <cellStyle name="Normal 31 13 3" xfId="3510" xr:uid="{00000000-0005-0000-0000-0000BB0D0000}"/>
    <cellStyle name="Normal 31 13 4" xfId="3511" xr:uid="{00000000-0005-0000-0000-0000BC0D0000}"/>
    <cellStyle name="Normal 31 13 5" xfId="3512" xr:uid="{00000000-0005-0000-0000-0000BD0D0000}"/>
    <cellStyle name="Normal 31 13 6" xfId="3513" xr:uid="{00000000-0005-0000-0000-0000BE0D0000}"/>
    <cellStyle name="Normal 31 13 7" xfId="3514" xr:uid="{00000000-0005-0000-0000-0000BF0D0000}"/>
    <cellStyle name="Normal 31 13 8" xfId="3515" xr:uid="{00000000-0005-0000-0000-0000C00D0000}"/>
    <cellStyle name="Normal 31 13 9" xfId="3516" xr:uid="{00000000-0005-0000-0000-0000C10D0000}"/>
    <cellStyle name="Normal 31 14" xfId="3517" xr:uid="{00000000-0005-0000-0000-0000C20D0000}"/>
    <cellStyle name="Normal 31 14 10" xfId="3518" xr:uid="{00000000-0005-0000-0000-0000C30D0000}"/>
    <cellStyle name="Normal 31 14 11" xfId="3519" xr:uid="{00000000-0005-0000-0000-0000C40D0000}"/>
    <cellStyle name="Normal 31 14 2" xfId="3520" xr:uid="{00000000-0005-0000-0000-0000C50D0000}"/>
    <cellStyle name="Normal 31 14 3" xfId="3521" xr:uid="{00000000-0005-0000-0000-0000C60D0000}"/>
    <cellStyle name="Normal 31 14 4" xfId="3522" xr:uid="{00000000-0005-0000-0000-0000C70D0000}"/>
    <cellStyle name="Normal 31 14 5" xfId="3523" xr:uid="{00000000-0005-0000-0000-0000C80D0000}"/>
    <cellStyle name="Normal 31 14 6" xfId="3524" xr:uid="{00000000-0005-0000-0000-0000C90D0000}"/>
    <cellStyle name="Normal 31 14 7" xfId="3525" xr:uid="{00000000-0005-0000-0000-0000CA0D0000}"/>
    <cellStyle name="Normal 31 14 8" xfId="3526" xr:uid="{00000000-0005-0000-0000-0000CB0D0000}"/>
    <cellStyle name="Normal 31 14 9" xfId="3527" xr:uid="{00000000-0005-0000-0000-0000CC0D0000}"/>
    <cellStyle name="Normal 31 15" xfId="3528" xr:uid="{00000000-0005-0000-0000-0000CD0D0000}"/>
    <cellStyle name="Normal 31 16" xfId="3529" xr:uid="{00000000-0005-0000-0000-0000CE0D0000}"/>
    <cellStyle name="Normal 31 17" xfId="3530" xr:uid="{00000000-0005-0000-0000-0000CF0D0000}"/>
    <cellStyle name="Normal 31 18" xfId="3531" xr:uid="{00000000-0005-0000-0000-0000D00D0000}"/>
    <cellStyle name="Normal 31 19" xfId="3532" xr:uid="{00000000-0005-0000-0000-0000D10D0000}"/>
    <cellStyle name="Normal 31 2" xfId="3533" xr:uid="{00000000-0005-0000-0000-0000D20D0000}"/>
    <cellStyle name="Normal 31 2 10" xfId="3534" xr:uid="{00000000-0005-0000-0000-0000D30D0000}"/>
    <cellStyle name="Normal 31 2 11" xfId="3535" xr:uid="{00000000-0005-0000-0000-0000D40D0000}"/>
    <cellStyle name="Normal 31 2 12" xfId="3536" xr:uid="{00000000-0005-0000-0000-0000D50D0000}"/>
    <cellStyle name="Normal 31 2 13" xfId="3537" xr:uid="{00000000-0005-0000-0000-0000D60D0000}"/>
    <cellStyle name="Normal 31 2 2" xfId="3538" xr:uid="{00000000-0005-0000-0000-0000D70D0000}"/>
    <cellStyle name="Normal 31 2 2 10" xfId="3539" xr:uid="{00000000-0005-0000-0000-0000D80D0000}"/>
    <cellStyle name="Normal 31 2 2 11" xfId="3540" xr:uid="{00000000-0005-0000-0000-0000D90D0000}"/>
    <cellStyle name="Normal 31 2 2 2" xfId="3541" xr:uid="{00000000-0005-0000-0000-0000DA0D0000}"/>
    <cellStyle name="Normal 31 2 2 3" xfId="3542" xr:uid="{00000000-0005-0000-0000-0000DB0D0000}"/>
    <cellStyle name="Normal 31 2 2 4" xfId="3543" xr:uid="{00000000-0005-0000-0000-0000DC0D0000}"/>
    <cellStyle name="Normal 31 2 2 5" xfId="3544" xr:uid="{00000000-0005-0000-0000-0000DD0D0000}"/>
    <cellStyle name="Normal 31 2 2 6" xfId="3545" xr:uid="{00000000-0005-0000-0000-0000DE0D0000}"/>
    <cellStyle name="Normal 31 2 2 7" xfId="3546" xr:uid="{00000000-0005-0000-0000-0000DF0D0000}"/>
    <cellStyle name="Normal 31 2 2 8" xfId="3547" xr:uid="{00000000-0005-0000-0000-0000E00D0000}"/>
    <cellStyle name="Normal 31 2 2 9" xfId="3548" xr:uid="{00000000-0005-0000-0000-0000E10D0000}"/>
    <cellStyle name="Normal 31 2 3" xfId="3549" xr:uid="{00000000-0005-0000-0000-0000E20D0000}"/>
    <cellStyle name="Normal 31 2 4" xfId="3550" xr:uid="{00000000-0005-0000-0000-0000E30D0000}"/>
    <cellStyle name="Normal 31 2 5" xfId="3551" xr:uid="{00000000-0005-0000-0000-0000E40D0000}"/>
    <cellStyle name="Normal 31 2 6" xfId="3552" xr:uid="{00000000-0005-0000-0000-0000E50D0000}"/>
    <cellStyle name="Normal 31 2 7" xfId="3553" xr:uid="{00000000-0005-0000-0000-0000E60D0000}"/>
    <cellStyle name="Normal 31 2 8" xfId="3554" xr:uid="{00000000-0005-0000-0000-0000E70D0000}"/>
    <cellStyle name="Normal 31 2 9" xfId="3555" xr:uid="{00000000-0005-0000-0000-0000E80D0000}"/>
    <cellStyle name="Normal 31 20" xfId="3556" xr:uid="{00000000-0005-0000-0000-0000E90D0000}"/>
    <cellStyle name="Normal 31 21" xfId="3557" xr:uid="{00000000-0005-0000-0000-0000EA0D0000}"/>
    <cellStyle name="Normal 31 22" xfId="3558" xr:uid="{00000000-0005-0000-0000-0000EB0D0000}"/>
    <cellStyle name="Normal 31 23" xfId="3559" xr:uid="{00000000-0005-0000-0000-0000EC0D0000}"/>
    <cellStyle name="Normal 31 24" xfId="3560" xr:uid="{00000000-0005-0000-0000-0000ED0D0000}"/>
    <cellStyle name="Normal 31 25" xfId="3561" xr:uid="{00000000-0005-0000-0000-0000EE0D0000}"/>
    <cellStyle name="Normal 31 3" xfId="3562" xr:uid="{00000000-0005-0000-0000-0000EF0D0000}"/>
    <cellStyle name="Normal 31 3 10" xfId="3563" xr:uid="{00000000-0005-0000-0000-0000F00D0000}"/>
    <cellStyle name="Normal 31 3 11" xfId="3564" xr:uid="{00000000-0005-0000-0000-0000F10D0000}"/>
    <cellStyle name="Normal 31 3 12" xfId="3565" xr:uid="{00000000-0005-0000-0000-0000F20D0000}"/>
    <cellStyle name="Normal 31 3 13" xfId="3566" xr:uid="{00000000-0005-0000-0000-0000F30D0000}"/>
    <cellStyle name="Normal 31 3 2" xfId="3567" xr:uid="{00000000-0005-0000-0000-0000F40D0000}"/>
    <cellStyle name="Normal 31 3 2 10" xfId="3568" xr:uid="{00000000-0005-0000-0000-0000F50D0000}"/>
    <cellStyle name="Normal 31 3 2 11" xfId="3569" xr:uid="{00000000-0005-0000-0000-0000F60D0000}"/>
    <cellStyle name="Normal 31 3 2 2" xfId="3570" xr:uid="{00000000-0005-0000-0000-0000F70D0000}"/>
    <cellStyle name="Normal 31 3 2 3" xfId="3571" xr:uid="{00000000-0005-0000-0000-0000F80D0000}"/>
    <cellStyle name="Normal 31 3 2 4" xfId="3572" xr:uid="{00000000-0005-0000-0000-0000F90D0000}"/>
    <cellStyle name="Normal 31 3 2 5" xfId="3573" xr:uid="{00000000-0005-0000-0000-0000FA0D0000}"/>
    <cellStyle name="Normal 31 3 2 6" xfId="3574" xr:uid="{00000000-0005-0000-0000-0000FB0D0000}"/>
    <cellStyle name="Normal 31 3 2 7" xfId="3575" xr:uid="{00000000-0005-0000-0000-0000FC0D0000}"/>
    <cellStyle name="Normal 31 3 2 8" xfId="3576" xr:uid="{00000000-0005-0000-0000-0000FD0D0000}"/>
    <cellStyle name="Normal 31 3 2 9" xfId="3577" xr:uid="{00000000-0005-0000-0000-0000FE0D0000}"/>
    <cellStyle name="Normal 31 3 3" xfId="3578" xr:uid="{00000000-0005-0000-0000-0000FF0D0000}"/>
    <cellStyle name="Normal 31 3 4" xfId="3579" xr:uid="{00000000-0005-0000-0000-0000000E0000}"/>
    <cellStyle name="Normal 31 3 5" xfId="3580" xr:uid="{00000000-0005-0000-0000-0000010E0000}"/>
    <cellStyle name="Normal 31 3 6" xfId="3581" xr:uid="{00000000-0005-0000-0000-0000020E0000}"/>
    <cellStyle name="Normal 31 3 7" xfId="3582" xr:uid="{00000000-0005-0000-0000-0000030E0000}"/>
    <cellStyle name="Normal 31 3 8" xfId="3583" xr:uid="{00000000-0005-0000-0000-0000040E0000}"/>
    <cellStyle name="Normal 31 3 9" xfId="3584" xr:uid="{00000000-0005-0000-0000-0000050E0000}"/>
    <cellStyle name="Normal 31 4" xfId="3585" xr:uid="{00000000-0005-0000-0000-0000060E0000}"/>
    <cellStyle name="Normal 31 4 10" xfId="3586" xr:uid="{00000000-0005-0000-0000-0000070E0000}"/>
    <cellStyle name="Normal 31 4 11" xfId="3587" xr:uid="{00000000-0005-0000-0000-0000080E0000}"/>
    <cellStyle name="Normal 31 4 12" xfId="3588" xr:uid="{00000000-0005-0000-0000-0000090E0000}"/>
    <cellStyle name="Normal 31 4 13" xfId="3589" xr:uid="{00000000-0005-0000-0000-00000A0E0000}"/>
    <cellStyle name="Normal 31 4 2" xfId="3590" xr:uid="{00000000-0005-0000-0000-00000B0E0000}"/>
    <cellStyle name="Normal 31 4 2 10" xfId="3591" xr:uid="{00000000-0005-0000-0000-00000C0E0000}"/>
    <cellStyle name="Normal 31 4 2 11" xfId="3592" xr:uid="{00000000-0005-0000-0000-00000D0E0000}"/>
    <cellStyle name="Normal 31 4 2 2" xfId="3593" xr:uid="{00000000-0005-0000-0000-00000E0E0000}"/>
    <cellStyle name="Normal 31 4 2 3" xfId="3594" xr:uid="{00000000-0005-0000-0000-00000F0E0000}"/>
    <cellStyle name="Normal 31 4 2 4" xfId="3595" xr:uid="{00000000-0005-0000-0000-0000100E0000}"/>
    <cellStyle name="Normal 31 4 2 5" xfId="3596" xr:uid="{00000000-0005-0000-0000-0000110E0000}"/>
    <cellStyle name="Normal 31 4 2 6" xfId="3597" xr:uid="{00000000-0005-0000-0000-0000120E0000}"/>
    <cellStyle name="Normal 31 4 2 7" xfId="3598" xr:uid="{00000000-0005-0000-0000-0000130E0000}"/>
    <cellStyle name="Normal 31 4 2 8" xfId="3599" xr:uid="{00000000-0005-0000-0000-0000140E0000}"/>
    <cellStyle name="Normal 31 4 2 9" xfId="3600" xr:uid="{00000000-0005-0000-0000-0000150E0000}"/>
    <cellStyle name="Normal 31 4 3" xfId="3601" xr:uid="{00000000-0005-0000-0000-0000160E0000}"/>
    <cellStyle name="Normal 31 4 4" xfId="3602" xr:uid="{00000000-0005-0000-0000-0000170E0000}"/>
    <cellStyle name="Normal 31 4 5" xfId="3603" xr:uid="{00000000-0005-0000-0000-0000180E0000}"/>
    <cellStyle name="Normal 31 4 6" xfId="3604" xr:uid="{00000000-0005-0000-0000-0000190E0000}"/>
    <cellStyle name="Normal 31 4 7" xfId="3605" xr:uid="{00000000-0005-0000-0000-00001A0E0000}"/>
    <cellStyle name="Normal 31 4 8" xfId="3606" xr:uid="{00000000-0005-0000-0000-00001B0E0000}"/>
    <cellStyle name="Normal 31 4 9" xfId="3607" xr:uid="{00000000-0005-0000-0000-00001C0E0000}"/>
    <cellStyle name="Normal 31 5" xfId="3608" xr:uid="{00000000-0005-0000-0000-00001D0E0000}"/>
    <cellStyle name="Normal 31 5 10" xfId="3609" xr:uid="{00000000-0005-0000-0000-00001E0E0000}"/>
    <cellStyle name="Normal 31 5 11" xfId="3610" xr:uid="{00000000-0005-0000-0000-00001F0E0000}"/>
    <cellStyle name="Normal 31 5 12" xfId="3611" xr:uid="{00000000-0005-0000-0000-0000200E0000}"/>
    <cellStyle name="Normal 31 5 13" xfId="3612" xr:uid="{00000000-0005-0000-0000-0000210E0000}"/>
    <cellStyle name="Normal 31 5 2" xfId="3613" xr:uid="{00000000-0005-0000-0000-0000220E0000}"/>
    <cellStyle name="Normal 31 5 2 10" xfId="3614" xr:uid="{00000000-0005-0000-0000-0000230E0000}"/>
    <cellStyle name="Normal 31 5 2 11" xfId="3615" xr:uid="{00000000-0005-0000-0000-0000240E0000}"/>
    <cellStyle name="Normal 31 5 2 2" xfId="3616" xr:uid="{00000000-0005-0000-0000-0000250E0000}"/>
    <cellStyle name="Normal 31 5 2 3" xfId="3617" xr:uid="{00000000-0005-0000-0000-0000260E0000}"/>
    <cellStyle name="Normal 31 5 2 4" xfId="3618" xr:uid="{00000000-0005-0000-0000-0000270E0000}"/>
    <cellStyle name="Normal 31 5 2 5" xfId="3619" xr:uid="{00000000-0005-0000-0000-0000280E0000}"/>
    <cellStyle name="Normal 31 5 2 6" xfId="3620" xr:uid="{00000000-0005-0000-0000-0000290E0000}"/>
    <cellStyle name="Normal 31 5 2 7" xfId="3621" xr:uid="{00000000-0005-0000-0000-00002A0E0000}"/>
    <cellStyle name="Normal 31 5 2 8" xfId="3622" xr:uid="{00000000-0005-0000-0000-00002B0E0000}"/>
    <cellStyle name="Normal 31 5 2 9" xfId="3623" xr:uid="{00000000-0005-0000-0000-00002C0E0000}"/>
    <cellStyle name="Normal 31 5 3" xfId="3624" xr:uid="{00000000-0005-0000-0000-00002D0E0000}"/>
    <cellStyle name="Normal 31 5 4" xfId="3625" xr:uid="{00000000-0005-0000-0000-00002E0E0000}"/>
    <cellStyle name="Normal 31 5 5" xfId="3626" xr:uid="{00000000-0005-0000-0000-00002F0E0000}"/>
    <cellStyle name="Normal 31 5 6" xfId="3627" xr:uid="{00000000-0005-0000-0000-0000300E0000}"/>
    <cellStyle name="Normal 31 5 7" xfId="3628" xr:uid="{00000000-0005-0000-0000-0000310E0000}"/>
    <cellStyle name="Normal 31 5 8" xfId="3629" xr:uid="{00000000-0005-0000-0000-0000320E0000}"/>
    <cellStyle name="Normal 31 5 9" xfId="3630" xr:uid="{00000000-0005-0000-0000-0000330E0000}"/>
    <cellStyle name="Normal 31 6" xfId="3631" xr:uid="{00000000-0005-0000-0000-0000340E0000}"/>
    <cellStyle name="Normal 31 6 10" xfId="3632" xr:uid="{00000000-0005-0000-0000-0000350E0000}"/>
    <cellStyle name="Normal 31 6 11" xfId="3633" xr:uid="{00000000-0005-0000-0000-0000360E0000}"/>
    <cellStyle name="Normal 31 6 12" xfId="3634" xr:uid="{00000000-0005-0000-0000-0000370E0000}"/>
    <cellStyle name="Normal 31 6 13" xfId="3635" xr:uid="{00000000-0005-0000-0000-0000380E0000}"/>
    <cellStyle name="Normal 31 6 2" xfId="3636" xr:uid="{00000000-0005-0000-0000-0000390E0000}"/>
    <cellStyle name="Normal 31 6 2 10" xfId="3637" xr:uid="{00000000-0005-0000-0000-00003A0E0000}"/>
    <cellStyle name="Normal 31 6 2 11" xfId="3638" xr:uid="{00000000-0005-0000-0000-00003B0E0000}"/>
    <cellStyle name="Normal 31 6 2 2" xfId="3639" xr:uid="{00000000-0005-0000-0000-00003C0E0000}"/>
    <cellStyle name="Normal 31 6 2 3" xfId="3640" xr:uid="{00000000-0005-0000-0000-00003D0E0000}"/>
    <cellStyle name="Normal 31 6 2 4" xfId="3641" xr:uid="{00000000-0005-0000-0000-00003E0E0000}"/>
    <cellStyle name="Normal 31 6 2 5" xfId="3642" xr:uid="{00000000-0005-0000-0000-00003F0E0000}"/>
    <cellStyle name="Normal 31 6 2 6" xfId="3643" xr:uid="{00000000-0005-0000-0000-0000400E0000}"/>
    <cellStyle name="Normal 31 6 2 7" xfId="3644" xr:uid="{00000000-0005-0000-0000-0000410E0000}"/>
    <cellStyle name="Normal 31 6 2 8" xfId="3645" xr:uid="{00000000-0005-0000-0000-0000420E0000}"/>
    <cellStyle name="Normal 31 6 2 9" xfId="3646" xr:uid="{00000000-0005-0000-0000-0000430E0000}"/>
    <cellStyle name="Normal 31 6 3" xfId="3647" xr:uid="{00000000-0005-0000-0000-0000440E0000}"/>
    <cellStyle name="Normal 31 6 4" xfId="3648" xr:uid="{00000000-0005-0000-0000-0000450E0000}"/>
    <cellStyle name="Normal 31 6 5" xfId="3649" xr:uid="{00000000-0005-0000-0000-0000460E0000}"/>
    <cellStyle name="Normal 31 6 6" xfId="3650" xr:uid="{00000000-0005-0000-0000-0000470E0000}"/>
    <cellStyle name="Normal 31 6 7" xfId="3651" xr:uid="{00000000-0005-0000-0000-0000480E0000}"/>
    <cellStyle name="Normal 31 6 8" xfId="3652" xr:uid="{00000000-0005-0000-0000-0000490E0000}"/>
    <cellStyle name="Normal 31 6 9" xfId="3653" xr:uid="{00000000-0005-0000-0000-00004A0E0000}"/>
    <cellStyle name="Normal 31 7" xfId="3654" xr:uid="{00000000-0005-0000-0000-00004B0E0000}"/>
    <cellStyle name="Normal 31 7 10" xfId="3655" xr:uid="{00000000-0005-0000-0000-00004C0E0000}"/>
    <cellStyle name="Normal 31 7 11" xfId="3656" xr:uid="{00000000-0005-0000-0000-00004D0E0000}"/>
    <cellStyle name="Normal 31 7 12" xfId="3657" xr:uid="{00000000-0005-0000-0000-00004E0E0000}"/>
    <cellStyle name="Normal 31 7 13" xfId="3658" xr:uid="{00000000-0005-0000-0000-00004F0E0000}"/>
    <cellStyle name="Normal 31 7 2" xfId="3659" xr:uid="{00000000-0005-0000-0000-0000500E0000}"/>
    <cellStyle name="Normal 31 7 2 10" xfId="3660" xr:uid="{00000000-0005-0000-0000-0000510E0000}"/>
    <cellStyle name="Normal 31 7 2 11" xfId="3661" xr:uid="{00000000-0005-0000-0000-0000520E0000}"/>
    <cellStyle name="Normal 31 7 2 2" xfId="3662" xr:uid="{00000000-0005-0000-0000-0000530E0000}"/>
    <cellStyle name="Normal 31 7 2 3" xfId="3663" xr:uid="{00000000-0005-0000-0000-0000540E0000}"/>
    <cellStyle name="Normal 31 7 2 4" xfId="3664" xr:uid="{00000000-0005-0000-0000-0000550E0000}"/>
    <cellStyle name="Normal 31 7 2 5" xfId="3665" xr:uid="{00000000-0005-0000-0000-0000560E0000}"/>
    <cellStyle name="Normal 31 7 2 6" xfId="3666" xr:uid="{00000000-0005-0000-0000-0000570E0000}"/>
    <cellStyle name="Normal 31 7 2 7" xfId="3667" xr:uid="{00000000-0005-0000-0000-0000580E0000}"/>
    <cellStyle name="Normal 31 7 2 8" xfId="3668" xr:uid="{00000000-0005-0000-0000-0000590E0000}"/>
    <cellStyle name="Normal 31 7 2 9" xfId="3669" xr:uid="{00000000-0005-0000-0000-00005A0E0000}"/>
    <cellStyle name="Normal 31 7 3" xfId="3670" xr:uid="{00000000-0005-0000-0000-00005B0E0000}"/>
    <cellStyle name="Normal 31 7 4" xfId="3671" xr:uid="{00000000-0005-0000-0000-00005C0E0000}"/>
    <cellStyle name="Normal 31 7 5" xfId="3672" xr:uid="{00000000-0005-0000-0000-00005D0E0000}"/>
    <cellStyle name="Normal 31 7 6" xfId="3673" xr:uid="{00000000-0005-0000-0000-00005E0E0000}"/>
    <cellStyle name="Normal 31 7 7" xfId="3674" xr:uid="{00000000-0005-0000-0000-00005F0E0000}"/>
    <cellStyle name="Normal 31 7 8" xfId="3675" xr:uid="{00000000-0005-0000-0000-0000600E0000}"/>
    <cellStyle name="Normal 31 7 9" xfId="3676" xr:uid="{00000000-0005-0000-0000-0000610E0000}"/>
    <cellStyle name="Normal 31 8" xfId="3677" xr:uid="{00000000-0005-0000-0000-0000620E0000}"/>
    <cellStyle name="Normal 31 8 10" xfId="3678" xr:uid="{00000000-0005-0000-0000-0000630E0000}"/>
    <cellStyle name="Normal 31 8 11" xfId="3679" xr:uid="{00000000-0005-0000-0000-0000640E0000}"/>
    <cellStyle name="Normal 31 8 12" xfId="3680" xr:uid="{00000000-0005-0000-0000-0000650E0000}"/>
    <cellStyle name="Normal 31 8 13" xfId="3681" xr:uid="{00000000-0005-0000-0000-0000660E0000}"/>
    <cellStyle name="Normal 31 8 2" xfId="3682" xr:uid="{00000000-0005-0000-0000-0000670E0000}"/>
    <cellStyle name="Normal 31 8 2 10" xfId="3683" xr:uid="{00000000-0005-0000-0000-0000680E0000}"/>
    <cellStyle name="Normal 31 8 2 11" xfId="3684" xr:uid="{00000000-0005-0000-0000-0000690E0000}"/>
    <cellStyle name="Normal 31 8 2 2" xfId="3685" xr:uid="{00000000-0005-0000-0000-00006A0E0000}"/>
    <cellStyle name="Normal 31 8 2 3" xfId="3686" xr:uid="{00000000-0005-0000-0000-00006B0E0000}"/>
    <cellStyle name="Normal 31 8 2 4" xfId="3687" xr:uid="{00000000-0005-0000-0000-00006C0E0000}"/>
    <cellStyle name="Normal 31 8 2 5" xfId="3688" xr:uid="{00000000-0005-0000-0000-00006D0E0000}"/>
    <cellStyle name="Normal 31 8 2 6" xfId="3689" xr:uid="{00000000-0005-0000-0000-00006E0E0000}"/>
    <cellStyle name="Normal 31 8 2 7" xfId="3690" xr:uid="{00000000-0005-0000-0000-00006F0E0000}"/>
    <cellStyle name="Normal 31 8 2 8" xfId="3691" xr:uid="{00000000-0005-0000-0000-0000700E0000}"/>
    <cellStyle name="Normal 31 8 2 9" xfId="3692" xr:uid="{00000000-0005-0000-0000-0000710E0000}"/>
    <cellStyle name="Normal 31 8 3" xfId="3693" xr:uid="{00000000-0005-0000-0000-0000720E0000}"/>
    <cellStyle name="Normal 31 8 4" xfId="3694" xr:uid="{00000000-0005-0000-0000-0000730E0000}"/>
    <cellStyle name="Normal 31 8 5" xfId="3695" xr:uid="{00000000-0005-0000-0000-0000740E0000}"/>
    <cellStyle name="Normal 31 8 6" xfId="3696" xr:uid="{00000000-0005-0000-0000-0000750E0000}"/>
    <cellStyle name="Normal 31 8 7" xfId="3697" xr:uid="{00000000-0005-0000-0000-0000760E0000}"/>
    <cellStyle name="Normal 31 8 8" xfId="3698" xr:uid="{00000000-0005-0000-0000-0000770E0000}"/>
    <cellStyle name="Normal 31 8 9" xfId="3699" xr:uid="{00000000-0005-0000-0000-0000780E0000}"/>
    <cellStyle name="Normal 31 9" xfId="3700" xr:uid="{00000000-0005-0000-0000-0000790E0000}"/>
    <cellStyle name="Normal 31 9 10" xfId="3701" xr:uid="{00000000-0005-0000-0000-00007A0E0000}"/>
    <cellStyle name="Normal 31 9 11" xfId="3702" xr:uid="{00000000-0005-0000-0000-00007B0E0000}"/>
    <cellStyle name="Normal 31 9 12" xfId="3703" xr:uid="{00000000-0005-0000-0000-00007C0E0000}"/>
    <cellStyle name="Normal 31 9 13" xfId="3704" xr:uid="{00000000-0005-0000-0000-00007D0E0000}"/>
    <cellStyle name="Normal 31 9 2" xfId="3705" xr:uid="{00000000-0005-0000-0000-00007E0E0000}"/>
    <cellStyle name="Normal 31 9 2 10" xfId="3706" xr:uid="{00000000-0005-0000-0000-00007F0E0000}"/>
    <cellStyle name="Normal 31 9 2 11" xfId="3707" xr:uid="{00000000-0005-0000-0000-0000800E0000}"/>
    <cellStyle name="Normal 31 9 2 2" xfId="3708" xr:uid="{00000000-0005-0000-0000-0000810E0000}"/>
    <cellStyle name="Normal 31 9 2 3" xfId="3709" xr:uid="{00000000-0005-0000-0000-0000820E0000}"/>
    <cellStyle name="Normal 31 9 2 4" xfId="3710" xr:uid="{00000000-0005-0000-0000-0000830E0000}"/>
    <cellStyle name="Normal 31 9 2 5" xfId="3711" xr:uid="{00000000-0005-0000-0000-0000840E0000}"/>
    <cellStyle name="Normal 31 9 2 6" xfId="3712" xr:uid="{00000000-0005-0000-0000-0000850E0000}"/>
    <cellStyle name="Normal 31 9 2 7" xfId="3713" xr:uid="{00000000-0005-0000-0000-0000860E0000}"/>
    <cellStyle name="Normal 31 9 2 8" xfId="3714" xr:uid="{00000000-0005-0000-0000-0000870E0000}"/>
    <cellStyle name="Normal 31 9 2 9" xfId="3715" xr:uid="{00000000-0005-0000-0000-0000880E0000}"/>
    <cellStyle name="Normal 31 9 3" xfId="3716" xr:uid="{00000000-0005-0000-0000-0000890E0000}"/>
    <cellStyle name="Normal 31 9 4" xfId="3717" xr:uid="{00000000-0005-0000-0000-00008A0E0000}"/>
    <cellStyle name="Normal 31 9 5" xfId="3718" xr:uid="{00000000-0005-0000-0000-00008B0E0000}"/>
    <cellStyle name="Normal 31 9 6" xfId="3719" xr:uid="{00000000-0005-0000-0000-00008C0E0000}"/>
    <cellStyle name="Normal 31 9 7" xfId="3720" xr:uid="{00000000-0005-0000-0000-00008D0E0000}"/>
    <cellStyle name="Normal 31 9 8" xfId="3721" xr:uid="{00000000-0005-0000-0000-00008E0E0000}"/>
    <cellStyle name="Normal 31 9 9" xfId="3722" xr:uid="{00000000-0005-0000-0000-00008F0E0000}"/>
    <cellStyle name="Normal 32" xfId="3723" xr:uid="{00000000-0005-0000-0000-0000900E0000}"/>
    <cellStyle name="Normal 32 10" xfId="3724" xr:uid="{00000000-0005-0000-0000-0000910E0000}"/>
    <cellStyle name="Normal 32 10 10" xfId="3725" xr:uid="{00000000-0005-0000-0000-0000920E0000}"/>
    <cellStyle name="Normal 32 10 11" xfId="3726" xr:uid="{00000000-0005-0000-0000-0000930E0000}"/>
    <cellStyle name="Normal 32 10 12" xfId="3727" xr:uid="{00000000-0005-0000-0000-0000940E0000}"/>
    <cellStyle name="Normal 32 10 13" xfId="3728" xr:uid="{00000000-0005-0000-0000-0000950E0000}"/>
    <cellStyle name="Normal 32 10 2" xfId="3729" xr:uid="{00000000-0005-0000-0000-0000960E0000}"/>
    <cellStyle name="Normal 32 10 2 10" xfId="3730" xr:uid="{00000000-0005-0000-0000-0000970E0000}"/>
    <cellStyle name="Normal 32 10 2 11" xfId="3731" xr:uid="{00000000-0005-0000-0000-0000980E0000}"/>
    <cellStyle name="Normal 32 10 2 2" xfId="3732" xr:uid="{00000000-0005-0000-0000-0000990E0000}"/>
    <cellStyle name="Normal 32 10 2 3" xfId="3733" xr:uid="{00000000-0005-0000-0000-00009A0E0000}"/>
    <cellStyle name="Normal 32 10 2 4" xfId="3734" xr:uid="{00000000-0005-0000-0000-00009B0E0000}"/>
    <cellStyle name="Normal 32 10 2 5" xfId="3735" xr:uid="{00000000-0005-0000-0000-00009C0E0000}"/>
    <cellStyle name="Normal 32 10 2 6" xfId="3736" xr:uid="{00000000-0005-0000-0000-00009D0E0000}"/>
    <cellStyle name="Normal 32 10 2 7" xfId="3737" xr:uid="{00000000-0005-0000-0000-00009E0E0000}"/>
    <cellStyle name="Normal 32 10 2 8" xfId="3738" xr:uid="{00000000-0005-0000-0000-00009F0E0000}"/>
    <cellStyle name="Normal 32 10 2 9" xfId="3739" xr:uid="{00000000-0005-0000-0000-0000A00E0000}"/>
    <cellStyle name="Normal 32 10 3" xfId="3740" xr:uid="{00000000-0005-0000-0000-0000A10E0000}"/>
    <cellStyle name="Normal 32 10 4" xfId="3741" xr:uid="{00000000-0005-0000-0000-0000A20E0000}"/>
    <cellStyle name="Normal 32 10 5" xfId="3742" xr:uid="{00000000-0005-0000-0000-0000A30E0000}"/>
    <cellStyle name="Normal 32 10 6" xfId="3743" xr:uid="{00000000-0005-0000-0000-0000A40E0000}"/>
    <cellStyle name="Normal 32 10 7" xfId="3744" xr:uid="{00000000-0005-0000-0000-0000A50E0000}"/>
    <cellStyle name="Normal 32 10 8" xfId="3745" xr:uid="{00000000-0005-0000-0000-0000A60E0000}"/>
    <cellStyle name="Normal 32 10 9" xfId="3746" xr:uid="{00000000-0005-0000-0000-0000A70E0000}"/>
    <cellStyle name="Normal 32 11" xfId="3747" xr:uid="{00000000-0005-0000-0000-0000A80E0000}"/>
    <cellStyle name="Normal 32 11 10" xfId="3748" xr:uid="{00000000-0005-0000-0000-0000A90E0000}"/>
    <cellStyle name="Normal 32 11 11" xfId="3749" xr:uid="{00000000-0005-0000-0000-0000AA0E0000}"/>
    <cellStyle name="Normal 32 11 12" xfId="3750" xr:uid="{00000000-0005-0000-0000-0000AB0E0000}"/>
    <cellStyle name="Normal 32 11 13" xfId="3751" xr:uid="{00000000-0005-0000-0000-0000AC0E0000}"/>
    <cellStyle name="Normal 32 11 2" xfId="3752" xr:uid="{00000000-0005-0000-0000-0000AD0E0000}"/>
    <cellStyle name="Normal 32 11 2 10" xfId="3753" xr:uid="{00000000-0005-0000-0000-0000AE0E0000}"/>
    <cellStyle name="Normal 32 11 2 11" xfId="3754" xr:uid="{00000000-0005-0000-0000-0000AF0E0000}"/>
    <cellStyle name="Normal 32 11 2 2" xfId="3755" xr:uid="{00000000-0005-0000-0000-0000B00E0000}"/>
    <cellStyle name="Normal 32 11 2 3" xfId="3756" xr:uid="{00000000-0005-0000-0000-0000B10E0000}"/>
    <cellStyle name="Normal 32 11 2 4" xfId="3757" xr:uid="{00000000-0005-0000-0000-0000B20E0000}"/>
    <cellStyle name="Normal 32 11 2 5" xfId="3758" xr:uid="{00000000-0005-0000-0000-0000B30E0000}"/>
    <cellStyle name="Normal 32 11 2 6" xfId="3759" xr:uid="{00000000-0005-0000-0000-0000B40E0000}"/>
    <cellStyle name="Normal 32 11 2 7" xfId="3760" xr:uid="{00000000-0005-0000-0000-0000B50E0000}"/>
    <cellStyle name="Normal 32 11 2 8" xfId="3761" xr:uid="{00000000-0005-0000-0000-0000B60E0000}"/>
    <cellStyle name="Normal 32 11 2 9" xfId="3762" xr:uid="{00000000-0005-0000-0000-0000B70E0000}"/>
    <cellStyle name="Normal 32 11 3" xfId="3763" xr:uid="{00000000-0005-0000-0000-0000B80E0000}"/>
    <cellStyle name="Normal 32 11 4" xfId="3764" xr:uid="{00000000-0005-0000-0000-0000B90E0000}"/>
    <cellStyle name="Normal 32 11 5" xfId="3765" xr:uid="{00000000-0005-0000-0000-0000BA0E0000}"/>
    <cellStyle name="Normal 32 11 6" xfId="3766" xr:uid="{00000000-0005-0000-0000-0000BB0E0000}"/>
    <cellStyle name="Normal 32 11 7" xfId="3767" xr:uid="{00000000-0005-0000-0000-0000BC0E0000}"/>
    <cellStyle name="Normal 32 11 8" xfId="3768" xr:uid="{00000000-0005-0000-0000-0000BD0E0000}"/>
    <cellStyle name="Normal 32 11 9" xfId="3769" xr:uid="{00000000-0005-0000-0000-0000BE0E0000}"/>
    <cellStyle name="Normal 32 12" xfId="3770" xr:uid="{00000000-0005-0000-0000-0000BF0E0000}"/>
    <cellStyle name="Normal 32 12 10" xfId="3771" xr:uid="{00000000-0005-0000-0000-0000C00E0000}"/>
    <cellStyle name="Normal 32 12 11" xfId="3772" xr:uid="{00000000-0005-0000-0000-0000C10E0000}"/>
    <cellStyle name="Normal 32 12 12" xfId="3773" xr:uid="{00000000-0005-0000-0000-0000C20E0000}"/>
    <cellStyle name="Normal 32 12 13" xfId="3774" xr:uid="{00000000-0005-0000-0000-0000C30E0000}"/>
    <cellStyle name="Normal 32 12 2" xfId="3775" xr:uid="{00000000-0005-0000-0000-0000C40E0000}"/>
    <cellStyle name="Normal 32 12 2 10" xfId="3776" xr:uid="{00000000-0005-0000-0000-0000C50E0000}"/>
    <cellStyle name="Normal 32 12 2 11" xfId="3777" xr:uid="{00000000-0005-0000-0000-0000C60E0000}"/>
    <cellStyle name="Normal 32 12 2 2" xfId="3778" xr:uid="{00000000-0005-0000-0000-0000C70E0000}"/>
    <cellStyle name="Normal 32 12 2 3" xfId="3779" xr:uid="{00000000-0005-0000-0000-0000C80E0000}"/>
    <cellStyle name="Normal 32 12 2 4" xfId="3780" xr:uid="{00000000-0005-0000-0000-0000C90E0000}"/>
    <cellStyle name="Normal 32 12 2 5" xfId="3781" xr:uid="{00000000-0005-0000-0000-0000CA0E0000}"/>
    <cellStyle name="Normal 32 12 2 6" xfId="3782" xr:uid="{00000000-0005-0000-0000-0000CB0E0000}"/>
    <cellStyle name="Normal 32 12 2 7" xfId="3783" xr:uid="{00000000-0005-0000-0000-0000CC0E0000}"/>
    <cellStyle name="Normal 32 12 2 8" xfId="3784" xr:uid="{00000000-0005-0000-0000-0000CD0E0000}"/>
    <cellStyle name="Normal 32 12 2 9" xfId="3785" xr:uid="{00000000-0005-0000-0000-0000CE0E0000}"/>
    <cellStyle name="Normal 32 12 3" xfId="3786" xr:uid="{00000000-0005-0000-0000-0000CF0E0000}"/>
    <cellStyle name="Normal 32 12 4" xfId="3787" xr:uid="{00000000-0005-0000-0000-0000D00E0000}"/>
    <cellStyle name="Normal 32 12 5" xfId="3788" xr:uid="{00000000-0005-0000-0000-0000D10E0000}"/>
    <cellStyle name="Normal 32 12 6" xfId="3789" xr:uid="{00000000-0005-0000-0000-0000D20E0000}"/>
    <cellStyle name="Normal 32 12 7" xfId="3790" xr:uid="{00000000-0005-0000-0000-0000D30E0000}"/>
    <cellStyle name="Normal 32 12 8" xfId="3791" xr:uid="{00000000-0005-0000-0000-0000D40E0000}"/>
    <cellStyle name="Normal 32 12 9" xfId="3792" xr:uid="{00000000-0005-0000-0000-0000D50E0000}"/>
    <cellStyle name="Normal 32 13" xfId="3793" xr:uid="{00000000-0005-0000-0000-0000D60E0000}"/>
    <cellStyle name="Normal 32 13 10" xfId="3794" xr:uid="{00000000-0005-0000-0000-0000D70E0000}"/>
    <cellStyle name="Normal 32 13 11" xfId="3795" xr:uid="{00000000-0005-0000-0000-0000D80E0000}"/>
    <cellStyle name="Normal 32 13 12" xfId="3796" xr:uid="{00000000-0005-0000-0000-0000D90E0000}"/>
    <cellStyle name="Normal 32 13 13" xfId="3797" xr:uid="{00000000-0005-0000-0000-0000DA0E0000}"/>
    <cellStyle name="Normal 32 13 2" xfId="3798" xr:uid="{00000000-0005-0000-0000-0000DB0E0000}"/>
    <cellStyle name="Normal 32 13 2 10" xfId="3799" xr:uid="{00000000-0005-0000-0000-0000DC0E0000}"/>
    <cellStyle name="Normal 32 13 2 11" xfId="3800" xr:uid="{00000000-0005-0000-0000-0000DD0E0000}"/>
    <cellStyle name="Normal 32 13 2 2" xfId="3801" xr:uid="{00000000-0005-0000-0000-0000DE0E0000}"/>
    <cellStyle name="Normal 32 13 2 3" xfId="3802" xr:uid="{00000000-0005-0000-0000-0000DF0E0000}"/>
    <cellStyle name="Normal 32 13 2 4" xfId="3803" xr:uid="{00000000-0005-0000-0000-0000E00E0000}"/>
    <cellStyle name="Normal 32 13 2 5" xfId="3804" xr:uid="{00000000-0005-0000-0000-0000E10E0000}"/>
    <cellStyle name="Normal 32 13 2 6" xfId="3805" xr:uid="{00000000-0005-0000-0000-0000E20E0000}"/>
    <cellStyle name="Normal 32 13 2 7" xfId="3806" xr:uid="{00000000-0005-0000-0000-0000E30E0000}"/>
    <cellStyle name="Normal 32 13 2 8" xfId="3807" xr:uid="{00000000-0005-0000-0000-0000E40E0000}"/>
    <cellStyle name="Normal 32 13 2 9" xfId="3808" xr:uid="{00000000-0005-0000-0000-0000E50E0000}"/>
    <cellStyle name="Normal 32 13 3" xfId="3809" xr:uid="{00000000-0005-0000-0000-0000E60E0000}"/>
    <cellStyle name="Normal 32 13 4" xfId="3810" xr:uid="{00000000-0005-0000-0000-0000E70E0000}"/>
    <cellStyle name="Normal 32 13 5" xfId="3811" xr:uid="{00000000-0005-0000-0000-0000E80E0000}"/>
    <cellStyle name="Normal 32 13 6" xfId="3812" xr:uid="{00000000-0005-0000-0000-0000E90E0000}"/>
    <cellStyle name="Normal 32 13 7" xfId="3813" xr:uid="{00000000-0005-0000-0000-0000EA0E0000}"/>
    <cellStyle name="Normal 32 13 8" xfId="3814" xr:uid="{00000000-0005-0000-0000-0000EB0E0000}"/>
    <cellStyle name="Normal 32 13 9" xfId="3815" xr:uid="{00000000-0005-0000-0000-0000EC0E0000}"/>
    <cellStyle name="Normal 32 14" xfId="3816" xr:uid="{00000000-0005-0000-0000-0000ED0E0000}"/>
    <cellStyle name="Normal 32 14 10" xfId="3817" xr:uid="{00000000-0005-0000-0000-0000EE0E0000}"/>
    <cellStyle name="Normal 32 14 11" xfId="3818" xr:uid="{00000000-0005-0000-0000-0000EF0E0000}"/>
    <cellStyle name="Normal 32 14 2" xfId="3819" xr:uid="{00000000-0005-0000-0000-0000F00E0000}"/>
    <cellStyle name="Normal 32 14 3" xfId="3820" xr:uid="{00000000-0005-0000-0000-0000F10E0000}"/>
    <cellStyle name="Normal 32 14 4" xfId="3821" xr:uid="{00000000-0005-0000-0000-0000F20E0000}"/>
    <cellStyle name="Normal 32 14 5" xfId="3822" xr:uid="{00000000-0005-0000-0000-0000F30E0000}"/>
    <cellStyle name="Normal 32 14 6" xfId="3823" xr:uid="{00000000-0005-0000-0000-0000F40E0000}"/>
    <cellStyle name="Normal 32 14 7" xfId="3824" xr:uid="{00000000-0005-0000-0000-0000F50E0000}"/>
    <cellStyle name="Normal 32 14 8" xfId="3825" xr:uid="{00000000-0005-0000-0000-0000F60E0000}"/>
    <cellStyle name="Normal 32 14 9" xfId="3826" xr:uid="{00000000-0005-0000-0000-0000F70E0000}"/>
    <cellStyle name="Normal 32 15" xfId="3827" xr:uid="{00000000-0005-0000-0000-0000F80E0000}"/>
    <cellStyle name="Normal 32 16" xfId="3828" xr:uid="{00000000-0005-0000-0000-0000F90E0000}"/>
    <cellStyle name="Normal 32 17" xfId="3829" xr:uid="{00000000-0005-0000-0000-0000FA0E0000}"/>
    <cellStyle name="Normal 32 18" xfId="3830" xr:uid="{00000000-0005-0000-0000-0000FB0E0000}"/>
    <cellStyle name="Normal 32 19" xfId="3831" xr:uid="{00000000-0005-0000-0000-0000FC0E0000}"/>
    <cellStyle name="Normal 32 2" xfId="3832" xr:uid="{00000000-0005-0000-0000-0000FD0E0000}"/>
    <cellStyle name="Normal 32 2 10" xfId="3833" xr:uid="{00000000-0005-0000-0000-0000FE0E0000}"/>
    <cellStyle name="Normal 32 2 11" xfId="3834" xr:uid="{00000000-0005-0000-0000-0000FF0E0000}"/>
    <cellStyle name="Normal 32 2 12" xfId="3835" xr:uid="{00000000-0005-0000-0000-0000000F0000}"/>
    <cellStyle name="Normal 32 2 13" xfId="3836" xr:uid="{00000000-0005-0000-0000-0000010F0000}"/>
    <cellStyle name="Normal 32 2 2" xfId="3837" xr:uid="{00000000-0005-0000-0000-0000020F0000}"/>
    <cellStyle name="Normal 32 2 2 10" xfId="3838" xr:uid="{00000000-0005-0000-0000-0000030F0000}"/>
    <cellStyle name="Normal 32 2 2 11" xfId="3839" xr:uid="{00000000-0005-0000-0000-0000040F0000}"/>
    <cellStyle name="Normal 32 2 2 2" xfId="3840" xr:uid="{00000000-0005-0000-0000-0000050F0000}"/>
    <cellStyle name="Normal 32 2 2 3" xfId="3841" xr:uid="{00000000-0005-0000-0000-0000060F0000}"/>
    <cellStyle name="Normal 32 2 2 4" xfId="3842" xr:uid="{00000000-0005-0000-0000-0000070F0000}"/>
    <cellStyle name="Normal 32 2 2 5" xfId="3843" xr:uid="{00000000-0005-0000-0000-0000080F0000}"/>
    <cellStyle name="Normal 32 2 2 6" xfId="3844" xr:uid="{00000000-0005-0000-0000-0000090F0000}"/>
    <cellStyle name="Normal 32 2 2 7" xfId="3845" xr:uid="{00000000-0005-0000-0000-00000A0F0000}"/>
    <cellStyle name="Normal 32 2 2 8" xfId="3846" xr:uid="{00000000-0005-0000-0000-00000B0F0000}"/>
    <cellStyle name="Normal 32 2 2 9" xfId="3847" xr:uid="{00000000-0005-0000-0000-00000C0F0000}"/>
    <cellStyle name="Normal 32 2 3" xfId="3848" xr:uid="{00000000-0005-0000-0000-00000D0F0000}"/>
    <cellStyle name="Normal 32 2 4" xfId="3849" xr:uid="{00000000-0005-0000-0000-00000E0F0000}"/>
    <cellStyle name="Normal 32 2 5" xfId="3850" xr:uid="{00000000-0005-0000-0000-00000F0F0000}"/>
    <cellStyle name="Normal 32 2 6" xfId="3851" xr:uid="{00000000-0005-0000-0000-0000100F0000}"/>
    <cellStyle name="Normal 32 2 7" xfId="3852" xr:uid="{00000000-0005-0000-0000-0000110F0000}"/>
    <cellStyle name="Normal 32 2 8" xfId="3853" xr:uid="{00000000-0005-0000-0000-0000120F0000}"/>
    <cellStyle name="Normal 32 2 9" xfId="3854" xr:uid="{00000000-0005-0000-0000-0000130F0000}"/>
    <cellStyle name="Normal 32 20" xfId="3855" xr:uid="{00000000-0005-0000-0000-0000140F0000}"/>
    <cellStyle name="Normal 32 21" xfId="3856" xr:uid="{00000000-0005-0000-0000-0000150F0000}"/>
    <cellStyle name="Normal 32 22" xfId="3857" xr:uid="{00000000-0005-0000-0000-0000160F0000}"/>
    <cellStyle name="Normal 32 23" xfId="3858" xr:uid="{00000000-0005-0000-0000-0000170F0000}"/>
    <cellStyle name="Normal 32 24" xfId="3859" xr:uid="{00000000-0005-0000-0000-0000180F0000}"/>
    <cellStyle name="Normal 32 25" xfId="3860" xr:uid="{00000000-0005-0000-0000-0000190F0000}"/>
    <cellStyle name="Normal 32 3" xfId="3861" xr:uid="{00000000-0005-0000-0000-00001A0F0000}"/>
    <cellStyle name="Normal 32 3 10" xfId="3862" xr:uid="{00000000-0005-0000-0000-00001B0F0000}"/>
    <cellStyle name="Normal 32 3 11" xfId="3863" xr:uid="{00000000-0005-0000-0000-00001C0F0000}"/>
    <cellStyle name="Normal 32 3 12" xfId="3864" xr:uid="{00000000-0005-0000-0000-00001D0F0000}"/>
    <cellStyle name="Normal 32 3 13" xfId="3865" xr:uid="{00000000-0005-0000-0000-00001E0F0000}"/>
    <cellStyle name="Normal 32 3 2" xfId="3866" xr:uid="{00000000-0005-0000-0000-00001F0F0000}"/>
    <cellStyle name="Normal 32 3 2 10" xfId="3867" xr:uid="{00000000-0005-0000-0000-0000200F0000}"/>
    <cellStyle name="Normal 32 3 2 11" xfId="3868" xr:uid="{00000000-0005-0000-0000-0000210F0000}"/>
    <cellStyle name="Normal 32 3 2 2" xfId="3869" xr:uid="{00000000-0005-0000-0000-0000220F0000}"/>
    <cellStyle name="Normal 32 3 2 3" xfId="3870" xr:uid="{00000000-0005-0000-0000-0000230F0000}"/>
    <cellStyle name="Normal 32 3 2 4" xfId="3871" xr:uid="{00000000-0005-0000-0000-0000240F0000}"/>
    <cellStyle name="Normal 32 3 2 5" xfId="3872" xr:uid="{00000000-0005-0000-0000-0000250F0000}"/>
    <cellStyle name="Normal 32 3 2 6" xfId="3873" xr:uid="{00000000-0005-0000-0000-0000260F0000}"/>
    <cellStyle name="Normal 32 3 2 7" xfId="3874" xr:uid="{00000000-0005-0000-0000-0000270F0000}"/>
    <cellStyle name="Normal 32 3 2 8" xfId="3875" xr:uid="{00000000-0005-0000-0000-0000280F0000}"/>
    <cellStyle name="Normal 32 3 2 9" xfId="3876" xr:uid="{00000000-0005-0000-0000-0000290F0000}"/>
    <cellStyle name="Normal 32 3 3" xfId="3877" xr:uid="{00000000-0005-0000-0000-00002A0F0000}"/>
    <cellStyle name="Normal 32 3 4" xfId="3878" xr:uid="{00000000-0005-0000-0000-00002B0F0000}"/>
    <cellStyle name="Normal 32 3 5" xfId="3879" xr:uid="{00000000-0005-0000-0000-00002C0F0000}"/>
    <cellStyle name="Normal 32 3 6" xfId="3880" xr:uid="{00000000-0005-0000-0000-00002D0F0000}"/>
    <cellStyle name="Normal 32 3 7" xfId="3881" xr:uid="{00000000-0005-0000-0000-00002E0F0000}"/>
    <cellStyle name="Normal 32 3 8" xfId="3882" xr:uid="{00000000-0005-0000-0000-00002F0F0000}"/>
    <cellStyle name="Normal 32 3 9" xfId="3883" xr:uid="{00000000-0005-0000-0000-0000300F0000}"/>
    <cellStyle name="Normal 32 4" xfId="3884" xr:uid="{00000000-0005-0000-0000-0000310F0000}"/>
    <cellStyle name="Normal 32 4 10" xfId="3885" xr:uid="{00000000-0005-0000-0000-0000320F0000}"/>
    <cellStyle name="Normal 32 4 11" xfId="3886" xr:uid="{00000000-0005-0000-0000-0000330F0000}"/>
    <cellStyle name="Normal 32 4 12" xfId="3887" xr:uid="{00000000-0005-0000-0000-0000340F0000}"/>
    <cellStyle name="Normal 32 4 13" xfId="3888" xr:uid="{00000000-0005-0000-0000-0000350F0000}"/>
    <cellStyle name="Normal 32 4 2" xfId="3889" xr:uid="{00000000-0005-0000-0000-0000360F0000}"/>
    <cellStyle name="Normal 32 4 2 10" xfId="3890" xr:uid="{00000000-0005-0000-0000-0000370F0000}"/>
    <cellStyle name="Normal 32 4 2 11" xfId="3891" xr:uid="{00000000-0005-0000-0000-0000380F0000}"/>
    <cellStyle name="Normal 32 4 2 2" xfId="3892" xr:uid="{00000000-0005-0000-0000-0000390F0000}"/>
    <cellStyle name="Normal 32 4 2 3" xfId="3893" xr:uid="{00000000-0005-0000-0000-00003A0F0000}"/>
    <cellStyle name="Normal 32 4 2 4" xfId="3894" xr:uid="{00000000-0005-0000-0000-00003B0F0000}"/>
    <cellStyle name="Normal 32 4 2 5" xfId="3895" xr:uid="{00000000-0005-0000-0000-00003C0F0000}"/>
    <cellStyle name="Normal 32 4 2 6" xfId="3896" xr:uid="{00000000-0005-0000-0000-00003D0F0000}"/>
    <cellStyle name="Normal 32 4 2 7" xfId="3897" xr:uid="{00000000-0005-0000-0000-00003E0F0000}"/>
    <cellStyle name="Normal 32 4 2 8" xfId="3898" xr:uid="{00000000-0005-0000-0000-00003F0F0000}"/>
    <cellStyle name="Normal 32 4 2 9" xfId="3899" xr:uid="{00000000-0005-0000-0000-0000400F0000}"/>
    <cellStyle name="Normal 32 4 3" xfId="3900" xr:uid="{00000000-0005-0000-0000-0000410F0000}"/>
    <cellStyle name="Normal 32 4 4" xfId="3901" xr:uid="{00000000-0005-0000-0000-0000420F0000}"/>
    <cellStyle name="Normal 32 4 5" xfId="3902" xr:uid="{00000000-0005-0000-0000-0000430F0000}"/>
    <cellStyle name="Normal 32 4 6" xfId="3903" xr:uid="{00000000-0005-0000-0000-0000440F0000}"/>
    <cellStyle name="Normal 32 4 7" xfId="3904" xr:uid="{00000000-0005-0000-0000-0000450F0000}"/>
    <cellStyle name="Normal 32 4 8" xfId="3905" xr:uid="{00000000-0005-0000-0000-0000460F0000}"/>
    <cellStyle name="Normal 32 4 9" xfId="3906" xr:uid="{00000000-0005-0000-0000-0000470F0000}"/>
    <cellStyle name="Normal 32 5" xfId="3907" xr:uid="{00000000-0005-0000-0000-0000480F0000}"/>
    <cellStyle name="Normal 32 5 10" xfId="3908" xr:uid="{00000000-0005-0000-0000-0000490F0000}"/>
    <cellStyle name="Normal 32 5 11" xfId="3909" xr:uid="{00000000-0005-0000-0000-00004A0F0000}"/>
    <cellStyle name="Normal 32 5 12" xfId="3910" xr:uid="{00000000-0005-0000-0000-00004B0F0000}"/>
    <cellStyle name="Normal 32 5 13" xfId="3911" xr:uid="{00000000-0005-0000-0000-00004C0F0000}"/>
    <cellStyle name="Normal 32 5 2" xfId="3912" xr:uid="{00000000-0005-0000-0000-00004D0F0000}"/>
    <cellStyle name="Normal 32 5 2 10" xfId="3913" xr:uid="{00000000-0005-0000-0000-00004E0F0000}"/>
    <cellStyle name="Normal 32 5 2 11" xfId="3914" xr:uid="{00000000-0005-0000-0000-00004F0F0000}"/>
    <cellStyle name="Normal 32 5 2 2" xfId="3915" xr:uid="{00000000-0005-0000-0000-0000500F0000}"/>
    <cellStyle name="Normal 32 5 2 3" xfId="3916" xr:uid="{00000000-0005-0000-0000-0000510F0000}"/>
    <cellStyle name="Normal 32 5 2 4" xfId="3917" xr:uid="{00000000-0005-0000-0000-0000520F0000}"/>
    <cellStyle name="Normal 32 5 2 5" xfId="3918" xr:uid="{00000000-0005-0000-0000-0000530F0000}"/>
    <cellStyle name="Normal 32 5 2 6" xfId="3919" xr:uid="{00000000-0005-0000-0000-0000540F0000}"/>
    <cellStyle name="Normal 32 5 2 7" xfId="3920" xr:uid="{00000000-0005-0000-0000-0000550F0000}"/>
    <cellStyle name="Normal 32 5 2 8" xfId="3921" xr:uid="{00000000-0005-0000-0000-0000560F0000}"/>
    <cellStyle name="Normal 32 5 2 9" xfId="3922" xr:uid="{00000000-0005-0000-0000-0000570F0000}"/>
    <cellStyle name="Normal 32 5 3" xfId="3923" xr:uid="{00000000-0005-0000-0000-0000580F0000}"/>
    <cellStyle name="Normal 32 5 4" xfId="3924" xr:uid="{00000000-0005-0000-0000-0000590F0000}"/>
    <cellStyle name="Normal 32 5 5" xfId="3925" xr:uid="{00000000-0005-0000-0000-00005A0F0000}"/>
    <cellStyle name="Normal 32 5 6" xfId="3926" xr:uid="{00000000-0005-0000-0000-00005B0F0000}"/>
    <cellStyle name="Normal 32 5 7" xfId="3927" xr:uid="{00000000-0005-0000-0000-00005C0F0000}"/>
    <cellStyle name="Normal 32 5 8" xfId="3928" xr:uid="{00000000-0005-0000-0000-00005D0F0000}"/>
    <cellStyle name="Normal 32 5 9" xfId="3929" xr:uid="{00000000-0005-0000-0000-00005E0F0000}"/>
    <cellStyle name="Normal 32 6" xfId="3930" xr:uid="{00000000-0005-0000-0000-00005F0F0000}"/>
    <cellStyle name="Normal 32 6 10" xfId="3931" xr:uid="{00000000-0005-0000-0000-0000600F0000}"/>
    <cellStyle name="Normal 32 6 11" xfId="3932" xr:uid="{00000000-0005-0000-0000-0000610F0000}"/>
    <cellStyle name="Normal 32 6 12" xfId="3933" xr:uid="{00000000-0005-0000-0000-0000620F0000}"/>
    <cellStyle name="Normal 32 6 13" xfId="3934" xr:uid="{00000000-0005-0000-0000-0000630F0000}"/>
    <cellStyle name="Normal 32 6 2" xfId="3935" xr:uid="{00000000-0005-0000-0000-0000640F0000}"/>
    <cellStyle name="Normal 32 6 2 10" xfId="3936" xr:uid="{00000000-0005-0000-0000-0000650F0000}"/>
    <cellStyle name="Normal 32 6 2 11" xfId="3937" xr:uid="{00000000-0005-0000-0000-0000660F0000}"/>
    <cellStyle name="Normal 32 6 2 2" xfId="3938" xr:uid="{00000000-0005-0000-0000-0000670F0000}"/>
    <cellStyle name="Normal 32 6 2 3" xfId="3939" xr:uid="{00000000-0005-0000-0000-0000680F0000}"/>
    <cellStyle name="Normal 32 6 2 4" xfId="3940" xr:uid="{00000000-0005-0000-0000-0000690F0000}"/>
    <cellStyle name="Normal 32 6 2 5" xfId="3941" xr:uid="{00000000-0005-0000-0000-00006A0F0000}"/>
    <cellStyle name="Normal 32 6 2 6" xfId="3942" xr:uid="{00000000-0005-0000-0000-00006B0F0000}"/>
    <cellStyle name="Normal 32 6 2 7" xfId="3943" xr:uid="{00000000-0005-0000-0000-00006C0F0000}"/>
    <cellStyle name="Normal 32 6 2 8" xfId="3944" xr:uid="{00000000-0005-0000-0000-00006D0F0000}"/>
    <cellStyle name="Normal 32 6 2 9" xfId="3945" xr:uid="{00000000-0005-0000-0000-00006E0F0000}"/>
    <cellStyle name="Normal 32 6 3" xfId="3946" xr:uid="{00000000-0005-0000-0000-00006F0F0000}"/>
    <cellStyle name="Normal 32 6 4" xfId="3947" xr:uid="{00000000-0005-0000-0000-0000700F0000}"/>
    <cellStyle name="Normal 32 6 5" xfId="3948" xr:uid="{00000000-0005-0000-0000-0000710F0000}"/>
    <cellStyle name="Normal 32 6 6" xfId="3949" xr:uid="{00000000-0005-0000-0000-0000720F0000}"/>
    <cellStyle name="Normal 32 6 7" xfId="3950" xr:uid="{00000000-0005-0000-0000-0000730F0000}"/>
    <cellStyle name="Normal 32 6 8" xfId="3951" xr:uid="{00000000-0005-0000-0000-0000740F0000}"/>
    <cellStyle name="Normal 32 6 9" xfId="3952" xr:uid="{00000000-0005-0000-0000-0000750F0000}"/>
    <cellStyle name="Normal 32 7" xfId="3953" xr:uid="{00000000-0005-0000-0000-0000760F0000}"/>
    <cellStyle name="Normal 32 7 10" xfId="3954" xr:uid="{00000000-0005-0000-0000-0000770F0000}"/>
    <cellStyle name="Normal 32 7 11" xfId="3955" xr:uid="{00000000-0005-0000-0000-0000780F0000}"/>
    <cellStyle name="Normal 32 7 12" xfId="3956" xr:uid="{00000000-0005-0000-0000-0000790F0000}"/>
    <cellStyle name="Normal 32 7 13" xfId="3957" xr:uid="{00000000-0005-0000-0000-00007A0F0000}"/>
    <cellStyle name="Normal 32 7 2" xfId="3958" xr:uid="{00000000-0005-0000-0000-00007B0F0000}"/>
    <cellStyle name="Normal 32 7 2 10" xfId="3959" xr:uid="{00000000-0005-0000-0000-00007C0F0000}"/>
    <cellStyle name="Normal 32 7 2 11" xfId="3960" xr:uid="{00000000-0005-0000-0000-00007D0F0000}"/>
    <cellStyle name="Normal 32 7 2 2" xfId="3961" xr:uid="{00000000-0005-0000-0000-00007E0F0000}"/>
    <cellStyle name="Normal 32 7 2 3" xfId="3962" xr:uid="{00000000-0005-0000-0000-00007F0F0000}"/>
    <cellStyle name="Normal 32 7 2 4" xfId="3963" xr:uid="{00000000-0005-0000-0000-0000800F0000}"/>
    <cellStyle name="Normal 32 7 2 5" xfId="3964" xr:uid="{00000000-0005-0000-0000-0000810F0000}"/>
    <cellStyle name="Normal 32 7 2 6" xfId="3965" xr:uid="{00000000-0005-0000-0000-0000820F0000}"/>
    <cellStyle name="Normal 32 7 2 7" xfId="3966" xr:uid="{00000000-0005-0000-0000-0000830F0000}"/>
    <cellStyle name="Normal 32 7 2 8" xfId="3967" xr:uid="{00000000-0005-0000-0000-0000840F0000}"/>
    <cellStyle name="Normal 32 7 2 9" xfId="3968" xr:uid="{00000000-0005-0000-0000-0000850F0000}"/>
    <cellStyle name="Normal 32 7 3" xfId="3969" xr:uid="{00000000-0005-0000-0000-0000860F0000}"/>
    <cellStyle name="Normal 32 7 4" xfId="3970" xr:uid="{00000000-0005-0000-0000-0000870F0000}"/>
    <cellStyle name="Normal 32 7 5" xfId="3971" xr:uid="{00000000-0005-0000-0000-0000880F0000}"/>
    <cellStyle name="Normal 32 7 6" xfId="3972" xr:uid="{00000000-0005-0000-0000-0000890F0000}"/>
    <cellStyle name="Normal 32 7 7" xfId="3973" xr:uid="{00000000-0005-0000-0000-00008A0F0000}"/>
    <cellStyle name="Normal 32 7 8" xfId="3974" xr:uid="{00000000-0005-0000-0000-00008B0F0000}"/>
    <cellStyle name="Normal 32 7 9" xfId="3975" xr:uid="{00000000-0005-0000-0000-00008C0F0000}"/>
    <cellStyle name="Normal 32 8" xfId="3976" xr:uid="{00000000-0005-0000-0000-00008D0F0000}"/>
    <cellStyle name="Normal 32 8 10" xfId="3977" xr:uid="{00000000-0005-0000-0000-00008E0F0000}"/>
    <cellStyle name="Normal 32 8 11" xfId="3978" xr:uid="{00000000-0005-0000-0000-00008F0F0000}"/>
    <cellStyle name="Normal 32 8 12" xfId="3979" xr:uid="{00000000-0005-0000-0000-0000900F0000}"/>
    <cellStyle name="Normal 32 8 13" xfId="3980" xr:uid="{00000000-0005-0000-0000-0000910F0000}"/>
    <cellStyle name="Normal 32 8 2" xfId="3981" xr:uid="{00000000-0005-0000-0000-0000920F0000}"/>
    <cellStyle name="Normal 32 8 2 10" xfId="3982" xr:uid="{00000000-0005-0000-0000-0000930F0000}"/>
    <cellStyle name="Normal 32 8 2 11" xfId="3983" xr:uid="{00000000-0005-0000-0000-0000940F0000}"/>
    <cellStyle name="Normal 32 8 2 2" xfId="3984" xr:uid="{00000000-0005-0000-0000-0000950F0000}"/>
    <cellStyle name="Normal 32 8 2 3" xfId="3985" xr:uid="{00000000-0005-0000-0000-0000960F0000}"/>
    <cellStyle name="Normal 32 8 2 4" xfId="3986" xr:uid="{00000000-0005-0000-0000-0000970F0000}"/>
    <cellStyle name="Normal 32 8 2 5" xfId="3987" xr:uid="{00000000-0005-0000-0000-0000980F0000}"/>
    <cellStyle name="Normal 32 8 2 6" xfId="3988" xr:uid="{00000000-0005-0000-0000-0000990F0000}"/>
    <cellStyle name="Normal 32 8 2 7" xfId="3989" xr:uid="{00000000-0005-0000-0000-00009A0F0000}"/>
    <cellStyle name="Normal 32 8 2 8" xfId="3990" xr:uid="{00000000-0005-0000-0000-00009B0F0000}"/>
    <cellStyle name="Normal 32 8 2 9" xfId="3991" xr:uid="{00000000-0005-0000-0000-00009C0F0000}"/>
    <cellStyle name="Normal 32 8 3" xfId="3992" xr:uid="{00000000-0005-0000-0000-00009D0F0000}"/>
    <cellStyle name="Normal 32 8 4" xfId="3993" xr:uid="{00000000-0005-0000-0000-00009E0F0000}"/>
    <cellStyle name="Normal 32 8 5" xfId="3994" xr:uid="{00000000-0005-0000-0000-00009F0F0000}"/>
    <cellStyle name="Normal 32 8 6" xfId="3995" xr:uid="{00000000-0005-0000-0000-0000A00F0000}"/>
    <cellStyle name="Normal 32 8 7" xfId="3996" xr:uid="{00000000-0005-0000-0000-0000A10F0000}"/>
    <cellStyle name="Normal 32 8 8" xfId="3997" xr:uid="{00000000-0005-0000-0000-0000A20F0000}"/>
    <cellStyle name="Normal 32 8 9" xfId="3998" xr:uid="{00000000-0005-0000-0000-0000A30F0000}"/>
    <cellStyle name="Normal 32 9" xfId="3999" xr:uid="{00000000-0005-0000-0000-0000A40F0000}"/>
    <cellStyle name="Normal 32 9 10" xfId="4000" xr:uid="{00000000-0005-0000-0000-0000A50F0000}"/>
    <cellStyle name="Normal 32 9 11" xfId="4001" xr:uid="{00000000-0005-0000-0000-0000A60F0000}"/>
    <cellStyle name="Normal 32 9 12" xfId="4002" xr:uid="{00000000-0005-0000-0000-0000A70F0000}"/>
    <cellStyle name="Normal 32 9 13" xfId="4003" xr:uid="{00000000-0005-0000-0000-0000A80F0000}"/>
    <cellStyle name="Normal 32 9 2" xfId="4004" xr:uid="{00000000-0005-0000-0000-0000A90F0000}"/>
    <cellStyle name="Normal 32 9 2 10" xfId="4005" xr:uid="{00000000-0005-0000-0000-0000AA0F0000}"/>
    <cellStyle name="Normal 32 9 2 11" xfId="4006" xr:uid="{00000000-0005-0000-0000-0000AB0F0000}"/>
    <cellStyle name="Normal 32 9 2 2" xfId="4007" xr:uid="{00000000-0005-0000-0000-0000AC0F0000}"/>
    <cellStyle name="Normal 32 9 2 3" xfId="4008" xr:uid="{00000000-0005-0000-0000-0000AD0F0000}"/>
    <cellStyle name="Normal 32 9 2 4" xfId="4009" xr:uid="{00000000-0005-0000-0000-0000AE0F0000}"/>
    <cellStyle name="Normal 32 9 2 5" xfId="4010" xr:uid="{00000000-0005-0000-0000-0000AF0F0000}"/>
    <cellStyle name="Normal 32 9 2 6" xfId="4011" xr:uid="{00000000-0005-0000-0000-0000B00F0000}"/>
    <cellStyle name="Normal 32 9 2 7" xfId="4012" xr:uid="{00000000-0005-0000-0000-0000B10F0000}"/>
    <cellStyle name="Normal 32 9 2 8" xfId="4013" xr:uid="{00000000-0005-0000-0000-0000B20F0000}"/>
    <cellStyle name="Normal 32 9 2 9" xfId="4014" xr:uid="{00000000-0005-0000-0000-0000B30F0000}"/>
    <cellStyle name="Normal 32 9 3" xfId="4015" xr:uid="{00000000-0005-0000-0000-0000B40F0000}"/>
    <cellStyle name="Normal 32 9 4" xfId="4016" xr:uid="{00000000-0005-0000-0000-0000B50F0000}"/>
    <cellStyle name="Normal 32 9 5" xfId="4017" xr:uid="{00000000-0005-0000-0000-0000B60F0000}"/>
    <cellStyle name="Normal 32 9 6" xfId="4018" xr:uid="{00000000-0005-0000-0000-0000B70F0000}"/>
    <cellStyle name="Normal 32 9 7" xfId="4019" xr:uid="{00000000-0005-0000-0000-0000B80F0000}"/>
    <cellStyle name="Normal 32 9 8" xfId="4020" xr:uid="{00000000-0005-0000-0000-0000B90F0000}"/>
    <cellStyle name="Normal 32 9 9" xfId="4021" xr:uid="{00000000-0005-0000-0000-0000BA0F0000}"/>
    <cellStyle name="Normal 33" xfId="4022" xr:uid="{00000000-0005-0000-0000-0000BB0F0000}"/>
    <cellStyle name="Normal 33 10" xfId="4023" xr:uid="{00000000-0005-0000-0000-0000BC0F0000}"/>
    <cellStyle name="Normal 33 10 10" xfId="4024" xr:uid="{00000000-0005-0000-0000-0000BD0F0000}"/>
    <cellStyle name="Normal 33 10 11" xfId="4025" xr:uid="{00000000-0005-0000-0000-0000BE0F0000}"/>
    <cellStyle name="Normal 33 10 12" xfId="4026" xr:uid="{00000000-0005-0000-0000-0000BF0F0000}"/>
    <cellStyle name="Normal 33 10 13" xfId="4027" xr:uid="{00000000-0005-0000-0000-0000C00F0000}"/>
    <cellStyle name="Normal 33 10 2" xfId="4028" xr:uid="{00000000-0005-0000-0000-0000C10F0000}"/>
    <cellStyle name="Normal 33 10 2 10" xfId="4029" xr:uid="{00000000-0005-0000-0000-0000C20F0000}"/>
    <cellStyle name="Normal 33 10 2 11" xfId="4030" xr:uid="{00000000-0005-0000-0000-0000C30F0000}"/>
    <cellStyle name="Normal 33 10 2 2" xfId="4031" xr:uid="{00000000-0005-0000-0000-0000C40F0000}"/>
    <cellStyle name="Normal 33 10 2 3" xfId="4032" xr:uid="{00000000-0005-0000-0000-0000C50F0000}"/>
    <cellStyle name="Normal 33 10 2 4" xfId="4033" xr:uid="{00000000-0005-0000-0000-0000C60F0000}"/>
    <cellStyle name="Normal 33 10 2 5" xfId="4034" xr:uid="{00000000-0005-0000-0000-0000C70F0000}"/>
    <cellStyle name="Normal 33 10 2 6" xfId="4035" xr:uid="{00000000-0005-0000-0000-0000C80F0000}"/>
    <cellStyle name="Normal 33 10 2 7" xfId="4036" xr:uid="{00000000-0005-0000-0000-0000C90F0000}"/>
    <cellStyle name="Normal 33 10 2 8" xfId="4037" xr:uid="{00000000-0005-0000-0000-0000CA0F0000}"/>
    <cellStyle name="Normal 33 10 2 9" xfId="4038" xr:uid="{00000000-0005-0000-0000-0000CB0F0000}"/>
    <cellStyle name="Normal 33 10 3" xfId="4039" xr:uid="{00000000-0005-0000-0000-0000CC0F0000}"/>
    <cellStyle name="Normal 33 10 4" xfId="4040" xr:uid="{00000000-0005-0000-0000-0000CD0F0000}"/>
    <cellStyle name="Normal 33 10 5" xfId="4041" xr:uid="{00000000-0005-0000-0000-0000CE0F0000}"/>
    <cellStyle name="Normal 33 10 6" xfId="4042" xr:uid="{00000000-0005-0000-0000-0000CF0F0000}"/>
    <cellStyle name="Normal 33 10 7" xfId="4043" xr:uid="{00000000-0005-0000-0000-0000D00F0000}"/>
    <cellStyle name="Normal 33 10 8" xfId="4044" xr:uid="{00000000-0005-0000-0000-0000D10F0000}"/>
    <cellStyle name="Normal 33 10 9" xfId="4045" xr:uid="{00000000-0005-0000-0000-0000D20F0000}"/>
    <cellStyle name="Normal 33 11" xfId="4046" xr:uid="{00000000-0005-0000-0000-0000D30F0000}"/>
    <cellStyle name="Normal 33 11 10" xfId="4047" xr:uid="{00000000-0005-0000-0000-0000D40F0000}"/>
    <cellStyle name="Normal 33 11 11" xfId="4048" xr:uid="{00000000-0005-0000-0000-0000D50F0000}"/>
    <cellStyle name="Normal 33 11 12" xfId="4049" xr:uid="{00000000-0005-0000-0000-0000D60F0000}"/>
    <cellStyle name="Normal 33 11 13" xfId="4050" xr:uid="{00000000-0005-0000-0000-0000D70F0000}"/>
    <cellStyle name="Normal 33 11 2" xfId="4051" xr:uid="{00000000-0005-0000-0000-0000D80F0000}"/>
    <cellStyle name="Normal 33 11 2 10" xfId="4052" xr:uid="{00000000-0005-0000-0000-0000D90F0000}"/>
    <cellStyle name="Normal 33 11 2 11" xfId="4053" xr:uid="{00000000-0005-0000-0000-0000DA0F0000}"/>
    <cellStyle name="Normal 33 11 2 2" xfId="4054" xr:uid="{00000000-0005-0000-0000-0000DB0F0000}"/>
    <cellStyle name="Normal 33 11 2 3" xfId="4055" xr:uid="{00000000-0005-0000-0000-0000DC0F0000}"/>
    <cellStyle name="Normal 33 11 2 4" xfId="4056" xr:uid="{00000000-0005-0000-0000-0000DD0F0000}"/>
    <cellStyle name="Normal 33 11 2 5" xfId="4057" xr:uid="{00000000-0005-0000-0000-0000DE0F0000}"/>
    <cellStyle name="Normal 33 11 2 6" xfId="4058" xr:uid="{00000000-0005-0000-0000-0000DF0F0000}"/>
    <cellStyle name="Normal 33 11 2 7" xfId="4059" xr:uid="{00000000-0005-0000-0000-0000E00F0000}"/>
    <cellStyle name="Normal 33 11 2 8" xfId="4060" xr:uid="{00000000-0005-0000-0000-0000E10F0000}"/>
    <cellStyle name="Normal 33 11 2 9" xfId="4061" xr:uid="{00000000-0005-0000-0000-0000E20F0000}"/>
    <cellStyle name="Normal 33 11 3" xfId="4062" xr:uid="{00000000-0005-0000-0000-0000E30F0000}"/>
    <cellStyle name="Normal 33 11 4" xfId="4063" xr:uid="{00000000-0005-0000-0000-0000E40F0000}"/>
    <cellStyle name="Normal 33 11 5" xfId="4064" xr:uid="{00000000-0005-0000-0000-0000E50F0000}"/>
    <cellStyle name="Normal 33 11 6" xfId="4065" xr:uid="{00000000-0005-0000-0000-0000E60F0000}"/>
    <cellStyle name="Normal 33 11 7" xfId="4066" xr:uid="{00000000-0005-0000-0000-0000E70F0000}"/>
    <cellStyle name="Normal 33 11 8" xfId="4067" xr:uid="{00000000-0005-0000-0000-0000E80F0000}"/>
    <cellStyle name="Normal 33 11 9" xfId="4068" xr:uid="{00000000-0005-0000-0000-0000E90F0000}"/>
    <cellStyle name="Normal 33 12" xfId="4069" xr:uid="{00000000-0005-0000-0000-0000EA0F0000}"/>
    <cellStyle name="Normal 33 12 10" xfId="4070" xr:uid="{00000000-0005-0000-0000-0000EB0F0000}"/>
    <cellStyle name="Normal 33 12 11" xfId="4071" xr:uid="{00000000-0005-0000-0000-0000EC0F0000}"/>
    <cellStyle name="Normal 33 12 12" xfId="4072" xr:uid="{00000000-0005-0000-0000-0000ED0F0000}"/>
    <cellStyle name="Normal 33 12 13" xfId="4073" xr:uid="{00000000-0005-0000-0000-0000EE0F0000}"/>
    <cellStyle name="Normal 33 12 2" xfId="4074" xr:uid="{00000000-0005-0000-0000-0000EF0F0000}"/>
    <cellStyle name="Normal 33 12 2 10" xfId="4075" xr:uid="{00000000-0005-0000-0000-0000F00F0000}"/>
    <cellStyle name="Normal 33 12 2 11" xfId="4076" xr:uid="{00000000-0005-0000-0000-0000F10F0000}"/>
    <cellStyle name="Normal 33 12 2 2" xfId="4077" xr:uid="{00000000-0005-0000-0000-0000F20F0000}"/>
    <cellStyle name="Normal 33 12 2 3" xfId="4078" xr:uid="{00000000-0005-0000-0000-0000F30F0000}"/>
    <cellStyle name="Normal 33 12 2 4" xfId="4079" xr:uid="{00000000-0005-0000-0000-0000F40F0000}"/>
    <cellStyle name="Normal 33 12 2 5" xfId="4080" xr:uid="{00000000-0005-0000-0000-0000F50F0000}"/>
    <cellStyle name="Normal 33 12 2 6" xfId="4081" xr:uid="{00000000-0005-0000-0000-0000F60F0000}"/>
    <cellStyle name="Normal 33 12 2 7" xfId="4082" xr:uid="{00000000-0005-0000-0000-0000F70F0000}"/>
    <cellStyle name="Normal 33 12 2 8" xfId="4083" xr:uid="{00000000-0005-0000-0000-0000F80F0000}"/>
    <cellStyle name="Normal 33 12 2 9" xfId="4084" xr:uid="{00000000-0005-0000-0000-0000F90F0000}"/>
    <cellStyle name="Normal 33 12 3" xfId="4085" xr:uid="{00000000-0005-0000-0000-0000FA0F0000}"/>
    <cellStyle name="Normal 33 12 4" xfId="4086" xr:uid="{00000000-0005-0000-0000-0000FB0F0000}"/>
    <cellStyle name="Normal 33 12 5" xfId="4087" xr:uid="{00000000-0005-0000-0000-0000FC0F0000}"/>
    <cellStyle name="Normal 33 12 6" xfId="4088" xr:uid="{00000000-0005-0000-0000-0000FD0F0000}"/>
    <cellStyle name="Normal 33 12 7" xfId="4089" xr:uid="{00000000-0005-0000-0000-0000FE0F0000}"/>
    <cellStyle name="Normal 33 12 8" xfId="4090" xr:uid="{00000000-0005-0000-0000-0000FF0F0000}"/>
    <cellStyle name="Normal 33 12 9" xfId="4091" xr:uid="{00000000-0005-0000-0000-000000100000}"/>
    <cellStyle name="Normal 33 13" xfId="4092" xr:uid="{00000000-0005-0000-0000-000001100000}"/>
    <cellStyle name="Normal 33 13 10" xfId="4093" xr:uid="{00000000-0005-0000-0000-000002100000}"/>
    <cellStyle name="Normal 33 13 11" xfId="4094" xr:uid="{00000000-0005-0000-0000-000003100000}"/>
    <cellStyle name="Normal 33 13 12" xfId="4095" xr:uid="{00000000-0005-0000-0000-000004100000}"/>
    <cellStyle name="Normal 33 13 13" xfId="4096" xr:uid="{00000000-0005-0000-0000-000005100000}"/>
    <cellStyle name="Normal 33 13 2" xfId="4097" xr:uid="{00000000-0005-0000-0000-000006100000}"/>
    <cellStyle name="Normal 33 13 2 10" xfId="4098" xr:uid="{00000000-0005-0000-0000-000007100000}"/>
    <cellStyle name="Normal 33 13 2 11" xfId="4099" xr:uid="{00000000-0005-0000-0000-000008100000}"/>
    <cellStyle name="Normal 33 13 2 2" xfId="4100" xr:uid="{00000000-0005-0000-0000-000009100000}"/>
    <cellStyle name="Normal 33 13 2 3" xfId="4101" xr:uid="{00000000-0005-0000-0000-00000A100000}"/>
    <cellStyle name="Normal 33 13 2 4" xfId="4102" xr:uid="{00000000-0005-0000-0000-00000B100000}"/>
    <cellStyle name="Normal 33 13 2 5" xfId="4103" xr:uid="{00000000-0005-0000-0000-00000C100000}"/>
    <cellStyle name="Normal 33 13 2 6" xfId="4104" xr:uid="{00000000-0005-0000-0000-00000D100000}"/>
    <cellStyle name="Normal 33 13 2 7" xfId="4105" xr:uid="{00000000-0005-0000-0000-00000E100000}"/>
    <cellStyle name="Normal 33 13 2 8" xfId="4106" xr:uid="{00000000-0005-0000-0000-00000F100000}"/>
    <cellStyle name="Normal 33 13 2 9" xfId="4107" xr:uid="{00000000-0005-0000-0000-000010100000}"/>
    <cellStyle name="Normal 33 13 3" xfId="4108" xr:uid="{00000000-0005-0000-0000-000011100000}"/>
    <cellStyle name="Normal 33 13 4" xfId="4109" xr:uid="{00000000-0005-0000-0000-000012100000}"/>
    <cellStyle name="Normal 33 13 5" xfId="4110" xr:uid="{00000000-0005-0000-0000-000013100000}"/>
    <cellStyle name="Normal 33 13 6" xfId="4111" xr:uid="{00000000-0005-0000-0000-000014100000}"/>
    <cellStyle name="Normal 33 13 7" xfId="4112" xr:uid="{00000000-0005-0000-0000-000015100000}"/>
    <cellStyle name="Normal 33 13 8" xfId="4113" xr:uid="{00000000-0005-0000-0000-000016100000}"/>
    <cellStyle name="Normal 33 13 9" xfId="4114" xr:uid="{00000000-0005-0000-0000-000017100000}"/>
    <cellStyle name="Normal 33 14" xfId="4115" xr:uid="{00000000-0005-0000-0000-000018100000}"/>
    <cellStyle name="Normal 33 14 10" xfId="4116" xr:uid="{00000000-0005-0000-0000-000019100000}"/>
    <cellStyle name="Normal 33 14 11" xfId="4117" xr:uid="{00000000-0005-0000-0000-00001A100000}"/>
    <cellStyle name="Normal 33 14 2" xfId="4118" xr:uid="{00000000-0005-0000-0000-00001B100000}"/>
    <cellStyle name="Normal 33 14 3" xfId="4119" xr:uid="{00000000-0005-0000-0000-00001C100000}"/>
    <cellStyle name="Normal 33 14 4" xfId="4120" xr:uid="{00000000-0005-0000-0000-00001D100000}"/>
    <cellStyle name="Normal 33 14 5" xfId="4121" xr:uid="{00000000-0005-0000-0000-00001E100000}"/>
    <cellStyle name="Normal 33 14 6" xfId="4122" xr:uid="{00000000-0005-0000-0000-00001F100000}"/>
    <cellStyle name="Normal 33 14 7" xfId="4123" xr:uid="{00000000-0005-0000-0000-000020100000}"/>
    <cellStyle name="Normal 33 14 8" xfId="4124" xr:uid="{00000000-0005-0000-0000-000021100000}"/>
    <cellStyle name="Normal 33 14 9" xfId="4125" xr:uid="{00000000-0005-0000-0000-000022100000}"/>
    <cellStyle name="Normal 33 15" xfId="4126" xr:uid="{00000000-0005-0000-0000-000023100000}"/>
    <cellStyle name="Normal 33 16" xfId="4127" xr:uid="{00000000-0005-0000-0000-000024100000}"/>
    <cellStyle name="Normal 33 17" xfId="4128" xr:uid="{00000000-0005-0000-0000-000025100000}"/>
    <cellStyle name="Normal 33 18" xfId="4129" xr:uid="{00000000-0005-0000-0000-000026100000}"/>
    <cellStyle name="Normal 33 19" xfId="4130" xr:uid="{00000000-0005-0000-0000-000027100000}"/>
    <cellStyle name="Normal 33 2" xfId="4131" xr:uid="{00000000-0005-0000-0000-000028100000}"/>
    <cellStyle name="Normal 33 2 10" xfId="4132" xr:uid="{00000000-0005-0000-0000-000029100000}"/>
    <cellStyle name="Normal 33 2 11" xfId="4133" xr:uid="{00000000-0005-0000-0000-00002A100000}"/>
    <cellStyle name="Normal 33 2 12" xfId="4134" xr:uid="{00000000-0005-0000-0000-00002B100000}"/>
    <cellStyle name="Normal 33 2 13" xfId="4135" xr:uid="{00000000-0005-0000-0000-00002C100000}"/>
    <cellStyle name="Normal 33 2 2" xfId="4136" xr:uid="{00000000-0005-0000-0000-00002D100000}"/>
    <cellStyle name="Normal 33 2 2 10" xfId="4137" xr:uid="{00000000-0005-0000-0000-00002E100000}"/>
    <cellStyle name="Normal 33 2 2 11" xfId="4138" xr:uid="{00000000-0005-0000-0000-00002F100000}"/>
    <cellStyle name="Normal 33 2 2 2" xfId="4139" xr:uid="{00000000-0005-0000-0000-000030100000}"/>
    <cellStyle name="Normal 33 2 2 3" xfId="4140" xr:uid="{00000000-0005-0000-0000-000031100000}"/>
    <cellStyle name="Normal 33 2 2 4" xfId="4141" xr:uid="{00000000-0005-0000-0000-000032100000}"/>
    <cellStyle name="Normal 33 2 2 5" xfId="4142" xr:uid="{00000000-0005-0000-0000-000033100000}"/>
    <cellStyle name="Normal 33 2 2 6" xfId="4143" xr:uid="{00000000-0005-0000-0000-000034100000}"/>
    <cellStyle name="Normal 33 2 2 7" xfId="4144" xr:uid="{00000000-0005-0000-0000-000035100000}"/>
    <cellStyle name="Normal 33 2 2 8" xfId="4145" xr:uid="{00000000-0005-0000-0000-000036100000}"/>
    <cellStyle name="Normal 33 2 2 9" xfId="4146" xr:uid="{00000000-0005-0000-0000-000037100000}"/>
    <cellStyle name="Normal 33 2 3" xfId="4147" xr:uid="{00000000-0005-0000-0000-000038100000}"/>
    <cellStyle name="Normal 33 2 4" xfId="4148" xr:uid="{00000000-0005-0000-0000-000039100000}"/>
    <cellStyle name="Normal 33 2 5" xfId="4149" xr:uid="{00000000-0005-0000-0000-00003A100000}"/>
    <cellStyle name="Normal 33 2 6" xfId="4150" xr:uid="{00000000-0005-0000-0000-00003B100000}"/>
    <cellStyle name="Normal 33 2 7" xfId="4151" xr:uid="{00000000-0005-0000-0000-00003C100000}"/>
    <cellStyle name="Normal 33 2 8" xfId="4152" xr:uid="{00000000-0005-0000-0000-00003D100000}"/>
    <cellStyle name="Normal 33 2 9" xfId="4153" xr:uid="{00000000-0005-0000-0000-00003E100000}"/>
    <cellStyle name="Normal 33 20" xfId="4154" xr:uid="{00000000-0005-0000-0000-00003F100000}"/>
    <cellStyle name="Normal 33 21" xfId="4155" xr:uid="{00000000-0005-0000-0000-000040100000}"/>
    <cellStyle name="Normal 33 22" xfId="4156" xr:uid="{00000000-0005-0000-0000-000041100000}"/>
    <cellStyle name="Normal 33 23" xfId="4157" xr:uid="{00000000-0005-0000-0000-000042100000}"/>
    <cellStyle name="Normal 33 24" xfId="4158" xr:uid="{00000000-0005-0000-0000-000043100000}"/>
    <cellStyle name="Normal 33 25" xfId="4159" xr:uid="{00000000-0005-0000-0000-000044100000}"/>
    <cellStyle name="Normal 33 3" xfId="4160" xr:uid="{00000000-0005-0000-0000-000045100000}"/>
    <cellStyle name="Normal 33 3 10" xfId="4161" xr:uid="{00000000-0005-0000-0000-000046100000}"/>
    <cellStyle name="Normal 33 3 11" xfId="4162" xr:uid="{00000000-0005-0000-0000-000047100000}"/>
    <cellStyle name="Normal 33 3 12" xfId="4163" xr:uid="{00000000-0005-0000-0000-000048100000}"/>
    <cellStyle name="Normal 33 3 13" xfId="4164" xr:uid="{00000000-0005-0000-0000-000049100000}"/>
    <cellStyle name="Normal 33 3 2" xfId="4165" xr:uid="{00000000-0005-0000-0000-00004A100000}"/>
    <cellStyle name="Normal 33 3 2 10" xfId="4166" xr:uid="{00000000-0005-0000-0000-00004B100000}"/>
    <cellStyle name="Normal 33 3 2 11" xfId="4167" xr:uid="{00000000-0005-0000-0000-00004C100000}"/>
    <cellStyle name="Normal 33 3 2 2" xfId="4168" xr:uid="{00000000-0005-0000-0000-00004D100000}"/>
    <cellStyle name="Normal 33 3 2 3" xfId="4169" xr:uid="{00000000-0005-0000-0000-00004E100000}"/>
    <cellStyle name="Normal 33 3 2 4" xfId="4170" xr:uid="{00000000-0005-0000-0000-00004F100000}"/>
    <cellStyle name="Normal 33 3 2 5" xfId="4171" xr:uid="{00000000-0005-0000-0000-000050100000}"/>
    <cellStyle name="Normal 33 3 2 6" xfId="4172" xr:uid="{00000000-0005-0000-0000-000051100000}"/>
    <cellStyle name="Normal 33 3 2 7" xfId="4173" xr:uid="{00000000-0005-0000-0000-000052100000}"/>
    <cellStyle name="Normal 33 3 2 8" xfId="4174" xr:uid="{00000000-0005-0000-0000-000053100000}"/>
    <cellStyle name="Normal 33 3 2 9" xfId="4175" xr:uid="{00000000-0005-0000-0000-000054100000}"/>
    <cellStyle name="Normal 33 3 3" xfId="4176" xr:uid="{00000000-0005-0000-0000-000055100000}"/>
    <cellStyle name="Normal 33 3 4" xfId="4177" xr:uid="{00000000-0005-0000-0000-000056100000}"/>
    <cellStyle name="Normal 33 3 5" xfId="4178" xr:uid="{00000000-0005-0000-0000-000057100000}"/>
    <cellStyle name="Normal 33 3 6" xfId="4179" xr:uid="{00000000-0005-0000-0000-000058100000}"/>
    <cellStyle name="Normal 33 3 7" xfId="4180" xr:uid="{00000000-0005-0000-0000-000059100000}"/>
    <cellStyle name="Normal 33 3 8" xfId="4181" xr:uid="{00000000-0005-0000-0000-00005A100000}"/>
    <cellStyle name="Normal 33 3 9" xfId="4182" xr:uid="{00000000-0005-0000-0000-00005B100000}"/>
    <cellStyle name="Normal 33 4" xfId="4183" xr:uid="{00000000-0005-0000-0000-00005C100000}"/>
    <cellStyle name="Normal 33 4 10" xfId="4184" xr:uid="{00000000-0005-0000-0000-00005D100000}"/>
    <cellStyle name="Normal 33 4 11" xfId="4185" xr:uid="{00000000-0005-0000-0000-00005E100000}"/>
    <cellStyle name="Normal 33 4 12" xfId="4186" xr:uid="{00000000-0005-0000-0000-00005F100000}"/>
    <cellStyle name="Normal 33 4 13" xfId="4187" xr:uid="{00000000-0005-0000-0000-000060100000}"/>
    <cellStyle name="Normal 33 4 2" xfId="4188" xr:uid="{00000000-0005-0000-0000-000061100000}"/>
    <cellStyle name="Normal 33 4 2 10" xfId="4189" xr:uid="{00000000-0005-0000-0000-000062100000}"/>
    <cellStyle name="Normal 33 4 2 11" xfId="4190" xr:uid="{00000000-0005-0000-0000-000063100000}"/>
    <cellStyle name="Normal 33 4 2 2" xfId="4191" xr:uid="{00000000-0005-0000-0000-000064100000}"/>
    <cellStyle name="Normal 33 4 2 3" xfId="4192" xr:uid="{00000000-0005-0000-0000-000065100000}"/>
    <cellStyle name="Normal 33 4 2 4" xfId="4193" xr:uid="{00000000-0005-0000-0000-000066100000}"/>
    <cellStyle name="Normal 33 4 2 5" xfId="4194" xr:uid="{00000000-0005-0000-0000-000067100000}"/>
    <cellStyle name="Normal 33 4 2 6" xfId="4195" xr:uid="{00000000-0005-0000-0000-000068100000}"/>
    <cellStyle name="Normal 33 4 2 7" xfId="4196" xr:uid="{00000000-0005-0000-0000-000069100000}"/>
    <cellStyle name="Normal 33 4 2 8" xfId="4197" xr:uid="{00000000-0005-0000-0000-00006A100000}"/>
    <cellStyle name="Normal 33 4 2 9" xfId="4198" xr:uid="{00000000-0005-0000-0000-00006B100000}"/>
    <cellStyle name="Normal 33 4 3" xfId="4199" xr:uid="{00000000-0005-0000-0000-00006C100000}"/>
    <cellStyle name="Normal 33 4 4" xfId="4200" xr:uid="{00000000-0005-0000-0000-00006D100000}"/>
    <cellStyle name="Normal 33 4 5" xfId="4201" xr:uid="{00000000-0005-0000-0000-00006E100000}"/>
    <cellStyle name="Normal 33 4 6" xfId="4202" xr:uid="{00000000-0005-0000-0000-00006F100000}"/>
    <cellStyle name="Normal 33 4 7" xfId="4203" xr:uid="{00000000-0005-0000-0000-000070100000}"/>
    <cellStyle name="Normal 33 4 8" xfId="4204" xr:uid="{00000000-0005-0000-0000-000071100000}"/>
    <cellStyle name="Normal 33 4 9" xfId="4205" xr:uid="{00000000-0005-0000-0000-000072100000}"/>
    <cellStyle name="Normal 33 5" xfId="4206" xr:uid="{00000000-0005-0000-0000-000073100000}"/>
    <cellStyle name="Normal 33 5 10" xfId="4207" xr:uid="{00000000-0005-0000-0000-000074100000}"/>
    <cellStyle name="Normal 33 5 11" xfId="4208" xr:uid="{00000000-0005-0000-0000-000075100000}"/>
    <cellStyle name="Normal 33 5 12" xfId="4209" xr:uid="{00000000-0005-0000-0000-000076100000}"/>
    <cellStyle name="Normal 33 5 13" xfId="4210" xr:uid="{00000000-0005-0000-0000-000077100000}"/>
    <cellStyle name="Normal 33 5 2" xfId="4211" xr:uid="{00000000-0005-0000-0000-000078100000}"/>
    <cellStyle name="Normal 33 5 2 10" xfId="4212" xr:uid="{00000000-0005-0000-0000-000079100000}"/>
    <cellStyle name="Normal 33 5 2 11" xfId="4213" xr:uid="{00000000-0005-0000-0000-00007A100000}"/>
    <cellStyle name="Normal 33 5 2 2" xfId="4214" xr:uid="{00000000-0005-0000-0000-00007B100000}"/>
    <cellStyle name="Normal 33 5 2 3" xfId="4215" xr:uid="{00000000-0005-0000-0000-00007C100000}"/>
    <cellStyle name="Normal 33 5 2 4" xfId="4216" xr:uid="{00000000-0005-0000-0000-00007D100000}"/>
    <cellStyle name="Normal 33 5 2 5" xfId="4217" xr:uid="{00000000-0005-0000-0000-00007E100000}"/>
    <cellStyle name="Normal 33 5 2 6" xfId="4218" xr:uid="{00000000-0005-0000-0000-00007F100000}"/>
    <cellStyle name="Normal 33 5 2 7" xfId="4219" xr:uid="{00000000-0005-0000-0000-000080100000}"/>
    <cellStyle name="Normal 33 5 2 8" xfId="4220" xr:uid="{00000000-0005-0000-0000-000081100000}"/>
    <cellStyle name="Normal 33 5 2 9" xfId="4221" xr:uid="{00000000-0005-0000-0000-000082100000}"/>
    <cellStyle name="Normal 33 5 3" xfId="4222" xr:uid="{00000000-0005-0000-0000-000083100000}"/>
    <cellStyle name="Normal 33 5 4" xfId="4223" xr:uid="{00000000-0005-0000-0000-000084100000}"/>
    <cellStyle name="Normal 33 5 5" xfId="4224" xr:uid="{00000000-0005-0000-0000-000085100000}"/>
    <cellStyle name="Normal 33 5 6" xfId="4225" xr:uid="{00000000-0005-0000-0000-000086100000}"/>
    <cellStyle name="Normal 33 5 7" xfId="4226" xr:uid="{00000000-0005-0000-0000-000087100000}"/>
    <cellStyle name="Normal 33 5 8" xfId="4227" xr:uid="{00000000-0005-0000-0000-000088100000}"/>
    <cellStyle name="Normal 33 5 9" xfId="4228" xr:uid="{00000000-0005-0000-0000-000089100000}"/>
    <cellStyle name="Normal 33 6" xfId="4229" xr:uid="{00000000-0005-0000-0000-00008A100000}"/>
    <cellStyle name="Normal 33 6 10" xfId="4230" xr:uid="{00000000-0005-0000-0000-00008B100000}"/>
    <cellStyle name="Normal 33 6 11" xfId="4231" xr:uid="{00000000-0005-0000-0000-00008C100000}"/>
    <cellStyle name="Normal 33 6 12" xfId="4232" xr:uid="{00000000-0005-0000-0000-00008D100000}"/>
    <cellStyle name="Normal 33 6 13" xfId="4233" xr:uid="{00000000-0005-0000-0000-00008E100000}"/>
    <cellStyle name="Normal 33 6 2" xfId="4234" xr:uid="{00000000-0005-0000-0000-00008F100000}"/>
    <cellStyle name="Normal 33 6 2 10" xfId="4235" xr:uid="{00000000-0005-0000-0000-000090100000}"/>
    <cellStyle name="Normal 33 6 2 11" xfId="4236" xr:uid="{00000000-0005-0000-0000-000091100000}"/>
    <cellStyle name="Normal 33 6 2 2" xfId="4237" xr:uid="{00000000-0005-0000-0000-000092100000}"/>
    <cellStyle name="Normal 33 6 2 3" xfId="4238" xr:uid="{00000000-0005-0000-0000-000093100000}"/>
    <cellStyle name="Normal 33 6 2 4" xfId="4239" xr:uid="{00000000-0005-0000-0000-000094100000}"/>
    <cellStyle name="Normal 33 6 2 5" xfId="4240" xr:uid="{00000000-0005-0000-0000-000095100000}"/>
    <cellStyle name="Normal 33 6 2 6" xfId="4241" xr:uid="{00000000-0005-0000-0000-000096100000}"/>
    <cellStyle name="Normal 33 6 2 7" xfId="4242" xr:uid="{00000000-0005-0000-0000-000097100000}"/>
    <cellStyle name="Normal 33 6 2 8" xfId="4243" xr:uid="{00000000-0005-0000-0000-000098100000}"/>
    <cellStyle name="Normal 33 6 2 9" xfId="4244" xr:uid="{00000000-0005-0000-0000-000099100000}"/>
    <cellStyle name="Normal 33 6 3" xfId="4245" xr:uid="{00000000-0005-0000-0000-00009A100000}"/>
    <cellStyle name="Normal 33 6 4" xfId="4246" xr:uid="{00000000-0005-0000-0000-00009B100000}"/>
    <cellStyle name="Normal 33 6 5" xfId="4247" xr:uid="{00000000-0005-0000-0000-00009C100000}"/>
    <cellStyle name="Normal 33 6 6" xfId="4248" xr:uid="{00000000-0005-0000-0000-00009D100000}"/>
    <cellStyle name="Normal 33 6 7" xfId="4249" xr:uid="{00000000-0005-0000-0000-00009E100000}"/>
    <cellStyle name="Normal 33 6 8" xfId="4250" xr:uid="{00000000-0005-0000-0000-00009F100000}"/>
    <cellStyle name="Normal 33 6 9" xfId="4251" xr:uid="{00000000-0005-0000-0000-0000A0100000}"/>
    <cellStyle name="Normal 33 7" xfId="4252" xr:uid="{00000000-0005-0000-0000-0000A1100000}"/>
    <cellStyle name="Normal 33 7 10" xfId="4253" xr:uid="{00000000-0005-0000-0000-0000A2100000}"/>
    <cellStyle name="Normal 33 7 11" xfId="4254" xr:uid="{00000000-0005-0000-0000-0000A3100000}"/>
    <cellStyle name="Normal 33 7 12" xfId="4255" xr:uid="{00000000-0005-0000-0000-0000A4100000}"/>
    <cellStyle name="Normal 33 7 13" xfId="4256" xr:uid="{00000000-0005-0000-0000-0000A5100000}"/>
    <cellStyle name="Normal 33 7 2" xfId="4257" xr:uid="{00000000-0005-0000-0000-0000A6100000}"/>
    <cellStyle name="Normal 33 7 2 10" xfId="4258" xr:uid="{00000000-0005-0000-0000-0000A7100000}"/>
    <cellStyle name="Normal 33 7 2 11" xfId="4259" xr:uid="{00000000-0005-0000-0000-0000A8100000}"/>
    <cellStyle name="Normal 33 7 2 2" xfId="4260" xr:uid="{00000000-0005-0000-0000-0000A9100000}"/>
    <cellStyle name="Normal 33 7 2 3" xfId="4261" xr:uid="{00000000-0005-0000-0000-0000AA100000}"/>
    <cellStyle name="Normal 33 7 2 4" xfId="4262" xr:uid="{00000000-0005-0000-0000-0000AB100000}"/>
    <cellStyle name="Normal 33 7 2 5" xfId="4263" xr:uid="{00000000-0005-0000-0000-0000AC100000}"/>
    <cellStyle name="Normal 33 7 2 6" xfId="4264" xr:uid="{00000000-0005-0000-0000-0000AD100000}"/>
    <cellStyle name="Normal 33 7 2 7" xfId="4265" xr:uid="{00000000-0005-0000-0000-0000AE100000}"/>
    <cellStyle name="Normal 33 7 2 8" xfId="4266" xr:uid="{00000000-0005-0000-0000-0000AF100000}"/>
    <cellStyle name="Normal 33 7 2 9" xfId="4267" xr:uid="{00000000-0005-0000-0000-0000B0100000}"/>
    <cellStyle name="Normal 33 7 3" xfId="4268" xr:uid="{00000000-0005-0000-0000-0000B1100000}"/>
    <cellStyle name="Normal 33 7 4" xfId="4269" xr:uid="{00000000-0005-0000-0000-0000B2100000}"/>
    <cellStyle name="Normal 33 7 5" xfId="4270" xr:uid="{00000000-0005-0000-0000-0000B3100000}"/>
    <cellStyle name="Normal 33 7 6" xfId="4271" xr:uid="{00000000-0005-0000-0000-0000B4100000}"/>
    <cellStyle name="Normal 33 7 7" xfId="4272" xr:uid="{00000000-0005-0000-0000-0000B5100000}"/>
    <cellStyle name="Normal 33 7 8" xfId="4273" xr:uid="{00000000-0005-0000-0000-0000B6100000}"/>
    <cellStyle name="Normal 33 7 9" xfId="4274" xr:uid="{00000000-0005-0000-0000-0000B7100000}"/>
    <cellStyle name="Normal 33 8" xfId="4275" xr:uid="{00000000-0005-0000-0000-0000B8100000}"/>
    <cellStyle name="Normal 33 8 10" xfId="4276" xr:uid="{00000000-0005-0000-0000-0000B9100000}"/>
    <cellStyle name="Normal 33 8 11" xfId="4277" xr:uid="{00000000-0005-0000-0000-0000BA100000}"/>
    <cellStyle name="Normal 33 8 12" xfId="4278" xr:uid="{00000000-0005-0000-0000-0000BB100000}"/>
    <cellStyle name="Normal 33 8 13" xfId="4279" xr:uid="{00000000-0005-0000-0000-0000BC100000}"/>
    <cellStyle name="Normal 33 8 2" xfId="4280" xr:uid="{00000000-0005-0000-0000-0000BD100000}"/>
    <cellStyle name="Normal 33 8 2 10" xfId="4281" xr:uid="{00000000-0005-0000-0000-0000BE100000}"/>
    <cellStyle name="Normal 33 8 2 11" xfId="4282" xr:uid="{00000000-0005-0000-0000-0000BF100000}"/>
    <cellStyle name="Normal 33 8 2 2" xfId="4283" xr:uid="{00000000-0005-0000-0000-0000C0100000}"/>
    <cellStyle name="Normal 33 8 2 3" xfId="4284" xr:uid="{00000000-0005-0000-0000-0000C1100000}"/>
    <cellStyle name="Normal 33 8 2 4" xfId="4285" xr:uid="{00000000-0005-0000-0000-0000C2100000}"/>
    <cellStyle name="Normal 33 8 2 5" xfId="4286" xr:uid="{00000000-0005-0000-0000-0000C3100000}"/>
    <cellStyle name="Normal 33 8 2 6" xfId="4287" xr:uid="{00000000-0005-0000-0000-0000C4100000}"/>
    <cellStyle name="Normal 33 8 2 7" xfId="4288" xr:uid="{00000000-0005-0000-0000-0000C5100000}"/>
    <cellStyle name="Normal 33 8 2 8" xfId="4289" xr:uid="{00000000-0005-0000-0000-0000C6100000}"/>
    <cellStyle name="Normal 33 8 2 9" xfId="4290" xr:uid="{00000000-0005-0000-0000-0000C7100000}"/>
    <cellStyle name="Normal 33 8 3" xfId="4291" xr:uid="{00000000-0005-0000-0000-0000C8100000}"/>
    <cellStyle name="Normal 33 8 4" xfId="4292" xr:uid="{00000000-0005-0000-0000-0000C9100000}"/>
    <cellStyle name="Normal 33 8 5" xfId="4293" xr:uid="{00000000-0005-0000-0000-0000CA100000}"/>
    <cellStyle name="Normal 33 8 6" xfId="4294" xr:uid="{00000000-0005-0000-0000-0000CB100000}"/>
    <cellStyle name="Normal 33 8 7" xfId="4295" xr:uid="{00000000-0005-0000-0000-0000CC100000}"/>
    <cellStyle name="Normal 33 8 8" xfId="4296" xr:uid="{00000000-0005-0000-0000-0000CD100000}"/>
    <cellStyle name="Normal 33 8 9" xfId="4297" xr:uid="{00000000-0005-0000-0000-0000CE100000}"/>
    <cellStyle name="Normal 33 9" xfId="4298" xr:uid="{00000000-0005-0000-0000-0000CF100000}"/>
    <cellStyle name="Normal 33 9 10" xfId="4299" xr:uid="{00000000-0005-0000-0000-0000D0100000}"/>
    <cellStyle name="Normal 33 9 11" xfId="4300" xr:uid="{00000000-0005-0000-0000-0000D1100000}"/>
    <cellStyle name="Normal 33 9 12" xfId="4301" xr:uid="{00000000-0005-0000-0000-0000D2100000}"/>
    <cellStyle name="Normal 33 9 13" xfId="4302" xr:uid="{00000000-0005-0000-0000-0000D3100000}"/>
    <cellStyle name="Normal 33 9 2" xfId="4303" xr:uid="{00000000-0005-0000-0000-0000D4100000}"/>
    <cellStyle name="Normal 33 9 2 10" xfId="4304" xr:uid="{00000000-0005-0000-0000-0000D5100000}"/>
    <cellStyle name="Normal 33 9 2 11" xfId="4305" xr:uid="{00000000-0005-0000-0000-0000D6100000}"/>
    <cellStyle name="Normal 33 9 2 2" xfId="4306" xr:uid="{00000000-0005-0000-0000-0000D7100000}"/>
    <cellStyle name="Normal 33 9 2 3" xfId="4307" xr:uid="{00000000-0005-0000-0000-0000D8100000}"/>
    <cellStyle name="Normal 33 9 2 4" xfId="4308" xr:uid="{00000000-0005-0000-0000-0000D9100000}"/>
    <cellStyle name="Normal 33 9 2 5" xfId="4309" xr:uid="{00000000-0005-0000-0000-0000DA100000}"/>
    <cellStyle name="Normal 33 9 2 6" xfId="4310" xr:uid="{00000000-0005-0000-0000-0000DB100000}"/>
    <cellStyle name="Normal 33 9 2 7" xfId="4311" xr:uid="{00000000-0005-0000-0000-0000DC100000}"/>
    <cellStyle name="Normal 33 9 2 8" xfId="4312" xr:uid="{00000000-0005-0000-0000-0000DD100000}"/>
    <cellStyle name="Normal 33 9 2 9" xfId="4313" xr:uid="{00000000-0005-0000-0000-0000DE100000}"/>
    <cellStyle name="Normal 33 9 3" xfId="4314" xr:uid="{00000000-0005-0000-0000-0000DF100000}"/>
    <cellStyle name="Normal 33 9 4" xfId="4315" xr:uid="{00000000-0005-0000-0000-0000E0100000}"/>
    <cellStyle name="Normal 33 9 5" xfId="4316" xr:uid="{00000000-0005-0000-0000-0000E1100000}"/>
    <cellStyle name="Normal 33 9 6" xfId="4317" xr:uid="{00000000-0005-0000-0000-0000E2100000}"/>
    <cellStyle name="Normal 33 9 7" xfId="4318" xr:uid="{00000000-0005-0000-0000-0000E3100000}"/>
    <cellStyle name="Normal 33 9 8" xfId="4319" xr:uid="{00000000-0005-0000-0000-0000E4100000}"/>
    <cellStyle name="Normal 33 9 9" xfId="4320" xr:uid="{00000000-0005-0000-0000-0000E5100000}"/>
    <cellStyle name="Normal 34" xfId="4321" xr:uid="{00000000-0005-0000-0000-0000E6100000}"/>
    <cellStyle name="Normal 34 10" xfId="4322" xr:uid="{00000000-0005-0000-0000-0000E7100000}"/>
    <cellStyle name="Normal 34 10 10" xfId="4323" xr:uid="{00000000-0005-0000-0000-0000E8100000}"/>
    <cellStyle name="Normal 34 10 11" xfId="4324" xr:uid="{00000000-0005-0000-0000-0000E9100000}"/>
    <cellStyle name="Normal 34 10 12" xfId="4325" xr:uid="{00000000-0005-0000-0000-0000EA100000}"/>
    <cellStyle name="Normal 34 10 13" xfId="4326" xr:uid="{00000000-0005-0000-0000-0000EB100000}"/>
    <cellStyle name="Normal 34 10 2" xfId="4327" xr:uid="{00000000-0005-0000-0000-0000EC100000}"/>
    <cellStyle name="Normal 34 10 2 10" xfId="4328" xr:uid="{00000000-0005-0000-0000-0000ED100000}"/>
    <cellStyle name="Normal 34 10 2 11" xfId="4329" xr:uid="{00000000-0005-0000-0000-0000EE100000}"/>
    <cellStyle name="Normal 34 10 2 2" xfId="4330" xr:uid="{00000000-0005-0000-0000-0000EF100000}"/>
    <cellStyle name="Normal 34 10 2 3" xfId="4331" xr:uid="{00000000-0005-0000-0000-0000F0100000}"/>
    <cellStyle name="Normal 34 10 2 4" xfId="4332" xr:uid="{00000000-0005-0000-0000-0000F1100000}"/>
    <cellStyle name="Normal 34 10 2 5" xfId="4333" xr:uid="{00000000-0005-0000-0000-0000F2100000}"/>
    <cellStyle name="Normal 34 10 2 6" xfId="4334" xr:uid="{00000000-0005-0000-0000-0000F3100000}"/>
    <cellStyle name="Normal 34 10 2 7" xfId="4335" xr:uid="{00000000-0005-0000-0000-0000F4100000}"/>
    <cellStyle name="Normal 34 10 2 8" xfId="4336" xr:uid="{00000000-0005-0000-0000-0000F5100000}"/>
    <cellStyle name="Normal 34 10 2 9" xfId="4337" xr:uid="{00000000-0005-0000-0000-0000F6100000}"/>
    <cellStyle name="Normal 34 10 3" xfId="4338" xr:uid="{00000000-0005-0000-0000-0000F7100000}"/>
    <cellStyle name="Normal 34 10 4" xfId="4339" xr:uid="{00000000-0005-0000-0000-0000F8100000}"/>
    <cellStyle name="Normal 34 10 5" xfId="4340" xr:uid="{00000000-0005-0000-0000-0000F9100000}"/>
    <cellStyle name="Normal 34 10 6" xfId="4341" xr:uid="{00000000-0005-0000-0000-0000FA100000}"/>
    <cellStyle name="Normal 34 10 7" xfId="4342" xr:uid="{00000000-0005-0000-0000-0000FB100000}"/>
    <cellStyle name="Normal 34 10 8" xfId="4343" xr:uid="{00000000-0005-0000-0000-0000FC100000}"/>
    <cellStyle name="Normal 34 10 9" xfId="4344" xr:uid="{00000000-0005-0000-0000-0000FD100000}"/>
    <cellStyle name="Normal 34 11" xfId="4345" xr:uid="{00000000-0005-0000-0000-0000FE100000}"/>
    <cellStyle name="Normal 34 11 10" xfId="4346" xr:uid="{00000000-0005-0000-0000-0000FF100000}"/>
    <cellStyle name="Normal 34 11 11" xfId="4347" xr:uid="{00000000-0005-0000-0000-000000110000}"/>
    <cellStyle name="Normal 34 11 12" xfId="4348" xr:uid="{00000000-0005-0000-0000-000001110000}"/>
    <cellStyle name="Normal 34 11 13" xfId="4349" xr:uid="{00000000-0005-0000-0000-000002110000}"/>
    <cellStyle name="Normal 34 11 2" xfId="4350" xr:uid="{00000000-0005-0000-0000-000003110000}"/>
    <cellStyle name="Normal 34 11 2 10" xfId="4351" xr:uid="{00000000-0005-0000-0000-000004110000}"/>
    <cellStyle name="Normal 34 11 2 11" xfId="4352" xr:uid="{00000000-0005-0000-0000-000005110000}"/>
    <cellStyle name="Normal 34 11 2 2" xfId="4353" xr:uid="{00000000-0005-0000-0000-000006110000}"/>
    <cellStyle name="Normal 34 11 2 3" xfId="4354" xr:uid="{00000000-0005-0000-0000-000007110000}"/>
    <cellStyle name="Normal 34 11 2 4" xfId="4355" xr:uid="{00000000-0005-0000-0000-000008110000}"/>
    <cellStyle name="Normal 34 11 2 5" xfId="4356" xr:uid="{00000000-0005-0000-0000-000009110000}"/>
    <cellStyle name="Normal 34 11 2 6" xfId="4357" xr:uid="{00000000-0005-0000-0000-00000A110000}"/>
    <cellStyle name="Normal 34 11 2 7" xfId="4358" xr:uid="{00000000-0005-0000-0000-00000B110000}"/>
    <cellStyle name="Normal 34 11 2 8" xfId="4359" xr:uid="{00000000-0005-0000-0000-00000C110000}"/>
    <cellStyle name="Normal 34 11 2 9" xfId="4360" xr:uid="{00000000-0005-0000-0000-00000D110000}"/>
    <cellStyle name="Normal 34 11 3" xfId="4361" xr:uid="{00000000-0005-0000-0000-00000E110000}"/>
    <cellStyle name="Normal 34 11 4" xfId="4362" xr:uid="{00000000-0005-0000-0000-00000F110000}"/>
    <cellStyle name="Normal 34 11 5" xfId="4363" xr:uid="{00000000-0005-0000-0000-000010110000}"/>
    <cellStyle name="Normal 34 11 6" xfId="4364" xr:uid="{00000000-0005-0000-0000-000011110000}"/>
    <cellStyle name="Normal 34 11 7" xfId="4365" xr:uid="{00000000-0005-0000-0000-000012110000}"/>
    <cellStyle name="Normal 34 11 8" xfId="4366" xr:uid="{00000000-0005-0000-0000-000013110000}"/>
    <cellStyle name="Normal 34 11 9" xfId="4367" xr:uid="{00000000-0005-0000-0000-000014110000}"/>
    <cellStyle name="Normal 34 12" xfId="4368" xr:uid="{00000000-0005-0000-0000-000015110000}"/>
    <cellStyle name="Normal 34 12 10" xfId="4369" xr:uid="{00000000-0005-0000-0000-000016110000}"/>
    <cellStyle name="Normal 34 12 11" xfId="4370" xr:uid="{00000000-0005-0000-0000-000017110000}"/>
    <cellStyle name="Normal 34 12 12" xfId="4371" xr:uid="{00000000-0005-0000-0000-000018110000}"/>
    <cellStyle name="Normal 34 12 13" xfId="4372" xr:uid="{00000000-0005-0000-0000-000019110000}"/>
    <cellStyle name="Normal 34 12 2" xfId="4373" xr:uid="{00000000-0005-0000-0000-00001A110000}"/>
    <cellStyle name="Normal 34 12 2 10" xfId="4374" xr:uid="{00000000-0005-0000-0000-00001B110000}"/>
    <cellStyle name="Normal 34 12 2 11" xfId="4375" xr:uid="{00000000-0005-0000-0000-00001C110000}"/>
    <cellStyle name="Normal 34 12 2 2" xfId="4376" xr:uid="{00000000-0005-0000-0000-00001D110000}"/>
    <cellStyle name="Normal 34 12 2 3" xfId="4377" xr:uid="{00000000-0005-0000-0000-00001E110000}"/>
    <cellStyle name="Normal 34 12 2 4" xfId="4378" xr:uid="{00000000-0005-0000-0000-00001F110000}"/>
    <cellStyle name="Normal 34 12 2 5" xfId="4379" xr:uid="{00000000-0005-0000-0000-000020110000}"/>
    <cellStyle name="Normal 34 12 2 6" xfId="4380" xr:uid="{00000000-0005-0000-0000-000021110000}"/>
    <cellStyle name="Normal 34 12 2 7" xfId="4381" xr:uid="{00000000-0005-0000-0000-000022110000}"/>
    <cellStyle name="Normal 34 12 2 8" xfId="4382" xr:uid="{00000000-0005-0000-0000-000023110000}"/>
    <cellStyle name="Normal 34 12 2 9" xfId="4383" xr:uid="{00000000-0005-0000-0000-000024110000}"/>
    <cellStyle name="Normal 34 12 3" xfId="4384" xr:uid="{00000000-0005-0000-0000-000025110000}"/>
    <cellStyle name="Normal 34 12 4" xfId="4385" xr:uid="{00000000-0005-0000-0000-000026110000}"/>
    <cellStyle name="Normal 34 12 5" xfId="4386" xr:uid="{00000000-0005-0000-0000-000027110000}"/>
    <cellStyle name="Normal 34 12 6" xfId="4387" xr:uid="{00000000-0005-0000-0000-000028110000}"/>
    <cellStyle name="Normal 34 12 7" xfId="4388" xr:uid="{00000000-0005-0000-0000-000029110000}"/>
    <cellStyle name="Normal 34 12 8" xfId="4389" xr:uid="{00000000-0005-0000-0000-00002A110000}"/>
    <cellStyle name="Normal 34 12 9" xfId="4390" xr:uid="{00000000-0005-0000-0000-00002B110000}"/>
    <cellStyle name="Normal 34 13" xfId="4391" xr:uid="{00000000-0005-0000-0000-00002C110000}"/>
    <cellStyle name="Normal 34 13 10" xfId="4392" xr:uid="{00000000-0005-0000-0000-00002D110000}"/>
    <cellStyle name="Normal 34 13 11" xfId="4393" xr:uid="{00000000-0005-0000-0000-00002E110000}"/>
    <cellStyle name="Normal 34 13 12" xfId="4394" xr:uid="{00000000-0005-0000-0000-00002F110000}"/>
    <cellStyle name="Normal 34 13 13" xfId="4395" xr:uid="{00000000-0005-0000-0000-000030110000}"/>
    <cellStyle name="Normal 34 13 2" xfId="4396" xr:uid="{00000000-0005-0000-0000-000031110000}"/>
    <cellStyle name="Normal 34 13 2 10" xfId="4397" xr:uid="{00000000-0005-0000-0000-000032110000}"/>
    <cellStyle name="Normal 34 13 2 11" xfId="4398" xr:uid="{00000000-0005-0000-0000-000033110000}"/>
    <cellStyle name="Normal 34 13 2 2" xfId="4399" xr:uid="{00000000-0005-0000-0000-000034110000}"/>
    <cellStyle name="Normal 34 13 2 3" xfId="4400" xr:uid="{00000000-0005-0000-0000-000035110000}"/>
    <cellStyle name="Normal 34 13 2 4" xfId="4401" xr:uid="{00000000-0005-0000-0000-000036110000}"/>
    <cellStyle name="Normal 34 13 2 5" xfId="4402" xr:uid="{00000000-0005-0000-0000-000037110000}"/>
    <cellStyle name="Normal 34 13 2 6" xfId="4403" xr:uid="{00000000-0005-0000-0000-000038110000}"/>
    <cellStyle name="Normal 34 13 2 7" xfId="4404" xr:uid="{00000000-0005-0000-0000-000039110000}"/>
    <cellStyle name="Normal 34 13 2 8" xfId="4405" xr:uid="{00000000-0005-0000-0000-00003A110000}"/>
    <cellStyle name="Normal 34 13 2 9" xfId="4406" xr:uid="{00000000-0005-0000-0000-00003B110000}"/>
    <cellStyle name="Normal 34 13 3" xfId="4407" xr:uid="{00000000-0005-0000-0000-00003C110000}"/>
    <cellStyle name="Normal 34 13 4" xfId="4408" xr:uid="{00000000-0005-0000-0000-00003D110000}"/>
    <cellStyle name="Normal 34 13 5" xfId="4409" xr:uid="{00000000-0005-0000-0000-00003E110000}"/>
    <cellStyle name="Normal 34 13 6" xfId="4410" xr:uid="{00000000-0005-0000-0000-00003F110000}"/>
    <cellStyle name="Normal 34 13 7" xfId="4411" xr:uid="{00000000-0005-0000-0000-000040110000}"/>
    <cellStyle name="Normal 34 13 8" xfId="4412" xr:uid="{00000000-0005-0000-0000-000041110000}"/>
    <cellStyle name="Normal 34 13 9" xfId="4413" xr:uid="{00000000-0005-0000-0000-000042110000}"/>
    <cellStyle name="Normal 34 14" xfId="4414" xr:uid="{00000000-0005-0000-0000-000043110000}"/>
    <cellStyle name="Normal 34 14 10" xfId="4415" xr:uid="{00000000-0005-0000-0000-000044110000}"/>
    <cellStyle name="Normal 34 14 11" xfId="4416" xr:uid="{00000000-0005-0000-0000-000045110000}"/>
    <cellStyle name="Normal 34 14 2" xfId="4417" xr:uid="{00000000-0005-0000-0000-000046110000}"/>
    <cellStyle name="Normal 34 14 3" xfId="4418" xr:uid="{00000000-0005-0000-0000-000047110000}"/>
    <cellStyle name="Normal 34 14 4" xfId="4419" xr:uid="{00000000-0005-0000-0000-000048110000}"/>
    <cellStyle name="Normal 34 14 5" xfId="4420" xr:uid="{00000000-0005-0000-0000-000049110000}"/>
    <cellStyle name="Normal 34 14 6" xfId="4421" xr:uid="{00000000-0005-0000-0000-00004A110000}"/>
    <cellStyle name="Normal 34 14 7" xfId="4422" xr:uid="{00000000-0005-0000-0000-00004B110000}"/>
    <cellStyle name="Normal 34 14 8" xfId="4423" xr:uid="{00000000-0005-0000-0000-00004C110000}"/>
    <cellStyle name="Normal 34 14 9" xfId="4424" xr:uid="{00000000-0005-0000-0000-00004D110000}"/>
    <cellStyle name="Normal 34 15" xfId="4425" xr:uid="{00000000-0005-0000-0000-00004E110000}"/>
    <cellStyle name="Normal 34 16" xfId="4426" xr:uid="{00000000-0005-0000-0000-00004F110000}"/>
    <cellStyle name="Normal 34 17" xfId="4427" xr:uid="{00000000-0005-0000-0000-000050110000}"/>
    <cellStyle name="Normal 34 18" xfId="4428" xr:uid="{00000000-0005-0000-0000-000051110000}"/>
    <cellStyle name="Normal 34 19" xfId="4429" xr:uid="{00000000-0005-0000-0000-000052110000}"/>
    <cellStyle name="Normal 34 2" xfId="4430" xr:uid="{00000000-0005-0000-0000-000053110000}"/>
    <cellStyle name="Normal 34 2 10" xfId="4431" xr:uid="{00000000-0005-0000-0000-000054110000}"/>
    <cellStyle name="Normal 34 2 11" xfId="4432" xr:uid="{00000000-0005-0000-0000-000055110000}"/>
    <cellStyle name="Normal 34 2 12" xfId="4433" xr:uid="{00000000-0005-0000-0000-000056110000}"/>
    <cellStyle name="Normal 34 2 13" xfId="4434" xr:uid="{00000000-0005-0000-0000-000057110000}"/>
    <cellStyle name="Normal 34 2 2" xfId="4435" xr:uid="{00000000-0005-0000-0000-000058110000}"/>
    <cellStyle name="Normal 34 2 2 10" xfId="4436" xr:uid="{00000000-0005-0000-0000-000059110000}"/>
    <cellStyle name="Normal 34 2 2 11" xfId="4437" xr:uid="{00000000-0005-0000-0000-00005A110000}"/>
    <cellStyle name="Normal 34 2 2 2" xfId="4438" xr:uid="{00000000-0005-0000-0000-00005B110000}"/>
    <cellStyle name="Normal 34 2 2 3" xfId="4439" xr:uid="{00000000-0005-0000-0000-00005C110000}"/>
    <cellStyle name="Normal 34 2 2 4" xfId="4440" xr:uid="{00000000-0005-0000-0000-00005D110000}"/>
    <cellStyle name="Normal 34 2 2 5" xfId="4441" xr:uid="{00000000-0005-0000-0000-00005E110000}"/>
    <cellStyle name="Normal 34 2 2 6" xfId="4442" xr:uid="{00000000-0005-0000-0000-00005F110000}"/>
    <cellStyle name="Normal 34 2 2 7" xfId="4443" xr:uid="{00000000-0005-0000-0000-000060110000}"/>
    <cellStyle name="Normal 34 2 2 8" xfId="4444" xr:uid="{00000000-0005-0000-0000-000061110000}"/>
    <cellStyle name="Normal 34 2 2 9" xfId="4445" xr:uid="{00000000-0005-0000-0000-000062110000}"/>
    <cellStyle name="Normal 34 2 3" xfId="4446" xr:uid="{00000000-0005-0000-0000-000063110000}"/>
    <cellStyle name="Normal 34 2 4" xfId="4447" xr:uid="{00000000-0005-0000-0000-000064110000}"/>
    <cellStyle name="Normal 34 2 5" xfId="4448" xr:uid="{00000000-0005-0000-0000-000065110000}"/>
    <cellStyle name="Normal 34 2 6" xfId="4449" xr:uid="{00000000-0005-0000-0000-000066110000}"/>
    <cellStyle name="Normal 34 2 7" xfId="4450" xr:uid="{00000000-0005-0000-0000-000067110000}"/>
    <cellStyle name="Normal 34 2 8" xfId="4451" xr:uid="{00000000-0005-0000-0000-000068110000}"/>
    <cellStyle name="Normal 34 2 9" xfId="4452" xr:uid="{00000000-0005-0000-0000-000069110000}"/>
    <cellStyle name="Normal 34 20" xfId="4453" xr:uid="{00000000-0005-0000-0000-00006A110000}"/>
    <cellStyle name="Normal 34 21" xfId="4454" xr:uid="{00000000-0005-0000-0000-00006B110000}"/>
    <cellStyle name="Normal 34 22" xfId="4455" xr:uid="{00000000-0005-0000-0000-00006C110000}"/>
    <cellStyle name="Normal 34 23" xfId="4456" xr:uid="{00000000-0005-0000-0000-00006D110000}"/>
    <cellStyle name="Normal 34 24" xfId="4457" xr:uid="{00000000-0005-0000-0000-00006E110000}"/>
    <cellStyle name="Normal 34 25" xfId="4458" xr:uid="{00000000-0005-0000-0000-00006F110000}"/>
    <cellStyle name="Normal 34 3" xfId="4459" xr:uid="{00000000-0005-0000-0000-000070110000}"/>
    <cellStyle name="Normal 34 3 10" xfId="4460" xr:uid="{00000000-0005-0000-0000-000071110000}"/>
    <cellStyle name="Normal 34 3 11" xfId="4461" xr:uid="{00000000-0005-0000-0000-000072110000}"/>
    <cellStyle name="Normal 34 3 12" xfId="4462" xr:uid="{00000000-0005-0000-0000-000073110000}"/>
    <cellStyle name="Normal 34 3 13" xfId="4463" xr:uid="{00000000-0005-0000-0000-000074110000}"/>
    <cellStyle name="Normal 34 3 2" xfId="4464" xr:uid="{00000000-0005-0000-0000-000075110000}"/>
    <cellStyle name="Normal 34 3 2 10" xfId="4465" xr:uid="{00000000-0005-0000-0000-000076110000}"/>
    <cellStyle name="Normal 34 3 2 11" xfId="4466" xr:uid="{00000000-0005-0000-0000-000077110000}"/>
    <cellStyle name="Normal 34 3 2 2" xfId="4467" xr:uid="{00000000-0005-0000-0000-000078110000}"/>
    <cellStyle name="Normal 34 3 2 3" xfId="4468" xr:uid="{00000000-0005-0000-0000-000079110000}"/>
    <cellStyle name="Normal 34 3 2 4" xfId="4469" xr:uid="{00000000-0005-0000-0000-00007A110000}"/>
    <cellStyle name="Normal 34 3 2 5" xfId="4470" xr:uid="{00000000-0005-0000-0000-00007B110000}"/>
    <cellStyle name="Normal 34 3 2 6" xfId="4471" xr:uid="{00000000-0005-0000-0000-00007C110000}"/>
    <cellStyle name="Normal 34 3 2 7" xfId="4472" xr:uid="{00000000-0005-0000-0000-00007D110000}"/>
    <cellStyle name="Normal 34 3 2 8" xfId="4473" xr:uid="{00000000-0005-0000-0000-00007E110000}"/>
    <cellStyle name="Normal 34 3 2 9" xfId="4474" xr:uid="{00000000-0005-0000-0000-00007F110000}"/>
    <cellStyle name="Normal 34 3 3" xfId="4475" xr:uid="{00000000-0005-0000-0000-000080110000}"/>
    <cellStyle name="Normal 34 3 4" xfId="4476" xr:uid="{00000000-0005-0000-0000-000081110000}"/>
    <cellStyle name="Normal 34 3 5" xfId="4477" xr:uid="{00000000-0005-0000-0000-000082110000}"/>
    <cellStyle name="Normal 34 3 6" xfId="4478" xr:uid="{00000000-0005-0000-0000-000083110000}"/>
    <cellStyle name="Normal 34 3 7" xfId="4479" xr:uid="{00000000-0005-0000-0000-000084110000}"/>
    <cellStyle name="Normal 34 3 8" xfId="4480" xr:uid="{00000000-0005-0000-0000-000085110000}"/>
    <cellStyle name="Normal 34 3 9" xfId="4481" xr:uid="{00000000-0005-0000-0000-000086110000}"/>
    <cellStyle name="Normal 34 4" xfId="4482" xr:uid="{00000000-0005-0000-0000-000087110000}"/>
    <cellStyle name="Normal 34 4 10" xfId="4483" xr:uid="{00000000-0005-0000-0000-000088110000}"/>
    <cellStyle name="Normal 34 4 11" xfId="4484" xr:uid="{00000000-0005-0000-0000-000089110000}"/>
    <cellStyle name="Normal 34 4 12" xfId="4485" xr:uid="{00000000-0005-0000-0000-00008A110000}"/>
    <cellStyle name="Normal 34 4 13" xfId="4486" xr:uid="{00000000-0005-0000-0000-00008B110000}"/>
    <cellStyle name="Normal 34 4 2" xfId="4487" xr:uid="{00000000-0005-0000-0000-00008C110000}"/>
    <cellStyle name="Normal 34 4 2 10" xfId="4488" xr:uid="{00000000-0005-0000-0000-00008D110000}"/>
    <cellStyle name="Normal 34 4 2 11" xfId="4489" xr:uid="{00000000-0005-0000-0000-00008E110000}"/>
    <cellStyle name="Normal 34 4 2 2" xfId="4490" xr:uid="{00000000-0005-0000-0000-00008F110000}"/>
    <cellStyle name="Normal 34 4 2 3" xfId="4491" xr:uid="{00000000-0005-0000-0000-000090110000}"/>
    <cellStyle name="Normal 34 4 2 4" xfId="4492" xr:uid="{00000000-0005-0000-0000-000091110000}"/>
    <cellStyle name="Normal 34 4 2 5" xfId="4493" xr:uid="{00000000-0005-0000-0000-000092110000}"/>
    <cellStyle name="Normal 34 4 2 6" xfId="4494" xr:uid="{00000000-0005-0000-0000-000093110000}"/>
    <cellStyle name="Normal 34 4 2 7" xfId="4495" xr:uid="{00000000-0005-0000-0000-000094110000}"/>
    <cellStyle name="Normal 34 4 2 8" xfId="4496" xr:uid="{00000000-0005-0000-0000-000095110000}"/>
    <cellStyle name="Normal 34 4 2 9" xfId="4497" xr:uid="{00000000-0005-0000-0000-000096110000}"/>
    <cellStyle name="Normal 34 4 3" xfId="4498" xr:uid="{00000000-0005-0000-0000-000097110000}"/>
    <cellStyle name="Normal 34 4 4" xfId="4499" xr:uid="{00000000-0005-0000-0000-000098110000}"/>
    <cellStyle name="Normal 34 4 5" xfId="4500" xr:uid="{00000000-0005-0000-0000-000099110000}"/>
    <cellStyle name="Normal 34 4 6" xfId="4501" xr:uid="{00000000-0005-0000-0000-00009A110000}"/>
    <cellStyle name="Normal 34 4 7" xfId="4502" xr:uid="{00000000-0005-0000-0000-00009B110000}"/>
    <cellStyle name="Normal 34 4 8" xfId="4503" xr:uid="{00000000-0005-0000-0000-00009C110000}"/>
    <cellStyle name="Normal 34 4 9" xfId="4504" xr:uid="{00000000-0005-0000-0000-00009D110000}"/>
    <cellStyle name="Normal 34 5" xfId="4505" xr:uid="{00000000-0005-0000-0000-00009E110000}"/>
    <cellStyle name="Normal 34 5 10" xfId="4506" xr:uid="{00000000-0005-0000-0000-00009F110000}"/>
    <cellStyle name="Normal 34 5 11" xfId="4507" xr:uid="{00000000-0005-0000-0000-0000A0110000}"/>
    <cellStyle name="Normal 34 5 12" xfId="4508" xr:uid="{00000000-0005-0000-0000-0000A1110000}"/>
    <cellStyle name="Normal 34 5 13" xfId="4509" xr:uid="{00000000-0005-0000-0000-0000A2110000}"/>
    <cellStyle name="Normal 34 5 2" xfId="4510" xr:uid="{00000000-0005-0000-0000-0000A3110000}"/>
    <cellStyle name="Normal 34 5 2 10" xfId="4511" xr:uid="{00000000-0005-0000-0000-0000A4110000}"/>
    <cellStyle name="Normal 34 5 2 11" xfId="4512" xr:uid="{00000000-0005-0000-0000-0000A5110000}"/>
    <cellStyle name="Normal 34 5 2 2" xfId="4513" xr:uid="{00000000-0005-0000-0000-0000A6110000}"/>
    <cellStyle name="Normal 34 5 2 3" xfId="4514" xr:uid="{00000000-0005-0000-0000-0000A7110000}"/>
    <cellStyle name="Normal 34 5 2 4" xfId="4515" xr:uid="{00000000-0005-0000-0000-0000A8110000}"/>
    <cellStyle name="Normal 34 5 2 5" xfId="4516" xr:uid="{00000000-0005-0000-0000-0000A9110000}"/>
    <cellStyle name="Normal 34 5 2 6" xfId="4517" xr:uid="{00000000-0005-0000-0000-0000AA110000}"/>
    <cellStyle name="Normal 34 5 2 7" xfId="4518" xr:uid="{00000000-0005-0000-0000-0000AB110000}"/>
    <cellStyle name="Normal 34 5 2 8" xfId="4519" xr:uid="{00000000-0005-0000-0000-0000AC110000}"/>
    <cellStyle name="Normal 34 5 2 9" xfId="4520" xr:uid="{00000000-0005-0000-0000-0000AD110000}"/>
    <cellStyle name="Normal 34 5 3" xfId="4521" xr:uid="{00000000-0005-0000-0000-0000AE110000}"/>
    <cellStyle name="Normal 34 5 4" xfId="4522" xr:uid="{00000000-0005-0000-0000-0000AF110000}"/>
    <cellStyle name="Normal 34 5 5" xfId="4523" xr:uid="{00000000-0005-0000-0000-0000B0110000}"/>
    <cellStyle name="Normal 34 5 6" xfId="4524" xr:uid="{00000000-0005-0000-0000-0000B1110000}"/>
    <cellStyle name="Normal 34 5 7" xfId="4525" xr:uid="{00000000-0005-0000-0000-0000B2110000}"/>
    <cellStyle name="Normal 34 5 8" xfId="4526" xr:uid="{00000000-0005-0000-0000-0000B3110000}"/>
    <cellStyle name="Normal 34 5 9" xfId="4527" xr:uid="{00000000-0005-0000-0000-0000B4110000}"/>
    <cellStyle name="Normal 34 6" xfId="4528" xr:uid="{00000000-0005-0000-0000-0000B5110000}"/>
    <cellStyle name="Normal 34 6 10" xfId="4529" xr:uid="{00000000-0005-0000-0000-0000B6110000}"/>
    <cellStyle name="Normal 34 6 11" xfId="4530" xr:uid="{00000000-0005-0000-0000-0000B7110000}"/>
    <cellStyle name="Normal 34 6 12" xfId="4531" xr:uid="{00000000-0005-0000-0000-0000B8110000}"/>
    <cellStyle name="Normal 34 6 13" xfId="4532" xr:uid="{00000000-0005-0000-0000-0000B9110000}"/>
    <cellStyle name="Normal 34 6 2" xfId="4533" xr:uid="{00000000-0005-0000-0000-0000BA110000}"/>
    <cellStyle name="Normal 34 6 2 10" xfId="4534" xr:uid="{00000000-0005-0000-0000-0000BB110000}"/>
    <cellStyle name="Normal 34 6 2 11" xfId="4535" xr:uid="{00000000-0005-0000-0000-0000BC110000}"/>
    <cellStyle name="Normal 34 6 2 2" xfId="4536" xr:uid="{00000000-0005-0000-0000-0000BD110000}"/>
    <cellStyle name="Normal 34 6 2 3" xfId="4537" xr:uid="{00000000-0005-0000-0000-0000BE110000}"/>
    <cellStyle name="Normal 34 6 2 4" xfId="4538" xr:uid="{00000000-0005-0000-0000-0000BF110000}"/>
    <cellStyle name="Normal 34 6 2 5" xfId="4539" xr:uid="{00000000-0005-0000-0000-0000C0110000}"/>
    <cellStyle name="Normal 34 6 2 6" xfId="4540" xr:uid="{00000000-0005-0000-0000-0000C1110000}"/>
    <cellStyle name="Normal 34 6 2 7" xfId="4541" xr:uid="{00000000-0005-0000-0000-0000C2110000}"/>
    <cellStyle name="Normal 34 6 2 8" xfId="4542" xr:uid="{00000000-0005-0000-0000-0000C3110000}"/>
    <cellStyle name="Normal 34 6 2 9" xfId="4543" xr:uid="{00000000-0005-0000-0000-0000C4110000}"/>
    <cellStyle name="Normal 34 6 3" xfId="4544" xr:uid="{00000000-0005-0000-0000-0000C5110000}"/>
    <cellStyle name="Normal 34 6 4" xfId="4545" xr:uid="{00000000-0005-0000-0000-0000C6110000}"/>
    <cellStyle name="Normal 34 6 5" xfId="4546" xr:uid="{00000000-0005-0000-0000-0000C7110000}"/>
    <cellStyle name="Normal 34 6 6" xfId="4547" xr:uid="{00000000-0005-0000-0000-0000C8110000}"/>
    <cellStyle name="Normal 34 6 7" xfId="4548" xr:uid="{00000000-0005-0000-0000-0000C9110000}"/>
    <cellStyle name="Normal 34 6 8" xfId="4549" xr:uid="{00000000-0005-0000-0000-0000CA110000}"/>
    <cellStyle name="Normal 34 6 9" xfId="4550" xr:uid="{00000000-0005-0000-0000-0000CB110000}"/>
    <cellStyle name="Normal 34 7" xfId="4551" xr:uid="{00000000-0005-0000-0000-0000CC110000}"/>
    <cellStyle name="Normal 34 7 10" xfId="4552" xr:uid="{00000000-0005-0000-0000-0000CD110000}"/>
    <cellStyle name="Normal 34 7 11" xfId="4553" xr:uid="{00000000-0005-0000-0000-0000CE110000}"/>
    <cellStyle name="Normal 34 7 12" xfId="4554" xr:uid="{00000000-0005-0000-0000-0000CF110000}"/>
    <cellStyle name="Normal 34 7 13" xfId="4555" xr:uid="{00000000-0005-0000-0000-0000D0110000}"/>
    <cellStyle name="Normal 34 7 2" xfId="4556" xr:uid="{00000000-0005-0000-0000-0000D1110000}"/>
    <cellStyle name="Normal 34 7 2 10" xfId="4557" xr:uid="{00000000-0005-0000-0000-0000D2110000}"/>
    <cellStyle name="Normal 34 7 2 11" xfId="4558" xr:uid="{00000000-0005-0000-0000-0000D3110000}"/>
    <cellStyle name="Normal 34 7 2 2" xfId="4559" xr:uid="{00000000-0005-0000-0000-0000D4110000}"/>
    <cellStyle name="Normal 34 7 2 3" xfId="4560" xr:uid="{00000000-0005-0000-0000-0000D5110000}"/>
    <cellStyle name="Normal 34 7 2 4" xfId="4561" xr:uid="{00000000-0005-0000-0000-0000D6110000}"/>
    <cellStyle name="Normal 34 7 2 5" xfId="4562" xr:uid="{00000000-0005-0000-0000-0000D7110000}"/>
    <cellStyle name="Normal 34 7 2 6" xfId="4563" xr:uid="{00000000-0005-0000-0000-0000D8110000}"/>
    <cellStyle name="Normal 34 7 2 7" xfId="4564" xr:uid="{00000000-0005-0000-0000-0000D9110000}"/>
    <cellStyle name="Normal 34 7 2 8" xfId="4565" xr:uid="{00000000-0005-0000-0000-0000DA110000}"/>
    <cellStyle name="Normal 34 7 2 9" xfId="4566" xr:uid="{00000000-0005-0000-0000-0000DB110000}"/>
    <cellStyle name="Normal 34 7 3" xfId="4567" xr:uid="{00000000-0005-0000-0000-0000DC110000}"/>
    <cellStyle name="Normal 34 7 4" xfId="4568" xr:uid="{00000000-0005-0000-0000-0000DD110000}"/>
    <cellStyle name="Normal 34 7 5" xfId="4569" xr:uid="{00000000-0005-0000-0000-0000DE110000}"/>
    <cellStyle name="Normal 34 7 6" xfId="4570" xr:uid="{00000000-0005-0000-0000-0000DF110000}"/>
    <cellStyle name="Normal 34 7 7" xfId="4571" xr:uid="{00000000-0005-0000-0000-0000E0110000}"/>
    <cellStyle name="Normal 34 7 8" xfId="4572" xr:uid="{00000000-0005-0000-0000-0000E1110000}"/>
    <cellStyle name="Normal 34 7 9" xfId="4573" xr:uid="{00000000-0005-0000-0000-0000E2110000}"/>
    <cellStyle name="Normal 34 8" xfId="4574" xr:uid="{00000000-0005-0000-0000-0000E3110000}"/>
    <cellStyle name="Normal 34 8 10" xfId="4575" xr:uid="{00000000-0005-0000-0000-0000E4110000}"/>
    <cellStyle name="Normal 34 8 11" xfId="4576" xr:uid="{00000000-0005-0000-0000-0000E5110000}"/>
    <cellStyle name="Normal 34 8 12" xfId="4577" xr:uid="{00000000-0005-0000-0000-0000E6110000}"/>
    <cellStyle name="Normal 34 8 13" xfId="4578" xr:uid="{00000000-0005-0000-0000-0000E7110000}"/>
    <cellStyle name="Normal 34 8 2" xfId="4579" xr:uid="{00000000-0005-0000-0000-0000E8110000}"/>
    <cellStyle name="Normal 34 8 2 10" xfId="4580" xr:uid="{00000000-0005-0000-0000-0000E9110000}"/>
    <cellStyle name="Normal 34 8 2 11" xfId="4581" xr:uid="{00000000-0005-0000-0000-0000EA110000}"/>
    <cellStyle name="Normal 34 8 2 2" xfId="4582" xr:uid="{00000000-0005-0000-0000-0000EB110000}"/>
    <cellStyle name="Normal 34 8 2 3" xfId="4583" xr:uid="{00000000-0005-0000-0000-0000EC110000}"/>
    <cellStyle name="Normal 34 8 2 4" xfId="4584" xr:uid="{00000000-0005-0000-0000-0000ED110000}"/>
    <cellStyle name="Normal 34 8 2 5" xfId="4585" xr:uid="{00000000-0005-0000-0000-0000EE110000}"/>
    <cellStyle name="Normal 34 8 2 6" xfId="4586" xr:uid="{00000000-0005-0000-0000-0000EF110000}"/>
    <cellStyle name="Normal 34 8 2 7" xfId="4587" xr:uid="{00000000-0005-0000-0000-0000F0110000}"/>
    <cellStyle name="Normal 34 8 2 8" xfId="4588" xr:uid="{00000000-0005-0000-0000-0000F1110000}"/>
    <cellStyle name="Normal 34 8 2 9" xfId="4589" xr:uid="{00000000-0005-0000-0000-0000F2110000}"/>
    <cellStyle name="Normal 34 8 3" xfId="4590" xr:uid="{00000000-0005-0000-0000-0000F3110000}"/>
    <cellStyle name="Normal 34 8 4" xfId="4591" xr:uid="{00000000-0005-0000-0000-0000F4110000}"/>
    <cellStyle name="Normal 34 8 5" xfId="4592" xr:uid="{00000000-0005-0000-0000-0000F5110000}"/>
    <cellStyle name="Normal 34 8 6" xfId="4593" xr:uid="{00000000-0005-0000-0000-0000F6110000}"/>
    <cellStyle name="Normal 34 8 7" xfId="4594" xr:uid="{00000000-0005-0000-0000-0000F7110000}"/>
    <cellStyle name="Normal 34 8 8" xfId="4595" xr:uid="{00000000-0005-0000-0000-0000F8110000}"/>
    <cellStyle name="Normal 34 8 9" xfId="4596" xr:uid="{00000000-0005-0000-0000-0000F9110000}"/>
    <cellStyle name="Normal 34 9" xfId="4597" xr:uid="{00000000-0005-0000-0000-0000FA110000}"/>
    <cellStyle name="Normal 34 9 10" xfId="4598" xr:uid="{00000000-0005-0000-0000-0000FB110000}"/>
    <cellStyle name="Normal 34 9 11" xfId="4599" xr:uid="{00000000-0005-0000-0000-0000FC110000}"/>
    <cellStyle name="Normal 34 9 12" xfId="4600" xr:uid="{00000000-0005-0000-0000-0000FD110000}"/>
    <cellStyle name="Normal 34 9 13" xfId="4601" xr:uid="{00000000-0005-0000-0000-0000FE110000}"/>
    <cellStyle name="Normal 34 9 2" xfId="4602" xr:uid="{00000000-0005-0000-0000-0000FF110000}"/>
    <cellStyle name="Normal 34 9 2 10" xfId="4603" xr:uid="{00000000-0005-0000-0000-000000120000}"/>
    <cellStyle name="Normal 34 9 2 11" xfId="4604" xr:uid="{00000000-0005-0000-0000-000001120000}"/>
    <cellStyle name="Normal 34 9 2 2" xfId="4605" xr:uid="{00000000-0005-0000-0000-000002120000}"/>
    <cellStyle name="Normal 34 9 2 3" xfId="4606" xr:uid="{00000000-0005-0000-0000-000003120000}"/>
    <cellStyle name="Normal 34 9 2 4" xfId="4607" xr:uid="{00000000-0005-0000-0000-000004120000}"/>
    <cellStyle name="Normal 34 9 2 5" xfId="4608" xr:uid="{00000000-0005-0000-0000-000005120000}"/>
    <cellStyle name="Normal 34 9 2 6" xfId="4609" xr:uid="{00000000-0005-0000-0000-000006120000}"/>
    <cellStyle name="Normal 34 9 2 7" xfId="4610" xr:uid="{00000000-0005-0000-0000-000007120000}"/>
    <cellStyle name="Normal 34 9 2 8" xfId="4611" xr:uid="{00000000-0005-0000-0000-000008120000}"/>
    <cellStyle name="Normal 34 9 2 9" xfId="4612" xr:uid="{00000000-0005-0000-0000-000009120000}"/>
    <cellStyle name="Normal 34 9 3" xfId="4613" xr:uid="{00000000-0005-0000-0000-00000A120000}"/>
    <cellStyle name="Normal 34 9 4" xfId="4614" xr:uid="{00000000-0005-0000-0000-00000B120000}"/>
    <cellStyle name="Normal 34 9 5" xfId="4615" xr:uid="{00000000-0005-0000-0000-00000C120000}"/>
    <cellStyle name="Normal 34 9 6" xfId="4616" xr:uid="{00000000-0005-0000-0000-00000D120000}"/>
    <cellStyle name="Normal 34 9 7" xfId="4617" xr:uid="{00000000-0005-0000-0000-00000E120000}"/>
    <cellStyle name="Normal 34 9 8" xfId="4618" xr:uid="{00000000-0005-0000-0000-00000F120000}"/>
    <cellStyle name="Normal 34 9 9" xfId="4619" xr:uid="{00000000-0005-0000-0000-000010120000}"/>
    <cellStyle name="Normal 35" xfId="4620" xr:uid="{00000000-0005-0000-0000-000011120000}"/>
    <cellStyle name="Normal 35 10" xfId="4621" xr:uid="{00000000-0005-0000-0000-000012120000}"/>
    <cellStyle name="Normal 35 10 10" xfId="4622" xr:uid="{00000000-0005-0000-0000-000013120000}"/>
    <cellStyle name="Normal 35 10 11" xfId="4623" xr:uid="{00000000-0005-0000-0000-000014120000}"/>
    <cellStyle name="Normal 35 10 12" xfId="4624" xr:uid="{00000000-0005-0000-0000-000015120000}"/>
    <cellStyle name="Normal 35 10 13" xfId="4625" xr:uid="{00000000-0005-0000-0000-000016120000}"/>
    <cellStyle name="Normal 35 10 2" xfId="4626" xr:uid="{00000000-0005-0000-0000-000017120000}"/>
    <cellStyle name="Normal 35 10 2 10" xfId="4627" xr:uid="{00000000-0005-0000-0000-000018120000}"/>
    <cellStyle name="Normal 35 10 2 11" xfId="4628" xr:uid="{00000000-0005-0000-0000-000019120000}"/>
    <cellStyle name="Normal 35 10 2 2" xfId="4629" xr:uid="{00000000-0005-0000-0000-00001A120000}"/>
    <cellStyle name="Normal 35 10 2 3" xfId="4630" xr:uid="{00000000-0005-0000-0000-00001B120000}"/>
    <cellStyle name="Normal 35 10 2 4" xfId="4631" xr:uid="{00000000-0005-0000-0000-00001C120000}"/>
    <cellStyle name="Normal 35 10 2 5" xfId="4632" xr:uid="{00000000-0005-0000-0000-00001D120000}"/>
    <cellStyle name="Normal 35 10 2 6" xfId="4633" xr:uid="{00000000-0005-0000-0000-00001E120000}"/>
    <cellStyle name="Normal 35 10 2 7" xfId="4634" xr:uid="{00000000-0005-0000-0000-00001F120000}"/>
    <cellStyle name="Normal 35 10 2 8" xfId="4635" xr:uid="{00000000-0005-0000-0000-000020120000}"/>
    <cellStyle name="Normal 35 10 2 9" xfId="4636" xr:uid="{00000000-0005-0000-0000-000021120000}"/>
    <cellStyle name="Normal 35 10 3" xfId="4637" xr:uid="{00000000-0005-0000-0000-000022120000}"/>
    <cellStyle name="Normal 35 10 4" xfId="4638" xr:uid="{00000000-0005-0000-0000-000023120000}"/>
    <cellStyle name="Normal 35 10 5" xfId="4639" xr:uid="{00000000-0005-0000-0000-000024120000}"/>
    <cellStyle name="Normal 35 10 6" xfId="4640" xr:uid="{00000000-0005-0000-0000-000025120000}"/>
    <cellStyle name="Normal 35 10 7" xfId="4641" xr:uid="{00000000-0005-0000-0000-000026120000}"/>
    <cellStyle name="Normal 35 10 8" xfId="4642" xr:uid="{00000000-0005-0000-0000-000027120000}"/>
    <cellStyle name="Normal 35 10 9" xfId="4643" xr:uid="{00000000-0005-0000-0000-000028120000}"/>
    <cellStyle name="Normal 35 11" xfId="4644" xr:uid="{00000000-0005-0000-0000-000029120000}"/>
    <cellStyle name="Normal 35 11 10" xfId="4645" xr:uid="{00000000-0005-0000-0000-00002A120000}"/>
    <cellStyle name="Normal 35 11 11" xfId="4646" xr:uid="{00000000-0005-0000-0000-00002B120000}"/>
    <cellStyle name="Normal 35 11 12" xfId="4647" xr:uid="{00000000-0005-0000-0000-00002C120000}"/>
    <cellStyle name="Normal 35 11 13" xfId="4648" xr:uid="{00000000-0005-0000-0000-00002D120000}"/>
    <cellStyle name="Normal 35 11 2" xfId="4649" xr:uid="{00000000-0005-0000-0000-00002E120000}"/>
    <cellStyle name="Normal 35 11 2 10" xfId="4650" xr:uid="{00000000-0005-0000-0000-00002F120000}"/>
    <cellStyle name="Normal 35 11 2 11" xfId="4651" xr:uid="{00000000-0005-0000-0000-000030120000}"/>
    <cellStyle name="Normal 35 11 2 2" xfId="4652" xr:uid="{00000000-0005-0000-0000-000031120000}"/>
    <cellStyle name="Normal 35 11 2 3" xfId="4653" xr:uid="{00000000-0005-0000-0000-000032120000}"/>
    <cellStyle name="Normal 35 11 2 4" xfId="4654" xr:uid="{00000000-0005-0000-0000-000033120000}"/>
    <cellStyle name="Normal 35 11 2 5" xfId="4655" xr:uid="{00000000-0005-0000-0000-000034120000}"/>
    <cellStyle name="Normal 35 11 2 6" xfId="4656" xr:uid="{00000000-0005-0000-0000-000035120000}"/>
    <cellStyle name="Normal 35 11 2 7" xfId="4657" xr:uid="{00000000-0005-0000-0000-000036120000}"/>
    <cellStyle name="Normal 35 11 2 8" xfId="4658" xr:uid="{00000000-0005-0000-0000-000037120000}"/>
    <cellStyle name="Normal 35 11 2 9" xfId="4659" xr:uid="{00000000-0005-0000-0000-000038120000}"/>
    <cellStyle name="Normal 35 11 3" xfId="4660" xr:uid="{00000000-0005-0000-0000-000039120000}"/>
    <cellStyle name="Normal 35 11 4" xfId="4661" xr:uid="{00000000-0005-0000-0000-00003A120000}"/>
    <cellStyle name="Normal 35 11 5" xfId="4662" xr:uid="{00000000-0005-0000-0000-00003B120000}"/>
    <cellStyle name="Normal 35 11 6" xfId="4663" xr:uid="{00000000-0005-0000-0000-00003C120000}"/>
    <cellStyle name="Normal 35 11 7" xfId="4664" xr:uid="{00000000-0005-0000-0000-00003D120000}"/>
    <cellStyle name="Normal 35 11 8" xfId="4665" xr:uid="{00000000-0005-0000-0000-00003E120000}"/>
    <cellStyle name="Normal 35 11 9" xfId="4666" xr:uid="{00000000-0005-0000-0000-00003F120000}"/>
    <cellStyle name="Normal 35 12" xfId="4667" xr:uid="{00000000-0005-0000-0000-000040120000}"/>
    <cellStyle name="Normal 35 12 10" xfId="4668" xr:uid="{00000000-0005-0000-0000-000041120000}"/>
    <cellStyle name="Normal 35 12 11" xfId="4669" xr:uid="{00000000-0005-0000-0000-000042120000}"/>
    <cellStyle name="Normal 35 12 12" xfId="4670" xr:uid="{00000000-0005-0000-0000-000043120000}"/>
    <cellStyle name="Normal 35 12 13" xfId="4671" xr:uid="{00000000-0005-0000-0000-000044120000}"/>
    <cellStyle name="Normal 35 12 2" xfId="4672" xr:uid="{00000000-0005-0000-0000-000045120000}"/>
    <cellStyle name="Normal 35 12 2 10" xfId="4673" xr:uid="{00000000-0005-0000-0000-000046120000}"/>
    <cellStyle name="Normal 35 12 2 11" xfId="4674" xr:uid="{00000000-0005-0000-0000-000047120000}"/>
    <cellStyle name="Normal 35 12 2 2" xfId="4675" xr:uid="{00000000-0005-0000-0000-000048120000}"/>
    <cellStyle name="Normal 35 12 2 3" xfId="4676" xr:uid="{00000000-0005-0000-0000-000049120000}"/>
    <cellStyle name="Normal 35 12 2 4" xfId="4677" xr:uid="{00000000-0005-0000-0000-00004A120000}"/>
    <cellStyle name="Normal 35 12 2 5" xfId="4678" xr:uid="{00000000-0005-0000-0000-00004B120000}"/>
    <cellStyle name="Normal 35 12 2 6" xfId="4679" xr:uid="{00000000-0005-0000-0000-00004C120000}"/>
    <cellStyle name="Normal 35 12 2 7" xfId="4680" xr:uid="{00000000-0005-0000-0000-00004D120000}"/>
    <cellStyle name="Normal 35 12 2 8" xfId="4681" xr:uid="{00000000-0005-0000-0000-00004E120000}"/>
    <cellStyle name="Normal 35 12 2 9" xfId="4682" xr:uid="{00000000-0005-0000-0000-00004F120000}"/>
    <cellStyle name="Normal 35 12 3" xfId="4683" xr:uid="{00000000-0005-0000-0000-000050120000}"/>
    <cellStyle name="Normal 35 12 4" xfId="4684" xr:uid="{00000000-0005-0000-0000-000051120000}"/>
    <cellStyle name="Normal 35 12 5" xfId="4685" xr:uid="{00000000-0005-0000-0000-000052120000}"/>
    <cellStyle name="Normal 35 12 6" xfId="4686" xr:uid="{00000000-0005-0000-0000-000053120000}"/>
    <cellStyle name="Normal 35 12 7" xfId="4687" xr:uid="{00000000-0005-0000-0000-000054120000}"/>
    <cellStyle name="Normal 35 12 8" xfId="4688" xr:uid="{00000000-0005-0000-0000-000055120000}"/>
    <cellStyle name="Normal 35 12 9" xfId="4689" xr:uid="{00000000-0005-0000-0000-000056120000}"/>
    <cellStyle name="Normal 35 13" xfId="4690" xr:uid="{00000000-0005-0000-0000-000057120000}"/>
    <cellStyle name="Normal 35 13 10" xfId="4691" xr:uid="{00000000-0005-0000-0000-000058120000}"/>
    <cellStyle name="Normal 35 13 11" xfId="4692" xr:uid="{00000000-0005-0000-0000-000059120000}"/>
    <cellStyle name="Normal 35 13 12" xfId="4693" xr:uid="{00000000-0005-0000-0000-00005A120000}"/>
    <cellStyle name="Normal 35 13 13" xfId="4694" xr:uid="{00000000-0005-0000-0000-00005B120000}"/>
    <cellStyle name="Normal 35 13 2" xfId="4695" xr:uid="{00000000-0005-0000-0000-00005C120000}"/>
    <cellStyle name="Normal 35 13 2 10" xfId="4696" xr:uid="{00000000-0005-0000-0000-00005D120000}"/>
    <cellStyle name="Normal 35 13 2 11" xfId="4697" xr:uid="{00000000-0005-0000-0000-00005E120000}"/>
    <cellStyle name="Normal 35 13 2 2" xfId="4698" xr:uid="{00000000-0005-0000-0000-00005F120000}"/>
    <cellStyle name="Normal 35 13 2 3" xfId="4699" xr:uid="{00000000-0005-0000-0000-000060120000}"/>
    <cellStyle name="Normal 35 13 2 4" xfId="4700" xr:uid="{00000000-0005-0000-0000-000061120000}"/>
    <cellStyle name="Normal 35 13 2 5" xfId="4701" xr:uid="{00000000-0005-0000-0000-000062120000}"/>
    <cellStyle name="Normal 35 13 2 6" xfId="4702" xr:uid="{00000000-0005-0000-0000-000063120000}"/>
    <cellStyle name="Normal 35 13 2 7" xfId="4703" xr:uid="{00000000-0005-0000-0000-000064120000}"/>
    <cellStyle name="Normal 35 13 2 8" xfId="4704" xr:uid="{00000000-0005-0000-0000-000065120000}"/>
    <cellStyle name="Normal 35 13 2 9" xfId="4705" xr:uid="{00000000-0005-0000-0000-000066120000}"/>
    <cellStyle name="Normal 35 13 3" xfId="4706" xr:uid="{00000000-0005-0000-0000-000067120000}"/>
    <cellStyle name="Normal 35 13 4" xfId="4707" xr:uid="{00000000-0005-0000-0000-000068120000}"/>
    <cellStyle name="Normal 35 13 5" xfId="4708" xr:uid="{00000000-0005-0000-0000-000069120000}"/>
    <cellStyle name="Normal 35 13 6" xfId="4709" xr:uid="{00000000-0005-0000-0000-00006A120000}"/>
    <cellStyle name="Normal 35 13 7" xfId="4710" xr:uid="{00000000-0005-0000-0000-00006B120000}"/>
    <cellStyle name="Normal 35 13 8" xfId="4711" xr:uid="{00000000-0005-0000-0000-00006C120000}"/>
    <cellStyle name="Normal 35 13 9" xfId="4712" xr:uid="{00000000-0005-0000-0000-00006D120000}"/>
    <cellStyle name="Normal 35 14" xfId="4713" xr:uid="{00000000-0005-0000-0000-00006E120000}"/>
    <cellStyle name="Normal 35 14 10" xfId="4714" xr:uid="{00000000-0005-0000-0000-00006F120000}"/>
    <cellStyle name="Normal 35 14 11" xfId="4715" xr:uid="{00000000-0005-0000-0000-000070120000}"/>
    <cellStyle name="Normal 35 14 2" xfId="4716" xr:uid="{00000000-0005-0000-0000-000071120000}"/>
    <cellStyle name="Normal 35 14 3" xfId="4717" xr:uid="{00000000-0005-0000-0000-000072120000}"/>
    <cellStyle name="Normal 35 14 4" xfId="4718" xr:uid="{00000000-0005-0000-0000-000073120000}"/>
    <cellStyle name="Normal 35 14 5" xfId="4719" xr:uid="{00000000-0005-0000-0000-000074120000}"/>
    <cellStyle name="Normal 35 14 6" xfId="4720" xr:uid="{00000000-0005-0000-0000-000075120000}"/>
    <cellStyle name="Normal 35 14 7" xfId="4721" xr:uid="{00000000-0005-0000-0000-000076120000}"/>
    <cellStyle name="Normal 35 14 8" xfId="4722" xr:uid="{00000000-0005-0000-0000-000077120000}"/>
    <cellStyle name="Normal 35 14 9" xfId="4723" xr:uid="{00000000-0005-0000-0000-000078120000}"/>
    <cellStyle name="Normal 35 15" xfId="4724" xr:uid="{00000000-0005-0000-0000-000079120000}"/>
    <cellStyle name="Normal 35 16" xfId="4725" xr:uid="{00000000-0005-0000-0000-00007A120000}"/>
    <cellStyle name="Normal 35 17" xfId="4726" xr:uid="{00000000-0005-0000-0000-00007B120000}"/>
    <cellStyle name="Normal 35 18" xfId="4727" xr:uid="{00000000-0005-0000-0000-00007C120000}"/>
    <cellStyle name="Normal 35 19" xfId="4728" xr:uid="{00000000-0005-0000-0000-00007D120000}"/>
    <cellStyle name="Normal 35 2" xfId="4729" xr:uid="{00000000-0005-0000-0000-00007E120000}"/>
    <cellStyle name="Normal 35 2 10" xfId="4730" xr:uid="{00000000-0005-0000-0000-00007F120000}"/>
    <cellStyle name="Normal 35 2 11" xfId="4731" xr:uid="{00000000-0005-0000-0000-000080120000}"/>
    <cellStyle name="Normal 35 2 12" xfId="4732" xr:uid="{00000000-0005-0000-0000-000081120000}"/>
    <cellStyle name="Normal 35 2 13" xfId="4733" xr:uid="{00000000-0005-0000-0000-000082120000}"/>
    <cellStyle name="Normal 35 2 2" xfId="4734" xr:uid="{00000000-0005-0000-0000-000083120000}"/>
    <cellStyle name="Normal 35 2 2 10" xfId="4735" xr:uid="{00000000-0005-0000-0000-000084120000}"/>
    <cellStyle name="Normal 35 2 2 11" xfId="4736" xr:uid="{00000000-0005-0000-0000-000085120000}"/>
    <cellStyle name="Normal 35 2 2 2" xfId="4737" xr:uid="{00000000-0005-0000-0000-000086120000}"/>
    <cellStyle name="Normal 35 2 2 3" xfId="4738" xr:uid="{00000000-0005-0000-0000-000087120000}"/>
    <cellStyle name="Normal 35 2 2 4" xfId="4739" xr:uid="{00000000-0005-0000-0000-000088120000}"/>
    <cellStyle name="Normal 35 2 2 5" xfId="4740" xr:uid="{00000000-0005-0000-0000-000089120000}"/>
    <cellStyle name="Normal 35 2 2 6" xfId="4741" xr:uid="{00000000-0005-0000-0000-00008A120000}"/>
    <cellStyle name="Normal 35 2 2 7" xfId="4742" xr:uid="{00000000-0005-0000-0000-00008B120000}"/>
    <cellStyle name="Normal 35 2 2 8" xfId="4743" xr:uid="{00000000-0005-0000-0000-00008C120000}"/>
    <cellStyle name="Normal 35 2 2 9" xfId="4744" xr:uid="{00000000-0005-0000-0000-00008D120000}"/>
    <cellStyle name="Normal 35 2 3" xfId="4745" xr:uid="{00000000-0005-0000-0000-00008E120000}"/>
    <cellStyle name="Normal 35 2 4" xfId="4746" xr:uid="{00000000-0005-0000-0000-00008F120000}"/>
    <cellStyle name="Normal 35 2 5" xfId="4747" xr:uid="{00000000-0005-0000-0000-000090120000}"/>
    <cellStyle name="Normal 35 2 6" xfId="4748" xr:uid="{00000000-0005-0000-0000-000091120000}"/>
    <cellStyle name="Normal 35 2 7" xfId="4749" xr:uid="{00000000-0005-0000-0000-000092120000}"/>
    <cellStyle name="Normal 35 2 8" xfId="4750" xr:uid="{00000000-0005-0000-0000-000093120000}"/>
    <cellStyle name="Normal 35 2 9" xfId="4751" xr:uid="{00000000-0005-0000-0000-000094120000}"/>
    <cellStyle name="Normal 35 20" xfId="4752" xr:uid="{00000000-0005-0000-0000-000095120000}"/>
    <cellStyle name="Normal 35 21" xfId="4753" xr:uid="{00000000-0005-0000-0000-000096120000}"/>
    <cellStyle name="Normal 35 22" xfId="4754" xr:uid="{00000000-0005-0000-0000-000097120000}"/>
    <cellStyle name="Normal 35 23" xfId="4755" xr:uid="{00000000-0005-0000-0000-000098120000}"/>
    <cellStyle name="Normal 35 24" xfId="4756" xr:uid="{00000000-0005-0000-0000-000099120000}"/>
    <cellStyle name="Normal 35 25" xfId="4757" xr:uid="{00000000-0005-0000-0000-00009A120000}"/>
    <cellStyle name="Normal 35 3" xfId="4758" xr:uid="{00000000-0005-0000-0000-00009B120000}"/>
    <cellStyle name="Normal 35 3 10" xfId="4759" xr:uid="{00000000-0005-0000-0000-00009C120000}"/>
    <cellStyle name="Normal 35 3 11" xfId="4760" xr:uid="{00000000-0005-0000-0000-00009D120000}"/>
    <cellStyle name="Normal 35 3 12" xfId="4761" xr:uid="{00000000-0005-0000-0000-00009E120000}"/>
    <cellStyle name="Normal 35 3 13" xfId="4762" xr:uid="{00000000-0005-0000-0000-00009F120000}"/>
    <cellStyle name="Normal 35 3 2" xfId="4763" xr:uid="{00000000-0005-0000-0000-0000A0120000}"/>
    <cellStyle name="Normal 35 3 2 10" xfId="4764" xr:uid="{00000000-0005-0000-0000-0000A1120000}"/>
    <cellStyle name="Normal 35 3 2 11" xfId="4765" xr:uid="{00000000-0005-0000-0000-0000A2120000}"/>
    <cellStyle name="Normal 35 3 2 2" xfId="4766" xr:uid="{00000000-0005-0000-0000-0000A3120000}"/>
    <cellStyle name="Normal 35 3 2 3" xfId="4767" xr:uid="{00000000-0005-0000-0000-0000A4120000}"/>
    <cellStyle name="Normal 35 3 2 4" xfId="4768" xr:uid="{00000000-0005-0000-0000-0000A5120000}"/>
    <cellStyle name="Normal 35 3 2 5" xfId="4769" xr:uid="{00000000-0005-0000-0000-0000A6120000}"/>
    <cellStyle name="Normal 35 3 2 6" xfId="4770" xr:uid="{00000000-0005-0000-0000-0000A7120000}"/>
    <cellStyle name="Normal 35 3 2 7" xfId="4771" xr:uid="{00000000-0005-0000-0000-0000A8120000}"/>
    <cellStyle name="Normal 35 3 2 8" xfId="4772" xr:uid="{00000000-0005-0000-0000-0000A9120000}"/>
    <cellStyle name="Normal 35 3 2 9" xfId="4773" xr:uid="{00000000-0005-0000-0000-0000AA120000}"/>
    <cellStyle name="Normal 35 3 3" xfId="4774" xr:uid="{00000000-0005-0000-0000-0000AB120000}"/>
    <cellStyle name="Normal 35 3 4" xfId="4775" xr:uid="{00000000-0005-0000-0000-0000AC120000}"/>
    <cellStyle name="Normal 35 3 5" xfId="4776" xr:uid="{00000000-0005-0000-0000-0000AD120000}"/>
    <cellStyle name="Normal 35 3 6" xfId="4777" xr:uid="{00000000-0005-0000-0000-0000AE120000}"/>
    <cellStyle name="Normal 35 3 7" xfId="4778" xr:uid="{00000000-0005-0000-0000-0000AF120000}"/>
    <cellStyle name="Normal 35 3 8" xfId="4779" xr:uid="{00000000-0005-0000-0000-0000B0120000}"/>
    <cellStyle name="Normal 35 3 9" xfId="4780" xr:uid="{00000000-0005-0000-0000-0000B1120000}"/>
    <cellStyle name="Normal 35 4" xfId="4781" xr:uid="{00000000-0005-0000-0000-0000B2120000}"/>
    <cellStyle name="Normal 35 4 10" xfId="4782" xr:uid="{00000000-0005-0000-0000-0000B3120000}"/>
    <cellStyle name="Normal 35 4 11" xfId="4783" xr:uid="{00000000-0005-0000-0000-0000B4120000}"/>
    <cellStyle name="Normal 35 4 12" xfId="4784" xr:uid="{00000000-0005-0000-0000-0000B5120000}"/>
    <cellStyle name="Normal 35 4 13" xfId="4785" xr:uid="{00000000-0005-0000-0000-0000B6120000}"/>
    <cellStyle name="Normal 35 4 2" xfId="4786" xr:uid="{00000000-0005-0000-0000-0000B7120000}"/>
    <cellStyle name="Normal 35 4 2 10" xfId="4787" xr:uid="{00000000-0005-0000-0000-0000B8120000}"/>
    <cellStyle name="Normal 35 4 2 11" xfId="4788" xr:uid="{00000000-0005-0000-0000-0000B9120000}"/>
    <cellStyle name="Normal 35 4 2 2" xfId="4789" xr:uid="{00000000-0005-0000-0000-0000BA120000}"/>
    <cellStyle name="Normal 35 4 2 3" xfId="4790" xr:uid="{00000000-0005-0000-0000-0000BB120000}"/>
    <cellStyle name="Normal 35 4 2 4" xfId="4791" xr:uid="{00000000-0005-0000-0000-0000BC120000}"/>
    <cellStyle name="Normal 35 4 2 5" xfId="4792" xr:uid="{00000000-0005-0000-0000-0000BD120000}"/>
    <cellStyle name="Normal 35 4 2 6" xfId="4793" xr:uid="{00000000-0005-0000-0000-0000BE120000}"/>
    <cellStyle name="Normal 35 4 2 7" xfId="4794" xr:uid="{00000000-0005-0000-0000-0000BF120000}"/>
    <cellStyle name="Normal 35 4 2 8" xfId="4795" xr:uid="{00000000-0005-0000-0000-0000C0120000}"/>
    <cellStyle name="Normal 35 4 2 9" xfId="4796" xr:uid="{00000000-0005-0000-0000-0000C1120000}"/>
    <cellStyle name="Normal 35 4 3" xfId="4797" xr:uid="{00000000-0005-0000-0000-0000C2120000}"/>
    <cellStyle name="Normal 35 4 4" xfId="4798" xr:uid="{00000000-0005-0000-0000-0000C3120000}"/>
    <cellStyle name="Normal 35 4 5" xfId="4799" xr:uid="{00000000-0005-0000-0000-0000C4120000}"/>
    <cellStyle name="Normal 35 4 6" xfId="4800" xr:uid="{00000000-0005-0000-0000-0000C5120000}"/>
    <cellStyle name="Normal 35 4 7" xfId="4801" xr:uid="{00000000-0005-0000-0000-0000C6120000}"/>
    <cellStyle name="Normal 35 4 8" xfId="4802" xr:uid="{00000000-0005-0000-0000-0000C7120000}"/>
    <cellStyle name="Normal 35 4 9" xfId="4803" xr:uid="{00000000-0005-0000-0000-0000C8120000}"/>
    <cellStyle name="Normal 35 5" xfId="4804" xr:uid="{00000000-0005-0000-0000-0000C9120000}"/>
    <cellStyle name="Normal 35 5 10" xfId="4805" xr:uid="{00000000-0005-0000-0000-0000CA120000}"/>
    <cellStyle name="Normal 35 5 11" xfId="4806" xr:uid="{00000000-0005-0000-0000-0000CB120000}"/>
    <cellStyle name="Normal 35 5 12" xfId="4807" xr:uid="{00000000-0005-0000-0000-0000CC120000}"/>
    <cellStyle name="Normal 35 5 13" xfId="4808" xr:uid="{00000000-0005-0000-0000-0000CD120000}"/>
    <cellStyle name="Normal 35 5 2" xfId="4809" xr:uid="{00000000-0005-0000-0000-0000CE120000}"/>
    <cellStyle name="Normal 35 5 2 10" xfId="4810" xr:uid="{00000000-0005-0000-0000-0000CF120000}"/>
    <cellStyle name="Normal 35 5 2 11" xfId="4811" xr:uid="{00000000-0005-0000-0000-0000D0120000}"/>
    <cellStyle name="Normal 35 5 2 2" xfId="4812" xr:uid="{00000000-0005-0000-0000-0000D1120000}"/>
    <cellStyle name="Normal 35 5 2 3" xfId="4813" xr:uid="{00000000-0005-0000-0000-0000D2120000}"/>
    <cellStyle name="Normal 35 5 2 4" xfId="4814" xr:uid="{00000000-0005-0000-0000-0000D3120000}"/>
    <cellStyle name="Normal 35 5 2 5" xfId="4815" xr:uid="{00000000-0005-0000-0000-0000D4120000}"/>
    <cellStyle name="Normal 35 5 2 6" xfId="4816" xr:uid="{00000000-0005-0000-0000-0000D5120000}"/>
    <cellStyle name="Normal 35 5 2 7" xfId="4817" xr:uid="{00000000-0005-0000-0000-0000D6120000}"/>
    <cellStyle name="Normal 35 5 2 8" xfId="4818" xr:uid="{00000000-0005-0000-0000-0000D7120000}"/>
    <cellStyle name="Normal 35 5 2 9" xfId="4819" xr:uid="{00000000-0005-0000-0000-0000D8120000}"/>
    <cellStyle name="Normal 35 5 3" xfId="4820" xr:uid="{00000000-0005-0000-0000-0000D9120000}"/>
    <cellStyle name="Normal 35 5 4" xfId="4821" xr:uid="{00000000-0005-0000-0000-0000DA120000}"/>
    <cellStyle name="Normal 35 5 5" xfId="4822" xr:uid="{00000000-0005-0000-0000-0000DB120000}"/>
    <cellStyle name="Normal 35 5 6" xfId="4823" xr:uid="{00000000-0005-0000-0000-0000DC120000}"/>
    <cellStyle name="Normal 35 5 7" xfId="4824" xr:uid="{00000000-0005-0000-0000-0000DD120000}"/>
    <cellStyle name="Normal 35 5 8" xfId="4825" xr:uid="{00000000-0005-0000-0000-0000DE120000}"/>
    <cellStyle name="Normal 35 5 9" xfId="4826" xr:uid="{00000000-0005-0000-0000-0000DF120000}"/>
    <cellStyle name="Normal 35 6" xfId="4827" xr:uid="{00000000-0005-0000-0000-0000E0120000}"/>
    <cellStyle name="Normal 35 6 10" xfId="4828" xr:uid="{00000000-0005-0000-0000-0000E1120000}"/>
    <cellStyle name="Normal 35 6 11" xfId="4829" xr:uid="{00000000-0005-0000-0000-0000E2120000}"/>
    <cellStyle name="Normal 35 6 12" xfId="4830" xr:uid="{00000000-0005-0000-0000-0000E3120000}"/>
    <cellStyle name="Normal 35 6 13" xfId="4831" xr:uid="{00000000-0005-0000-0000-0000E4120000}"/>
    <cellStyle name="Normal 35 6 2" xfId="4832" xr:uid="{00000000-0005-0000-0000-0000E5120000}"/>
    <cellStyle name="Normal 35 6 2 10" xfId="4833" xr:uid="{00000000-0005-0000-0000-0000E6120000}"/>
    <cellStyle name="Normal 35 6 2 11" xfId="4834" xr:uid="{00000000-0005-0000-0000-0000E7120000}"/>
    <cellStyle name="Normal 35 6 2 2" xfId="4835" xr:uid="{00000000-0005-0000-0000-0000E8120000}"/>
    <cellStyle name="Normal 35 6 2 3" xfId="4836" xr:uid="{00000000-0005-0000-0000-0000E9120000}"/>
    <cellStyle name="Normal 35 6 2 4" xfId="4837" xr:uid="{00000000-0005-0000-0000-0000EA120000}"/>
    <cellStyle name="Normal 35 6 2 5" xfId="4838" xr:uid="{00000000-0005-0000-0000-0000EB120000}"/>
    <cellStyle name="Normal 35 6 2 6" xfId="4839" xr:uid="{00000000-0005-0000-0000-0000EC120000}"/>
    <cellStyle name="Normal 35 6 2 7" xfId="4840" xr:uid="{00000000-0005-0000-0000-0000ED120000}"/>
    <cellStyle name="Normal 35 6 2 8" xfId="4841" xr:uid="{00000000-0005-0000-0000-0000EE120000}"/>
    <cellStyle name="Normal 35 6 2 9" xfId="4842" xr:uid="{00000000-0005-0000-0000-0000EF120000}"/>
    <cellStyle name="Normal 35 6 3" xfId="4843" xr:uid="{00000000-0005-0000-0000-0000F0120000}"/>
    <cellStyle name="Normal 35 6 4" xfId="4844" xr:uid="{00000000-0005-0000-0000-0000F1120000}"/>
    <cellStyle name="Normal 35 6 5" xfId="4845" xr:uid="{00000000-0005-0000-0000-0000F2120000}"/>
    <cellStyle name="Normal 35 6 6" xfId="4846" xr:uid="{00000000-0005-0000-0000-0000F3120000}"/>
    <cellStyle name="Normal 35 6 7" xfId="4847" xr:uid="{00000000-0005-0000-0000-0000F4120000}"/>
    <cellStyle name="Normal 35 6 8" xfId="4848" xr:uid="{00000000-0005-0000-0000-0000F5120000}"/>
    <cellStyle name="Normal 35 6 9" xfId="4849" xr:uid="{00000000-0005-0000-0000-0000F6120000}"/>
    <cellStyle name="Normal 35 7" xfId="4850" xr:uid="{00000000-0005-0000-0000-0000F7120000}"/>
    <cellStyle name="Normal 35 7 10" xfId="4851" xr:uid="{00000000-0005-0000-0000-0000F8120000}"/>
    <cellStyle name="Normal 35 7 11" xfId="4852" xr:uid="{00000000-0005-0000-0000-0000F9120000}"/>
    <cellStyle name="Normal 35 7 12" xfId="4853" xr:uid="{00000000-0005-0000-0000-0000FA120000}"/>
    <cellStyle name="Normal 35 7 13" xfId="4854" xr:uid="{00000000-0005-0000-0000-0000FB120000}"/>
    <cellStyle name="Normal 35 7 2" xfId="4855" xr:uid="{00000000-0005-0000-0000-0000FC120000}"/>
    <cellStyle name="Normal 35 7 2 10" xfId="4856" xr:uid="{00000000-0005-0000-0000-0000FD120000}"/>
    <cellStyle name="Normal 35 7 2 11" xfId="4857" xr:uid="{00000000-0005-0000-0000-0000FE120000}"/>
    <cellStyle name="Normal 35 7 2 2" xfId="4858" xr:uid="{00000000-0005-0000-0000-0000FF120000}"/>
    <cellStyle name="Normal 35 7 2 3" xfId="4859" xr:uid="{00000000-0005-0000-0000-000000130000}"/>
    <cellStyle name="Normal 35 7 2 4" xfId="4860" xr:uid="{00000000-0005-0000-0000-000001130000}"/>
    <cellStyle name="Normal 35 7 2 5" xfId="4861" xr:uid="{00000000-0005-0000-0000-000002130000}"/>
    <cellStyle name="Normal 35 7 2 6" xfId="4862" xr:uid="{00000000-0005-0000-0000-000003130000}"/>
    <cellStyle name="Normal 35 7 2 7" xfId="4863" xr:uid="{00000000-0005-0000-0000-000004130000}"/>
    <cellStyle name="Normal 35 7 2 8" xfId="4864" xr:uid="{00000000-0005-0000-0000-000005130000}"/>
    <cellStyle name="Normal 35 7 2 9" xfId="4865" xr:uid="{00000000-0005-0000-0000-000006130000}"/>
    <cellStyle name="Normal 35 7 3" xfId="4866" xr:uid="{00000000-0005-0000-0000-000007130000}"/>
    <cellStyle name="Normal 35 7 4" xfId="4867" xr:uid="{00000000-0005-0000-0000-000008130000}"/>
    <cellStyle name="Normal 35 7 5" xfId="4868" xr:uid="{00000000-0005-0000-0000-000009130000}"/>
    <cellStyle name="Normal 35 7 6" xfId="4869" xr:uid="{00000000-0005-0000-0000-00000A130000}"/>
    <cellStyle name="Normal 35 7 7" xfId="4870" xr:uid="{00000000-0005-0000-0000-00000B130000}"/>
    <cellStyle name="Normal 35 7 8" xfId="4871" xr:uid="{00000000-0005-0000-0000-00000C130000}"/>
    <cellStyle name="Normal 35 7 9" xfId="4872" xr:uid="{00000000-0005-0000-0000-00000D130000}"/>
    <cellStyle name="Normal 35 8" xfId="4873" xr:uid="{00000000-0005-0000-0000-00000E130000}"/>
    <cellStyle name="Normal 35 8 10" xfId="4874" xr:uid="{00000000-0005-0000-0000-00000F130000}"/>
    <cellStyle name="Normal 35 8 11" xfId="4875" xr:uid="{00000000-0005-0000-0000-000010130000}"/>
    <cellStyle name="Normal 35 8 12" xfId="4876" xr:uid="{00000000-0005-0000-0000-000011130000}"/>
    <cellStyle name="Normal 35 8 13" xfId="4877" xr:uid="{00000000-0005-0000-0000-000012130000}"/>
    <cellStyle name="Normal 35 8 2" xfId="4878" xr:uid="{00000000-0005-0000-0000-000013130000}"/>
    <cellStyle name="Normal 35 8 2 10" xfId="4879" xr:uid="{00000000-0005-0000-0000-000014130000}"/>
    <cellStyle name="Normal 35 8 2 11" xfId="4880" xr:uid="{00000000-0005-0000-0000-000015130000}"/>
    <cellStyle name="Normal 35 8 2 2" xfId="4881" xr:uid="{00000000-0005-0000-0000-000016130000}"/>
    <cellStyle name="Normal 35 8 2 3" xfId="4882" xr:uid="{00000000-0005-0000-0000-000017130000}"/>
    <cellStyle name="Normal 35 8 2 4" xfId="4883" xr:uid="{00000000-0005-0000-0000-000018130000}"/>
    <cellStyle name="Normal 35 8 2 5" xfId="4884" xr:uid="{00000000-0005-0000-0000-000019130000}"/>
    <cellStyle name="Normal 35 8 2 6" xfId="4885" xr:uid="{00000000-0005-0000-0000-00001A130000}"/>
    <cellStyle name="Normal 35 8 2 7" xfId="4886" xr:uid="{00000000-0005-0000-0000-00001B130000}"/>
    <cellStyle name="Normal 35 8 2 8" xfId="4887" xr:uid="{00000000-0005-0000-0000-00001C130000}"/>
    <cellStyle name="Normal 35 8 2 9" xfId="4888" xr:uid="{00000000-0005-0000-0000-00001D130000}"/>
    <cellStyle name="Normal 35 8 3" xfId="4889" xr:uid="{00000000-0005-0000-0000-00001E130000}"/>
    <cellStyle name="Normal 35 8 4" xfId="4890" xr:uid="{00000000-0005-0000-0000-00001F130000}"/>
    <cellStyle name="Normal 35 8 5" xfId="4891" xr:uid="{00000000-0005-0000-0000-000020130000}"/>
    <cellStyle name="Normal 35 8 6" xfId="4892" xr:uid="{00000000-0005-0000-0000-000021130000}"/>
    <cellStyle name="Normal 35 8 7" xfId="4893" xr:uid="{00000000-0005-0000-0000-000022130000}"/>
    <cellStyle name="Normal 35 8 8" xfId="4894" xr:uid="{00000000-0005-0000-0000-000023130000}"/>
    <cellStyle name="Normal 35 8 9" xfId="4895" xr:uid="{00000000-0005-0000-0000-000024130000}"/>
    <cellStyle name="Normal 35 9" xfId="4896" xr:uid="{00000000-0005-0000-0000-000025130000}"/>
    <cellStyle name="Normal 35 9 10" xfId="4897" xr:uid="{00000000-0005-0000-0000-000026130000}"/>
    <cellStyle name="Normal 35 9 11" xfId="4898" xr:uid="{00000000-0005-0000-0000-000027130000}"/>
    <cellStyle name="Normal 35 9 12" xfId="4899" xr:uid="{00000000-0005-0000-0000-000028130000}"/>
    <cellStyle name="Normal 35 9 13" xfId="4900" xr:uid="{00000000-0005-0000-0000-000029130000}"/>
    <cellStyle name="Normal 35 9 2" xfId="4901" xr:uid="{00000000-0005-0000-0000-00002A130000}"/>
    <cellStyle name="Normal 35 9 2 10" xfId="4902" xr:uid="{00000000-0005-0000-0000-00002B130000}"/>
    <cellStyle name="Normal 35 9 2 11" xfId="4903" xr:uid="{00000000-0005-0000-0000-00002C130000}"/>
    <cellStyle name="Normal 35 9 2 2" xfId="4904" xr:uid="{00000000-0005-0000-0000-00002D130000}"/>
    <cellStyle name="Normal 35 9 2 3" xfId="4905" xr:uid="{00000000-0005-0000-0000-00002E130000}"/>
    <cellStyle name="Normal 35 9 2 4" xfId="4906" xr:uid="{00000000-0005-0000-0000-00002F130000}"/>
    <cellStyle name="Normal 35 9 2 5" xfId="4907" xr:uid="{00000000-0005-0000-0000-000030130000}"/>
    <cellStyle name="Normal 35 9 2 6" xfId="4908" xr:uid="{00000000-0005-0000-0000-000031130000}"/>
    <cellStyle name="Normal 35 9 2 7" xfId="4909" xr:uid="{00000000-0005-0000-0000-000032130000}"/>
    <cellStyle name="Normal 35 9 2 8" xfId="4910" xr:uid="{00000000-0005-0000-0000-000033130000}"/>
    <cellStyle name="Normal 35 9 2 9" xfId="4911" xr:uid="{00000000-0005-0000-0000-000034130000}"/>
    <cellStyle name="Normal 35 9 3" xfId="4912" xr:uid="{00000000-0005-0000-0000-000035130000}"/>
    <cellStyle name="Normal 35 9 4" xfId="4913" xr:uid="{00000000-0005-0000-0000-000036130000}"/>
    <cellStyle name="Normal 35 9 5" xfId="4914" xr:uid="{00000000-0005-0000-0000-000037130000}"/>
    <cellStyle name="Normal 35 9 6" xfId="4915" xr:uid="{00000000-0005-0000-0000-000038130000}"/>
    <cellStyle name="Normal 35 9 7" xfId="4916" xr:uid="{00000000-0005-0000-0000-000039130000}"/>
    <cellStyle name="Normal 35 9 8" xfId="4917" xr:uid="{00000000-0005-0000-0000-00003A130000}"/>
    <cellStyle name="Normal 35 9 9" xfId="4918" xr:uid="{00000000-0005-0000-0000-00003B130000}"/>
    <cellStyle name="Normal 36" xfId="4919" xr:uid="{00000000-0005-0000-0000-00003C130000}"/>
    <cellStyle name="Normal 36 10" xfId="4920" xr:uid="{00000000-0005-0000-0000-00003D130000}"/>
    <cellStyle name="Normal 36 10 10" xfId="4921" xr:uid="{00000000-0005-0000-0000-00003E130000}"/>
    <cellStyle name="Normal 36 10 11" xfId="4922" xr:uid="{00000000-0005-0000-0000-00003F130000}"/>
    <cellStyle name="Normal 36 10 12" xfId="4923" xr:uid="{00000000-0005-0000-0000-000040130000}"/>
    <cellStyle name="Normal 36 10 13" xfId="4924" xr:uid="{00000000-0005-0000-0000-000041130000}"/>
    <cellStyle name="Normal 36 10 2" xfId="4925" xr:uid="{00000000-0005-0000-0000-000042130000}"/>
    <cellStyle name="Normal 36 10 2 10" xfId="4926" xr:uid="{00000000-0005-0000-0000-000043130000}"/>
    <cellStyle name="Normal 36 10 2 11" xfId="4927" xr:uid="{00000000-0005-0000-0000-000044130000}"/>
    <cellStyle name="Normal 36 10 2 2" xfId="4928" xr:uid="{00000000-0005-0000-0000-000045130000}"/>
    <cellStyle name="Normal 36 10 2 3" xfId="4929" xr:uid="{00000000-0005-0000-0000-000046130000}"/>
    <cellStyle name="Normal 36 10 2 4" xfId="4930" xr:uid="{00000000-0005-0000-0000-000047130000}"/>
    <cellStyle name="Normal 36 10 2 5" xfId="4931" xr:uid="{00000000-0005-0000-0000-000048130000}"/>
    <cellStyle name="Normal 36 10 2 6" xfId="4932" xr:uid="{00000000-0005-0000-0000-000049130000}"/>
    <cellStyle name="Normal 36 10 2 7" xfId="4933" xr:uid="{00000000-0005-0000-0000-00004A130000}"/>
    <cellStyle name="Normal 36 10 2 8" xfId="4934" xr:uid="{00000000-0005-0000-0000-00004B130000}"/>
    <cellStyle name="Normal 36 10 2 9" xfId="4935" xr:uid="{00000000-0005-0000-0000-00004C130000}"/>
    <cellStyle name="Normal 36 10 3" xfId="4936" xr:uid="{00000000-0005-0000-0000-00004D130000}"/>
    <cellStyle name="Normal 36 10 4" xfId="4937" xr:uid="{00000000-0005-0000-0000-00004E130000}"/>
    <cellStyle name="Normal 36 10 5" xfId="4938" xr:uid="{00000000-0005-0000-0000-00004F130000}"/>
    <cellStyle name="Normal 36 10 6" xfId="4939" xr:uid="{00000000-0005-0000-0000-000050130000}"/>
    <cellStyle name="Normal 36 10 7" xfId="4940" xr:uid="{00000000-0005-0000-0000-000051130000}"/>
    <cellStyle name="Normal 36 10 8" xfId="4941" xr:uid="{00000000-0005-0000-0000-000052130000}"/>
    <cellStyle name="Normal 36 10 9" xfId="4942" xr:uid="{00000000-0005-0000-0000-000053130000}"/>
    <cellStyle name="Normal 36 11" xfId="4943" xr:uid="{00000000-0005-0000-0000-000054130000}"/>
    <cellStyle name="Normal 36 11 10" xfId="4944" xr:uid="{00000000-0005-0000-0000-000055130000}"/>
    <cellStyle name="Normal 36 11 11" xfId="4945" xr:uid="{00000000-0005-0000-0000-000056130000}"/>
    <cellStyle name="Normal 36 11 12" xfId="4946" xr:uid="{00000000-0005-0000-0000-000057130000}"/>
    <cellStyle name="Normal 36 11 13" xfId="4947" xr:uid="{00000000-0005-0000-0000-000058130000}"/>
    <cellStyle name="Normal 36 11 2" xfId="4948" xr:uid="{00000000-0005-0000-0000-000059130000}"/>
    <cellStyle name="Normal 36 11 2 10" xfId="4949" xr:uid="{00000000-0005-0000-0000-00005A130000}"/>
    <cellStyle name="Normal 36 11 2 11" xfId="4950" xr:uid="{00000000-0005-0000-0000-00005B130000}"/>
    <cellStyle name="Normal 36 11 2 2" xfId="4951" xr:uid="{00000000-0005-0000-0000-00005C130000}"/>
    <cellStyle name="Normal 36 11 2 3" xfId="4952" xr:uid="{00000000-0005-0000-0000-00005D130000}"/>
    <cellStyle name="Normal 36 11 2 4" xfId="4953" xr:uid="{00000000-0005-0000-0000-00005E130000}"/>
    <cellStyle name="Normal 36 11 2 5" xfId="4954" xr:uid="{00000000-0005-0000-0000-00005F130000}"/>
    <cellStyle name="Normal 36 11 2 6" xfId="4955" xr:uid="{00000000-0005-0000-0000-000060130000}"/>
    <cellStyle name="Normal 36 11 2 7" xfId="4956" xr:uid="{00000000-0005-0000-0000-000061130000}"/>
    <cellStyle name="Normal 36 11 2 8" xfId="4957" xr:uid="{00000000-0005-0000-0000-000062130000}"/>
    <cellStyle name="Normal 36 11 2 9" xfId="4958" xr:uid="{00000000-0005-0000-0000-000063130000}"/>
    <cellStyle name="Normal 36 11 3" xfId="4959" xr:uid="{00000000-0005-0000-0000-000064130000}"/>
    <cellStyle name="Normal 36 11 4" xfId="4960" xr:uid="{00000000-0005-0000-0000-000065130000}"/>
    <cellStyle name="Normal 36 11 5" xfId="4961" xr:uid="{00000000-0005-0000-0000-000066130000}"/>
    <cellStyle name="Normal 36 11 6" xfId="4962" xr:uid="{00000000-0005-0000-0000-000067130000}"/>
    <cellStyle name="Normal 36 11 7" xfId="4963" xr:uid="{00000000-0005-0000-0000-000068130000}"/>
    <cellStyle name="Normal 36 11 8" xfId="4964" xr:uid="{00000000-0005-0000-0000-000069130000}"/>
    <cellStyle name="Normal 36 11 9" xfId="4965" xr:uid="{00000000-0005-0000-0000-00006A130000}"/>
    <cellStyle name="Normal 36 12" xfId="4966" xr:uid="{00000000-0005-0000-0000-00006B130000}"/>
    <cellStyle name="Normal 36 12 10" xfId="4967" xr:uid="{00000000-0005-0000-0000-00006C130000}"/>
    <cellStyle name="Normal 36 12 11" xfId="4968" xr:uid="{00000000-0005-0000-0000-00006D130000}"/>
    <cellStyle name="Normal 36 12 12" xfId="4969" xr:uid="{00000000-0005-0000-0000-00006E130000}"/>
    <cellStyle name="Normal 36 12 13" xfId="4970" xr:uid="{00000000-0005-0000-0000-00006F130000}"/>
    <cellStyle name="Normal 36 12 2" xfId="4971" xr:uid="{00000000-0005-0000-0000-000070130000}"/>
    <cellStyle name="Normal 36 12 2 10" xfId="4972" xr:uid="{00000000-0005-0000-0000-000071130000}"/>
    <cellStyle name="Normal 36 12 2 11" xfId="4973" xr:uid="{00000000-0005-0000-0000-000072130000}"/>
    <cellStyle name="Normal 36 12 2 2" xfId="4974" xr:uid="{00000000-0005-0000-0000-000073130000}"/>
    <cellStyle name="Normal 36 12 2 3" xfId="4975" xr:uid="{00000000-0005-0000-0000-000074130000}"/>
    <cellStyle name="Normal 36 12 2 4" xfId="4976" xr:uid="{00000000-0005-0000-0000-000075130000}"/>
    <cellStyle name="Normal 36 12 2 5" xfId="4977" xr:uid="{00000000-0005-0000-0000-000076130000}"/>
    <cellStyle name="Normal 36 12 2 6" xfId="4978" xr:uid="{00000000-0005-0000-0000-000077130000}"/>
    <cellStyle name="Normal 36 12 2 7" xfId="4979" xr:uid="{00000000-0005-0000-0000-000078130000}"/>
    <cellStyle name="Normal 36 12 2 8" xfId="4980" xr:uid="{00000000-0005-0000-0000-000079130000}"/>
    <cellStyle name="Normal 36 12 2 9" xfId="4981" xr:uid="{00000000-0005-0000-0000-00007A130000}"/>
    <cellStyle name="Normal 36 12 3" xfId="4982" xr:uid="{00000000-0005-0000-0000-00007B130000}"/>
    <cellStyle name="Normal 36 12 4" xfId="4983" xr:uid="{00000000-0005-0000-0000-00007C130000}"/>
    <cellStyle name="Normal 36 12 5" xfId="4984" xr:uid="{00000000-0005-0000-0000-00007D130000}"/>
    <cellStyle name="Normal 36 12 6" xfId="4985" xr:uid="{00000000-0005-0000-0000-00007E130000}"/>
    <cellStyle name="Normal 36 12 7" xfId="4986" xr:uid="{00000000-0005-0000-0000-00007F130000}"/>
    <cellStyle name="Normal 36 12 8" xfId="4987" xr:uid="{00000000-0005-0000-0000-000080130000}"/>
    <cellStyle name="Normal 36 12 9" xfId="4988" xr:uid="{00000000-0005-0000-0000-000081130000}"/>
    <cellStyle name="Normal 36 13" xfId="4989" xr:uid="{00000000-0005-0000-0000-000082130000}"/>
    <cellStyle name="Normal 36 13 10" xfId="4990" xr:uid="{00000000-0005-0000-0000-000083130000}"/>
    <cellStyle name="Normal 36 13 11" xfId="4991" xr:uid="{00000000-0005-0000-0000-000084130000}"/>
    <cellStyle name="Normal 36 13 12" xfId="4992" xr:uid="{00000000-0005-0000-0000-000085130000}"/>
    <cellStyle name="Normal 36 13 13" xfId="4993" xr:uid="{00000000-0005-0000-0000-000086130000}"/>
    <cellStyle name="Normal 36 13 2" xfId="4994" xr:uid="{00000000-0005-0000-0000-000087130000}"/>
    <cellStyle name="Normal 36 13 2 10" xfId="4995" xr:uid="{00000000-0005-0000-0000-000088130000}"/>
    <cellStyle name="Normal 36 13 2 11" xfId="4996" xr:uid="{00000000-0005-0000-0000-000089130000}"/>
    <cellStyle name="Normal 36 13 2 2" xfId="4997" xr:uid="{00000000-0005-0000-0000-00008A130000}"/>
    <cellStyle name="Normal 36 13 2 3" xfId="4998" xr:uid="{00000000-0005-0000-0000-00008B130000}"/>
    <cellStyle name="Normal 36 13 2 4" xfId="4999" xr:uid="{00000000-0005-0000-0000-00008C130000}"/>
    <cellStyle name="Normal 36 13 2 5" xfId="5000" xr:uid="{00000000-0005-0000-0000-00008D130000}"/>
    <cellStyle name="Normal 36 13 2 6" xfId="5001" xr:uid="{00000000-0005-0000-0000-00008E130000}"/>
    <cellStyle name="Normal 36 13 2 7" xfId="5002" xr:uid="{00000000-0005-0000-0000-00008F130000}"/>
    <cellStyle name="Normal 36 13 2 8" xfId="5003" xr:uid="{00000000-0005-0000-0000-000090130000}"/>
    <cellStyle name="Normal 36 13 2 9" xfId="5004" xr:uid="{00000000-0005-0000-0000-000091130000}"/>
    <cellStyle name="Normal 36 13 3" xfId="5005" xr:uid="{00000000-0005-0000-0000-000092130000}"/>
    <cellStyle name="Normal 36 13 4" xfId="5006" xr:uid="{00000000-0005-0000-0000-000093130000}"/>
    <cellStyle name="Normal 36 13 5" xfId="5007" xr:uid="{00000000-0005-0000-0000-000094130000}"/>
    <cellStyle name="Normal 36 13 6" xfId="5008" xr:uid="{00000000-0005-0000-0000-000095130000}"/>
    <cellStyle name="Normal 36 13 7" xfId="5009" xr:uid="{00000000-0005-0000-0000-000096130000}"/>
    <cellStyle name="Normal 36 13 8" xfId="5010" xr:uid="{00000000-0005-0000-0000-000097130000}"/>
    <cellStyle name="Normal 36 13 9" xfId="5011" xr:uid="{00000000-0005-0000-0000-000098130000}"/>
    <cellStyle name="Normal 36 14" xfId="5012" xr:uid="{00000000-0005-0000-0000-000099130000}"/>
    <cellStyle name="Normal 36 14 10" xfId="5013" xr:uid="{00000000-0005-0000-0000-00009A130000}"/>
    <cellStyle name="Normal 36 14 11" xfId="5014" xr:uid="{00000000-0005-0000-0000-00009B130000}"/>
    <cellStyle name="Normal 36 14 2" xfId="5015" xr:uid="{00000000-0005-0000-0000-00009C130000}"/>
    <cellStyle name="Normal 36 14 3" xfId="5016" xr:uid="{00000000-0005-0000-0000-00009D130000}"/>
    <cellStyle name="Normal 36 14 4" xfId="5017" xr:uid="{00000000-0005-0000-0000-00009E130000}"/>
    <cellStyle name="Normal 36 14 5" xfId="5018" xr:uid="{00000000-0005-0000-0000-00009F130000}"/>
    <cellStyle name="Normal 36 14 6" xfId="5019" xr:uid="{00000000-0005-0000-0000-0000A0130000}"/>
    <cellStyle name="Normal 36 14 7" xfId="5020" xr:uid="{00000000-0005-0000-0000-0000A1130000}"/>
    <cellStyle name="Normal 36 14 8" xfId="5021" xr:uid="{00000000-0005-0000-0000-0000A2130000}"/>
    <cellStyle name="Normal 36 14 9" xfId="5022" xr:uid="{00000000-0005-0000-0000-0000A3130000}"/>
    <cellStyle name="Normal 36 15" xfId="5023" xr:uid="{00000000-0005-0000-0000-0000A4130000}"/>
    <cellStyle name="Normal 36 16" xfId="5024" xr:uid="{00000000-0005-0000-0000-0000A5130000}"/>
    <cellStyle name="Normal 36 17" xfId="5025" xr:uid="{00000000-0005-0000-0000-0000A6130000}"/>
    <cellStyle name="Normal 36 18" xfId="5026" xr:uid="{00000000-0005-0000-0000-0000A7130000}"/>
    <cellStyle name="Normal 36 19" xfId="5027" xr:uid="{00000000-0005-0000-0000-0000A8130000}"/>
    <cellStyle name="Normal 36 2" xfId="5028" xr:uid="{00000000-0005-0000-0000-0000A9130000}"/>
    <cellStyle name="Normal 36 2 10" xfId="5029" xr:uid="{00000000-0005-0000-0000-0000AA130000}"/>
    <cellStyle name="Normal 36 2 11" xfId="5030" xr:uid="{00000000-0005-0000-0000-0000AB130000}"/>
    <cellStyle name="Normal 36 2 12" xfId="5031" xr:uid="{00000000-0005-0000-0000-0000AC130000}"/>
    <cellStyle name="Normal 36 2 13" xfId="5032" xr:uid="{00000000-0005-0000-0000-0000AD130000}"/>
    <cellStyle name="Normal 36 2 2" xfId="5033" xr:uid="{00000000-0005-0000-0000-0000AE130000}"/>
    <cellStyle name="Normal 36 2 2 10" xfId="5034" xr:uid="{00000000-0005-0000-0000-0000AF130000}"/>
    <cellStyle name="Normal 36 2 2 11" xfId="5035" xr:uid="{00000000-0005-0000-0000-0000B0130000}"/>
    <cellStyle name="Normal 36 2 2 2" xfId="5036" xr:uid="{00000000-0005-0000-0000-0000B1130000}"/>
    <cellStyle name="Normal 36 2 2 3" xfId="5037" xr:uid="{00000000-0005-0000-0000-0000B2130000}"/>
    <cellStyle name="Normal 36 2 2 4" xfId="5038" xr:uid="{00000000-0005-0000-0000-0000B3130000}"/>
    <cellStyle name="Normal 36 2 2 5" xfId="5039" xr:uid="{00000000-0005-0000-0000-0000B4130000}"/>
    <cellStyle name="Normal 36 2 2 6" xfId="5040" xr:uid="{00000000-0005-0000-0000-0000B5130000}"/>
    <cellStyle name="Normal 36 2 2 7" xfId="5041" xr:uid="{00000000-0005-0000-0000-0000B6130000}"/>
    <cellStyle name="Normal 36 2 2 8" xfId="5042" xr:uid="{00000000-0005-0000-0000-0000B7130000}"/>
    <cellStyle name="Normal 36 2 2 9" xfId="5043" xr:uid="{00000000-0005-0000-0000-0000B8130000}"/>
    <cellStyle name="Normal 36 2 3" xfId="5044" xr:uid="{00000000-0005-0000-0000-0000B9130000}"/>
    <cellStyle name="Normal 36 2 4" xfId="5045" xr:uid="{00000000-0005-0000-0000-0000BA130000}"/>
    <cellStyle name="Normal 36 2 5" xfId="5046" xr:uid="{00000000-0005-0000-0000-0000BB130000}"/>
    <cellStyle name="Normal 36 2 6" xfId="5047" xr:uid="{00000000-0005-0000-0000-0000BC130000}"/>
    <cellStyle name="Normal 36 2 7" xfId="5048" xr:uid="{00000000-0005-0000-0000-0000BD130000}"/>
    <cellStyle name="Normal 36 2 8" xfId="5049" xr:uid="{00000000-0005-0000-0000-0000BE130000}"/>
    <cellStyle name="Normal 36 2 9" xfId="5050" xr:uid="{00000000-0005-0000-0000-0000BF130000}"/>
    <cellStyle name="Normal 36 20" xfId="5051" xr:uid="{00000000-0005-0000-0000-0000C0130000}"/>
    <cellStyle name="Normal 36 21" xfId="5052" xr:uid="{00000000-0005-0000-0000-0000C1130000}"/>
    <cellStyle name="Normal 36 22" xfId="5053" xr:uid="{00000000-0005-0000-0000-0000C2130000}"/>
    <cellStyle name="Normal 36 23" xfId="5054" xr:uid="{00000000-0005-0000-0000-0000C3130000}"/>
    <cellStyle name="Normal 36 24" xfId="5055" xr:uid="{00000000-0005-0000-0000-0000C4130000}"/>
    <cellStyle name="Normal 36 25" xfId="5056" xr:uid="{00000000-0005-0000-0000-0000C5130000}"/>
    <cellStyle name="Normal 36 3" xfId="5057" xr:uid="{00000000-0005-0000-0000-0000C6130000}"/>
    <cellStyle name="Normal 36 3 10" xfId="5058" xr:uid="{00000000-0005-0000-0000-0000C7130000}"/>
    <cellStyle name="Normal 36 3 11" xfId="5059" xr:uid="{00000000-0005-0000-0000-0000C8130000}"/>
    <cellStyle name="Normal 36 3 12" xfId="5060" xr:uid="{00000000-0005-0000-0000-0000C9130000}"/>
    <cellStyle name="Normal 36 3 13" xfId="5061" xr:uid="{00000000-0005-0000-0000-0000CA130000}"/>
    <cellStyle name="Normal 36 3 2" xfId="5062" xr:uid="{00000000-0005-0000-0000-0000CB130000}"/>
    <cellStyle name="Normal 36 3 2 10" xfId="5063" xr:uid="{00000000-0005-0000-0000-0000CC130000}"/>
    <cellStyle name="Normal 36 3 2 11" xfId="5064" xr:uid="{00000000-0005-0000-0000-0000CD130000}"/>
    <cellStyle name="Normal 36 3 2 2" xfId="5065" xr:uid="{00000000-0005-0000-0000-0000CE130000}"/>
    <cellStyle name="Normal 36 3 2 3" xfId="5066" xr:uid="{00000000-0005-0000-0000-0000CF130000}"/>
    <cellStyle name="Normal 36 3 2 4" xfId="5067" xr:uid="{00000000-0005-0000-0000-0000D0130000}"/>
    <cellStyle name="Normal 36 3 2 5" xfId="5068" xr:uid="{00000000-0005-0000-0000-0000D1130000}"/>
    <cellStyle name="Normal 36 3 2 6" xfId="5069" xr:uid="{00000000-0005-0000-0000-0000D2130000}"/>
    <cellStyle name="Normal 36 3 2 7" xfId="5070" xr:uid="{00000000-0005-0000-0000-0000D3130000}"/>
    <cellStyle name="Normal 36 3 2 8" xfId="5071" xr:uid="{00000000-0005-0000-0000-0000D4130000}"/>
    <cellStyle name="Normal 36 3 2 9" xfId="5072" xr:uid="{00000000-0005-0000-0000-0000D5130000}"/>
    <cellStyle name="Normal 36 3 3" xfId="5073" xr:uid="{00000000-0005-0000-0000-0000D6130000}"/>
    <cellStyle name="Normal 36 3 4" xfId="5074" xr:uid="{00000000-0005-0000-0000-0000D7130000}"/>
    <cellStyle name="Normal 36 3 5" xfId="5075" xr:uid="{00000000-0005-0000-0000-0000D8130000}"/>
    <cellStyle name="Normal 36 3 6" xfId="5076" xr:uid="{00000000-0005-0000-0000-0000D9130000}"/>
    <cellStyle name="Normal 36 3 7" xfId="5077" xr:uid="{00000000-0005-0000-0000-0000DA130000}"/>
    <cellStyle name="Normal 36 3 8" xfId="5078" xr:uid="{00000000-0005-0000-0000-0000DB130000}"/>
    <cellStyle name="Normal 36 3 9" xfId="5079" xr:uid="{00000000-0005-0000-0000-0000DC130000}"/>
    <cellStyle name="Normal 36 4" xfId="5080" xr:uid="{00000000-0005-0000-0000-0000DD130000}"/>
    <cellStyle name="Normal 36 4 10" xfId="5081" xr:uid="{00000000-0005-0000-0000-0000DE130000}"/>
    <cellStyle name="Normal 36 4 11" xfId="5082" xr:uid="{00000000-0005-0000-0000-0000DF130000}"/>
    <cellStyle name="Normal 36 4 12" xfId="5083" xr:uid="{00000000-0005-0000-0000-0000E0130000}"/>
    <cellStyle name="Normal 36 4 13" xfId="5084" xr:uid="{00000000-0005-0000-0000-0000E1130000}"/>
    <cellStyle name="Normal 36 4 2" xfId="5085" xr:uid="{00000000-0005-0000-0000-0000E2130000}"/>
    <cellStyle name="Normal 36 4 2 10" xfId="5086" xr:uid="{00000000-0005-0000-0000-0000E3130000}"/>
    <cellStyle name="Normal 36 4 2 11" xfId="5087" xr:uid="{00000000-0005-0000-0000-0000E4130000}"/>
    <cellStyle name="Normal 36 4 2 2" xfId="5088" xr:uid="{00000000-0005-0000-0000-0000E5130000}"/>
    <cellStyle name="Normal 36 4 2 3" xfId="5089" xr:uid="{00000000-0005-0000-0000-0000E6130000}"/>
    <cellStyle name="Normal 36 4 2 4" xfId="5090" xr:uid="{00000000-0005-0000-0000-0000E7130000}"/>
    <cellStyle name="Normal 36 4 2 5" xfId="5091" xr:uid="{00000000-0005-0000-0000-0000E8130000}"/>
    <cellStyle name="Normal 36 4 2 6" xfId="5092" xr:uid="{00000000-0005-0000-0000-0000E9130000}"/>
    <cellStyle name="Normal 36 4 2 7" xfId="5093" xr:uid="{00000000-0005-0000-0000-0000EA130000}"/>
    <cellStyle name="Normal 36 4 2 8" xfId="5094" xr:uid="{00000000-0005-0000-0000-0000EB130000}"/>
    <cellStyle name="Normal 36 4 2 9" xfId="5095" xr:uid="{00000000-0005-0000-0000-0000EC130000}"/>
    <cellStyle name="Normal 36 4 3" xfId="5096" xr:uid="{00000000-0005-0000-0000-0000ED130000}"/>
    <cellStyle name="Normal 36 4 4" xfId="5097" xr:uid="{00000000-0005-0000-0000-0000EE130000}"/>
    <cellStyle name="Normal 36 4 5" xfId="5098" xr:uid="{00000000-0005-0000-0000-0000EF130000}"/>
    <cellStyle name="Normal 36 4 6" xfId="5099" xr:uid="{00000000-0005-0000-0000-0000F0130000}"/>
    <cellStyle name="Normal 36 4 7" xfId="5100" xr:uid="{00000000-0005-0000-0000-0000F1130000}"/>
    <cellStyle name="Normal 36 4 8" xfId="5101" xr:uid="{00000000-0005-0000-0000-0000F2130000}"/>
    <cellStyle name="Normal 36 4 9" xfId="5102" xr:uid="{00000000-0005-0000-0000-0000F3130000}"/>
    <cellStyle name="Normal 36 5" xfId="5103" xr:uid="{00000000-0005-0000-0000-0000F4130000}"/>
    <cellStyle name="Normal 36 5 10" xfId="5104" xr:uid="{00000000-0005-0000-0000-0000F5130000}"/>
    <cellStyle name="Normal 36 5 11" xfId="5105" xr:uid="{00000000-0005-0000-0000-0000F6130000}"/>
    <cellStyle name="Normal 36 5 12" xfId="5106" xr:uid="{00000000-0005-0000-0000-0000F7130000}"/>
    <cellStyle name="Normal 36 5 13" xfId="5107" xr:uid="{00000000-0005-0000-0000-0000F8130000}"/>
    <cellStyle name="Normal 36 5 2" xfId="5108" xr:uid="{00000000-0005-0000-0000-0000F9130000}"/>
    <cellStyle name="Normal 36 5 2 10" xfId="5109" xr:uid="{00000000-0005-0000-0000-0000FA130000}"/>
    <cellStyle name="Normal 36 5 2 11" xfId="5110" xr:uid="{00000000-0005-0000-0000-0000FB130000}"/>
    <cellStyle name="Normal 36 5 2 2" xfId="5111" xr:uid="{00000000-0005-0000-0000-0000FC130000}"/>
    <cellStyle name="Normal 36 5 2 3" xfId="5112" xr:uid="{00000000-0005-0000-0000-0000FD130000}"/>
    <cellStyle name="Normal 36 5 2 4" xfId="5113" xr:uid="{00000000-0005-0000-0000-0000FE130000}"/>
    <cellStyle name="Normal 36 5 2 5" xfId="5114" xr:uid="{00000000-0005-0000-0000-0000FF130000}"/>
    <cellStyle name="Normal 36 5 2 6" xfId="5115" xr:uid="{00000000-0005-0000-0000-000000140000}"/>
    <cellStyle name="Normal 36 5 2 7" xfId="5116" xr:uid="{00000000-0005-0000-0000-000001140000}"/>
    <cellStyle name="Normal 36 5 2 8" xfId="5117" xr:uid="{00000000-0005-0000-0000-000002140000}"/>
    <cellStyle name="Normal 36 5 2 9" xfId="5118" xr:uid="{00000000-0005-0000-0000-000003140000}"/>
    <cellStyle name="Normal 36 5 3" xfId="5119" xr:uid="{00000000-0005-0000-0000-000004140000}"/>
    <cellStyle name="Normal 36 5 4" xfId="5120" xr:uid="{00000000-0005-0000-0000-000005140000}"/>
    <cellStyle name="Normal 36 5 5" xfId="5121" xr:uid="{00000000-0005-0000-0000-000006140000}"/>
    <cellStyle name="Normal 36 5 6" xfId="5122" xr:uid="{00000000-0005-0000-0000-000007140000}"/>
    <cellStyle name="Normal 36 5 7" xfId="5123" xr:uid="{00000000-0005-0000-0000-000008140000}"/>
    <cellStyle name="Normal 36 5 8" xfId="5124" xr:uid="{00000000-0005-0000-0000-000009140000}"/>
    <cellStyle name="Normal 36 5 9" xfId="5125" xr:uid="{00000000-0005-0000-0000-00000A140000}"/>
    <cellStyle name="Normal 36 6" xfId="5126" xr:uid="{00000000-0005-0000-0000-00000B140000}"/>
    <cellStyle name="Normal 36 6 10" xfId="5127" xr:uid="{00000000-0005-0000-0000-00000C140000}"/>
    <cellStyle name="Normal 36 6 11" xfId="5128" xr:uid="{00000000-0005-0000-0000-00000D140000}"/>
    <cellStyle name="Normal 36 6 12" xfId="5129" xr:uid="{00000000-0005-0000-0000-00000E140000}"/>
    <cellStyle name="Normal 36 6 13" xfId="5130" xr:uid="{00000000-0005-0000-0000-00000F140000}"/>
    <cellStyle name="Normal 36 6 2" xfId="5131" xr:uid="{00000000-0005-0000-0000-000010140000}"/>
    <cellStyle name="Normal 36 6 2 10" xfId="5132" xr:uid="{00000000-0005-0000-0000-000011140000}"/>
    <cellStyle name="Normal 36 6 2 11" xfId="5133" xr:uid="{00000000-0005-0000-0000-000012140000}"/>
    <cellStyle name="Normal 36 6 2 2" xfId="5134" xr:uid="{00000000-0005-0000-0000-000013140000}"/>
    <cellStyle name="Normal 36 6 2 3" xfId="5135" xr:uid="{00000000-0005-0000-0000-000014140000}"/>
    <cellStyle name="Normal 36 6 2 4" xfId="5136" xr:uid="{00000000-0005-0000-0000-000015140000}"/>
    <cellStyle name="Normal 36 6 2 5" xfId="5137" xr:uid="{00000000-0005-0000-0000-000016140000}"/>
    <cellStyle name="Normal 36 6 2 6" xfId="5138" xr:uid="{00000000-0005-0000-0000-000017140000}"/>
    <cellStyle name="Normal 36 6 2 7" xfId="5139" xr:uid="{00000000-0005-0000-0000-000018140000}"/>
    <cellStyle name="Normal 36 6 2 8" xfId="5140" xr:uid="{00000000-0005-0000-0000-000019140000}"/>
    <cellStyle name="Normal 36 6 2 9" xfId="5141" xr:uid="{00000000-0005-0000-0000-00001A140000}"/>
    <cellStyle name="Normal 36 6 3" xfId="5142" xr:uid="{00000000-0005-0000-0000-00001B140000}"/>
    <cellStyle name="Normal 36 6 4" xfId="5143" xr:uid="{00000000-0005-0000-0000-00001C140000}"/>
    <cellStyle name="Normal 36 6 5" xfId="5144" xr:uid="{00000000-0005-0000-0000-00001D140000}"/>
    <cellStyle name="Normal 36 6 6" xfId="5145" xr:uid="{00000000-0005-0000-0000-00001E140000}"/>
    <cellStyle name="Normal 36 6 7" xfId="5146" xr:uid="{00000000-0005-0000-0000-00001F140000}"/>
    <cellStyle name="Normal 36 6 8" xfId="5147" xr:uid="{00000000-0005-0000-0000-000020140000}"/>
    <cellStyle name="Normal 36 6 9" xfId="5148" xr:uid="{00000000-0005-0000-0000-000021140000}"/>
    <cellStyle name="Normal 36 7" xfId="5149" xr:uid="{00000000-0005-0000-0000-000022140000}"/>
    <cellStyle name="Normal 36 7 10" xfId="5150" xr:uid="{00000000-0005-0000-0000-000023140000}"/>
    <cellStyle name="Normal 36 7 11" xfId="5151" xr:uid="{00000000-0005-0000-0000-000024140000}"/>
    <cellStyle name="Normal 36 7 12" xfId="5152" xr:uid="{00000000-0005-0000-0000-000025140000}"/>
    <cellStyle name="Normal 36 7 13" xfId="5153" xr:uid="{00000000-0005-0000-0000-000026140000}"/>
    <cellStyle name="Normal 36 7 2" xfId="5154" xr:uid="{00000000-0005-0000-0000-000027140000}"/>
    <cellStyle name="Normal 36 7 2 10" xfId="5155" xr:uid="{00000000-0005-0000-0000-000028140000}"/>
    <cellStyle name="Normal 36 7 2 11" xfId="5156" xr:uid="{00000000-0005-0000-0000-000029140000}"/>
    <cellStyle name="Normal 36 7 2 2" xfId="5157" xr:uid="{00000000-0005-0000-0000-00002A140000}"/>
    <cellStyle name="Normal 36 7 2 3" xfId="5158" xr:uid="{00000000-0005-0000-0000-00002B140000}"/>
    <cellStyle name="Normal 36 7 2 4" xfId="5159" xr:uid="{00000000-0005-0000-0000-00002C140000}"/>
    <cellStyle name="Normal 36 7 2 5" xfId="5160" xr:uid="{00000000-0005-0000-0000-00002D140000}"/>
    <cellStyle name="Normal 36 7 2 6" xfId="5161" xr:uid="{00000000-0005-0000-0000-00002E140000}"/>
    <cellStyle name="Normal 36 7 2 7" xfId="5162" xr:uid="{00000000-0005-0000-0000-00002F140000}"/>
    <cellStyle name="Normal 36 7 2 8" xfId="5163" xr:uid="{00000000-0005-0000-0000-000030140000}"/>
    <cellStyle name="Normal 36 7 2 9" xfId="5164" xr:uid="{00000000-0005-0000-0000-000031140000}"/>
    <cellStyle name="Normal 36 7 3" xfId="5165" xr:uid="{00000000-0005-0000-0000-000032140000}"/>
    <cellStyle name="Normal 36 7 4" xfId="5166" xr:uid="{00000000-0005-0000-0000-000033140000}"/>
    <cellStyle name="Normal 36 7 5" xfId="5167" xr:uid="{00000000-0005-0000-0000-000034140000}"/>
    <cellStyle name="Normal 36 7 6" xfId="5168" xr:uid="{00000000-0005-0000-0000-000035140000}"/>
    <cellStyle name="Normal 36 7 7" xfId="5169" xr:uid="{00000000-0005-0000-0000-000036140000}"/>
    <cellStyle name="Normal 36 7 8" xfId="5170" xr:uid="{00000000-0005-0000-0000-000037140000}"/>
    <cellStyle name="Normal 36 7 9" xfId="5171" xr:uid="{00000000-0005-0000-0000-000038140000}"/>
    <cellStyle name="Normal 36 8" xfId="5172" xr:uid="{00000000-0005-0000-0000-000039140000}"/>
    <cellStyle name="Normal 36 8 10" xfId="5173" xr:uid="{00000000-0005-0000-0000-00003A140000}"/>
    <cellStyle name="Normal 36 8 11" xfId="5174" xr:uid="{00000000-0005-0000-0000-00003B140000}"/>
    <cellStyle name="Normal 36 8 12" xfId="5175" xr:uid="{00000000-0005-0000-0000-00003C140000}"/>
    <cellStyle name="Normal 36 8 13" xfId="5176" xr:uid="{00000000-0005-0000-0000-00003D140000}"/>
    <cellStyle name="Normal 36 8 2" xfId="5177" xr:uid="{00000000-0005-0000-0000-00003E140000}"/>
    <cellStyle name="Normal 36 8 2 10" xfId="5178" xr:uid="{00000000-0005-0000-0000-00003F140000}"/>
    <cellStyle name="Normal 36 8 2 11" xfId="5179" xr:uid="{00000000-0005-0000-0000-000040140000}"/>
    <cellStyle name="Normal 36 8 2 2" xfId="5180" xr:uid="{00000000-0005-0000-0000-000041140000}"/>
    <cellStyle name="Normal 36 8 2 3" xfId="5181" xr:uid="{00000000-0005-0000-0000-000042140000}"/>
    <cellStyle name="Normal 36 8 2 4" xfId="5182" xr:uid="{00000000-0005-0000-0000-000043140000}"/>
    <cellStyle name="Normal 36 8 2 5" xfId="5183" xr:uid="{00000000-0005-0000-0000-000044140000}"/>
    <cellStyle name="Normal 36 8 2 6" xfId="5184" xr:uid="{00000000-0005-0000-0000-000045140000}"/>
    <cellStyle name="Normal 36 8 2 7" xfId="5185" xr:uid="{00000000-0005-0000-0000-000046140000}"/>
    <cellStyle name="Normal 36 8 2 8" xfId="5186" xr:uid="{00000000-0005-0000-0000-000047140000}"/>
    <cellStyle name="Normal 36 8 2 9" xfId="5187" xr:uid="{00000000-0005-0000-0000-000048140000}"/>
    <cellStyle name="Normal 36 8 3" xfId="5188" xr:uid="{00000000-0005-0000-0000-000049140000}"/>
    <cellStyle name="Normal 36 8 4" xfId="5189" xr:uid="{00000000-0005-0000-0000-00004A140000}"/>
    <cellStyle name="Normal 36 8 5" xfId="5190" xr:uid="{00000000-0005-0000-0000-00004B140000}"/>
    <cellStyle name="Normal 36 8 6" xfId="5191" xr:uid="{00000000-0005-0000-0000-00004C140000}"/>
    <cellStyle name="Normal 36 8 7" xfId="5192" xr:uid="{00000000-0005-0000-0000-00004D140000}"/>
    <cellStyle name="Normal 36 8 8" xfId="5193" xr:uid="{00000000-0005-0000-0000-00004E140000}"/>
    <cellStyle name="Normal 36 8 9" xfId="5194" xr:uid="{00000000-0005-0000-0000-00004F140000}"/>
    <cellStyle name="Normal 36 9" xfId="5195" xr:uid="{00000000-0005-0000-0000-000050140000}"/>
    <cellStyle name="Normal 36 9 10" xfId="5196" xr:uid="{00000000-0005-0000-0000-000051140000}"/>
    <cellStyle name="Normal 36 9 11" xfId="5197" xr:uid="{00000000-0005-0000-0000-000052140000}"/>
    <cellStyle name="Normal 36 9 12" xfId="5198" xr:uid="{00000000-0005-0000-0000-000053140000}"/>
    <cellStyle name="Normal 36 9 13" xfId="5199" xr:uid="{00000000-0005-0000-0000-000054140000}"/>
    <cellStyle name="Normal 36 9 2" xfId="5200" xr:uid="{00000000-0005-0000-0000-000055140000}"/>
    <cellStyle name="Normal 36 9 2 10" xfId="5201" xr:uid="{00000000-0005-0000-0000-000056140000}"/>
    <cellStyle name="Normal 36 9 2 11" xfId="5202" xr:uid="{00000000-0005-0000-0000-000057140000}"/>
    <cellStyle name="Normal 36 9 2 2" xfId="5203" xr:uid="{00000000-0005-0000-0000-000058140000}"/>
    <cellStyle name="Normal 36 9 2 3" xfId="5204" xr:uid="{00000000-0005-0000-0000-000059140000}"/>
    <cellStyle name="Normal 36 9 2 4" xfId="5205" xr:uid="{00000000-0005-0000-0000-00005A140000}"/>
    <cellStyle name="Normal 36 9 2 5" xfId="5206" xr:uid="{00000000-0005-0000-0000-00005B140000}"/>
    <cellStyle name="Normal 36 9 2 6" xfId="5207" xr:uid="{00000000-0005-0000-0000-00005C140000}"/>
    <cellStyle name="Normal 36 9 2 7" xfId="5208" xr:uid="{00000000-0005-0000-0000-00005D140000}"/>
    <cellStyle name="Normal 36 9 2 8" xfId="5209" xr:uid="{00000000-0005-0000-0000-00005E140000}"/>
    <cellStyle name="Normal 36 9 2 9" xfId="5210" xr:uid="{00000000-0005-0000-0000-00005F140000}"/>
    <cellStyle name="Normal 36 9 3" xfId="5211" xr:uid="{00000000-0005-0000-0000-000060140000}"/>
    <cellStyle name="Normal 36 9 4" xfId="5212" xr:uid="{00000000-0005-0000-0000-000061140000}"/>
    <cellStyle name="Normal 36 9 5" xfId="5213" xr:uid="{00000000-0005-0000-0000-000062140000}"/>
    <cellStyle name="Normal 36 9 6" xfId="5214" xr:uid="{00000000-0005-0000-0000-000063140000}"/>
    <cellStyle name="Normal 36 9 7" xfId="5215" xr:uid="{00000000-0005-0000-0000-000064140000}"/>
    <cellStyle name="Normal 36 9 8" xfId="5216" xr:uid="{00000000-0005-0000-0000-000065140000}"/>
    <cellStyle name="Normal 36 9 9" xfId="5217" xr:uid="{00000000-0005-0000-0000-000066140000}"/>
    <cellStyle name="Normal 37" xfId="5218" xr:uid="{00000000-0005-0000-0000-000067140000}"/>
    <cellStyle name="Normal 37 10" xfId="5219" xr:uid="{00000000-0005-0000-0000-000068140000}"/>
    <cellStyle name="Normal 37 10 10" xfId="5220" xr:uid="{00000000-0005-0000-0000-000069140000}"/>
    <cellStyle name="Normal 37 10 11" xfId="5221" xr:uid="{00000000-0005-0000-0000-00006A140000}"/>
    <cellStyle name="Normal 37 10 12" xfId="5222" xr:uid="{00000000-0005-0000-0000-00006B140000}"/>
    <cellStyle name="Normal 37 10 13" xfId="5223" xr:uid="{00000000-0005-0000-0000-00006C140000}"/>
    <cellStyle name="Normal 37 10 2" xfId="5224" xr:uid="{00000000-0005-0000-0000-00006D140000}"/>
    <cellStyle name="Normal 37 10 2 10" xfId="5225" xr:uid="{00000000-0005-0000-0000-00006E140000}"/>
    <cellStyle name="Normal 37 10 2 11" xfId="5226" xr:uid="{00000000-0005-0000-0000-00006F140000}"/>
    <cellStyle name="Normal 37 10 2 2" xfId="5227" xr:uid="{00000000-0005-0000-0000-000070140000}"/>
    <cellStyle name="Normal 37 10 2 3" xfId="5228" xr:uid="{00000000-0005-0000-0000-000071140000}"/>
    <cellStyle name="Normal 37 10 2 4" xfId="5229" xr:uid="{00000000-0005-0000-0000-000072140000}"/>
    <cellStyle name="Normal 37 10 2 5" xfId="5230" xr:uid="{00000000-0005-0000-0000-000073140000}"/>
    <cellStyle name="Normal 37 10 2 6" xfId="5231" xr:uid="{00000000-0005-0000-0000-000074140000}"/>
    <cellStyle name="Normal 37 10 2 7" xfId="5232" xr:uid="{00000000-0005-0000-0000-000075140000}"/>
    <cellStyle name="Normal 37 10 2 8" xfId="5233" xr:uid="{00000000-0005-0000-0000-000076140000}"/>
    <cellStyle name="Normal 37 10 2 9" xfId="5234" xr:uid="{00000000-0005-0000-0000-000077140000}"/>
    <cellStyle name="Normal 37 10 3" xfId="5235" xr:uid="{00000000-0005-0000-0000-000078140000}"/>
    <cellStyle name="Normal 37 10 4" xfId="5236" xr:uid="{00000000-0005-0000-0000-000079140000}"/>
    <cellStyle name="Normal 37 10 5" xfId="5237" xr:uid="{00000000-0005-0000-0000-00007A140000}"/>
    <cellStyle name="Normal 37 10 6" xfId="5238" xr:uid="{00000000-0005-0000-0000-00007B140000}"/>
    <cellStyle name="Normal 37 10 7" xfId="5239" xr:uid="{00000000-0005-0000-0000-00007C140000}"/>
    <cellStyle name="Normal 37 10 8" xfId="5240" xr:uid="{00000000-0005-0000-0000-00007D140000}"/>
    <cellStyle name="Normal 37 10 9" xfId="5241" xr:uid="{00000000-0005-0000-0000-00007E140000}"/>
    <cellStyle name="Normal 37 11" xfId="5242" xr:uid="{00000000-0005-0000-0000-00007F140000}"/>
    <cellStyle name="Normal 37 11 10" xfId="5243" xr:uid="{00000000-0005-0000-0000-000080140000}"/>
    <cellStyle name="Normal 37 11 11" xfId="5244" xr:uid="{00000000-0005-0000-0000-000081140000}"/>
    <cellStyle name="Normal 37 11 12" xfId="5245" xr:uid="{00000000-0005-0000-0000-000082140000}"/>
    <cellStyle name="Normal 37 11 13" xfId="5246" xr:uid="{00000000-0005-0000-0000-000083140000}"/>
    <cellStyle name="Normal 37 11 2" xfId="5247" xr:uid="{00000000-0005-0000-0000-000084140000}"/>
    <cellStyle name="Normal 37 11 2 10" xfId="5248" xr:uid="{00000000-0005-0000-0000-000085140000}"/>
    <cellStyle name="Normal 37 11 2 11" xfId="5249" xr:uid="{00000000-0005-0000-0000-000086140000}"/>
    <cellStyle name="Normal 37 11 2 2" xfId="5250" xr:uid="{00000000-0005-0000-0000-000087140000}"/>
    <cellStyle name="Normal 37 11 2 3" xfId="5251" xr:uid="{00000000-0005-0000-0000-000088140000}"/>
    <cellStyle name="Normal 37 11 2 4" xfId="5252" xr:uid="{00000000-0005-0000-0000-000089140000}"/>
    <cellStyle name="Normal 37 11 2 5" xfId="5253" xr:uid="{00000000-0005-0000-0000-00008A140000}"/>
    <cellStyle name="Normal 37 11 2 6" xfId="5254" xr:uid="{00000000-0005-0000-0000-00008B140000}"/>
    <cellStyle name="Normal 37 11 2 7" xfId="5255" xr:uid="{00000000-0005-0000-0000-00008C140000}"/>
    <cellStyle name="Normal 37 11 2 8" xfId="5256" xr:uid="{00000000-0005-0000-0000-00008D140000}"/>
    <cellStyle name="Normal 37 11 2 9" xfId="5257" xr:uid="{00000000-0005-0000-0000-00008E140000}"/>
    <cellStyle name="Normal 37 11 3" xfId="5258" xr:uid="{00000000-0005-0000-0000-00008F140000}"/>
    <cellStyle name="Normal 37 11 4" xfId="5259" xr:uid="{00000000-0005-0000-0000-000090140000}"/>
    <cellStyle name="Normal 37 11 5" xfId="5260" xr:uid="{00000000-0005-0000-0000-000091140000}"/>
    <cellStyle name="Normal 37 11 6" xfId="5261" xr:uid="{00000000-0005-0000-0000-000092140000}"/>
    <cellStyle name="Normal 37 11 7" xfId="5262" xr:uid="{00000000-0005-0000-0000-000093140000}"/>
    <cellStyle name="Normal 37 11 8" xfId="5263" xr:uid="{00000000-0005-0000-0000-000094140000}"/>
    <cellStyle name="Normal 37 11 9" xfId="5264" xr:uid="{00000000-0005-0000-0000-000095140000}"/>
    <cellStyle name="Normal 37 12" xfId="5265" xr:uid="{00000000-0005-0000-0000-000096140000}"/>
    <cellStyle name="Normal 37 12 10" xfId="5266" xr:uid="{00000000-0005-0000-0000-000097140000}"/>
    <cellStyle name="Normal 37 12 11" xfId="5267" xr:uid="{00000000-0005-0000-0000-000098140000}"/>
    <cellStyle name="Normal 37 12 12" xfId="5268" xr:uid="{00000000-0005-0000-0000-000099140000}"/>
    <cellStyle name="Normal 37 12 13" xfId="5269" xr:uid="{00000000-0005-0000-0000-00009A140000}"/>
    <cellStyle name="Normal 37 12 2" xfId="5270" xr:uid="{00000000-0005-0000-0000-00009B140000}"/>
    <cellStyle name="Normal 37 12 2 10" xfId="5271" xr:uid="{00000000-0005-0000-0000-00009C140000}"/>
    <cellStyle name="Normal 37 12 2 11" xfId="5272" xr:uid="{00000000-0005-0000-0000-00009D140000}"/>
    <cellStyle name="Normal 37 12 2 2" xfId="5273" xr:uid="{00000000-0005-0000-0000-00009E140000}"/>
    <cellStyle name="Normal 37 12 2 3" xfId="5274" xr:uid="{00000000-0005-0000-0000-00009F140000}"/>
    <cellStyle name="Normal 37 12 2 4" xfId="5275" xr:uid="{00000000-0005-0000-0000-0000A0140000}"/>
    <cellStyle name="Normal 37 12 2 5" xfId="5276" xr:uid="{00000000-0005-0000-0000-0000A1140000}"/>
    <cellStyle name="Normal 37 12 2 6" xfId="5277" xr:uid="{00000000-0005-0000-0000-0000A2140000}"/>
    <cellStyle name="Normal 37 12 2 7" xfId="5278" xr:uid="{00000000-0005-0000-0000-0000A3140000}"/>
    <cellStyle name="Normal 37 12 2 8" xfId="5279" xr:uid="{00000000-0005-0000-0000-0000A4140000}"/>
    <cellStyle name="Normal 37 12 2 9" xfId="5280" xr:uid="{00000000-0005-0000-0000-0000A5140000}"/>
    <cellStyle name="Normal 37 12 3" xfId="5281" xr:uid="{00000000-0005-0000-0000-0000A6140000}"/>
    <cellStyle name="Normal 37 12 4" xfId="5282" xr:uid="{00000000-0005-0000-0000-0000A7140000}"/>
    <cellStyle name="Normal 37 12 5" xfId="5283" xr:uid="{00000000-0005-0000-0000-0000A8140000}"/>
    <cellStyle name="Normal 37 12 6" xfId="5284" xr:uid="{00000000-0005-0000-0000-0000A9140000}"/>
    <cellStyle name="Normal 37 12 7" xfId="5285" xr:uid="{00000000-0005-0000-0000-0000AA140000}"/>
    <cellStyle name="Normal 37 12 8" xfId="5286" xr:uid="{00000000-0005-0000-0000-0000AB140000}"/>
    <cellStyle name="Normal 37 12 9" xfId="5287" xr:uid="{00000000-0005-0000-0000-0000AC140000}"/>
    <cellStyle name="Normal 37 13" xfId="5288" xr:uid="{00000000-0005-0000-0000-0000AD140000}"/>
    <cellStyle name="Normal 37 13 10" xfId="5289" xr:uid="{00000000-0005-0000-0000-0000AE140000}"/>
    <cellStyle name="Normal 37 13 11" xfId="5290" xr:uid="{00000000-0005-0000-0000-0000AF140000}"/>
    <cellStyle name="Normal 37 13 12" xfId="5291" xr:uid="{00000000-0005-0000-0000-0000B0140000}"/>
    <cellStyle name="Normal 37 13 13" xfId="5292" xr:uid="{00000000-0005-0000-0000-0000B1140000}"/>
    <cellStyle name="Normal 37 13 2" xfId="5293" xr:uid="{00000000-0005-0000-0000-0000B2140000}"/>
    <cellStyle name="Normal 37 13 2 10" xfId="5294" xr:uid="{00000000-0005-0000-0000-0000B3140000}"/>
    <cellStyle name="Normal 37 13 2 11" xfId="5295" xr:uid="{00000000-0005-0000-0000-0000B4140000}"/>
    <cellStyle name="Normal 37 13 2 2" xfId="5296" xr:uid="{00000000-0005-0000-0000-0000B5140000}"/>
    <cellStyle name="Normal 37 13 2 3" xfId="5297" xr:uid="{00000000-0005-0000-0000-0000B6140000}"/>
    <cellStyle name="Normal 37 13 2 4" xfId="5298" xr:uid="{00000000-0005-0000-0000-0000B7140000}"/>
    <cellStyle name="Normal 37 13 2 5" xfId="5299" xr:uid="{00000000-0005-0000-0000-0000B8140000}"/>
    <cellStyle name="Normal 37 13 2 6" xfId="5300" xr:uid="{00000000-0005-0000-0000-0000B9140000}"/>
    <cellStyle name="Normal 37 13 2 7" xfId="5301" xr:uid="{00000000-0005-0000-0000-0000BA140000}"/>
    <cellStyle name="Normal 37 13 2 8" xfId="5302" xr:uid="{00000000-0005-0000-0000-0000BB140000}"/>
    <cellStyle name="Normal 37 13 2 9" xfId="5303" xr:uid="{00000000-0005-0000-0000-0000BC140000}"/>
    <cellStyle name="Normal 37 13 3" xfId="5304" xr:uid="{00000000-0005-0000-0000-0000BD140000}"/>
    <cellStyle name="Normal 37 13 4" xfId="5305" xr:uid="{00000000-0005-0000-0000-0000BE140000}"/>
    <cellStyle name="Normal 37 13 5" xfId="5306" xr:uid="{00000000-0005-0000-0000-0000BF140000}"/>
    <cellStyle name="Normal 37 13 6" xfId="5307" xr:uid="{00000000-0005-0000-0000-0000C0140000}"/>
    <cellStyle name="Normal 37 13 7" xfId="5308" xr:uid="{00000000-0005-0000-0000-0000C1140000}"/>
    <cellStyle name="Normal 37 13 8" xfId="5309" xr:uid="{00000000-0005-0000-0000-0000C2140000}"/>
    <cellStyle name="Normal 37 13 9" xfId="5310" xr:uid="{00000000-0005-0000-0000-0000C3140000}"/>
    <cellStyle name="Normal 37 14" xfId="5311" xr:uid="{00000000-0005-0000-0000-0000C4140000}"/>
    <cellStyle name="Normal 37 14 10" xfId="5312" xr:uid="{00000000-0005-0000-0000-0000C5140000}"/>
    <cellStyle name="Normal 37 14 11" xfId="5313" xr:uid="{00000000-0005-0000-0000-0000C6140000}"/>
    <cellStyle name="Normal 37 14 2" xfId="5314" xr:uid="{00000000-0005-0000-0000-0000C7140000}"/>
    <cellStyle name="Normal 37 14 3" xfId="5315" xr:uid="{00000000-0005-0000-0000-0000C8140000}"/>
    <cellStyle name="Normal 37 14 4" xfId="5316" xr:uid="{00000000-0005-0000-0000-0000C9140000}"/>
    <cellStyle name="Normal 37 14 5" xfId="5317" xr:uid="{00000000-0005-0000-0000-0000CA140000}"/>
    <cellStyle name="Normal 37 14 6" xfId="5318" xr:uid="{00000000-0005-0000-0000-0000CB140000}"/>
    <cellStyle name="Normal 37 14 7" xfId="5319" xr:uid="{00000000-0005-0000-0000-0000CC140000}"/>
    <cellStyle name="Normal 37 14 8" xfId="5320" xr:uid="{00000000-0005-0000-0000-0000CD140000}"/>
    <cellStyle name="Normal 37 14 9" xfId="5321" xr:uid="{00000000-0005-0000-0000-0000CE140000}"/>
    <cellStyle name="Normal 37 15" xfId="5322" xr:uid="{00000000-0005-0000-0000-0000CF140000}"/>
    <cellStyle name="Normal 37 16" xfId="5323" xr:uid="{00000000-0005-0000-0000-0000D0140000}"/>
    <cellStyle name="Normal 37 17" xfId="5324" xr:uid="{00000000-0005-0000-0000-0000D1140000}"/>
    <cellStyle name="Normal 37 18" xfId="5325" xr:uid="{00000000-0005-0000-0000-0000D2140000}"/>
    <cellStyle name="Normal 37 19" xfId="5326" xr:uid="{00000000-0005-0000-0000-0000D3140000}"/>
    <cellStyle name="Normal 37 2" xfId="5327" xr:uid="{00000000-0005-0000-0000-0000D4140000}"/>
    <cellStyle name="Normal 37 2 10" xfId="5328" xr:uid="{00000000-0005-0000-0000-0000D5140000}"/>
    <cellStyle name="Normal 37 2 11" xfId="5329" xr:uid="{00000000-0005-0000-0000-0000D6140000}"/>
    <cellStyle name="Normal 37 2 12" xfId="5330" xr:uid="{00000000-0005-0000-0000-0000D7140000}"/>
    <cellStyle name="Normal 37 2 13" xfId="5331" xr:uid="{00000000-0005-0000-0000-0000D8140000}"/>
    <cellStyle name="Normal 37 2 2" xfId="5332" xr:uid="{00000000-0005-0000-0000-0000D9140000}"/>
    <cellStyle name="Normal 37 2 2 10" xfId="5333" xr:uid="{00000000-0005-0000-0000-0000DA140000}"/>
    <cellStyle name="Normal 37 2 2 11" xfId="5334" xr:uid="{00000000-0005-0000-0000-0000DB140000}"/>
    <cellStyle name="Normal 37 2 2 2" xfId="5335" xr:uid="{00000000-0005-0000-0000-0000DC140000}"/>
    <cellStyle name="Normal 37 2 2 3" xfId="5336" xr:uid="{00000000-0005-0000-0000-0000DD140000}"/>
    <cellStyle name="Normal 37 2 2 4" xfId="5337" xr:uid="{00000000-0005-0000-0000-0000DE140000}"/>
    <cellStyle name="Normal 37 2 2 5" xfId="5338" xr:uid="{00000000-0005-0000-0000-0000DF140000}"/>
    <cellStyle name="Normal 37 2 2 6" xfId="5339" xr:uid="{00000000-0005-0000-0000-0000E0140000}"/>
    <cellStyle name="Normal 37 2 2 7" xfId="5340" xr:uid="{00000000-0005-0000-0000-0000E1140000}"/>
    <cellStyle name="Normal 37 2 2 8" xfId="5341" xr:uid="{00000000-0005-0000-0000-0000E2140000}"/>
    <cellStyle name="Normal 37 2 2 9" xfId="5342" xr:uid="{00000000-0005-0000-0000-0000E3140000}"/>
    <cellStyle name="Normal 37 2 3" xfId="5343" xr:uid="{00000000-0005-0000-0000-0000E4140000}"/>
    <cellStyle name="Normal 37 2 4" xfId="5344" xr:uid="{00000000-0005-0000-0000-0000E5140000}"/>
    <cellStyle name="Normal 37 2 5" xfId="5345" xr:uid="{00000000-0005-0000-0000-0000E6140000}"/>
    <cellStyle name="Normal 37 2 6" xfId="5346" xr:uid="{00000000-0005-0000-0000-0000E7140000}"/>
    <cellStyle name="Normal 37 2 7" xfId="5347" xr:uid="{00000000-0005-0000-0000-0000E8140000}"/>
    <cellStyle name="Normal 37 2 8" xfId="5348" xr:uid="{00000000-0005-0000-0000-0000E9140000}"/>
    <cellStyle name="Normal 37 2 9" xfId="5349" xr:uid="{00000000-0005-0000-0000-0000EA140000}"/>
    <cellStyle name="Normal 37 20" xfId="5350" xr:uid="{00000000-0005-0000-0000-0000EB140000}"/>
    <cellStyle name="Normal 37 21" xfId="5351" xr:uid="{00000000-0005-0000-0000-0000EC140000}"/>
    <cellStyle name="Normal 37 22" xfId="5352" xr:uid="{00000000-0005-0000-0000-0000ED140000}"/>
    <cellStyle name="Normal 37 23" xfId="5353" xr:uid="{00000000-0005-0000-0000-0000EE140000}"/>
    <cellStyle name="Normal 37 24" xfId="5354" xr:uid="{00000000-0005-0000-0000-0000EF140000}"/>
    <cellStyle name="Normal 37 25" xfId="5355" xr:uid="{00000000-0005-0000-0000-0000F0140000}"/>
    <cellStyle name="Normal 37 3" xfId="5356" xr:uid="{00000000-0005-0000-0000-0000F1140000}"/>
    <cellStyle name="Normal 37 3 10" xfId="5357" xr:uid="{00000000-0005-0000-0000-0000F2140000}"/>
    <cellStyle name="Normal 37 3 11" xfId="5358" xr:uid="{00000000-0005-0000-0000-0000F3140000}"/>
    <cellStyle name="Normal 37 3 12" xfId="5359" xr:uid="{00000000-0005-0000-0000-0000F4140000}"/>
    <cellStyle name="Normal 37 3 13" xfId="5360" xr:uid="{00000000-0005-0000-0000-0000F5140000}"/>
    <cellStyle name="Normal 37 3 2" xfId="5361" xr:uid="{00000000-0005-0000-0000-0000F6140000}"/>
    <cellStyle name="Normal 37 3 2 10" xfId="5362" xr:uid="{00000000-0005-0000-0000-0000F7140000}"/>
    <cellStyle name="Normal 37 3 2 11" xfId="5363" xr:uid="{00000000-0005-0000-0000-0000F8140000}"/>
    <cellStyle name="Normal 37 3 2 2" xfId="5364" xr:uid="{00000000-0005-0000-0000-0000F9140000}"/>
    <cellStyle name="Normal 37 3 2 3" xfId="5365" xr:uid="{00000000-0005-0000-0000-0000FA140000}"/>
    <cellStyle name="Normal 37 3 2 4" xfId="5366" xr:uid="{00000000-0005-0000-0000-0000FB140000}"/>
    <cellStyle name="Normal 37 3 2 5" xfId="5367" xr:uid="{00000000-0005-0000-0000-0000FC140000}"/>
    <cellStyle name="Normal 37 3 2 6" xfId="5368" xr:uid="{00000000-0005-0000-0000-0000FD140000}"/>
    <cellStyle name="Normal 37 3 2 7" xfId="5369" xr:uid="{00000000-0005-0000-0000-0000FE140000}"/>
    <cellStyle name="Normal 37 3 2 8" xfId="5370" xr:uid="{00000000-0005-0000-0000-0000FF140000}"/>
    <cellStyle name="Normal 37 3 2 9" xfId="5371" xr:uid="{00000000-0005-0000-0000-000000150000}"/>
    <cellStyle name="Normal 37 3 3" xfId="5372" xr:uid="{00000000-0005-0000-0000-000001150000}"/>
    <cellStyle name="Normal 37 3 4" xfId="5373" xr:uid="{00000000-0005-0000-0000-000002150000}"/>
    <cellStyle name="Normal 37 3 5" xfId="5374" xr:uid="{00000000-0005-0000-0000-000003150000}"/>
    <cellStyle name="Normal 37 3 6" xfId="5375" xr:uid="{00000000-0005-0000-0000-000004150000}"/>
    <cellStyle name="Normal 37 3 7" xfId="5376" xr:uid="{00000000-0005-0000-0000-000005150000}"/>
    <cellStyle name="Normal 37 3 8" xfId="5377" xr:uid="{00000000-0005-0000-0000-000006150000}"/>
    <cellStyle name="Normal 37 3 9" xfId="5378" xr:uid="{00000000-0005-0000-0000-000007150000}"/>
    <cellStyle name="Normal 37 4" xfId="5379" xr:uid="{00000000-0005-0000-0000-000008150000}"/>
    <cellStyle name="Normal 37 4 10" xfId="5380" xr:uid="{00000000-0005-0000-0000-000009150000}"/>
    <cellStyle name="Normal 37 4 11" xfId="5381" xr:uid="{00000000-0005-0000-0000-00000A150000}"/>
    <cellStyle name="Normal 37 4 12" xfId="5382" xr:uid="{00000000-0005-0000-0000-00000B150000}"/>
    <cellStyle name="Normal 37 4 13" xfId="5383" xr:uid="{00000000-0005-0000-0000-00000C150000}"/>
    <cellStyle name="Normal 37 4 2" xfId="5384" xr:uid="{00000000-0005-0000-0000-00000D150000}"/>
    <cellStyle name="Normal 37 4 2 10" xfId="5385" xr:uid="{00000000-0005-0000-0000-00000E150000}"/>
    <cellStyle name="Normal 37 4 2 11" xfId="5386" xr:uid="{00000000-0005-0000-0000-00000F150000}"/>
    <cellStyle name="Normal 37 4 2 2" xfId="5387" xr:uid="{00000000-0005-0000-0000-000010150000}"/>
    <cellStyle name="Normal 37 4 2 3" xfId="5388" xr:uid="{00000000-0005-0000-0000-000011150000}"/>
    <cellStyle name="Normal 37 4 2 4" xfId="5389" xr:uid="{00000000-0005-0000-0000-000012150000}"/>
    <cellStyle name="Normal 37 4 2 5" xfId="5390" xr:uid="{00000000-0005-0000-0000-000013150000}"/>
    <cellStyle name="Normal 37 4 2 6" xfId="5391" xr:uid="{00000000-0005-0000-0000-000014150000}"/>
    <cellStyle name="Normal 37 4 2 7" xfId="5392" xr:uid="{00000000-0005-0000-0000-000015150000}"/>
    <cellStyle name="Normal 37 4 2 8" xfId="5393" xr:uid="{00000000-0005-0000-0000-000016150000}"/>
    <cellStyle name="Normal 37 4 2 9" xfId="5394" xr:uid="{00000000-0005-0000-0000-000017150000}"/>
    <cellStyle name="Normal 37 4 3" xfId="5395" xr:uid="{00000000-0005-0000-0000-000018150000}"/>
    <cellStyle name="Normal 37 4 4" xfId="5396" xr:uid="{00000000-0005-0000-0000-000019150000}"/>
    <cellStyle name="Normal 37 4 5" xfId="5397" xr:uid="{00000000-0005-0000-0000-00001A150000}"/>
    <cellStyle name="Normal 37 4 6" xfId="5398" xr:uid="{00000000-0005-0000-0000-00001B150000}"/>
    <cellStyle name="Normal 37 4 7" xfId="5399" xr:uid="{00000000-0005-0000-0000-00001C150000}"/>
    <cellStyle name="Normal 37 4 8" xfId="5400" xr:uid="{00000000-0005-0000-0000-00001D150000}"/>
    <cellStyle name="Normal 37 4 9" xfId="5401" xr:uid="{00000000-0005-0000-0000-00001E150000}"/>
    <cellStyle name="Normal 37 5" xfId="5402" xr:uid="{00000000-0005-0000-0000-00001F150000}"/>
    <cellStyle name="Normal 37 5 10" xfId="5403" xr:uid="{00000000-0005-0000-0000-000020150000}"/>
    <cellStyle name="Normal 37 5 11" xfId="5404" xr:uid="{00000000-0005-0000-0000-000021150000}"/>
    <cellStyle name="Normal 37 5 12" xfId="5405" xr:uid="{00000000-0005-0000-0000-000022150000}"/>
    <cellStyle name="Normal 37 5 13" xfId="5406" xr:uid="{00000000-0005-0000-0000-000023150000}"/>
    <cellStyle name="Normal 37 5 2" xfId="5407" xr:uid="{00000000-0005-0000-0000-000024150000}"/>
    <cellStyle name="Normal 37 5 2 10" xfId="5408" xr:uid="{00000000-0005-0000-0000-000025150000}"/>
    <cellStyle name="Normal 37 5 2 11" xfId="5409" xr:uid="{00000000-0005-0000-0000-000026150000}"/>
    <cellStyle name="Normal 37 5 2 2" xfId="5410" xr:uid="{00000000-0005-0000-0000-000027150000}"/>
    <cellStyle name="Normal 37 5 2 3" xfId="5411" xr:uid="{00000000-0005-0000-0000-000028150000}"/>
    <cellStyle name="Normal 37 5 2 4" xfId="5412" xr:uid="{00000000-0005-0000-0000-000029150000}"/>
    <cellStyle name="Normal 37 5 2 5" xfId="5413" xr:uid="{00000000-0005-0000-0000-00002A150000}"/>
    <cellStyle name="Normal 37 5 2 6" xfId="5414" xr:uid="{00000000-0005-0000-0000-00002B150000}"/>
    <cellStyle name="Normal 37 5 2 7" xfId="5415" xr:uid="{00000000-0005-0000-0000-00002C150000}"/>
    <cellStyle name="Normal 37 5 2 8" xfId="5416" xr:uid="{00000000-0005-0000-0000-00002D150000}"/>
    <cellStyle name="Normal 37 5 2 9" xfId="5417" xr:uid="{00000000-0005-0000-0000-00002E150000}"/>
    <cellStyle name="Normal 37 5 3" xfId="5418" xr:uid="{00000000-0005-0000-0000-00002F150000}"/>
    <cellStyle name="Normal 37 5 4" xfId="5419" xr:uid="{00000000-0005-0000-0000-000030150000}"/>
    <cellStyle name="Normal 37 5 5" xfId="5420" xr:uid="{00000000-0005-0000-0000-000031150000}"/>
    <cellStyle name="Normal 37 5 6" xfId="5421" xr:uid="{00000000-0005-0000-0000-000032150000}"/>
    <cellStyle name="Normal 37 5 7" xfId="5422" xr:uid="{00000000-0005-0000-0000-000033150000}"/>
    <cellStyle name="Normal 37 5 8" xfId="5423" xr:uid="{00000000-0005-0000-0000-000034150000}"/>
    <cellStyle name="Normal 37 5 9" xfId="5424" xr:uid="{00000000-0005-0000-0000-000035150000}"/>
    <cellStyle name="Normal 37 6" xfId="5425" xr:uid="{00000000-0005-0000-0000-000036150000}"/>
    <cellStyle name="Normal 37 6 10" xfId="5426" xr:uid="{00000000-0005-0000-0000-000037150000}"/>
    <cellStyle name="Normal 37 6 11" xfId="5427" xr:uid="{00000000-0005-0000-0000-000038150000}"/>
    <cellStyle name="Normal 37 6 12" xfId="5428" xr:uid="{00000000-0005-0000-0000-000039150000}"/>
    <cellStyle name="Normal 37 6 13" xfId="5429" xr:uid="{00000000-0005-0000-0000-00003A150000}"/>
    <cellStyle name="Normal 37 6 2" xfId="5430" xr:uid="{00000000-0005-0000-0000-00003B150000}"/>
    <cellStyle name="Normal 37 6 2 10" xfId="5431" xr:uid="{00000000-0005-0000-0000-00003C150000}"/>
    <cellStyle name="Normal 37 6 2 11" xfId="5432" xr:uid="{00000000-0005-0000-0000-00003D150000}"/>
    <cellStyle name="Normal 37 6 2 2" xfId="5433" xr:uid="{00000000-0005-0000-0000-00003E150000}"/>
    <cellStyle name="Normal 37 6 2 3" xfId="5434" xr:uid="{00000000-0005-0000-0000-00003F150000}"/>
    <cellStyle name="Normal 37 6 2 4" xfId="5435" xr:uid="{00000000-0005-0000-0000-000040150000}"/>
    <cellStyle name="Normal 37 6 2 5" xfId="5436" xr:uid="{00000000-0005-0000-0000-000041150000}"/>
    <cellStyle name="Normal 37 6 2 6" xfId="5437" xr:uid="{00000000-0005-0000-0000-000042150000}"/>
    <cellStyle name="Normal 37 6 2 7" xfId="5438" xr:uid="{00000000-0005-0000-0000-000043150000}"/>
    <cellStyle name="Normal 37 6 2 8" xfId="5439" xr:uid="{00000000-0005-0000-0000-000044150000}"/>
    <cellStyle name="Normal 37 6 2 9" xfId="5440" xr:uid="{00000000-0005-0000-0000-000045150000}"/>
    <cellStyle name="Normal 37 6 3" xfId="5441" xr:uid="{00000000-0005-0000-0000-000046150000}"/>
    <cellStyle name="Normal 37 6 4" xfId="5442" xr:uid="{00000000-0005-0000-0000-000047150000}"/>
    <cellStyle name="Normal 37 6 5" xfId="5443" xr:uid="{00000000-0005-0000-0000-000048150000}"/>
    <cellStyle name="Normal 37 6 6" xfId="5444" xr:uid="{00000000-0005-0000-0000-000049150000}"/>
    <cellStyle name="Normal 37 6 7" xfId="5445" xr:uid="{00000000-0005-0000-0000-00004A150000}"/>
    <cellStyle name="Normal 37 6 8" xfId="5446" xr:uid="{00000000-0005-0000-0000-00004B150000}"/>
    <cellStyle name="Normal 37 6 9" xfId="5447" xr:uid="{00000000-0005-0000-0000-00004C150000}"/>
    <cellStyle name="Normal 37 7" xfId="5448" xr:uid="{00000000-0005-0000-0000-00004D150000}"/>
    <cellStyle name="Normal 37 7 10" xfId="5449" xr:uid="{00000000-0005-0000-0000-00004E150000}"/>
    <cellStyle name="Normal 37 7 11" xfId="5450" xr:uid="{00000000-0005-0000-0000-00004F150000}"/>
    <cellStyle name="Normal 37 7 12" xfId="5451" xr:uid="{00000000-0005-0000-0000-000050150000}"/>
    <cellStyle name="Normal 37 7 13" xfId="5452" xr:uid="{00000000-0005-0000-0000-000051150000}"/>
    <cellStyle name="Normal 37 7 2" xfId="5453" xr:uid="{00000000-0005-0000-0000-000052150000}"/>
    <cellStyle name="Normal 37 7 2 10" xfId="5454" xr:uid="{00000000-0005-0000-0000-000053150000}"/>
    <cellStyle name="Normal 37 7 2 11" xfId="5455" xr:uid="{00000000-0005-0000-0000-000054150000}"/>
    <cellStyle name="Normal 37 7 2 2" xfId="5456" xr:uid="{00000000-0005-0000-0000-000055150000}"/>
    <cellStyle name="Normal 37 7 2 3" xfId="5457" xr:uid="{00000000-0005-0000-0000-000056150000}"/>
    <cellStyle name="Normal 37 7 2 4" xfId="5458" xr:uid="{00000000-0005-0000-0000-000057150000}"/>
    <cellStyle name="Normal 37 7 2 5" xfId="5459" xr:uid="{00000000-0005-0000-0000-000058150000}"/>
    <cellStyle name="Normal 37 7 2 6" xfId="5460" xr:uid="{00000000-0005-0000-0000-000059150000}"/>
    <cellStyle name="Normal 37 7 2 7" xfId="5461" xr:uid="{00000000-0005-0000-0000-00005A150000}"/>
    <cellStyle name="Normal 37 7 2 8" xfId="5462" xr:uid="{00000000-0005-0000-0000-00005B150000}"/>
    <cellStyle name="Normal 37 7 2 9" xfId="5463" xr:uid="{00000000-0005-0000-0000-00005C150000}"/>
    <cellStyle name="Normal 37 7 3" xfId="5464" xr:uid="{00000000-0005-0000-0000-00005D150000}"/>
    <cellStyle name="Normal 37 7 4" xfId="5465" xr:uid="{00000000-0005-0000-0000-00005E150000}"/>
    <cellStyle name="Normal 37 7 5" xfId="5466" xr:uid="{00000000-0005-0000-0000-00005F150000}"/>
    <cellStyle name="Normal 37 7 6" xfId="5467" xr:uid="{00000000-0005-0000-0000-000060150000}"/>
    <cellStyle name="Normal 37 7 7" xfId="5468" xr:uid="{00000000-0005-0000-0000-000061150000}"/>
    <cellStyle name="Normal 37 7 8" xfId="5469" xr:uid="{00000000-0005-0000-0000-000062150000}"/>
    <cellStyle name="Normal 37 7 9" xfId="5470" xr:uid="{00000000-0005-0000-0000-000063150000}"/>
    <cellStyle name="Normal 37 8" xfId="5471" xr:uid="{00000000-0005-0000-0000-000064150000}"/>
    <cellStyle name="Normal 37 8 10" xfId="5472" xr:uid="{00000000-0005-0000-0000-000065150000}"/>
    <cellStyle name="Normal 37 8 11" xfId="5473" xr:uid="{00000000-0005-0000-0000-000066150000}"/>
    <cellStyle name="Normal 37 8 12" xfId="5474" xr:uid="{00000000-0005-0000-0000-000067150000}"/>
    <cellStyle name="Normal 37 8 13" xfId="5475" xr:uid="{00000000-0005-0000-0000-000068150000}"/>
    <cellStyle name="Normal 37 8 2" xfId="5476" xr:uid="{00000000-0005-0000-0000-000069150000}"/>
    <cellStyle name="Normal 37 8 2 10" xfId="5477" xr:uid="{00000000-0005-0000-0000-00006A150000}"/>
    <cellStyle name="Normal 37 8 2 11" xfId="5478" xr:uid="{00000000-0005-0000-0000-00006B150000}"/>
    <cellStyle name="Normal 37 8 2 2" xfId="5479" xr:uid="{00000000-0005-0000-0000-00006C150000}"/>
    <cellStyle name="Normal 37 8 2 3" xfId="5480" xr:uid="{00000000-0005-0000-0000-00006D150000}"/>
    <cellStyle name="Normal 37 8 2 4" xfId="5481" xr:uid="{00000000-0005-0000-0000-00006E150000}"/>
    <cellStyle name="Normal 37 8 2 5" xfId="5482" xr:uid="{00000000-0005-0000-0000-00006F150000}"/>
    <cellStyle name="Normal 37 8 2 6" xfId="5483" xr:uid="{00000000-0005-0000-0000-000070150000}"/>
    <cellStyle name="Normal 37 8 2 7" xfId="5484" xr:uid="{00000000-0005-0000-0000-000071150000}"/>
    <cellStyle name="Normal 37 8 2 8" xfId="5485" xr:uid="{00000000-0005-0000-0000-000072150000}"/>
    <cellStyle name="Normal 37 8 2 9" xfId="5486" xr:uid="{00000000-0005-0000-0000-000073150000}"/>
    <cellStyle name="Normal 37 8 3" xfId="5487" xr:uid="{00000000-0005-0000-0000-000074150000}"/>
    <cellStyle name="Normal 37 8 4" xfId="5488" xr:uid="{00000000-0005-0000-0000-000075150000}"/>
    <cellStyle name="Normal 37 8 5" xfId="5489" xr:uid="{00000000-0005-0000-0000-000076150000}"/>
    <cellStyle name="Normal 37 8 6" xfId="5490" xr:uid="{00000000-0005-0000-0000-000077150000}"/>
    <cellStyle name="Normal 37 8 7" xfId="5491" xr:uid="{00000000-0005-0000-0000-000078150000}"/>
    <cellStyle name="Normal 37 8 8" xfId="5492" xr:uid="{00000000-0005-0000-0000-000079150000}"/>
    <cellStyle name="Normal 37 8 9" xfId="5493" xr:uid="{00000000-0005-0000-0000-00007A150000}"/>
    <cellStyle name="Normal 37 9" xfId="5494" xr:uid="{00000000-0005-0000-0000-00007B150000}"/>
    <cellStyle name="Normal 37 9 10" xfId="5495" xr:uid="{00000000-0005-0000-0000-00007C150000}"/>
    <cellStyle name="Normal 37 9 11" xfId="5496" xr:uid="{00000000-0005-0000-0000-00007D150000}"/>
    <cellStyle name="Normal 37 9 12" xfId="5497" xr:uid="{00000000-0005-0000-0000-00007E150000}"/>
    <cellStyle name="Normal 37 9 13" xfId="5498" xr:uid="{00000000-0005-0000-0000-00007F150000}"/>
    <cellStyle name="Normal 37 9 2" xfId="5499" xr:uid="{00000000-0005-0000-0000-000080150000}"/>
    <cellStyle name="Normal 37 9 2 10" xfId="5500" xr:uid="{00000000-0005-0000-0000-000081150000}"/>
    <cellStyle name="Normal 37 9 2 11" xfId="5501" xr:uid="{00000000-0005-0000-0000-000082150000}"/>
    <cellStyle name="Normal 37 9 2 2" xfId="5502" xr:uid="{00000000-0005-0000-0000-000083150000}"/>
    <cellStyle name="Normal 37 9 2 3" xfId="5503" xr:uid="{00000000-0005-0000-0000-000084150000}"/>
    <cellStyle name="Normal 37 9 2 4" xfId="5504" xr:uid="{00000000-0005-0000-0000-000085150000}"/>
    <cellStyle name="Normal 37 9 2 5" xfId="5505" xr:uid="{00000000-0005-0000-0000-000086150000}"/>
    <cellStyle name="Normal 37 9 2 6" xfId="5506" xr:uid="{00000000-0005-0000-0000-000087150000}"/>
    <cellStyle name="Normal 37 9 2 7" xfId="5507" xr:uid="{00000000-0005-0000-0000-000088150000}"/>
    <cellStyle name="Normal 37 9 2 8" xfId="5508" xr:uid="{00000000-0005-0000-0000-000089150000}"/>
    <cellStyle name="Normal 37 9 2 9" xfId="5509" xr:uid="{00000000-0005-0000-0000-00008A150000}"/>
    <cellStyle name="Normal 37 9 3" xfId="5510" xr:uid="{00000000-0005-0000-0000-00008B150000}"/>
    <cellStyle name="Normal 37 9 4" xfId="5511" xr:uid="{00000000-0005-0000-0000-00008C150000}"/>
    <cellStyle name="Normal 37 9 5" xfId="5512" xr:uid="{00000000-0005-0000-0000-00008D150000}"/>
    <cellStyle name="Normal 37 9 6" xfId="5513" xr:uid="{00000000-0005-0000-0000-00008E150000}"/>
    <cellStyle name="Normal 37 9 7" xfId="5514" xr:uid="{00000000-0005-0000-0000-00008F150000}"/>
    <cellStyle name="Normal 37 9 8" xfId="5515" xr:uid="{00000000-0005-0000-0000-000090150000}"/>
    <cellStyle name="Normal 37 9 9" xfId="5516" xr:uid="{00000000-0005-0000-0000-000091150000}"/>
    <cellStyle name="Normal 38" xfId="5517" xr:uid="{00000000-0005-0000-0000-000092150000}"/>
    <cellStyle name="Normal 38 10" xfId="5518" xr:uid="{00000000-0005-0000-0000-000093150000}"/>
    <cellStyle name="Normal 38 10 10" xfId="5519" xr:uid="{00000000-0005-0000-0000-000094150000}"/>
    <cellStyle name="Normal 38 10 11" xfId="5520" xr:uid="{00000000-0005-0000-0000-000095150000}"/>
    <cellStyle name="Normal 38 10 12" xfId="5521" xr:uid="{00000000-0005-0000-0000-000096150000}"/>
    <cellStyle name="Normal 38 10 13" xfId="5522" xr:uid="{00000000-0005-0000-0000-000097150000}"/>
    <cellStyle name="Normal 38 10 2" xfId="5523" xr:uid="{00000000-0005-0000-0000-000098150000}"/>
    <cellStyle name="Normal 38 10 2 10" xfId="5524" xr:uid="{00000000-0005-0000-0000-000099150000}"/>
    <cellStyle name="Normal 38 10 2 11" xfId="5525" xr:uid="{00000000-0005-0000-0000-00009A150000}"/>
    <cellStyle name="Normal 38 10 2 2" xfId="5526" xr:uid="{00000000-0005-0000-0000-00009B150000}"/>
    <cellStyle name="Normal 38 10 2 3" xfId="5527" xr:uid="{00000000-0005-0000-0000-00009C150000}"/>
    <cellStyle name="Normal 38 10 2 4" xfId="5528" xr:uid="{00000000-0005-0000-0000-00009D150000}"/>
    <cellStyle name="Normal 38 10 2 5" xfId="5529" xr:uid="{00000000-0005-0000-0000-00009E150000}"/>
    <cellStyle name="Normal 38 10 2 6" xfId="5530" xr:uid="{00000000-0005-0000-0000-00009F150000}"/>
    <cellStyle name="Normal 38 10 2 7" xfId="5531" xr:uid="{00000000-0005-0000-0000-0000A0150000}"/>
    <cellStyle name="Normal 38 10 2 8" xfId="5532" xr:uid="{00000000-0005-0000-0000-0000A1150000}"/>
    <cellStyle name="Normal 38 10 2 9" xfId="5533" xr:uid="{00000000-0005-0000-0000-0000A2150000}"/>
    <cellStyle name="Normal 38 10 3" xfId="5534" xr:uid="{00000000-0005-0000-0000-0000A3150000}"/>
    <cellStyle name="Normal 38 10 4" xfId="5535" xr:uid="{00000000-0005-0000-0000-0000A4150000}"/>
    <cellStyle name="Normal 38 10 5" xfId="5536" xr:uid="{00000000-0005-0000-0000-0000A5150000}"/>
    <cellStyle name="Normal 38 10 6" xfId="5537" xr:uid="{00000000-0005-0000-0000-0000A6150000}"/>
    <cellStyle name="Normal 38 10 7" xfId="5538" xr:uid="{00000000-0005-0000-0000-0000A7150000}"/>
    <cellStyle name="Normal 38 10 8" xfId="5539" xr:uid="{00000000-0005-0000-0000-0000A8150000}"/>
    <cellStyle name="Normal 38 10 9" xfId="5540" xr:uid="{00000000-0005-0000-0000-0000A9150000}"/>
    <cellStyle name="Normal 38 11" xfId="5541" xr:uid="{00000000-0005-0000-0000-0000AA150000}"/>
    <cellStyle name="Normal 38 11 10" xfId="5542" xr:uid="{00000000-0005-0000-0000-0000AB150000}"/>
    <cellStyle name="Normal 38 11 11" xfId="5543" xr:uid="{00000000-0005-0000-0000-0000AC150000}"/>
    <cellStyle name="Normal 38 11 12" xfId="5544" xr:uid="{00000000-0005-0000-0000-0000AD150000}"/>
    <cellStyle name="Normal 38 11 13" xfId="5545" xr:uid="{00000000-0005-0000-0000-0000AE150000}"/>
    <cellStyle name="Normal 38 11 2" xfId="5546" xr:uid="{00000000-0005-0000-0000-0000AF150000}"/>
    <cellStyle name="Normal 38 11 2 10" xfId="5547" xr:uid="{00000000-0005-0000-0000-0000B0150000}"/>
    <cellStyle name="Normal 38 11 2 11" xfId="5548" xr:uid="{00000000-0005-0000-0000-0000B1150000}"/>
    <cellStyle name="Normal 38 11 2 2" xfId="5549" xr:uid="{00000000-0005-0000-0000-0000B2150000}"/>
    <cellStyle name="Normal 38 11 2 3" xfId="5550" xr:uid="{00000000-0005-0000-0000-0000B3150000}"/>
    <cellStyle name="Normal 38 11 2 4" xfId="5551" xr:uid="{00000000-0005-0000-0000-0000B4150000}"/>
    <cellStyle name="Normal 38 11 2 5" xfId="5552" xr:uid="{00000000-0005-0000-0000-0000B5150000}"/>
    <cellStyle name="Normal 38 11 2 6" xfId="5553" xr:uid="{00000000-0005-0000-0000-0000B6150000}"/>
    <cellStyle name="Normal 38 11 2 7" xfId="5554" xr:uid="{00000000-0005-0000-0000-0000B7150000}"/>
    <cellStyle name="Normal 38 11 2 8" xfId="5555" xr:uid="{00000000-0005-0000-0000-0000B8150000}"/>
    <cellStyle name="Normal 38 11 2 9" xfId="5556" xr:uid="{00000000-0005-0000-0000-0000B9150000}"/>
    <cellStyle name="Normal 38 11 3" xfId="5557" xr:uid="{00000000-0005-0000-0000-0000BA150000}"/>
    <cellStyle name="Normal 38 11 4" xfId="5558" xr:uid="{00000000-0005-0000-0000-0000BB150000}"/>
    <cellStyle name="Normal 38 11 5" xfId="5559" xr:uid="{00000000-0005-0000-0000-0000BC150000}"/>
    <cellStyle name="Normal 38 11 6" xfId="5560" xr:uid="{00000000-0005-0000-0000-0000BD150000}"/>
    <cellStyle name="Normal 38 11 7" xfId="5561" xr:uid="{00000000-0005-0000-0000-0000BE150000}"/>
    <cellStyle name="Normal 38 11 8" xfId="5562" xr:uid="{00000000-0005-0000-0000-0000BF150000}"/>
    <cellStyle name="Normal 38 11 9" xfId="5563" xr:uid="{00000000-0005-0000-0000-0000C0150000}"/>
    <cellStyle name="Normal 38 12" xfId="5564" xr:uid="{00000000-0005-0000-0000-0000C1150000}"/>
    <cellStyle name="Normal 38 12 10" xfId="5565" xr:uid="{00000000-0005-0000-0000-0000C2150000}"/>
    <cellStyle name="Normal 38 12 11" xfId="5566" xr:uid="{00000000-0005-0000-0000-0000C3150000}"/>
    <cellStyle name="Normal 38 12 12" xfId="5567" xr:uid="{00000000-0005-0000-0000-0000C4150000}"/>
    <cellStyle name="Normal 38 12 13" xfId="5568" xr:uid="{00000000-0005-0000-0000-0000C5150000}"/>
    <cellStyle name="Normal 38 12 2" xfId="5569" xr:uid="{00000000-0005-0000-0000-0000C6150000}"/>
    <cellStyle name="Normal 38 12 2 10" xfId="5570" xr:uid="{00000000-0005-0000-0000-0000C7150000}"/>
    <cellStyle name="Normal 38 12 2 11" xfId="5571" xr:uid="{00000000-0005-0000-0000-0000C8150000}"/>
    <cellStyle name="Normal 38 12 2 2" xfId="5572" xr:uid="{00000000-0005-0000-0000-0000C9150000}"/>
    <cellStyle name="Normal 38 12 2 3" xfId="5573" xr:uid="{00000000-0005-0000-0000-0000CA150000}"/>
    <cellStyle name="Normal 38 12 2 4" xfId="5574" xr:uid="{00000000-0005-0000-0000-0000CB150000}"/>
    <cellStyle name="Normal 38 12 2 5" xfId="5575" xr:uid="{00000000-0005-0000-0000-0000CC150000}"/>
    <cellStyle name="Normal 38 12 2 6" xfId="5576" xr:uid="{00000000-0005-0000-0000-0000CD150000}"/>
    <cellStyle name="Normal 38 12 2 7" xfId="5577" xr:uid="{00000000-0005-0000-0000-0000CE150000}"/>
    <cellStyle name="Normal 38 12 2 8" xfId="5578" xr:uid="{00000000-0005-0000-0000-0000CF150000}"/>
    <cellStyle name="Normal 38 12 2 9" xfId="5579" xr:uid="{00000000-0005-0000-0000-0000D0150000}"/>
    <cellStyle name="Normal 38 12 3" xfId="5580" xr:uid="{00000000-0005-0000-0000-0000D1150000}"/>
    <cellStyle name="Normal 38 12 4" xfId="5581" xr:uid="{00000000-0005-0000-0000-0000D2150000}"/>
    <cellStyle name="Normal 38 12 5" xfId="5582" xr:uid="{00000000-0005-0000-0000-0000D3150000}"/>
    <cellStyle name="Normal 38 12 6" xfId="5583" xr:uid="{00000000-0005-0000-0000-0000D4150000}"/>
    <cellStyle name="Normal 38 12 7" xfId="5584" xr:uid="{00000000-0005-0000-0000-0000D5150000}"/>
    <cellStyle name="Normal 38 12 8" xfId="5585" xr:uid="{00000000-0005-0000-0000-0000D6150000}"/>
    <cellStyle name="Normal 38 12 9" xfId="5586" xr:uid="{00000000-0005-0000-0000-0000D7150000}"/>
    <cellStyle name="Normal 38 13" xfId="5587" xr:uid="{00000000-0005-0000-0000-0000D8150000}"/>
    <cellStyle name="Normal 38 13 10" xfId="5588" xr:uid="{00000000-0005-0000-0000-0000D9150000}"/>
    <cellStyle name="Normal 38 13 11" xfId="5589" xr:uid="{00000000-0005-0000-0000-0000DA150000}"/>
    <cellStyle name="Normal 38 13 12" xfId="5590" xr:uid="{00000000-0005-0000-0000-0000DB150000}"/>
    <cellStyle name="Normal 38 13 13" xfId="5591" xr:uid="{00000000-0005-0000-0000-0000DC150000}"/>
    <cellStyle name="Normal 38 13 2" xfId="5592" xr:uid="{00000000-0005-0000-0000-0000DD150000}"/>
    <cellStyle name="Normal 38 13 2 10" xfId="5593" xr:uid="{00000000-0005-0000-0000-0000DE150000}"/>
    <cellStyle name="Normal 38 13 2 11" xfId="5594" xr:uid="{00000000-0005-0000-0000-0000DF150000}"/>
    <cellStyle name="Normal 38 13 2 2" xfId="5595" xr:uid="{00000000-0005-0000-0000-0000E0150000}"/>
    <cellStyle name="Normal 38 13 2 3" xfId="5596" xr:uid="{00000000-0005-0000-0000-0000E1150000}"/>
    <cellStyle name="Normal 38 13 2 4" xfId="5597" xr:uid="{00000000-0005-0000-0000-0000E2150000}"/>
    <cellStyle name="Normal 38 13 2 5" xfId="5598" xr:uid="{00000000-0005-0000-0000-0000E3150000}"/>
    <cellStyle name="Normal 38 13 2 6" xfId="5599" xr:uid="{00000000-0005-0000-0000-0000E4150000}"/>
    <cellStyle name="Normal 38 13 2 7" xfId="5600" xr:uid="{00000000-0005-0000-0000-0000E5150000}"/>
    <cellStyle name="Normal 38 13 2 8" xfId="5601" xr:uid="{00000000-0005-0000-0000-0000E6150000}"/>
    <cellStyle name="Normal 38 13 2 9" xfId="5602" xr:uid="{00000000-0005-0000-0000-0000E7150000}"/>
    <cellStyle name="Normal 38 13 3" xfId="5603" xr:uid="{00000000-0005-0000-0000-0000E8150000}"/>
    <cellStyle name="Normal 38 13 4" xfId="5604" xr:uid="{00000000-0005-0000-0000-0000E9150000}"/>
    <cellStyle name="Normal 38 13 5" xfId="5605" xr:uid="{00000000-0005-0000-0000-0000EA150000}"/>
    <cellStyle name="Normal 38 13 6" xfId="5606" xr:uid="{00000000-0005-0000-0000-0000EB150000}"/>
    <cellStyle name="Normal 38 13 7" xfId="5607" xr:uid="{00000000-0005-0000-0000-0000EC150000}"/>
    <cellStyle name="Normal 38 13 8" xfId="5608" xr:uid="{00000000-0005-0000-0000-0000ED150000}"/>
    <cellStyle name="Normal 38 13 9" xfId="5609" xr:uid="{00000000-0005-0000-0000-0000EE150000}"/>
    <cellStyle name="Normal 38 14" xfId="5610" xr:uid="{00000000-0005-0000-0000-0000EF150000}"/>
    <cellStyle name="Normal 38 14 10" xfId="5611" xr:uid="{00000000-0005-0000-0000-0000F0150000}"/>
    <cellStyle name="Normal 38 14 11" xfId="5612" xr:uid="{00000000-0005-0000-0000-0000F1150000}"/>
    <cellStyle name="Normal 38 14 2" xfId="5613" xr:uid="{00000000-0005-0000-0000-0000F2150000}"/>
    <cellStyle name="Normal 38 14 3" xfId="5614" xr:uid="{00000000-0005-0000-0000-0000F3150000}"/>
    <cellStyle name="Normal 38 14 4" xfId="5615" xr:uid="{00000000-0005-0000-0000-0000F4150000}"/>
    <cellStyle name="Normal 38 14 5" xfId="5616" xr:uid="{00000000-0005-0000-0000-0000F5150000}"/>
    <cellStyle name="Normal 38 14 6" xfId="5617" xr:uid="{00000000-0005-0000-0000-0000F6150000}"/>
    <cellStyle name="Normal 38 14 7" xfId="5618" xr:uid="{00000000-0005-0000-0000-0000F7150000}"/>
    <cellStyle name="Normal 38 14 8" xfId="5619" xr:uid="{00000000-0005-0000-0000-0000F8150000}"/>
    <cellStyle name="Normal 38 14 9" xfId="5620" xr:uid="{00000000-0005-0000-0000-0000F9150000}"/>
    <cellStyle name="Normal 38 15" xfId="5621" xr:uid="{00000000-0005-0000-0000-0000FA150000}"/>
    <cellStyle name="Normal 38 16" xfId="5622" xr:uid="{00000000-0005-0000-0000-0000FB150000}"/>
    <cellStyle name="Normal 38 17" xfId="5623" xr:uid="{00000000-0005-0000-0000-0000FC150000}"/>
    <cellStyle name="Normal 38 18" xfId="5624" xr:uid="{00000000-0005-0000-0000-0000FD150000}"/>
    <cellStyle name="Normal 38 19" xfId="5625" xr:uid="{00000000-0005-0000-0000-0000FE150000}"/>
    <cellStyle name="Normal 38 2" xfId="5626" xr:uid="{00000000-0005-0000-0000-0000FF150000}"/>
    <cellStyle name="Normal 38 2 10" xfId="5627" xr:uid="{00000000-0005-0000-0000-000000160000}"/>
    <cellStyle name="Normal 38 2 11" xfId="5628" xr:uid="{00000000-0005-0000-0000-000001160000}"/>
    <cellStyle name="Normal 38 2 12" xfId="5629" xr:uid="{00000000-0005-0000-0000-000002160000}"/>
    <cellStyle name="Normal 38 2 13" xfId="5630" xr:uid="{00000000-0005-0000-0000-000003160000}"/>
    <cellStyle name="Normal 38 2 2" xfId="5631" xr:uid="{00000000-0005-0000-0000-000004160000}"/>
    <cellStyle name="Normal 38 2 2 10" xfId="5632" xr:uid="{00000000-0005-0000-0000-000005160000}"/>
    <cellStyle name="Normal 38 2 2 11" xfId="5633" xr:uid="{00000000-0005-0000-0000-000006160000}"/>
    <cellStyle name="Normal 38 2 2 2" xfId="5634" xr:uid="{00000000-0005-0000-0000-000007160000}"/>
    <cellStyle name="Normal 38 2 2 3" xfId="5635" xr:uid="{00000000-0005-0000-0000-000008160000}"/>
    <cellStyle name="Normal 38 2 2 4" xfId="5636" xr:uid="{00000000-0005-0000-0000-000009160000}"/>
    <cellStyle name="Normal 38 2 2 5" xfId="5637" xr:uid="{00000000-0005-0000-0000-00000A160000}"/>
    <cellStyle name="Normal 38 2 2 6" xfId="5638" xr:uid="{00000000-0005-0000-0000-00000B160000}"/>
    <cellStyle name="Normal 38 2 2 7" xfId="5639" xr:uid="{00000000-0005-0000-0000-00000C160000}"/>
    <cellStyle name="Normal 38 2 2 8" xfId="5640" xr:uid="{00000000-0005-0000-0000-00000D160000}"/>
    <cellStyle name="Normal 38 2 2 9" xfId="5641" xr:uid="{00000000-0005-0000-0000-00000E160000}"/>
    <cellStyle name="Normal 38 2 3" xfId="5642" xr:uid="{00000000-0005-0000-0000-00000F160000}"/>
    <cellStyle name="Normal 38 2 4" xfId="5643" xr:uid="{00000000-0005-0000-0000-000010160000}"/>
    <cellStyle name="Normal 38 2 5" xfId="5644" xr:uid="{00000000-0005-0000-0000-000011160000}"/>
    <cellStyle name="Normal 38 2 6" xfId="5645" xr:uid="{00000000-0005-0000-0000-000012160000}"/>
    <cellStyle name="Normal 38 2 7" xfId="5646" xr:uid="{00000000-0005-0000-0000-000013160000}"/>
    <cellStyle name="Normal 38 2 8" xfId="5647" xr:uid="{00000000-0005-0000-0000-000014160000}"/>
    <cellStyle name="Normal 38 2 9" xfId="5648" xr:uid="{00000000-0005-0000-0000-000015160000}"/>
    <cellStyle name="Normal 38 20" xfId="5649" xr:uid="{00000000-0005-0000-0000-000016160000}"/>
    <cellStyle name="Normal 38 21" xfId="5650" xr:uid="{00000000-0005-0000-0000-000017160000}"/>
    <cellStyle name="Normal 38 22" xfId="5651" xr:uid="{00000000-0005-0000-0000-000018160000}"/>
    <cellStyle name="Normal 38 23" xfId="5652" xr:uid="{00000000-0005-0000-0000-000019160000}"/>
    <cellStyle name="Normal 38 24" xfId="5653" xr:uid="{00000000-0005-0000-0000-00001A160000}"/>
    <cellStyle name="Normal 38 25" xfId="5654" xr:uid="{00000000-0005-0000-0000-00001B160000}"/>
    <cellStyle name="Normal 38 3" xfId="5655" xr:uid="{00000000-0005-0000-0000-00001C160000}"/>
    <cellStyle name="Normal 38 3 10" xfId="5656" xr:uid="{00000000-0005-0000-0000-00001D160000}"/>
    <cellStyle name="Normal 38 3 11" xfId="5657" xr:uid="{00000000-0005-0000-0000-00001E160000}"/>
    <cellStyle name="Normal 38 3 12" xfId="5658" xr:uid="{00000000-0005-0000-0000-00001F160000}"/>
    <cellStyle name="Normal 38 3 13" xfId="5659" xr:uid="{00000000-0005-0000-0000-000020160000}"/>
    <cellStyle name="Normal 38 3 2" xfId="5660" xr:uid="{00000000-0005-0000-0000-000021160000}"/>
    <cellStyle name="Normal 38 3 2 10" xfId="5661" xr:uid="{00000000-0005-0000-0000-000022160000}"/>
    <cellStyle name="Normal 38 3 2 11" xfId="5662" xr:uid="{00000000-0005-0000-0000-000023160000}"/>
    <cellStyle name="Normal 38 3 2 2" xfId="5663" xr:uid="{00000000-0005-0000-0000-000024160000}"/>
    <cellStyle name="Normal 38 3 2 3" xfId="5664" xr:uid="{00000000-0005-0000-0000-000025160000}"/>
    <cellStyle name="Normal 38 3 2 4" xfId="5665" xr:uid="{00000000-0005-0000-0000-000026160000}"/>
    <cellStyle name="Normal 38 3 2 5" xfId="5666" xr:uid="{00000000-0005-0000-0000-000027160000}"/>
    <cellStyle name="Normal 38 3 2 6" xfId="5667" xr:uid="{00000000-0005-0000-0000-000028160000}"/>
    <cellStyle name="Normal 38 3 2 7" xfId="5668" xr:uid="{00000000-0005-0000-0000-000029160000}"/>
    <cellStyle name="Normal 38 3 2 8" xfId="5669" xr:uid="{00000000-0005-0000-0000-00002A160000}"/>
    <cellStyle name="Normal 38 3 2 9" xfId="5670" xr:uid="{00000000-0005-0000-0000-00002B160000}"/>
    <cellStyle name="Normal 38 3 3" xfId="5671" xr:uid="{00000000-0005-0000-0000-00002C160000}"/>
    <cellStyle name="Normal 38 3 4" xfId="5672" xr:uid="{00000000-0005-0000-0000-00002D160000}"/>
    <cellStyle name="Normal 38 3 5" xfId="5673" xr:uid="{00000000-0005-0000-0000-00002E160000}"/>
    <cellStyle name="Normal 38 3 6" xfId="5674" xr:uid="{00000000-0005-0000-0000-00002F160000}"/>
    <cellStyle name="Normal 38 3 7" xfId="5675" xr:uid="{00000000-0005-0000-0000-000030160000}"/>
    <cellStyle name="Normal 38 3 8" xfId="5676" xr:uid="{00000000-0005-0000-0000-000031160000}"/>
    <cellStyle name="Normal 38 3 9" xfId="5677" xr:uid="{00000000-0005-0000-0000-000032160000}"/>
    <cellStyle name="Normal 38 4" xfId="5678" xr:uid="{00000000-0005-0000-0000-000033160000}"/>
    <cellStyle name="Normal 38 4 10" xfId="5679" xr:uid="{00000000-0005-0000-0000-000034160000}"/>
    <cellStyle name="Normal 38 4 11" xfId="5680" xr:uid="{00000000-0005-0000-0000-000035160000}"/>
    <cellStyle name="Normal 38 4 12" xfId="5681" xr:uid="{00000000-0005-0000-0000-000036160000}"/>
    <cellStyle name="Normal 38 4 13" xfId="5682" xr:uid="{00000000-0005-0000-0000-000037160000}"/>
    <cellStyle name="Normal 38 4 2" xfId="5683" xr:uid="{00000000-0005-0000-0000-000038160000}"/>
    <cellStyle name="Normal 38 4 2 10" xfId="5684" xr:uid="{00000000-0005-0000-0000-000039160000}"/>
    <cellStyle name="Normal 38 4 2 11" xfId="5685" xr:uid="{00000000-0005-0000-0000-00003A160000}"/>
    <cellStyle name="Normal 38 4 2 2" xfId="5686" xr:uid="{00000000-0005-0000-0000-00003B160000}"/>
    <cellStyle name="Normal 38 4 2 3" xfId="5687" xr:uid="{00000000-0005-0000-0000-00003C160000}"/>
    <cellStyle name="Normal 38 4 2 4" xfId="5688" xr:uid="{00000000-0005-0000-0000-00003D160000}"/>
    <cellStyle name="Normal 38 4 2 5" xfId="5689" xr:uid="{00000000-0005-0000-0000-00003E160000}"/>
    <cellStyle name="Normal 38 4 2 6" xfId="5690" xr:uid="{00000000-0005-0000-0000-00003F160000}"/>
    <cellStyle name="Normal 38 4 2 7" xfId="5691" xr:uid="{00000000-0005-0000-0000-000040160000}"/>
    <cellStyle name="Normal 38 4 2 8" xfId="5692" xr:uid="{00000000-0005-0000-0000-000041160000}"/>
    <cellStyle name="Normal 38 4 2 9" xfId="5693" xr:uid="{00000000-0005-0000-0000-000042160000}"/>
    <cellStyle name="Normal 38 4 3" xfId="5694" xr:uid="{00000000-0005-0000-0000-000043160000}"/>
    <cellStyle name="Normal 38 4 4" xfId="5695" xr:uid="{00000000-0005-0000-0000-000044160000}"/>
    <cellStyle name="Normal 38 4 5" xfId="5696" xr:uid="{00000000-0005-0000-0000-000045160000}"/>
    <cellStyle name="Normal 38 4 6" xfId="5697" xr:uid="{00000000-0005-0000-0000-000046160000}"/>
    <cellStyle name="Normal 38 4 7" xfId="5698" xr:uid="{00000000-0005-0000-0000-000047160000}"/>
    <cellStyle name="Normal 38 4 8" xfId="5699" xr:uid="{00000000-0005-0000-0000-000048160000}"/>
    <cellStyle name="Normal 38 4 9" xfId="5700" xr:uid="{00000000-0005-0000-0000-000049160000}"/>
    <cellStyle name="Normal 38 5" xfId="5701" xr:uid="{00000000-0005-0000-0000-00004A160000}"/>
    <cellStyle name="Normal 38 5 10" xfId="5702" xr:uid="{00000000-0005-0000-0000-00004B160000}"/>
    <cellStyle name="Normal 38 5 11" xfId="5703" xr:uid="{00000000-0005-0000-0000-00004C160000}"/>
    <cellStyle name="Normal 38 5 12" xfId="5704" xr:uid="{00000000-0005-0000-0000-00004D160000}"/>
    <cellStyle name="Normal 38 5 13" xfId="5705" xr:uid="{00000000-0005-0000-0000-00004E160000}"/>
    <cellStyle name="Normal 38 5 2" xfId="5706" xr:uid="{00000000-0005-0000-0000-00004F160000}"/>
    <cellStyle name="Normal 38 5 2 10" xfId="5707" xr:uid="{00000000-0005-0000-0000-000050160000}"/>
    <cellStyle name="Normal 38 5 2 11" xfId="5708" xr:uid="{00000000-0005-0000-0000-000051160000}"/>
    <cellStyle name="Normal 38 5 2 2" xfId="5709" xr:uid="{00000000-0005-0000-0000-000052160000}"/>
    <cellStyle name="Normal 38 5 2 3" xfId="5710" xr:uid="{00000000-0005-0000-0000-000053160000}"/>
    <cellStyle name="Normal 38 5 2 4" xfId="5711" xr:uid="{00000000-0005-0000-0000-000054160000}"/>
    <cellStyle name="Normal 38 5 2 5" xfId="5712" xr:uid="{00000000-0005-0000-0000-000055160000}"/>
    <cellStyle name="Normal 38 5 2 6" xfId="5713" xr:uid="{00000000-0005-0000-0000-000056160000}"/>
    <cellStyle name="Normal 38 5 2 7" xfId="5714" xr:uid="{00000000-0005-0000-0000-000057160000}"/>
    <cellStyle name="Normal 38 5 2 8" xfId="5715" xr:uid="{00000000-0005-0000-0000-000058160000}"/>
    <cellStyle name="Normal 38 5 2 9" xfId="5716" xr:uid="{00000000-0005-0000-0000-000059160000}"/>
    <cellStyle name="Normal 38 5 3" xfId="5717" xr:uid="{00000000-0005-0000-0000-00005A160000}"/>
    <cellStyle name="Normal 38 5 4" xfId="5718" xr:uid="{00000000-0005-0000-0000-00005B160000}"/>
    <cellStyle name="Normal 38 5 5" xfId="5719" xr:uid="{00000000-0005-0000-0000-00005C160000}"/>
    <cellStyle name="Normal 38 5 6" xfId="5720" xr:uid="{00000000-0005-0000-0000-00005D160000}"/>
    <cellStyle name="Normal 38 5 7" xfId="5721" xr:uid="{00000000-0005-0000-0000-00005E160000}"/>
    <cellStyle name="Normal 38 5 8" xfId="5722" xr:uid="{00000000-0005-0000-0000-00005F160000}"/>
    <cellStyle name="Normal 38 5 9" xfId="5723" xr:uid="{00000000-0005-0000-0000-000060160000}"/>
    <cellStyle name="Normal 38 6" xfId="5724" xr:uid="{00000000-0005-0000-0000-000061160000}"/>
    <cellStyle name="Normal 38 6 10" xfId="5725" xr:uid="{00000000-0005-0000-0000-000062160000}"/>
    <cellStyle name="Normal 38 6 11" xfId="5726" xr:uid="{00000000-0005-0000-0000-000063160000}"/>
    <cellStyle name="Normal 38 6 12" xfId="5727" xr:uid="{00000000-0005-0000-0000-000064160000}"/>
    <cellStyle name="Normal 38 6 13" xfId="5728" xr:uid="{00000000-0005-0000-0000-000065160000}"/>
    <cellStyle name="Normal 38 6 2" xfId="5729" xr:uid="{00000000-0005-0000-0000-000066160000}"/>
    <cellStyle name="Normal 38 6 2 10" xfId="5730" xr:uid="{00000000-0005-0000-0000-000067160000}"/>
    <cellStyle name="Normal 38 6 2 11" xfId="5731" xr:uid="{00000000-0005-0000-0000-000068160000}"/>
    <cellStyle name="Normal 38 6 2 2" xfId="5732" xr:uid="{00000000-0005-0000-0000-000069160000}"/>
    <cellStyle name="Normal 38 6 2 3" xfId="5733" xr:uid="{00000000-0005-0000-0000-00006A160000}"/>
    <cellStyle name="Normal 38 6 2 4" xfId="5734" xr:uid="{00000000-0005-0000-0000-00006B160000}"/>
    <cellStyle name="Normal 38 6 2 5" xfId="5735" xr:uid="{00000000-0005-0000-0000-00006C160000}"/>
    <cellStyle name="Normal 38 6 2 6" xfId="5736" xr:uid="{00000000-0005-0000-0000-00006D160000}"/>
    <cellStyle name="Normal 38 6 2 7" xfId="5737" xr:uid="{00000000-0005-0000-0000-00006E160000}"/>
    <cellStyle name="Normal 38 6 2 8" xfId="5738" xr:uid="{00000000-0005-0000-0000-00006F160000}"/>
    <cellStyle name="Normal 38 6 2 9" xfId="5739" xr:uid="{00000000-0005-0000-0000-000070160000}"/>
    <cellStyle name="Normal 38 6 3" xfId="5740" xr:uid="{00000000-0005-0000-0000-000071160000}"/>
    <cellStyle name="Normal 38 6 4" xfId="5741" xr:uid="{00000000-0005-0000-0000-000072160000}"/>
    <cellStyle name="Normal 38 6 5" xfId="5742" xr:uid="{00000000-0005-0000-0000-000073160000}"/>
    <cellStyle name="Normal 38 6 6" xfId="5743" xr:uid="{00000000-0005-0000-0000-000074160000}"/>
    <cellStyle name="Normal 38 6 7" xfId="5744" xr:uid="{00000000-0005-0000-0000-000075160000}"/>
    <cellStyle name="Normal 38 6 8" xfId="5745" xr:uid="{00000000-0005-0000-0000-000076160000}"/>
    <cellStyle name="Normal 38 6 9" xfId="5746" xr:uid="{00000000-0005-0000-0000-000077160000}"/>
    <cellStyle name="Normal 38 7" xfId="5747" xr:uid="{00000000-0005-0000-0000-000078160000}"/>
    <cellStyle name="Normal 38 7 10" xfId="5748" xr:uid="{00000000-0005-0000-0000-000079160000}"/>
    <cellStyle name="Normal 38 7 11" xfId="5749" xr:uid="{00000000-0005-0000-0000-00007A160000}"/>
    <cellStyle name="Normal 38 7 12" xfId="5750" xr:uid="{00000000-0005-0000-0000-00007B160000}"/>
    <cellStyle name="Normal 38 7 13" xfId="5751" xr:uid="{00000000-0005-0000-0000-00007C160000}"/>
    <cellStyle name="Normal 38 7 2" xfId="5752" xr:uid="{00000000-0005-0000-0000-00007D160000}"/>
    <cellStyle name="Normal 38 7 2 10" xfId="5753" xr:uid="{00000000-0005-0000-0000-00007E160000}"/>
    <cellStyle name="Normal 38 7 2 11" xfId="5754" xr:uid="{00000000-0005-0000-0000-00007F160000}"/>
    <cellStyle name="Normal 38 7 2 2" xfId="5755" xr:uid="{00000000-0005-0000-0000-000080160000}"/>
    <cellStyle name="Normal 38 7 2 3" xfId="5756" xr:uid="{00000000-0005-0000-0000-000081160000}"/>
    <cellStyle name="Normal 38 7 2 4" xfId="5757" xr:uid="{00000000-0005-0000-0000-000082160000}"/>
    <cellStyle name="Normal 38 7 2 5" xfId="5758" xr:uid="{00000000-0005-0000-0000-000083160000}"/>
    <cellStyle name="Normal 38 7 2 6" xfId="5759" xr:uid="{00000000-0005-0000-0000-000084160000}"/>
    <cellStyle name="Normal 38 7 2 7" xfId="5760" xr:uid="{00000000-0005-0000-0000-000085160000}"/>
    <cellStyle name="Normal 38 7 2 8" xfId="5761" xr:uid="{00000000-0005-0000-0000-000086160000}"/>
    <cellStyle name="Normal 38 7 2 9" xfId="5762" xr:uid="{00000000-0005-0000-0000-000087160000}"/>
    <cellStyle name="Normal 38 7 3" xfId="5763" xr:uid="{00000000-0005-0000-0000-000088160000}"/>
    <cellStyle name="Normal 38 7 4" xfId="5764" xr:uid="{00000000-0005-0000-0000-000089160000}"/>
    <cellStyle name="Normal 38 7 5" xfId="5765" xr:uid="{00000000-0005-0000-0000-00008A160000}"/>
    <cellStyle name="Normal 38 7 6" xfId="5766" xr:uid="{00000000-0005-0000-0000-00008B160000}"/>
    <cellStyle name="Normal 38 7 7" xfId="5767" xr:uid="{00000000-0005-0000-0000-00008C160000}"/>
    <cellStyle name="Normal 38 7 8" xfId="5768" xr:uid="{00000000-0005-0000-0000-00008D160000}"/>
    <cellStyle name="Normal 38 7 9" xfId="5769" xr:uid="{00000000-0005-0000-0000-00008E160000}"/>
    <cellStyle name="Normal 38 8" xfId="5770" xr:uid="{00000000-0005-0000-0000-00008F160000}"/>
    <cellStyle name="Normal 38 8 10" xfId="5771" xr:uid="{00000000-0005-0000-0000-000090160000}"/>
    <cellStyle name="Normal 38 8 11" xfId="5772" xr:uid="{00000000-0005-0000-0000-000091160000}"/>
    <cellStyle name="Normal 38 8 12" xfId="5773" xr:uid="{00000000-0005-0000-0000-000092160000}"/>
    <cellStyle name="Normal 38 8 13" xfId="5774" xr:uid="{00000000-0005-0000-0000-000093160000}"/>
    <cellStyle name="Normal 38 8 2" xfId="5775" xr:uid="{00000000-0005-0000-0000-000094160000}"/>
    <cellStyle name="Normal 38 8 2 10" xfId="5776" xr:uid="{00000000-0005-0000-0000-000095160000}"/>
    <cellStyle name="Normal 38 8 2 11" xfId="5777" xr:uid="{00000000-0005-0000-0000-000096160000}"/>
    <cellStyle name="Normal 38 8 2 2" xfId="5778" xr:uid="{00000000-0005-0000-0000-000097160000}"/>
    <cellStyle name="Normal 38 8 2 3" xfId="5779" xr:uid="{00000000-0005-0000-0000-000098160000}"/>
    <cellStyle name="Normal 38 8 2 4" xfId="5780" xr:uid="{00000000-0005-0000-0000-000099160000}"/>
    <cellStyle name="Normal 38 8 2 5" xfId="5781" xr:uid="{00000000-0005-0000-0000-00009A160000}"/>
    <cellStyle name="Normal 38 8 2 6" xfId="5782" xr:uid="{00000000-0005-0000-0000-00009B160000}"/>
    <cellStyle name="Normal 38 8 2 7" xfId="5783" xr:uid="{00000000-0005-0000-0000-00009C160000}"/>
    <cellStyle name="Normal 38 8 2 8" xfId="5784" xr:uid="{00000000-0005-0000-0000-00009D160000}"/>
    <cellStyle name="Normal 38 8 2 9" xfId="5785" xr:uid="{00000000-0005-0000-0000-00009E160000}"/>
    <cellStyle name="Normal 38 8 3" xfId="5786" xr:uid="{00000000-0005-0000-0000-00009F160000}"/>
    <cellStyle name="Normal 38 8 4" xfId="5787" xr:uid="{00000000-0005-0000-0000-0000A0160000}"/>
    <cellStyle name="Normal 38 8 5" xfId="5788" xr:uid="{00000000-0005-0000-0000-0000A1160000}"/>
    <cellStyle name="Normal 38 8 6" xfId="5789" xr:uid="{00000000-0005-0000-0000-0000A2160000}"/>
    <cellStyle name="Normal 38 8 7" xfId="5790" xr:uid="{00000000-0005-0000-0000-0000A3160000}"/>
    <cellStyle name="Normal 38 8 8" xfId="5791" xr:uid="{00000000-0005-0000-0000-0000A4160000}"/>
    <cellStyle name="Normal 38 8 9" xfId="5792" xr:uid="{00000000-0005-0000-0000-0000A5160000}"/>
    <cellStyle name="Normal 38 9" xfId="5793" xr:uid="{00000000-0005-0000-0000-0000A6160000}"/>
    <cellStyle name="Normal 38 9 10" xfId="5794" xr:uid="{00000000-0005-0000-0000-0000A7160000}"/>
    <cellStyle name="Normal 38 9 11" xfId="5795" xr:uid="{00000000-0005-0000-0000-0000A8160000}"/>
    <cellStyle name="Normal 38 9 12" xfId="5796" xr:uid="{00000000-0005-0000-0000-0000A9160000}"/>
    <cellStyle name="Normal 38 9 13" xfId="5797" xr:uid="{00000000-0005-0000-0000-0000AA160000}"/>
    <cellStyle name="Normal 38 9 2" xfId="5798" xr:uid="{00000000-0005-0000-0000-0000AB160000}"/>
    <cellStyle name="Normal 38 9 2 10" xfId="5799" xr:uid="{00000000-0005-0000-0000-0000AC160000}"/>
    <cellStyle name="Normal 38 9 2 11" xfId="5800" xr:uid="{00000000-0005-0000-0000-0000AD160000}"/>
    <cellStyle name="Normal 38 9 2 2" xfId="5801" xr:uid="{00000000-0005-0000-0000-0000AE160000}"/>
    <cellStyle name="Normal 38 9 2 3" xfId="5802" xr:uid="{00000000-0005-0000-0000-0000AF160000}"/>
    <cellStyle name="Normal 38 9 2 4" xfId="5803" xr:uid="{00000000-0005-0000-0000-0000B0160000}"/>
    <cellStyle name="Normal 38 9 2 5" xfId="5804" xr:uid="{00000000-0005-0000-0000-0000B1160000}"/>
    <cellStyle name="Normal 38 9 2 6" xfId="5805" xr:uid="{00000000-0005-0000-0000-0000B2160000}"/>
    <cellStyle name="Normal 38 9 2 7" xfId="5806" xr:uid="{00000000-0005-0000-0000-0000B3160000}"/>
    <cellStyle name="Normal 38 9 2 8" xfId="5807" xr:uid="{00000000-0005-0000-0000-0000B4160000}"/>
    <cellStyle name="Normal 38 9 2 9" xfId="5808" xr:uid="{00000000-0005-0000-0000-0000B5160000}"/>
    <cellStyle name="Normal 38 9 3" xfId="5809" xr:uid="{00000000-0005-0000-0000-0000B6160000}"/>
    <cellStyle name="Normal 38 9 4" xfId="5810" xr:uid="{00000000-0005-0000-0000-0000B7160000}"/>
    <cellStyle name="Normal 38 9 5" xfId="5811" xr:uid="{00000000-0005-0000-0000-0000B8160000}"/>
    <cellStyle name="Normal 38 9 6" xfId="5812" xr:uid="{00000000-0005-0000-0000-0000B9160000}"/>
    <cellStyle name="Normal 38 9 7" xfId="5813" xr:uid="{00000000-0005-0000-0000-0000BA160000}"/>
    <cellStyle name="Normal 38 9 8" xfId="5814" xr:uid="{00000000-0005-0000-0000-0000BB160000}"/>
    <cellStyle name="Normal 38 9 9" xfId="5815" xr:uid="{00000000-0005-0000-0000-0000BC160000}"/>
    <cellStyle name="Normal 39" xfId="5816" xr:uid="{00000000-0005-0000-0000-0000BD160000}"/>
    <cellStyle name="Normal 39 10" xfId="5817" xr:uid="{00000000-0005-0000-0000-0000BE160000}"/>
    <cellStyle name="Normal 39 10 10" xfId="5818" xr:uid="{00000000-0005-0000-0000-0000BF160000}"/>
    <cellStyle name="Normal 39 10 11" xfId="5819" xr:uid="{00000000-0005-0000-0000-0000C0160000}"/>
    <cellStyle name="Normal 39 10 12" xfId="5820" xr:uid="{00000000-0005-0000-0000-0000C1160000}"/>
    <cellStyle name="Normal 39 10 13" xfId="5821" xr:uid="{00000000-0005-0000-0000-0000C2160000}"/>
    <cellStyle name="Normal 39 10 2" xfId="5822" xr:uid="{00000000-0005-0000-0000-0000C3160000}"/>
    <cellStyle name="Normal 39 10 2 10" xfId="5823" xr:uid="{00000000-0005-0000-0000-0000C4160000}"/>
    <cellStyle name="Normal 39 10 2 11" xfId="5824" xr:uid="{00000000-0005-0000-0000-0000C5160000}"/>
    <cellStyle name="Normal 39 10 2 2" xfId="5825" xr:uid="{00000000-0005-0000-0000-0000C6160000}"/>
    <cellStyle name="Normal 39 10 2 3" xfId="5826" xr:uid="{00000000-0005-0000-0000-0000C7160000}"/>
    <cellStyle name="Normal 39 10 2 4" xfId="5827" xr:uid="{00000000-0005-0000-0000-0000C8160000}"/>
    <cellStyle name="Normal 39 10 2 5" xfId="5828" xr:uid="{00000000-0005-0000-0000-0000C9160000}"/>
    <cellStyle name="Normal 39 10 2 6" xfId="5829" xr:uid="{00000000-0005-0000-0000-0000CA160000}"/>
    <cellStyle name="Normal 39 10 2 7" xfId="5830" xr:uid="{00000000-0005-0000-0000-0000CB160000}"/>
    <cellStyle name="Normal 39 10 2 8" xfId="5831" xr:uid="{00000000-0005-0000-0000-0000CC160000}"/>
    <cellStyle name="Normal 39 10 2 9" xfId="5832" xr:uid="{00000000-0005-0000-0000-0000CD160000}"/>
    <cellStyle name="Normal 39 10 3" xfId="5833" xr:uid="{00000000-0005-0000-0000-0000CE160000}"/>
    <cellStyle name="Normal 39 10 4" xfId="5834" xr:uid="{00000000-0005-0000-0000-0000CF160000}"/>
    <cellStyle name="Normal 39 10 5" xfId="5835" xr:uid="{00000000-0005-0000-0000-0000D0160000}"/>
    <cellStyle name="Normal 39 10 6" xfId="5836" xr:uid="{00000000-0005-0000-0000-0000D1160000}"/>
    <cellStyle name="Normal 39 10 7" xfId="5837" xr:uid="{00000000-0005-0000-0000-0000D2160000}"/>
    <cellStyle name="Normal 39 10 8" xfId="5838" xr:uid="{00000000-0005-0000-0000-0000D3160000}"/>
    <cellStyle name="Normal 39 10 9" xfId="5839" xr:uid="{00000000-0005-0000-0000-0000D4160000}"/>
    <cellStyle name="Normal 39 11" xfId="5840" xr:uid="{00000000-0005-0000-0000-0000D5160000}"/>
    <cellStyle name="Normal 39 11 10" xfId="5841" xr:uid="{00000000-0005-0000-0000-0000D6160000}"/>
    <cellStyle name="Normal 39 11 11" xfId="5842" xr:uid="{00000000-0005-0000-0000-0000D7160000}"/>
    <cellStyle name="Normal 39 11 12" xfId="5843" xr:uid="{00000000-0005-0000-0000-0000D8160000}"/>
    <cellStyle name="Normal 39 11 13" xfId="5844" xr:uid="{00000000-0005-0000-0000-0000D9160000}"/>
    <cellStyle name="Normal 39 11 2" xfId="5845" xr:uid="{00000000-0005-0000-0000-0000DA160000}"/>
    <cellStyle name="Normal 39 11 2 10" xfId="5846" xr:uid="{00000000-0005-0000-0000-0000DB160000}"/>
    <cellStyle name="Normal 39 11 2 11" xfId="5847" xr:uid="{00000000-0005-0000-0000-0000DC160000}"/>
    <cellStyle name="Normal 39 11 2 2" xfId="5848" xr:uid="{00000000-0005-0000-0000-0000DD160000}"/>
    <cellStyle name="Normal 39 11 2 3" xfId="5849" xr:uid="{00000000-0005-0000-0000-0000DE160000}"/>
    <cellStyle name="Normal 39 11 2 4" xfId="5850" xr:uid="{00000000-0005-0000-0000-0000DF160000}"/>
    <cellStyle name="Normal 39 11 2 5" xfId="5851" xr:uid="{00000000-0005-0000-0000-0000E0160000}"/>
    <cellStyle name="Normal 39 11 2 6" xfId="5852" xr:uid="{00000000-0005-0000-0000-0000E1160000}"/>
    <cellStyle name="Normal 39 11 2 7" xfId="5853" xr:uid="{00000000-0005-0000-0000-0000E2160000}"/>
    <cellStyle name="Normal 39 11 2 8" xfId="5854" xr:uid="{00000000-0005-0000-0000-0000E3160000}"/>
    <cellStyle name="Normal 39 11 2 9" xfId="5855" xr:uid="{00000000-0005-0000-0000-0000E4160000}"/>
    <cellStyle name="Normal 39 11 3" xfId="5856" xr:uid="{00000000-0005-0000-0000-0000E5160000}"/>
    <cellStyle name="Normal 39 11 4" xfId="5857" xr:uid="{00000000-0005-0000-0000-0000E6160000}"/>
    <cellStyle name="Normal 39 11 5" xfId="5858" xr:uid="{00000000-0005-0000-0000-0000E7160000}"/>
    <cellStyle name="Normal 39 11 6" xfId="5859" xr:uid="{00000000-0005-0000-0000-0000E8160000}"/>
    <cellStyle name="Normal 39 11 7" xfId="5860" xr:uid="{00000000-0005-0000-0000-0000E9160000}"/>
    <cellStyle name="Normal 39 11 8" xfId="5861" xr:uid="{00000000-0005-0000-0000-0000EA160000}"/>
    <cellStyle name="Normal 39 11 9" xfId="5862" xr:uid="{00000000-0005-0000-0000-0000EB160000}"/>
    <cellStyle name="Normal 39 12" xfId="5863" xr:uid="{00000000-0005-0000-0000-0000EC160000}"/>
    <cellStyle name="Normal 39 12 10" xfId="5864" xr:uid="{00000000-0005-0000-0000-0000ED160000}"/>
    <cellStyle name="Normal 39 12 11" xfId="5865" xr:uid="{00000000-0005-0000-0000-0000EE160000}"/>
    <cellStyle name="Normal 39 12 12" xfId="5866" xr:uid="{00000000-0005-0000-0000-0000EF160000}"/>
    <cellStyle name="Normal 39 12 13" xfId="5867" xr:uid="{00000000-0005-0000-0000-0000F0160000}"/>
    <cellStyle name="Normal 39 12 2" xfId="5868" xr:uid="{00000000-0005-0000-0000-0000F1160000}"/>
    <cellStyle name="Normal 39 12 2 10" xfId="5869" xr:uid="{00000000-0005-0000-0000-0000F2160000}"/>
    <cellStyle name="Normal 39 12 2 11" xfId="5870" xr:uid="{00000000-0005-0000-0000-0000F3160000}"/>
    <cellStyle name="Normal 39 12 2 2" xfId="5871" xr:uid="{00000000-0005-0000-0000-0000F4160000}"/>
    <cellStyle name="Normal 39 12 2 3" xfId="5872" xr:uid="{00000000-0005-0000-0000-0000F5160000}"/>
    <cellStyle name="Normal 39 12 2 4" xfId="5873" xr:uid="{00000000-0005-0000-0000-0000F6160000}"/>
    <cellStyle name="Normal 39 12 2 5" xfId="5874" xr:uid="{00000000-0005-0000-0000-0000F7160000}"/>
    <cellStyle name="Normal 39 12 2 6" xfId="5875" xr:uid="{00000000-0005-0000-0000-0000F8160000}"/>
    <cellStyle name="Normal 39 12 2 7" xfId="5876" xr:uid="{00000000-0005-0000-0000-0000F9160000}"/>
    <cellStyle name="Normal 39 12 2 8" xfId="5877" xr:uid="{00000000-0005-0000-0000-0000FA160000}"/>
    <cellStyle name="Normal 39 12 2 9" xfId="5878" xr:uid="{00000000-0005-0000-0000-0000FB160000}"/>
    <cellStyle name="Normal 39 12 3" xfId="5879" xr:uid="{00000000-0005-0000-0000-0000FC160000}"/>
    <cellStyle name="Normal 39 12 4" xfId="5880" xr:uid="{00000000-0005-0000-0000-0000FD160000}"/>
    <cellStyle name="Normal 39 12 5" xfId="5881" xr:uid="{00000000-0005-0000-0000-0000FE160000}"/>
    <cellStyle name="Normal 39 12 6" xfId="5882" xr:uid="{00000000-0005-0000-0000-0000FF160000}"/>
    <cellStyle name="Normal 39 12 7" xfId="5883" xr:uid="{00000000-0005-0000-0000-000000170000}"/>
    <cellStyle name="Normal 39 12 8" xfId="5884" xr:uid="{00000000-0005-0000-0000-000001170000}"/>
    <cellStyle name="Normal 39 12 9" xfId="5885" xr:uid="{00000000-0005-0000-0000-000002170000}"/>
    <cellStyle name="Normal 39 13" xfId="5886" xr:uid="{00000000-0005-0000-0000-000003170000}"/>
    <cellStyle name="Normal 39 13 10" xfId="5887" xr:uid="{00000000-0005-0000-0000-000004170000}"/>
    <cellStyle name="Normal 39 13 11" xfId="5888" xr:uid="{00000000-0005-0000-0000-000005170000}"/>
    <cellStyle name="Normal 39 13 12" xfId="5889" xr:uid="{00000000-0005-0000-0000-000006170000}"/>
    <cellStyle name="Normal 39 13 13" xfId="5890" xr:uid="{00000000-0005-0000-0000-000007170000}"/>
    <cellStyle name="Normal 39 13 2" xfId="5891" xr:uid="{00000000-0005-0000-0000-000008170000}"/>
    <cellStyle name="Normal 39 13 2 10" xfId="5892" xr:uid="{00000000-0005-0000-0000-000009170000}"/>
    <cellStyle name="Normal 39 13 2 11" xfId="5893" xr:uid="{00000000-0005-0000-0000-00000A170000}"/>
    <cellStyle name="Normal 39 13 2 2" xfId="5894" xr:uid="{00000000-0005-0000-0000-00000B170000}"/>
    <cellStyle name="Normal 39 13 2 3" xfId="5895" xr:uid="{00000000-0005-0000-0000-00000C170000}"/>
    <cellStyle name="Normal 39 13 2 4" xfId="5896" xr:uid="{00000000-0005-0000-0000-00000D170000}"/>
    <cellStyle name="Normal 39 13 2 5" xfId="5897" xr:uid="{00000000-0005-0000-0000-00000E170000}"/>
    <cellStyle name="Normal 39 13 2 6" xfId="5898" xr:uid="{00000000-0005-0000-0000-00000F170000}"/>
    <cellStyle name="Normal 39 13 2 7" xfId="5899" xr:uid="{00000000-0005-0000-0000-000010170000}"/>
    <cellStyle name="Normal 39 13 2 8" xfId="5900" xr:uid="{00000000-0005-0000-0000-000011170000}"/>
    <cellStyle name="Normal 39 13 2 9" xfId="5901" xr:uid="{00000000-0005-0000-0000-000012170000}"/>
    <cellStyle name="Normal 39 13 3" xfId="5902" xr:uid="{00000000-0005-0000-0000-000013170000}"/>
    <cellStyle name="Normal 39 13 4" xfId="5903" xr:uid="{00000000-0005-0000-0000-000014170000}"/>
    <cellStyle name="Normal 39 13 5" xfId="5904" xr:uid="{00000000-0005-0000-0000-000015170000}"/>
    <cellStyle name="Normal 39 13 6" xfId="5905" xr:uid="{00000000-0005-0000-0000-000016170000}"/>
    <cellStyle name="Normal 39 13 7" xfId="5906" xr:uid="{00000000-0005-0000-0000-000017170000}"/>
    <cellStyle name="Normal 39 13 8" xfId="5907" xr:uid="{00000000-0005-0000-0000-000018170000}"/>
    <cellStyle name="Normal 39 13 9" xfId="5908" xr:uid="{00000000-0005-0000-0000-000019170000}"/>
    <cellStyle name="Normal 39 14" xfId="5909" xr:uid="{00000000-0005-0000-0000-00001A170000}"/>
    <cellStyle name="Normal 39 14 10" xfId="5910" xr:uid="{00000000-0005-0000-0000-00001B170000}"/>
    <cellStyle name="Normal 39 14 11" xfId="5911" xr:uid="{00000000-0005-0000-0000-00001C170000}"/>
    <cellStyle name="Normal 39 14 2" xfId="5912" xr:uid="{00000000-0005-0000-0000-00001D170000}"/>
    <cellStyle name="Normal 39 14 3" xfId="5913" xr:uid="{00000000-0005-0000-0000-00001E170000}"/>
    <cellStyle name="Normal 39 14 4" xfId="5914" xr:uid="{00000000-0005-0000-0000-00001F170000}"/>
    <cellStyle name="Normal 39 14 5" xfId="5915" xr:uid="{00000000-0005-0000-0000-000020170000}"/>
    <cellStyle name="Normal 39 14 6" xfId="5916" xr:uid="{00000000-0005-0000-0000-000021170000}"/>
    <cellStyle name="Normal 39 14 7" xfId="5917" xr:uid="{00000000-0005-0000-0000-000022170000}"/>
    <cellStyle name="Normal 39 14 8" xfId="5918" xr:uid="{00000000-0005-0000-0000-000023170000}"/>
    <cellStyle name="Normal 39 14 9" xfId="5919" xr:uid="{00000000-0005-0000-0000-000024170000}"/>
    <cellStyle name="Normal 39 15" xfId="5920" xr:uid="{00000000-0005-0000-0000-000025170000}"/>
    <cellStyle name="Normal 39 16" xfId="5921" xr:uid="{00000000-0005-0000-0000-000026170000}"/>
    <cellStyle name="Normal 39 17" xfId="5922" xr:uid="{00000000-0005-0000-0000-000027170000}"/>
    <cellStyle name="Normal 39 18" xfId="5923" xr:uid="{00000000-0005-0000-0000-000028170000}"/>
    <cellStyle name="Normal 39 19" xfId="5924" xr:uid="{00000000-0005-0000-0000-000029170000}"/>
    <cellStyle name="Normal 39 2" xfId="5925" xr:uid="{00000000-0005-0000-0000-00002A170000}"/>
    <cellStyle name="Normal 39 2 10" xfId="5926" xr:uid="{00000000-0005-0000-0000-00002B170000}"/>
    <cellStyle name="Normal 39 2 11" xfId="5927" xr:uid="{00000000-0005-0000-0000-00002C170000}"/>
    <cellStyle name="Normal 39 2 12" xfId="5928" xr:uid="{00000000-0005-0000-0000-00002D170000}"/>
    <cellStyle name="Normal 39 2 13" xfId="5929" xr:uid="{00000000-0005-0000-0000-00002E170000}"/>
    <cellStyle name="Normal 39 2 2" xfId="5930" xr:uid="{00000000-0005-0000-0000-00002F170000}"/>
    <cellStyle name="Normal 39 2 2 10" xfId="5931" xr:uid="{00000000-0005-0000-0000-000030170000}"/>
    <cellStyle name="Normal 39 2 2 11" xfId="5932" xr:uid="{00000000-0005-0000-0000-000031170000}"/>
    <cellStyle name="Normal 39 2 2 2" xfId="5933" xr:uid="{00000000-0005-0000-0000-000032170000}"/>
    <cellStyle name="Normal 39 2 2 3" xfId="5934" xr:uid="{00000000-0005-0000-0000-000033170000}"/>
    <cellStyle name="Normal 39 2 2 4" xfId="5935" xr:uid="{00000000-0005-0000-0000-000034170000}"/>
    <cellStyle name="Normal 39 2 2 5" xfId="5936" xr:uid="{00000000-0005-0000-0000-000035170000}"/>
    <cellStyle name="Normal 39 2 2 6" xfId="5937" xr:uid="{00000000-0005-0000-0000-000036170000}"/>
    <cellStyle name="Normal 39 2 2 7" xfId="5938" xr:uid="{00000000-0005-0000-0000-000037170000}"/>
    <cellStyle name="Normal 39 2 2 8" xfId="5939" xr:uid="{00000000-0005-0000-0000-000038170000}"/>
    <cellStyle name="Normal 39 2 2 9" xfId="5940" xr:uid="{00000000-0005-0000-0000-000039170000}"/>
    <cellStyle name="Normal 39 2 3" xfId="5941" xr:uid="{00000000-0005-0000-0000-00003A170000}"/>
    <cellStyle name="Normal 39 2 4" xfId="5942" xr:uid="{00000000-0005-0000-0000-00003B170000}"/>
    <cellStyle name="Normal 39 2 5" xfId="5943" xr:uid="{00000000-0005-0000-0000-00003C170000}"/>
    <cellStyle name="Normal 39 2 6" xfId="5944" xr:uid="{00000000-0005-0000-0000-00003D170000}"/>
    <cellStyle name="Normal 39 2 7" xfId="5945" xr:uid="{00000000-0005-0000-0000-00003E170000}"/>
    <cellStyle name="Normal 39 2 8" xfId="5946" xr:uid="{00000000-0005-0000-0000-00003F170000}"/>
    <cellStyle name="Normal 39 2 9" xfId="5947" xr:uid="{00000000-0005-0000-0000-000040170000}"/>
    <cellStyle name="Normal 39 20" xfId="5948" xr:uid="{00000000-0005-0000-0000-000041170000}"/>
    <cellStyle name="Normal 39 21" xfId="5949" xr:uid="{00000000-0005-0000-0000-000042170000}"/>
    <cellStyle name="Normal 39 22" xfId="5950" xr:uid="{00000000-0005-0000-0000-000043170000}"/>
    <cellStyle name="Normal 39 23" xfId="5951" xr:uid="{00000000-0005-0000-0000-000044170000}"/>
    <cellStyle name="Normal 39 24" xfId="5952" xr:uid="{00000000-0005-0000-0000-000045170000}"/>
    <cellStyle name="Normal 39 25" xfId="5953" xr:uid="{00000000-0005-0000-0000-000046170000}"/>
    <cellStyle name="Normal 39 3" xfId="5954" xr:uid="{00000000-0005-0000-0000-000047170000}"/>
    <cellStyle name="Normal 39 3 10" xfId="5955" xr:uid="{00000000-0005-0000-0000-000048170000}"/>
    <cellStyle name="Normal 39 3 11" xfId="5956" xr:uid="{00000000-0005-0000-0000-000049170000}"/>
    <cellStyle name="Normal 39 3 12" xfId="5957" xr:uid="{00000000-0005-0000-0000-00004A170000}"/>
    <cellStyle name="Normal 39 3 13" xfId="5958" xr:uid="{00000000-0005-0000-0000-00004B170000}"/>
    <cellStyle name="Normal 39 3 2" xfId="5959" xr:uid="{00000000-0005-0000-0000-00004C170000}"/>
    <cellStyle name="Normal 39 3 2 10" xfId="5960" xr:uid="{00000000-0005-0000-0000-00004D170000}"/>
    <cellStyle name="Normal 39 3 2 11" xfId="5961" xr:uid="{00000000-0005-0000-0000-00004E170000}"/>
    <cellStyle name="Normal 39 3 2 2" xfId="5962" xr:uid="{00000000-0005-0000-0000-00004F170000}"/>
    <cellStyle name="Normal 39 3 2 3" xfId="5963" xr:uid="{00000000-0005-0000-0000-000050170000}"/>
    <cellStyle name="Normal 39 3 2 4" xfId="5964" xr:uid="{00000000-0005-0000-0000-000051170000}"/>
    <cellStyle name="Normal 39 3 2 5" xfId="5965" xr:uid="{00000000-0005-0000-0000-000052170000}"/>
    <cellStyle name="Normal 39 3 2 6" xfId="5966" xr:uid="{00000000-0005-0000-0000-000053170000}"/>
    <cellStyle name="Normal 39 3 2 7" xfId="5967" xr:uid="{00000000-0005-0000-0000-000054170000}"/>
    <cellStyle name="Normal 39 3 2 8" xfId="5968" xr:uid="{00000000-0005-0000-0000-000055170000}"/>
    <cellStyle name="Normal 39 3 2 9" xfId="5969" xr:uid="{00000000-0005-0000-0000-000056170000}"/>
    <cellStyle name="Normal 39 3 3" xfId="5970" xr:uid="{00000000-0005-0000-0000-000057170000}"/>
    <cellStyle name="Normal 39 3 4" xfId="5971" xr:uid="{00000000-0005-0000-0000-000058170000}"/>
    <cellStyle name="Normal 39 3 5" xfId="5972" xr:uid="{00000000-0005-0000-0000-000059170000}"/>
    <cellStyle name="Normal 39 3 6" xfId="5973" xr:uid="{00000000-0005-0000-0000-00005A170000}"/>
    <cellStyle name="Normal 39 3 7" xfId="5974" xr:uid="{00000000-0005-0000-0000-00005B170000}"/>
    <cellStyle name="Normal 39 3 8" xfId="5975" xr:uid="{00000000-0005-0000-0000-00005C170000}"/>
    <cellStyle name="Normal 39 3 9" xfId="5976" xr:uid="{00000000-0005-0000-0000-00005D170000}"/>
    <cellStyle name="Normal 39 4" xfId="5977" xr:uid="{00000000-0005-0000-0000-00005E170000}"/>
    <cellStyle name="Normal 39 4 10" xfId="5978" xr:uid="{00000000-0005-0000-0000-00005F170000}"/>
    <cellStyle name="Normal 39 4 11" xfId="5979" xr:uid="{00000000-0005-0000-0000-000060170000}"/>
    <cellStyle name="Normal 39 4 12" xfId="5980" xr:uid="{00000000-0005-0000-0000-000061170000}"/>
    <cellStyle name="Normal 39 4 13" xfId="5981" xr:uid="{00000000-0005-0000-0000-000062170000}"/>
    <cellStyle name="Normal 39 4 2" xfId="5982" xr:uid="{00000000-0005-0000-0000-000063170000}"/>
    <cellStyle name="Normal 39 4 2 10" xfId="5983" xr:uid="{00000000-0005-0000-0000-000064170000}"/>
    <cellStyle name="Normal 39 4 2 11" xfId="5984" xr:uid="{00000000-0005-0000-0000-000065170000}"/>
    <cellStyle name="Normal 39 4 2 2" xfId="5985" xr:uid="{00000000-0005-0000-0000-000066170000}"/>
    <cellStyle name="Normal 39 4 2 3" xfId="5986" xr:uid="{00000000-0005-0000-0000-000067170000}"/>
    <cellStyle name="Normal 39 4 2 4" xfId="5987" xr:uid="{00000000-0005-0000-0000-000068170000}"/>
    <cellStyle name="Normal 39 4 2 5" xfId="5988" xr:uid="{00000000-0005-0000-0000-000069170000}"/>
    <cellStyle name="Normal 39 4 2 6" xfId="5989" xr:uid="{00000000-0005-0000-0000-00006A170000}"/>
    <cellStyle name="Normal 39 4 2 7" xfId="5990" xr:uid="{00000000-0005-0000-0000-00006B170000}"/>
    <cellStyle name="Normal 39 4 2 8" xfId="5991" xr:uid="{00000000-0005-0000-0000-00006C170000}"/>
    <cellStyle name="Normal 39 4 2 9" xfId="5992" xr:uid="{00000000-0005-0000-0000-00006D170000}"/>
    <cellStyle name="Normal 39 4 3" xfId="5993" xr:uid="{00000000-0005-0000-0000-00006E170000}"/>
    <cellStyle name="Normal 39 4 4" xfId="5994" xr:uid="{00000000-0005-0000-0000-00006F170000}"/>
    <cellStyle name="Normal 39 4 5" xfId="5995" xr:uid="{00000000-0005-0000-0000-000070170000}"/>
    <cellStyle name="Normal 39 4 6" xfId="5996" xr:uid="{00000000-0005-0000-0000-000071170000}"/>
    <cellStyle name="Normal 39 4 7" xfId="5997" xr:uid="{00000000-0005-0000-0000-000072170000}"/>
    <cellStyle name="Normal 39 4 8" xfId="5998" xr:uid="{00000000-0005-0000-0000-000073170000}"/>
    <cellStyle name="Normal 39 4 9" xfId="5999" xr:uid="{00000000-0005-0000-0000-000074170000}"/>
    <cellStyle name="Normal 39 5" xfId="6000" xr:uid="{00000000-0005-0000-0000-000075170000}"/>
    <cellStyle name="Normal 39 5 10" xfId="6001" xr:uid="{00000000-0005-0000-0000-000076170000}"/>
    <cellStyle name="Normal 39 5 11" xfId="6002" xr:uid="{00000000-0005-0000-0000-000077170000}"/>
    <cellStyle name="Normal 39 5 12" xfId="6003" xr:uid="{00000000-0005-0000-0000-000078170000}"/>
    <cellStyle name="Normal 39 5 13" xfId="6004" xr:uid="{00000000-0005-0000-0000-000079170000}"/>
    <cellStyle name="Normal 39 5 2" xfId="6005" xr:uid="{00000000-0005-0000-0000-00007A170000}"/>
    <cellStyle name="Normal 39 5 2 10" xfId="6006" xr:uid="{00000000-0005-0000-0000-00007B170000}"/>
    <cellStyle name="Normal 39 5 2 11" xfId="6007" xr:uid="{00000000-0005-0000-0000-00007C170000}"/>
    <cellStyle name="Normal 39 5 2 2" xfId="6008" xr:uid="{00000000-0005-0000-0000-00007D170000}"/>
    <cellStyle name="Normal 39 5 2 3" xfId="6009" xr:uid="{00000000-0005-0000-0000-00007E170000}"/>
    <cellStyle name="Normal 39 5 2 4" xfId="6010" xr:uid="{00000000-0005-0000-0000-00007F170000}"/>
    <cellStyle name="Normal 39 5 2 5" xfId="6011" xr:uid="{00000000-0005-0000-0000-000080170000}"/>
    <cellStyle name="Normal 39 5 2 6" xfId="6012" xr:uid="{00000000-0005-0000-0000-000081170000}"/>
    <cellStyle name="Normal 39 5 2 7" xfId="6013" xr:uid="{00000000-0005-0000-0000-000082170000}"/>
    <cellStyle name="Normal 39 5 2 8" xfId="6014" xr:uid="{00000000-0005-0000-0000-000083170000}"/>
    <cellStyle name="Normal 39 5 2 9" xfId="6015" xr:uid="{00000000-0005-0000-0000-000084170000}"/>
    <cellStyle name="Normal 39 5 3" xfId="6016" xr:uid="{00000000-0005-0000-0000-000085170000}"/>
    <cellStyle name="Normal 39 5 4" xfId="6017" xr:uid="{00000000-0005-0000-0000-000086170000}"/>
    <cellStyle name="Normal 39 5 5" xfId="6018" xr:uid="{00000000-0005-0000-0000-000087170000}"/>
    <cellStyle name="Normal 39 5 6" xfId="6019" xr:uid="{00000000-0005-0000-0000-000088170000}"/>
    <cellStyle name="Normal 39 5 7" xfId="6020" xr:uid="{00000000-0005-0000-0000-000089170000}"/>
    <cellStyle name="Normal 39 5 8" xfId="6021" xr:uid="{00000000-0005-0000-0000-00008A170000}"/>
    <cellStyle name="Normal 39 5 9" xfId="6022" xr:uid="{00000000-0005-0000-0000-00008B170000}"/>
    <cellStyle name="Normal 39 6" xfId="6023" xr:uid="{00000000-0005-0000-0000-00008C170000}"/>
    <cellStyle name="Normal 39 6 10" xfId="6024" xr:uid="{00000000-0005-0000-0000-00008D170000}"/>
    <cellStyle name="Normal 39 6 11" xfId="6025" xr:uid="{00000000-0005-0000-0000-00008E170000}"/>
    <cellStyle name="Normal 39 6 12" xfId="6026" xr:uid="{00000000-0005-0000-0000-00008F170000}"/>
    <cellStyle name="Normal 39 6 13" xfId="6027" xr:uid="{00000000-0005-0000-0000-000090170000}"/>
    <cellStyle name="Normal 39 6 2" xfId="6028" xr:uid="{00000000-0005-0000-0000-000091170000}"/>
    <cellStyle name="Normal 39 6 2 10" xfId="6029" xr:uid="{00000000-0005-0000-0000-000092170000}"/>
    <cellStyle name="Normal 39 6 2 11" xfId="6030" xr:uid="{00000000-0005-0000-0000-000093170000}"/>
    <cellStyle name="Normal 39 6 2 2" xfId="6031" xr:uid="{00000000-0005-0000-0000-000094170000}"/>
    <cellStyle name="Normal 39 6 2 3" xfId="6032" xr:uid="{00000000-0005-0000-0000-000095170000}"/>
    <cellStyle name="Normal 39 6 2 4" xfId="6033" xr:uid="{00000000-0005-0000-0000-000096170000}"/>
    <cellStyle name="Normal 39 6 2 5" xfId="6034" xr:uid="{00000000-0005-0000-0000-000097170000}"/>
    <cellStyle name="Normal 39 6 2 6" xfId="6035" xr:uid="{00000000-0005-0000-0000-000098170000}"/>
    <cellStyle name="Normal 39 6 2 7" xfId="6036" xr:uid="{00000000-0005-0000-0000-000099170000}"/>
    <cellStyle name="Normal 39 6 2 8" xfId="6037" xr:uid="{00000000-0005-0000-0000-00009A170000}"/>
    <cellStyle name="Normal 39 6 2 9" xfId="6038" xr:uid="{00000000-0005-0000-0000-00009B170000}"/>
    <cellStyle name="Normal 39 6 3" xfId="6039" xr:uid="{00000000-0005-0000-0000-00009C170000}"/>
    <cellStyle name="Normal 39 6 4" xfId="6040" xr:uid="{00000000-0005-0000-0000-00009D170000}"/>
    <cellStyle name="Normal 39 6 5" xfId="6041" xr:uid="{00000000-0005-0000-0000-00009E170000}"/>
    <cellStyle name="Normal 39 6 6" xfId="6042" xr:uid="{00000000-0005-0000-0000-00009F170000}"/>
    <cellStyle name="Normal 39 6 7" xfId="6043" xr:uid="{00000000-0005-0000-0000-0000A0170000}"/>
    <cellStyle name="Normal 39 6 8" xfId="6044" xr:uid="{00000000-0005-0000-0000-0000A1170000}"/>
    <cellStyle name="Normal 39 6 9" xfId="6045" xr:uid="{00000000-0005-0000-0000-0000A2170000}"/>
    <cellStyle name="Normal 39 7" xfId="6046" xr:uid="{00000000-0005-0000-0000-0000A3170000}"/>
    <cellStyle name="Normal 39 7 10" xfId="6047" xr:uid="{00000000-0005-0000-0000-0000A4170000}"/>
    <cellStyle name="Normal 39 7 11" xfId="6048" xr:uid="{00000000-0005-0000-0000-0000A5170000}"/>
    <cellStyle name="Normal 39 7 12" xfId="6049" xr:uid="{00000000-0005-0000-0000-0000A6170000}"/>
    <cellStyle name="Normal 39 7 13" xfId="6050" xr:uid="{00000000-0005-0000-0000-0000A7170000}"/>
    <cellStyle name="Normal 39 7 2" xfId="6051" xr:uid="{00000000-0005-0000-0000-0000A8170000}"/>
    <cellStyle name="Normal 39 7 2 10" xfId="6052" xr:uid="{00000000-0005-0000-0000-0000A9170000}"/>
    <cellStyle name="Normal 39 7 2 11" xfId="6053" xr:uid="{00000000-0005-0000-0000-0000AA170000}"/>
    <cellStyle name="Normal 39 7 2 2" xfId="6054" xr:uid="{00000000-0005-0000-0000-0000AB170000}"/>
    <cellStyle name="Normal 39 7 2 3" xfId="6055" xr:uid="{00000000-0005-0000-0000-0000AC170000}"/>
    <cellStyle name="Normal 39 7 2 4" xfId="6056" xr:uid="{00000000-0005-0000-0000-0000AD170000}"/>
    <cellStyle name="Normal 39 7 2 5" xfId="6057" xr:uid="{00000000-0005-0000-0000-0000AE170000}"/>
    <cellStyle name="Normal 39 7 2 6" xfId="6058" xr:uid="{00000000-0005-0000-0000-0000AF170000}"/>
    <cellStyle name="Normal 39 7 2 7" xfId="6059" xr:uid="{00000000-0005-0000-0000-0000B0170000}"/>
    <cellStyle name="Normal 39 7 2 8" xfId="6060" xr:uid="{00000000-0005-0000-0000-0000B1170000}"/>
    <cellStyle name="Normal 39 7 2 9" xfId="6061" xr:uid="{00000000-0005-0000-0000-0000B2170000}"/>
    <cellStyle name="Normal 39 7 3" xfId="6062" xr:uid="{00000000-0005-0000-0000-0000B3170000}"/>
    <cellStyle name="Normal 39 7 4" xfId="6063" xr:uid="{00000000-0005-0000-0000-0000B4170000}"/>
    <cellStyle name="Normal 39 7 5" xfId="6064" xr:uid="{00000000-0005-0000-0000-0000B5170000}"/>
    <cellStyle name="Normal 39 7 6" xfId="6065" xr:uid="{00000000-0005-0000-0000-0000B6170000}"/>
    <cellStyle name="Normal 39 7 7" xfId="6066" xr:uid="{00000000-0005-0000-0000-0000B7170000}"/>
    <cellStyle name="Normal 39 7 8" xfId="6067" xr:uid="{00000000-0005-0000-0000-0000B8170000}"/>
    <cellStyle name="Normal 39 7 9" xfId="6068" xr:uid="{00000000-0005-0000-0000-0000B9170000}"/>
    <cellStyle name="Normal 39 8" xfId="6069" xr:uid="{00000000-0005-0000-0000-0000BA170000}"/>
    <cellStyle name="Normal 39 8 10" xfId="6070" xr:uid="{00000000-0005-0000-0000-0000BB170000}"/>
    <cellStyle name="Normal 39 8 11" xfId="6071" xr:uid="{00000000-0005-0000-0000-0000BC170000}"/>
    <cellStyle name="Normal 39 8 12" xfId="6072" xr:uid="{00000000-0005-0000-0000-0000BD170000}"/>
    <cellStyle name="Normal 39 8 13" xfId="6073" xr:uid="{00000000-0005-0000-0000-0000BE170000}"/>
    <cellStyle name="Normal 39 8 2" xfId="6074" xr:uid="{00000000-0005-0000-0000-0000BF170000}"/>
    <cellStyle name="Normal 39 8 2 10" xfId="6075" xr:uid="{00000000-0005-0000-0000-0000C0170000}"/>
    <cellStyle name="Normal 39 8 2 11" xfId="6076" xr:uid="{00000000-0005-0000-0000-0000C1170000}"/>
    <cellStyle name="Normal 39 8 2 2" xfId="6077" xr:uid="{00000000-0005-0000-0000-0000C2170000}"/>
    <cellStyle name="Normal 39 8 2 3" xfId="6078" xr:uid="{00000000-0005-0000-0000-0000C3170000}"/>
    <cellStyle name="Normal 39 8 2 4" xfId="6079" xr:uid="{00000000-0005-0000-0000-0000C4170000}"/>
    <cellStyle name="Normal 39 8 2 5" xfId="6080" xr:uid="{00000000-0005-0000-0000-0000C5170000}"/>
    <cellStyle name="Normal 39 8 2 6" xfId="6081" xr:uid="{00000000-0005-0000-0000-0000C6170000}"/>
    <cellStyle name="Normal 39 8 2 7" xfId="6082" xr:uid="{00000000-0005-0000-0000-0000C7170000}"/>
    <cellStyle name="Normal 39 8 2 8" xfId="6083" xr:uid="{00000000-0005-0000-0000-0000C8170000}"/>
    <cellStyle name="Normal 39 8 2 9" xfId="6084" xr:uid="{00000000-0005-0000-0000-0000C9170000}"/>
    <cellStyle name="Normal 39 8 3" xfId="6085" xr:uid="{00000000-0005-0000-0000-0000CA170000}"/>
    <cellStyle name="Normal 39 8 4" xfId="6086" xr:uid="{00000000-0005-0000-0000-0000CB170000}"/>
    <cellStyle name="Normal 39 8 5" xfId="6087" xr:uid="{00000000-0005-0000-0000-0000CC170000}"/>
    <cellStyle name="Normal 39 8 6" xfId="6088" xr:uid="{00000000-0005-0000-0000-0000CD170000}"/>
    <cellStyle name="Normal 39 8 7" xfId="6089" xr:uid="{00000000-0005-0000-0000-0000CE170000}"/>
    <cellStyle name="Normal 39 8 8" xfId="6090" xr:uid="{00000000-0005-0000-0000-0000CF170000}"/>
    <cellStyle name="Normal 39 8 9" xfId="6091" xr:uid="{00000000-0005-0000-0000-0000D0170000}"/>
    <cellStyle name="Normal 39 9" xfId="6092" xr:uid="{00000000-0005-0000-0000-0000D1170000}"/>
    <cellStyle name="Normal 39 9 10" xfId="6093" xr:uid="{00000000-0005-0000-0000-0000D2170000}"/>
    <cellStyle name="Normal 39 9 11" xfId="6094" xr:uid="{00000000-0005-0000-0000-0000D3170000}"/>
    <cellStyle name="Normal 39 9 12" xfId="6095" xr:uid="{00000000-0005-0000-0000-0000D4170000}"/>
    <cellStyle name="Normal 39 9 13" xfId="6096" xr:uid="{00000000-0005-0000-0000-0000D5170000}"/>
    <cellStyle name="Normal 39 9 2" xfId="6097" xr:uid="{00000000-0005-0000-0000-0000D6170000}"/>
    <cellStyle name="Normal 39 9 2 10" xfId="6098" xr:uid="{00000000-0005-0000-0000-0000D7170000}"/>
    <cellStyle name="Normal 39 9 2 11" xfId="6099" xr:uid="{00000000-0005-0000-0000-0000D8170000}"/>
    <cellStyle name="Normal 39 9 2 2" xfId="6100" xr:uid="{00000000-0005-0000-0000-0000D9170000}"/>
    <cellStyle name="Normal 39 9 2 3" xfId="6101" xr:uid="{00000000-0005-0000-0000-0000DA170000}"/>
    <cellStyle name="Normal 39 9 2 4" xfId="6102" xr:uid="{00000000-0005-0000-0000-0000DB170000}"/>
    <cellStyle name="Normal 39 9 2 5" xfId="6103" xr:uid="{00000000-0005-0000-0000-0000DC170000}"/>
    <cellStyle name="Normal 39 9 2 6" xfId="6104" xr:uid="{00000000-0005-0000-0000-0000DD170000}"/>
    <cellStyle name="Normal 39 9 2 7" xfId="6105" xr:uid="{00000000-0005-0000-0000-0000DE170000}"/>
    <cellStyle name="Normal 39 9 2 8" xfId="6106" xr:uid="{00000000-0005-0000-0000-0000DF170000}"/>
    <cellStyle name="Normal 39 9 2 9" xfId="6107" xr:uid="{00000000-0005-0000-0000-0000E0170000}"/>
    <cellStyle name="Normal 39 9 3" xfId="6108" xr:uid="{00000000-0005-0000-0000-0000E1170000}"/>
    <cellStyle name="Normal 39 9 4" xfId="6109" xr:uid="{00000000-0005-0000-0000-0000E2170000}"/>
    <cellStyle name="Normal 39 9 5" xfId="6110" xr:uid="{00000000-0005-0000-0000-0000E3170000}"/>
    <cellStyle name="Normal 39 9 6" xfId="6111" xr:uid="{00000000-0005-0000-0000-0000E4170000}"/>
    <cellStyle name="Normal 39 9 7" xfId="6112" xr:uid="{00000000-0005-0000-0000-0000E5170000}"/>
    <cellStyle name="Normal 39 9 8" xfId="6113" xr:uid="{00000000-0005-0000-0000-0000E6170000}"/>
    <cellStyle name="Normal 39 9 9" xfId="6114" xr:uid="{00000000-0005-0000-0000-0000E7170000}"/>
    <cellStyle name="Normal 4" xfId="6115" xr:uid="{00000000-0005-0000-0000-0000E8170000}"/>
    <cellStyle name="Normal 4 2" xfId="6116" xr:uid="{00000000-0005-0000-0000-0000E9170000}"/>
    <cellStyle name="Normal 40" xfId="6117" xr:uid="{00000000-0005-0000-0000-0000EA170000}"/>
    <cellStyle name="Normal 40 10" xfId="6118" xr:uid="{00000000-0005-0000-0000-0000EB170000}"/>
    <cellStyle name="Normal 40 10 10" xfId="6119" xr:uid="{00000000-0005-0000-0000-0000EC170000}"/>
    <cellStyle name="Normal 40 10 11" xfId="6120" xr:uid="{00000000-0005-0000-0000-0000ED170000}"/>
    <cellStyle name="Normal 40 10 12" xfId="6121" xr:uid="{00000000-0005-0000-0000-0000EE170000}"/>
    <cellStyle name="Normal 40 10 13" xfId="6122" xr:uid="{00000000-0005-0000-0000-0000EF170000}"/>
    <cellStyle name="Normal 40 10 2" xfId="6123" xr:uid="{00000000-0005-0000-0000-0000F0170000}"/>
    <cellStyle name="Normal 40 10 2 10" xfId="6124" xr:uid="{00000000-0005-0000-0000-0000F1170000}"/>
    <cellStyle name="Normal 40 10 2 11" xfId="6125" xr:uid="{00000000-0005-0000-0000-0000F2170000}"/>
    <cellStyle name="Normal 40 10 2 2" xfId="6126" xr:uid="{00000000-0005-0000-0000-0000F3170000}"/>
    <cellStyle name="Normal 40 10 2 3" xfId="6127" xr:uid="{00000000-0005-0000-0000-0000F4170000}"/>
    <cellStyle name="Normal 40 10 2 4" xfId="6128" xr:uid="{00000000-0005-0000-0000-0000F5170000}"/>
    <cellStyle name="Normal 40 10 2 5" xfId="6129" xr:uid="{00000000-0005-0000-0000-0000F6170000}"/>
    <cellStyle name="Normal 40 10 2 6" xfId="6130" xr:uid="{00000000-0005-0000-0000-0000F7170000}"/>
    <cellStyle name="Normal 40 10 2 7" xfId="6131" xr:uid="{00000000-0005-0000-0000-0000F8170000}"/>
    <cellStyle name="Normal 40 10 2 8" xfId="6132" xr:uid="{00000000-0005-0000-0000-0000F9170000}"/>
    <cellStyle name="Normal 40 10 2 9" xfId="6133" xr:uid="{00000000-0005-0000-0000-0000FA170000}"/>
    <cellStyle name="Normal 40 10 3" xfId="6134" xr:uid="{00000000-0005-0000-0000-0000FB170000}"/>
    <cellStyle name="Normal 40 10 4" xfId="6135" xr:uid="{00000000-0005-0000-0000-0000FC170000}"/>
    <cellStyle name="Normal 40 10 5" xfId="6136" xr:uid="{00000000-0005-0000-0000-0000FD170000}"/>
    <cellStyle name="Normal 40 10 6" xfId="6137" xr:uid="{00000000-0005-0000-0000-0000FE170000}"/>
    <cellStyle name="Normal 40 10 7" xfId="6138" xr:uid="{00000000-0005-0000-0000-0000FF170000}"/>
    <cellStyle name="Normal 40 10 8" xfId="6139" xr:uid="{00000000-0005-0000-0000-000000180000}"/>
    <cellStyle name="Normal 40 10 9" xfId="6140" xr:uid="{00000000-0005-0000-0000-000001180000}"/>
    <cellStyle name="Normal 40 11" xfId="6141" xr:uid="{00000000-0005-0000-0000-000002180000}"/>
    <cellStyle name="Normal 40 11 10" xfId="6142" xr:uid="{00000000-0005-0000-0000-000003180000}"/>
    <cellStyle name="Normal 40 11 11" xfId="6143" xr:uid="{00000000-0005-0000-0000-000004180000}"/>
    <cellStyle name="Normal 40 11 12" xfId="6144" xr:uid="{00000000-0005-0000-0000-000005180000}"/>
    <cellStyle name="Normal 40 11 13" xfId="6145" xr:uid="{00000000-0005-0000-0000-000006180000}"/>
    <cellStyle name="Normal 40 11 2" xfId="6146" xr:uid="{00000000-0005-0000-0000-000007180000}"/>
    <cellStyle name="Normal 40 11 2 10" xfId="6147" xr:uid="{00000000-0005-0000-0000-000008180000}"/>
    <cellStyle name="Normal 40 11 2 11" xfId="6148" xr:uid="{00000000-0005-0000-0000-000009180000}"/>
    <cellStyle name="Normal 40 11 2 2" xfId="6149" xr:uid="{00000000-0005-0000-0000-00000A180000}"/>
    <cellStyle name="Normal 40 11 2 3" xfId="6150" xr:uid="{00000000-0005-0000-0000-00000B180000}"/>
    <cellStyle name="Normal 40 11 2 4" xfId="6151" xr:uid="{00000000-0005-0000-0000-00000C180000}"/>
    <cellStyle name="Normal 40 11 2 5" xfId="6152" xr:uid="{00000000-0005-0000-0000-00000D180000}"/>
    <cellStyle name="Normal 40 11 2 6" xfId="6153" xr:uid="{00000000-0005-0000-0000-00000E180000}"/>
    <cellStyle name="Normal 40 11 2 7" xfId="6154" xr:uid="{00000000-0005-0000-0000-00000F180000}"/>
    <cellStyle name="Normal 40 11 2 8" xfId="6155" xr:uid="{00000000-0005-0000-0000-000010180000}"/>
    <cellStyle name="Normal 40 11 2 9" xfId="6156" xr:uid="{00000000-0005-0000-0000-000011180000}"/>
    <cellStyle name="Normal 40 11 3" xfId="6157" xr:uid="{00000000-0005-0000-0000-000012180000}"/>
    <cellStyle name="Normal 40 11 4" xfId="6158" xr:uid="{00000000-0005-0000-0000-000013180000}"/>
    <cellStyle name="Normal 40 11 5" xfId="6159" xr:uid="{00000000-0005-0000-0000-000014180000}"/>
    <cellStyle name="Normal 40 11 6" xfId="6160" xr:uid="{00000000-0005-0000-0000-000015180000}"/>
    <cellStyle name="Normal 40 11 7" xfId="6161" xr:uid="{00000000-0005-0000-0000-000016180000}"/>
    <cellStyle name="Normal 40 11 8" xfId="6162" xr:uid="{00000000-0005-0000-0000-000017180000}"/>
    <cellStyle name="Normal 40 11 9" xfId="6163" xr:uid="{00000000-0005-0000-0000-000018180000}"/>
    <cellStyle name="Normal 40 12" xfId="6164" xr:uid="{00000000-0005-0000-0000-000019180000}"/>
    <cellStyle name="Normal 40 12 10" xfId="6165" xr:uid="{00000000-0005-0000-0000-00001A180000}"/>
    <cellStyle name="Normal 40 12 11" xfId="6166" xr:uid="{00000000-0005-0000-0000-00001B180000}"/>
    <cellStyle name="Normal 40 12 12" xfId="6167" xr:uid="{00000000-0005-0000-0000-00001C180000}"/>
    <cellStyle name="Normal 40 12 13" xfId="6168" xr:uid="{00000000-0005-0000-0000-00001D180000}"/>
    <cellStyle name="Normal 40 12 2" xfId="6169" xr:uid="{00000000-0005-0000-0000-00001E180000}"/>
    <cellStyle name="Normal 40 12 2 10" xfId="6170" xr:uid="{00000000-0005-0000-0000-00001F180000}"/>
    <cellStyle name="Normal 40 12 2 11" xfId="6171" xr:uid="{00000000-0005-0000-0000-000020180000}"/>
    <cellStyle name="Normal 40 12 2 2" xfId="6172" xr:uid="{00000000-0005-0000-0000-000021180000}"/>
    <cellStyle name="Normal 40 12 2 3" xfId="6173" xr:uid="{00000000-0005-0000-0000-000022180000}"/>
    <cellStyle name="Normal 40 12 2 4" xfId="6174" xr:uid="{00000000-0005-0000-0000-000023180000}"/>
    <cellStyle name="Normal 40 12 2 5" xfId="6175" xr:uid="{00000000-0005-0000-0000-000024180000}"/>
    <cellStyle name="Normal 40 12 2 6" xfId="6176" xr:uid="{00000000-0005-0000-0000-000025180000}"/>
    <cellStyle name="Normal 40 12 2 7" xfId="6177" xr:uid="{00000000-0005-0000-0000-000026180000}"/>
    <cellStyle name="Normal 40 12 2 8" xfId="6178" xr:uid="{00000000-0005-0000-0000-000027180000}"/>
    <cellStyle name="Normal 40 12 2 9" xfId="6179" xr:uid="{00000000-0005-0000-0000-000028180000}"/>
    <cellStyle name="Normal 40 12 3" xfId="6180" xr:uid="{00000000-0005-0000-0000-000029180000}"/>
    <cellStyle name="Normal 40 12 4" xfId="6181" xr:uid="{00000000-0005-0000-0000-00002A180000}"/>
    <cellStyle name="Normal 40 12 5" xfId="6182" xr:uid="{00000000-0005-0000-0000-00002B180000}"/>
    <cellStyle name="Normal 40 12 6" xfId="6183" xr:uid="{00000000-0005-0000-0000-00002C180000}"/>
    <cellStyle name="Normal 40 12 7" xfId="6184" xr:uid="{00000000-0005-0000-0000-00002D180000}"/>
    <cellStyle name="Normal 40 12 8" xfId="6185" xr:uid="{00000000-0005-0000-0000-00002E180000}"/>
    <cellStyle name="Normal 40 12 9" xfId="6186" xr:uid="{00000000-0005-0000-0000-00002F180000}"/>
    <cellStyle name="Normal 40 13" xfId="6187" xr:uid="{00000000-0005-0000-0000-000030180000}"/>
    <cellStyle name="Normal 40 13 10" xfId="6188" xr:uid="{00000000-0005-0000-0000-000031180000}"/>
    <cellStyle name="Normal 40 13 11" xfId="6189" xr:uid="{00000000-0005-0000-0000-000032180000}"/>
    <cellStyle name="Normal 40 13 12" xfId="6190" xr:uid="{00000000-0005-0000-0000-000033180000}"/>
    <cellStyle name="Normal 40 13 13" xfId="6191" xr:uid="{00000000-0005-0000-0000-000034180000}"/>
    <cellStyle name="Normal 40 13 2" xfId="6192" xr:uid="{00000000-0005-0000-0000-000035180000}"/>
    <cellStyle name="Normal 40 13 2 10" xfId="6193" xr:uid="{00000000-0005-0000-0000-000036180000}"/>
    <cellStyle name="Normal 40 13 2 11" xfId="6194" xr:uid="{00000000-0005-0000-0000-000037180000}"/>
    <cellStyle name="Normal 40 13 2 2" xfId="6195" xr:uid="{00000000-0005-0000-0000-000038180000}"/>
    <cellStyle name="Normal 40 13 2 3" xfId="6196" xr:uid="{00000000-0005-0000-0000-000039180000}"/>
    <cellStyle name="Normal 40 13 2 4" xfId="6197" xr:uid="{00000000-0005-0000-0000-00003A180000}"/>
    <cellStyle name="Normal 40 13 2 5" xfId="6198" xr:uid="{00000000-0005-0000-0000-00003B180000}"/>
    <cellStyle name="Normal 40 13 2 6" xfId="6199" xr:uid="{00000000-0005-0000-0000-00003C180000}"/>
    <cellStyle name="Normal 40 13 2 7" xfId="6200" xr:uid="{00000000-0005-0000-0000-00003D180000}"/>
    <cellStyle name="Normal 40 13 2 8" xfId="6201" xr:uid="{00000000-0005-0000-0000-00003E180000}"/>
    <cellStyle name="Normal 40 13 2 9" xfId="6202" xr:uid="{00000000-0005-0000-0000-00003F180000}"/>
    <cellStyle name="Normal 40 13 3" xfId="6203" xr:uid="{00000000-0005-0000-0000-000040180000}"/>
    <cellStyle name="Normal 40 13 4" xfId="6204" xr:uid="{00000000-0005-0000-0000-000041180000}"/>
    <cellStyle name="Normal 40 13 5" xfId="6205" xr:uid="{00000000-0005-0000-0000-000042180000}"/>
    <cellStyle name="Normal 40 13 6" xfId="6206" xr:uid="{00000000-0005-0000-0000-000043180000}"/>
    <cellStyle name="Normal 40 13 7" xfId="6207" xr:uid="{00000000-0005-0000-0000-000044180000}"/>
    <cellStyle name="Normal 40 13 8" xfId="6208" xr:uid="{00000000-0005-0000-0000-000045180000}"/>
    <cellStyle name="Normal 40 13 9" xfId="6209" xr:uid="{00000000-0005-0000-0000-000046180000}"/>
    <cellStyle name="Normal 40 14" xfId="6210" xr:uid="{00000000-0005-0000-0000-000047180000}"/>
    <cellStyle name="Normal 40 14 10" xfId="6211" xr:uid="{00000000-0005-0000-0000-000048180000}"/>
    <cellStyle name="Normal 40 14 11" xfId="6212" xr:uid="{00000000-0005-0000-0000-000049180000}"/>
    <cellStyle name="Normal 40 14 2" xfId="6213" xr:uid="{00000000-0005-0000-0000-00004A180000}"/>
    <cellStyle name="Normal 40 14 3" xfId="6214" xr:uid="{00000000-0005-0000-0000-00004B180000}"/>
    <cellStyle name="Normal 40 14 4" xfId="6215" xr:uid="{00000000-0005-0000-0000-00004C180000}"/>
    <cellStyle name="Normal 40 14 5" xfId="6216" xr:uid="{00000000-0005-0000-0000-00004D180000}"/>
    <cellStyle name="Normal 40 14 6" xfId="6217" xr:uid="{00000000-0005-0000-0000-00004E180000}"/>
    <cellStyle name="Normal 40 14 7" xfId="6218" xr:uid="{00000000-0005-0000-0000-00004F180000}"/>
    <cellStyle name="Normal 40 14 8" xfId="6219" xr:uid="{00000000-0005-0000-0000-000050180000}"/>
    <cellStyle name="Normal 40 14 9" xfId="6220" xr:uid="{00000000-0005-0000-0000-000051180000}"/>
    <cellStyle name="Normal 40 15" xfId="6221" xr:uid="{00000000-0005-0000-0000-000052180000}"/>
    <cellStyle name="Normal 40 16" xfId="6222" xr:uid="{00000000-0005-0000-0000-000053180000}"/>
    <cellStyle name="Normal 40 17" xfId="6223" xr:uid="{00000000-0005-0000-0000-000054180000}"/>
    <cellStyle name="Normal 40 18" xfId="6224" xr:uid="{00000000-0005-0000-0000-000055180000}"/>
    <cellStyle name="Normal 40 19" xfId="6225" xr:uid="{00000000-0005-0000-0000-000056180000}"/>
    <cellStyle name="Normal 40 2" xfId="6226" xr:uid="{00000000-0005-0000-0000-000057180000}"/>
    <cellStyle name="Normal 40 2 10" xfId="6227" xr:uid="{00000000-0005-0000-0000-000058180000}"/>
    <cellStyle name="Normal 40 2 11" xfId="6228" xr:uid="{00000000-0005-0000-0000-000059180000}"/>
    <cellStyle name="Normal 40 2 12" xfId="6229" xr:uid="{00000000-0005-0000-0000-00005A180000}"/>
    <cellStyle name="Normal 40 2 13" xfId="6230" xr:uid="{00000000-0005-0000-0000-00005B180000}"/>
    <cellStyle name="Normal 40 2 2" xfId="6231" xr:uid="{00000000-0005-0000-0000-00005C180000}"/>
    <cellStyle name="Normal 40 2 2 10" xfId="6232" xr:uid="{00000000-0005-0000-0000-00005D180000}"/>
    <cellStyle name="Normal 40 2 2 11" xfId="6233" xr:uid="{00000000-0005-0000-0000-00005E180000}"/>
    <cellStyle name="Normal 40 2 2 2" xfId="6234" xr:uid="{00000000-0005-0000-0000-00005F180000}"/>
    <cellStyle name="Normal 40 2 2 3" xfId="6235" xr:uid="{00000000-0005-0000-0000-000060180000}"/>
    <cellStyle name="Normal 40 2 2 4" xfId="6236" xr:uid="{00000000-0005-0000-0000-000061180000}"/>
    <cellStyle name="Normal 40 2 2 5" xfId="6237" xr:uid="{00000000-0005-0000-0000-000062180000}"/>
    <cellStyle name="Normal 40 2 2 6" xfId="6238" xr:uid="{00000000-0005-0000-0000-000063180000}"/>
    <cellStyle name="Normal 40 2 2 7" xfId="6239" xr:uid="{00000000-0005-0000-0000-000064180000}"/>
    <cellStyle name="Normal 40 2 2 8" xfId="6240" xr:uid="{00000000-0005-0000-0000-000065180000}"/>
    <cellStyle name="Normal 40 2 2 9" xfId="6241" xr:uid="{00000000-0005-0000-0000-000066180000}"/>
    <cellStyle name="Normal 40 2 3" xfId="6242" xr:uid="{00000000-0005-0000-0000-000067180000}"/>
    <cellStyle name="Normal 40 2 4" xfId="6243" xr:uid="{00000000-0005-0000-0000-000068180000}"/>
    <cellStyle name="Normal 40 2 5" xfId="6244" xr:uid="{00000000-0005-0000-0000-000069180000}"/>
    <cellStyle name="Normal 40 2 6" xfId="6245" xr:uid="{00000000-0005-0000-0000-00006A180000}"/>
    <cellStyle name="Normal 40 2 7" xfId="6246" xr:uid="{00000000-0005-0000-0000-00006B180000}"/>
    <cellStyle name="Normal 40 2 8" xfId="6247" xr:uid="{00000000-0005-0000-0000-00006C180000}"/>
    <cellStyle name="Normal 40 2 9" xfId="6248" xr:uid="{00000000-0005-0000-0000-00006D180000}"/>
    <cellStyle name="Normal 40 20" xfId="6249" xr:uid="{00000000-0005-0000-0000-00006E180000}"/>
    <cellStyle name="Normal 40 21" xfId="6250" xr:uid="{00000000-0005-0000-0000-00006F180000}"/>
    <cellStyle name="Normal 40 22" xfId="6251" xr:uid="{00000000-0005-0000-0000-000070180000}"/>
    <cellStyle name="Normal 40 23" xfId="6252" xr:uid="{00000000-0005-0000-0000-000071180000}"/>
    <cellStyle name="Normal 40 24" xfId="6253" xr:uid="{00000000-0005-0000-0000-000072180000}"/>
    <cellStyle name="Normal 40 25" xfId="6254" xr:uid="{00000000-0005-0000-0000-000073180000}"/>
    <cellStyle name="Normal 40 3" xfId="6255" xr:uid="{00000000-0005-0000-0000-000074180000}"/>
    <cellStyle name="Normal 40 3 10" xfId="6256" xr:uid="{00000000-0005-0000-0000-000075180000}"/>
    <cellStyle name="Normal 40 3 11" xfId="6257" xr:uid="{00000000-0005-0000-0000-000076180000}"/>
    <cellStyle name="Normal 40 3 12" xfId="6258" xr:uid="{00000000-0005-0000-0000-000077180000}"/>
    <cellStyle name="Normal 40 3 13" xfId="6259" xr:uid="{00000000-0005-0000-0000-000078180000}"/>
    <cellStyle name="Normal 40 3 2" xfId="6260" xr:uid="{00000000-0005-0000-0000-000079180000}"/>
    <cellStyle name="Normal 40 3 2 10" xfId="6261" xr:uid="{00000000-0005-0000-0000-00007A180000}"/>
    <cellStyle name="Normal 40 3 2 11" xfId="6262" xr:uid="{00000000-0005-0000-0000-00007B180000}"/>
    <cellStyle name="Normal 40 3 2 2" xfId="6263" xr:uid="{00000000-0005-0000-0000-00007C180000}"/>
    <cellStyle name="Normal 40 3 2 3" xfId="6264" xr:uid="{00000000-0005-0000-0000-00007D180000}"/>
    <cellStyle name="Normal 40 3 2 4" xfId="6265" xr:uid="{00000000-0005-0000-0000-00007E180000}"/>
    <cellStyle name="Normal 40 3 2 5" xfId="6266" xr:uid="{00000000-0005-0000-0000-00007F180000}"/>
    <cellStyle name="Normal 40 3 2 6" xfId="6267" xr:uid="{00000000-0005-0000-0000-000080180000}"/>
    <cellStyle name="Normal 40 3 2 7" xfId="6268" xr:uid="{00000000-0005-0000-0000-000081180000}"/>
    <cellStyle name="Normal 40 3 2 8" xfId="6269" xr:uid="{00000000-0005-0000-0000-000082180000}"/>
    <cellStyle name="Normal 40 3 2 9" xfId="6270" xr:uid="{00000000-0005-0000-0000-000083180000}"/>
    <cellStyle name="Normal 40 3 3" xfId="6271" xr:uid="{00000000-0005-0000-0000-000084180000}"/>
    <cellStyle name="Normal 40 3 4" xfId="6272" xr:uid="{00000000-0005-0000-0000-000085180000}"/>
    <cellStyle name="Normal 40 3 5" xfId="6273" xr:uid="{00000000-0005-0000-0000-000086180000}"/>
    <cellStyle name="Normal 40 3 6" xfId="6274" xr:uid="{00000000-0005-0000-0000-000087180000}"/>
    <cellStyle name="Normal 40 3 7" xfId="6275" xr:uid="{00000000-0005-0000-0000-000088180000}"/>
    <cellStyle name="Normal 40 3 8" xfId="6276" xr:uid="{00000000-0005-0000-0000-000089180000}"/>
    <cellStyle name="Normal 40 3 9" xfId="6277" xr:uid="{00000000-0005-0000-0000-00008A180000}"/>
    <cellStyle name="Normal 40 4" xfId="6278" xr:uid="{00000000-0005-0000-0000-00008B180000}"/>
    <cellStyle name="Normal 40 4 10" xfId="6279" xr:uid="{00000000-0005-0000-0000-00008C180000}"/>
    <cellStyle name="Normal 40 4 11" xfId="6280" xr:uid="{00000000-0005-0000-0000-00008D180000}"/>
    <cellStyle name="Normal 40 4 12" xfId="6281" xr:uid="{00000000-0005-0000-0000-00008E180000}"/>
    <cellStyle name="Normal 40 4 13" xfId="6282" xr:uid="{00000000-0005-0000-0000-00008F180000}"/>
    <cellStyle name="Normal 40 4 2" xfId="6283" xr:uid="{00000000-0005-0000-0000-000090180000}"/>
    <cellStyle name="Normal 40 4 2 10" xfId="6284" xr:uid="{00000000-0005-0000-0000-000091180000}"/>
    <cellStyle name="Normal 40 4 2 11" xfId="6285" xr:uid="{00000000-0005-0000-0000-000092180000}"/>
    <cellStyle name="Normal 40 4 2 2" xfId="6286" xr:uid="{00000000-0005-0000-0000-000093180000}"/>
    <cellStyle name="Normal 40 4 2 3" xfId="6287" xr:uid="{00000000-0005-0000-0000-000094180000}"/>
    <cellStyle name="Normal 40 4 2 4" xfId="6288" xr:uid="{00000000-0005-0000-0000-000095180000}"/>
    <cellStyle name="Normal 40 4 2 5" xfId="6289" xr:uid="{00000000-0005-0000-0000-000096180000}"/>
    <cellStyle name="Normal 40 4 2 6" xfId="6290" xr:uid="{00000000-0005-0000-0000-000097180000}"/>
    <cellStyle name="Normal 40 4 2 7" xfId="6291" xr:uid="{00000000-0005-0000-0000-000098180000}"/>
    <cellStyle name="Normal 40 4 2 8" xfId="6292" xr:uid="{00000000-0005-0000-0000-000099180000}"/>
    <cellStyle name="Normal 40 4 2 9" xfId="6293" xr:uid="{00000000-0005-0000-0000-00009A180000}"/>
    <cellStyle name="Normal 40 4 3" xfId="6294" xr:uid="{00000000-0005-0000-0000-00009B180000}"/>
    <cellStyle name="Normal 40 4 4" xfId="6295" xr:uid="{00000000-0005-0000-0000-00009C180000}"/>
    <cellStyle name="Normal 40 4 5" xfId="6296" xr:uid="{00000000-0005-0000-0000-00009D180000}"/>
    <cellStyle name="Normal 40 4 6" xfId="6297" xr:uid="{00000000-0005-0000-0000-00009E180000}"/>
    <cellStyle name="Normal 40 4 7" xfId="6298" xr:uid="{00000000-0005-0000-0000-00009F180000}"/>
    <cellStyle name="Normal 40 4 8" xfId="6299" xr:uid="{00000000-0005-0000-0000-0000A0180000}"/>
    <cellStyle name="Normal 40 4 9" xfId="6300" xr:uid="{00000000-0005-0000-0000-0000A1180000}"/>
    <cellStyle name="Normal 40 5" xfId="6301" xr:uid="{00000000-0005-0000-0000-0000A2180000}"/>
    <cellStyle name="Normal 40 5 10" xfId="6302" xr:uid="{00000000-0005-0000-0000-0000A3180000}"/>
    <cellStyle name="Normal 40 5 11" xfId="6303" xr:uid="{00000000-0005-0000-0000-0000A4180000}"/>
    <cellStyle name="Normal 40 5 12" xfId="6304" xr:uid="{00000000-0005-0000-0000-0000A5180000}"/>
    <cellStyle name="Normal 40 5 13" xfId="6305" xr:uid="{00000000-0005-0000-0000-0000A6180000}"/>
    <cellStyle name="Normal 40 5 2" xfId="6306" xr:uid="{00000000-0005-0000-0000-0000A7180000}"/>
    <cellStyle name="Normal 40 5 2 10" xfId="6307" xr:uid="{00000000-0005-0000-0000-0000A8180000}"/>
    <cellStyle name="Normal 40 5 2 11" xfId="6308" xr:uid="{00000000-0005-0000-0000-0000A9180000}"/>
    <cellStyle name="Normal 40 5 2 2" xfId="6309" xr:uid="{00000000-0005-0000-0000-0000AA180000}"/>
    <cellStyle name="Normal 40 5 2 3" xfId="6310" xr:uid="{00000000-0005-0000-0000-0000AB180000}"/>
    <cellStyle name="Normal 40 5 2 4" xfId="6311" xr:uid="{00000000-0005-0000-0000-0000AC180000}"/>
    <cellStyle name="Normal 40 5 2 5" xfId="6312" xr:uid="{00000000-0005-0000-0000-0000AD180000}"/>
    <cellStyle name="Normal 40 5 2 6" xfId="6313" xr:uid="{00000000-0005-0000-0000-0000AE180000}"/>
    <cellStyle name="Normal 40 5 2 7" xfId="6314" xr:uid="{00000000-0005-0000-0000-0000AF180000}"/>
    <cellStyle name="Normal 40 5 2 8" xfId="6315" xr:uid="{00000000-0005-0000-0000-0000B0180000}"/>
    <cellStyle name="Normal 40 5 2 9" xfId="6316" xr:uid="{00000000-0005-0000-0000-0000B1180000}"/>
    <cellStyle name="Normal 40 5 3" xfId="6317" xr:uid="{00000000-0005-0000-0000-0000B2180000}"/>
    <cellStyle name="Normal 40 5 4" xfId="6318" xr:uid="{00000000-0005-0000-0000-0000B3180000}"/>
    <cellStyle name="Normal 40 5 5" xfId="6319" xr:uid="{00000000-0005-0000-0000-0000B4180000}"/>
    <cellStyle name="Normal 40 5 6" xfId="6320" xr:uid="{00000000-0005-0000-0000-0000B5180000}"/>
    <cellStyle name="Normal 40 5 7" xfId="6321" xr:uid="{00000000-0005-0000-0000-0000B6180000}"/>
    <cellStyle name="Normal 40 5 8" xfId="6322" xr:uid="{00000000-0005-0000-0000-0000B7180000}"/>
    <cellStyle name="Normal 40 5 9" xfId="6323" xr:uid="{00000000-0005-0000-0000-0000B8180000}"/>
    <cellStyle name="Normal 40 6" xfId="6324" xr:uid="{00000000-0005-0000-0000-0000B9180000}"/>
    <cellStyle name="Normal 40 6 10" xfId="6325" xr:uid="{00000000-0005-0000-0000-0000BA180000}"/>
    <cellStyle name="Normal 40 6 11" xfId="6326" xr:uid="{00000000-0005-0000-0000-0000BB180000}"/>
    <cellStyle name="Normal 40 6 12" xfId="6327" xr:uid="{00000000-0005-0000-0000-0000BC180000}"/>
    <cellStyle name="Normal 40 6 13" xfId="6328" xr:uid="{00000000-0005-0000-0000-0000BD180000}"/>
    <cellStyle name="Normal 40 6 2" xfId="6329" xr:uid="{00000000-0005-0000-0000-0000BE180000}"/>
    <cellStyle name="Normal 40 6 2 10" xfId="6330" xr:uid="{00000000-0005-0000-0000-0000BF180000}"/>
    <cellStyle name="Normal 40 6 2 11" xfId="6331" xr:uid="{00000000-0005-0000-0000-0000C0180000}"/>
    <cellStyle name="Normal 40 6 2 2" xfId="6332" xr:uid="{00000000-0005-0000-0000-0000C1180000}"/>
    <cellStyle name="Normal 40 6 2 3" xfId="6333" xr:uid="{00000000-0005-0000-0000-0000C2180000}"/>
    <cellStyle name="Normal 40 6 2 4" xfId="6334" xr:uid="{00000000-0005-0000-0000-0000C3180000}"/>
    <cellStyle name="Normal 40 6 2 5" xfId="6335" xr:uid="{00000000-0005-0000-0000-0000C4180000}"/>
    <cellStyle name="Normal 40 6 2 6" xfId="6336" xr:uid="{00000000-0005-0000-0000-0000C5180000}"/>
    <cellStyle name="Normal 40 6 2 7" xfId="6337" xr:uid="{00000000-0005-0000-0000-0000C6180000}"/>
    <cellStyle name="Normal 40 6 2 8" xfId="6338" xr:uid="{00000000-0005-0000-0000-0000C7180000}"/>
    <cellStyle name="Normal 40 6 2 9" xfId="6339" xr:uid="{00000000-0005-0000-0000-0000C8180000}"/>
    <cellStyle name="Normal 40 6 3" xfId="6340" xr:uid="{00000000-0005-0000-0000-0000C9180000}"/>
    <cellStyle name="Normal 40 6 4" xfId="6341" xr:uid="{00000000-0005-0000-0000-0000CA180000}"/>
    <cellStyle name="Normal 40 6 5" xfId="6342" xr:uid="{00000000-0005-0000-0000-0000CB180000}"/>
    <cellStyle name="Normal 40 6 6" xfId="6343" xr:uid="{00000000-0005-0000-0000-0000CC180000}"/>
    <cellStyle name="Normal 40 6 7" xfId="6344" xr:uid="{00000000-0005-0000-0000-0000CD180000}"/>
    <cellStyle name="Normal 40 6 8" xfId="6345" xr:uid="{00000000-0005-0000-0000-0000CE180000}"/>
    <cellStyle name="Normal 40 6 9" xfId="6346" xr:uid="{00000000-0005-0000-0000-0000CF180000}"/>
    <cellStyle name="Normal 40 7" xfId="6347" xr:uid="{00000000-0005-0000-0000-0000D0180000}"/>
    <cellStyle name="Normal 40 7 10" xfId="6348" xr:uid="{00000000-0005-0000-0000-0000D1180000}"/>
    <cellStyle name="Normal 40 7 11" xfId="6349" xr:uid="{00000000-0005-0000-0000-0000D2180000}"/>
    <cellStyle name="Normal 40 7 12" xfId="6350" xr:uid="{00000000-0005-0000-0000-0000D3180000}"/>
    <cellStyle name="Normal 40 7 13" xfId="6351" xr:uid="{00000000-0005-0000-0000-0000D4180000}"/>
    <cellStyle name="Normal 40 7 2" xfId="6352" xr:uid="{00000000-0005-0000-0000-0000D5180000}"/>
    <cellStyle name="Normal 40 7 2 10" xfId="6353" xr:uid="{00000000-0005-0000-0000-0000D6180000}"/>
    <cellStyle name="Normal 40 7 2 11" xfId="6354" xr:uid="{00000000-0005-0000-0000-0000D7180000}"/>
    <cellStyle name="Normal 40 7 2 2" xfId="6355" xr:uid="{00000000-0005-0000-0000-0000D8180000}"/>
    <cellStyle name="Normal 40 7 2 3" xfId="6356" xr:uid="{00000000-0005-0000-0000-0000D9180000}"/>
    <cellStyle name="Normal 40 7 2 4" xfId="6357" xr:uid="{00000000-0005-0000-0000-0000DA180000}"/>
    <cellStyle name="Normal 40 7 2 5" xfId="6358" xr:uid="{00000000-0005-0000-0000-0000DB180000}"/>
    <cellStyle name="Normal 40 7 2 6" xfId="6359" xr:uid="{00000000-0005-0000-0000-0000DC180000}"/>
    <cellStyle name="Normal 40 7 2 7" xfId="6360" xr:uid="{00000000-0005-0000-0000-0000DD180000}"/>
    <cellStyle name="Normal 40 7 2 8" xfId="6361" xr:uid="{00000000-0005-0000-0000-0000DE180000}"/>
    <cellStyle name="Normal 40 7 2 9" xfId="6362" xr:uid="{00000000-0005-0000-0000-0000DF180000}"/>
    <cellStyle name="Normal 40 7 3" xfId="6363" xr:uid="{00000000-0005-0000-0000-0000E0180000}"/>
    <cellStyle name="Normal 40 7 4" xfId="6364" xr:uid="{00000000-0005-0000-0000-0000E1180000}"/>
    <cellStyle name="Normal 40 7 5" xfId="6365" xr:uid="{00000000-0005-0000-0000-0000E2180000}"/>
    <cellStyle name="Normal 40 7 6" xfId="6366" xr:uid="{00000000-0005-0000-0000-0000E3180000}"/>
    <cellStyle name="Normal 40 7 7" xfId="6367" xr:uid="{00000000-0005-0000-0000-0000E4180000}"/>
    <cellStyle name="Normal 40 7 8" xfId="6368" xr:uid="{00000000-0005-0000-0000-0000E5180000}"/>
    <cellStyle name="Normal 40 7 9" xfId="6369" xr:uid="{00000000-0005-0000-0000-0000E6180000}"/>
    <cellStyle name="Normal 40 8" xfId="6370" xr:uid="{00000000-0005-0000-0000-0000E7180000}"/>
    <cellStyle name="Normal 40 8 10" xfId="6371" xr:uid="{00000000-0005-0000-0000-0000E8180000}"/>
    <cellStyle name="Normal 40 8 11" xfId="6372" xr:uid="{00000000-0005-0000-0000-0000E9180000}"/>
    <cellStyle name="Normal 40 8 12" xfId="6373" xr:uid="{00000000-0005-0000-0000-0000EA180000}"/>
    <cellStyle name="Normal 40 8 13" xfId="6374" xr:uid="{00000000-0005-0000-0000-0000EB180000}"/>
    <cellStyle name="Normal 40 8 2" xfId="6375" xr:uid="{00000000-0005-0000-0000-0000EC180000}"/>
    <cellStyle name="Normal 40 8 2 10" xfId="6376" xr:uid="{00000000-0005-0000-0000-0000ED180000}"/>
    <cellStyle name="Normal 40 8 2 11" xfId="6377" xr:uid="{00000000-0005-0000-0000-0000EE180000}"/>
    <cellStyle name="Normal 40 8 2 2" xfId="6378" xr:uid="{00000000-0005-0000-0000-0000EF180000}"/>
    <cellStyle name="Normal 40 8 2 3" xfId="6379" xr:uid="{00000000-0005-0000-0000-0000F0180000}"/>
    <cellStyle name="Normal 40 8 2 4" xfId="6380" xr:uid="{00000000-0005-0000-0000-0000F1180000}"/>
    <cellStyle name="Normal 40 8 2 5" xfId="6381" xr:uid="{00000000-0005-0000-0000-0000F2180000}"/>
    <cellStyle name="Normal 40 8 2 6" xfId="6382" xr:uid="{00000000-0005-0000-0000-0000F3180000}"/>
    <cellStyle name="Normal 40 8 2 7" xfId="6383" xr:uid="{00000000-0005-0000-0000-0000F4180000}"/>
    <cellStyle name="Normal 40 8 2 8" xfId="6384" xr:uid="{00000000-0005-0000-0000-0000F5180000}"/>
    <cellStyle name="Normal 40 8 2 9" xfId="6385" xr:uid="{00000000-0005-0000-0000-0000F6180000}"/>
    <cellStyle name="Normal 40 8 3" xfId="6386" xr:uid="{00000000-0005-0000-0000-0000F7180000}"/>
    <cellStyle name="Normal 40 8 4" xfId="6387" xr:uid="{00000000-0005-0000-0000-0000F8180000}"/>
    <cellStyle name="Normal 40 8 5" xfId="6388" xr:uid="{00000000-0005-0000-0000-0000F9180000}"/>
    <cellStyle name="Normal 40 8 6" xfId="6389" xr:uid="{00000000-0005-0000-0000-0000FA180000}"/>
    <cellStyle name="Normal 40 8 7" xfId="6390" xr:uid="{00000000-0005-0000-0000-0000FB180000}"/>
    <cellStyle name="Normal 40 8 8" xfId="6391" xr:uid="{00000000-0005-0000-0000-0000FC180000}"/>
    <cellStyle name="Normal 40 8 9" xfId="6392" xr:uid="{00000000-0005-0000-0000-0000FD180000}"/>
    <cellStyle name="Normal 40 9" xfId="6393" xr:uid="{00000000-0005-0000-0000-0000FE180000}"/>
    <cellStyle name="Normal 40 9 10" xfId="6394" xr:uid="{00000000-0005-0000-0000-0000FF180000}"/>
    <cellStyle name="Normal 40 9 11" xfId="6395" xr:uid="{00000000-0005-0000-0000-000000190000}"/>
    <cellStyle name="Normal 40 9 12" xfId="6396" xr:uid="{00000000-0005-0000-0000-000001190000}"/>
    <cellStyle name="Normal 40 9 13" xfId="6397" xr:uid="{00000000-0005-0000-0000-000002190000}"/>
    <cellStyle name="Normal 40 9 2" xfId="6398" xr:uid="{00000000-0005-0000-0000-000003190000}"/>
    <cellStyle name="Normal 40 9 2 10" xfId="6399" xr:uid="{00000000-0005-0000-0000-000004190000}"/>
    <cellStyle name="Normal 40 9 2 11" xfId="6400" xr:uid="{00000000-0005-0000-0000-000005190000}"/>
    <cellStyle name="Normal 40 9 2 2" xfId="6401" xr:uid="{00000000-0005-0000-0000-000006190000}"/>
    <cellStyle name="Normal 40 9 2 3" xfId="6402" xr:uid="{00000000-0005-0000-0000-000007190000}"/>
    <cellStyle name="Normal 40 9 2 4" xfId="6403" xr:uid="{00000000-0005-0000-0000-000008190000}"/>
    <cellStyle name="Normal 40 9 2 5" xfId="6404" xr:uid="{00000000-0005-0000-0000-000009190000}"/>
    <cellStyle name="Normal 40 9 2 6" xfId="6405" xr:uid="{00000000-0005-0000-0000-00000A190000}"/>
    <cellStyle name="Normal 40 9 2 7" xfId="6406" xr:uid="{00000000-0005-0000-0000-00000B190000}"/>
    <cellStyle name="Normal 40 9 2 8" xfId="6407" xr:uid="{00000000-0005-0000-0000-00000C190000}"/>
    <cellStyle name="Normal 40 9 2 9" xfId="6408" xr:uid="{00000000-0005-0000-0000-00000D190000}"/>
    <cellStyle name="Normal 40 9 3" xfId="6409" xr:uid="{00000000-0005-0000-0000-00000E190000}"/>
    <cellStyle name="Normal 40 9 4" xfId="6410" xr:uid="{00000000-0005-0000-0000-00000F190000}"/>
    <cellStyle name="Normal 40 9 5" xfId="6411" xr:uid="{00000000-0005-0000-0000-000010190000}"/>
    <cellStyle name="Normal 40 9 6" xfId="6412" xr:uid="{00000000-0005-0000-0000-000011190000}"/>
    <cellStyle name="Normal 40 9 7" xfId="6413" xr:uid="{00000000-0005-0000-0000-000012190000}"/>
    <cellStyle name="Normal 40 9 8" xfId="6414" xr:uid="{00000000-0005-0000-0000-000013190000}"/>
    <cellStyle name="Normal 40 9 9" xfId="6415" xr:uid="{00000000-0005-0000-0000-000014190000}"/>
    <cellStyle name="Normal 41" xfId="6416" xr:uid="{00000000-0005-0000-0000-000015190000}"/>
    <cellStyle name="Normal 41 10" xfId="6417" xr:uid="{00000000-0005-0000-0000-000016190000}"/>
    <cellStyle name="Normal 41 10 10" xfId="6418" xr:uid="{00000000-0005-0000-0000-000017190000}"/>
    <cellStyle name="Normal 41 10 11" xfId="6419" xr:uid="{00000000-0005-0000-0000-000018190000}"/>
    <cellStyle name="Normal 41 10 12" xfId="6420" xr:uid="{00000000-0005-0000-0000-000019190000}"/>
    <cellStyle name="Normal 41 10 13" xfId="6421" xr:uid="{00000000-0005-0000-0000-00001A190000}"/>
    <cellStyle name="Normal 41 10 2" xfId="6422" xr:uid="{00000000-0005-0000-0000-00001B190000}"/>
    <cellStyle name="Normal 41 10 2 10" xfId="6423" xr:uid="{00000000-0005-0000-0000-00001C190000}"/>
    <cellStyle name="Normal 41 10 2 11" xfId="6424" xr:uid="{00000000-0005-0000-0000-00001D190000}"/>
    <cellStyle name="Normal 41 10 2 2" xfId="6425" xr:uid="{00000000-0005-0000-0000-00001E190000}"/>
    <cellStyle name="Normal 41 10 2 3" xfId="6426" xr:uid="{00000000-0005-0000-0000-00001F190000}"/>
    <cellStyle name="Normal 41 10 2 4" xfId="6427" xr:uid="{00000000-0005-0000-0000-000020190000}"/>
    <cellStyle name="Normal 41 10 2 5" xfId="6428" xr:uid="{00000000-0005-0000-0000-000021190000}"/>
    <cellStyle name="Normal 41 10 2 6" xfId="6429" xr:uid="{00000000-0005-0000-0000-000022190000}"/>
    <cellStyle name="Normal 41 10 2 7" xfId="6430" xr:uid="{00000000-0005-0000-0000-000023190000}"/>
    <cellStyle name="Normal 41 10 2 8" xfId="6431" xr:uid="{00000000-0005-0000-0000-000024190000}"/>
    <cellStyle name="Normal 41 10 2 9" xfId="6432" xr:uid="{00000000-0005-0000-0000-000025190000}"/>
    <cellStyle name="Normal 41 10 3" xfId="6433" xr:uid="{00000000-0005-0000-0000-000026190000}"/>
    <cellStyle name="Normal 41 10 4" xfId="6434" xr:uid="{00000000-0005-0000-0000-000027190000}"/>
    <cellStyle name="Normal 41 10 5" xfId="6435" xr:uid="{00000000-0005-0000-0000-000028190000}"/>
    <cellStyle name="Normal 41 10 6" xfId="6436" xr:uid="{00000000-0005-0000-0000-000029190000}"/>
    <cellStyle name="Normal 41 10 7" xfId="6437" xr:uid="{00000000-0005-0000-0000-00002A190000}"/>
    <cellStyle name="Normal 41 10 8" xfId="6438" xr:uid="{00000000-0005-0000-0000-00002B190000}"/>
    <cellStyle name="Normal 41 10 9" xfId="6439" xr:uid="{00000000-0005-0000-0000-00002C190000}"/>
    <cellStyle name="Normal 41 11" xfId="6440" xr:uid="{00000000-0005-0000-0000-00002D190000}"/>
    <cellStyle name="Normal 41 11 10" xfId="6441" xr:uid="{00000000-0005-0000-0000-00002E190000}"/>
    <cellStyle name="Normal 41 11 11" xfId="6442" xr:uid="{00000000-0005-0000-0000-00002F190000}"/>
    <cellStyle name="Normal 41 11 12" xfId="6443" xr:uid="{00000000-0005-0000-0000-000030190000}"/>
    <cellStyle name="Normal 41 11 13" xfId="6444" xr:uid="{00000000-0005-0000-0000-000031190000}"/>
    <cellStyle name="Normal 41 11 2" xfId="6445" xr:uid="{00000000-0005-0000-0000-000032190000}"/>
    <cellStyle name="Normal 41 11 2 10" xfId="6446" xr:uid="{00000000-0005-0000-0000-000033190000}"/>
    <cellStyle name="Normal 41 11 2 11" xfId="6447" xr:uid="{00000000-0005-0000-0000-000034190000}"/>
    <cellStyle name="Normal 41 11 2 2" xfId="6448" xr:uid="{00000000-0005-0000-0000-000035190000}"/>
    <cellStyle name="Normal 41 11 2 3" xfId="6449" xr:uid="{00000000-0005-0000-0000-000036190000}"/>
    <cellStyle name="Normal 41 11 2 4" xfId="6450" xr:uid="{00000000-0005-0000-0000-000037190000}"/>
    <cellStyle name="Normal 41 11 2 5" xfId="6451" xr:uid="{00000000-0005-0000-0000-000038190000}"/>
    <cellStyle name="Normal 41 11 2 6" xfId="6452" xr:uid="{00000000-0005-0000-0000-000039190000}"/>
    <cellStyle name="Normal 41 11 2 7" xfId="6453" xr:uid="{00000000-0005-0000-0000-00003A190000}"/>
    <cellStyle name="Normal 41 11 2 8" xfId="6454" xr:uid="{00000000-0005-0000-0000-00003B190000}"/>
    <cellStyle name="Normal 41 11 2 9" xfId="6455" xr:uid="{00000000-0005-0000-0000-00003C190000}"/>
    <cellStyle name="Normal 41 11 3" xfId="6456" xr:uid="{00000000-0005-0000-0000-00003D190000}"/>
    <cellStyle name="Normal 41 11 4" xfId="6457" xr:uid="{00000000-0005-0000-0000-00003E190000}"/>
    <cellStyle name="Normal 41 11 5" xfId="6458" xr:uid="{00000000-0005-0000-0000-00003F190000}"/>
    <cellStyle name="Normal 41 11 6" xfId="6459" xr:uid="{00000000-0005-0000-0000-000040190000}"/>
    <cellStyle name="Normal 41 11 7" xfId="6460" xr:uid="{00000000-0005-0000-0000-000041190000}"/>
    <cellStyle name="Normal 41 11 8" xfId="6461" xr:uid="{00000000-0005-0000-0000-000042190000}"/>
    <cellStyle name="Normal 41 11 9" xfId="6462" xr:uid="{00000000-0005-0000-0000-000043190000}"/>
    <cellStyle name="Normal 41 12" xfId="6463" xr:uid="{00000000-0005-0000-0000-000044190000}"/>
    <cellStyle name="Normal 41 12 10" xfId="6464" xr:uid="{00000000-0005-0000-0000-000045190000}"/>
    <cellStyle name="Normal 41 12 11" xfId="6465" xr:uid="{00000000-0005-0000-0000-000046190000}"/>
    <cellStyle name="Normal 41 12 12" xfId="6466" xr:uid="{00000000-0005-0000-0000-000047190000}"/>
    <cellStyle name="Normal 41 12 13" xfId="6467" xr:uid="{00000000-0005-0000-0000-000048190000}"/>
    <cellStyle name="Normal 41 12 2" xfId="6468" xr:uid="{00000000-0005-0000-0000-000049190000}"/>
    <cellStyle name="Normal 41 12 2 10" xfId="6469" xr:uid="{00000000-0005-0000-0000-00004A190000}"/>
    <cellStyle name="Normal 41 12 2 11" xfId="6470" xr:uid="{00000000-0005-0000-0000-00004B190000}"/>
    <cellStyle name="Normal 41 12 2 2" xfId="6471" xr:uid="{00000000-0005-0000-0000-00004C190000}"/>
    <cellStyle name="Normal 41 12 2 3" xfId="6472" xr:uid="{00000000-0005-0000-0000-00004D190000}"/>
    <cellStyle name="Normal 41 12 2 4" xfId="6473" xr:uid="{00000000-0005-0000-0000-00004E190000}"/>
    <cellStyle name="Normal 41 12 2 5" xfId="6474" xr:uid="{00000000-0005-0000-0000-00004F190000}"/>
    <cellStyle name="Normal 41 12 2 6" xfId="6475" xr:uid="{00000000-0005-0000-0000-000050190000}"/>
    <cellStyle name="Normal 41 12 2 7" xfId="6476" xr:uid="{00000000-0005-0000-0000-000051190000}"/>
    <cellStyle name="Normal 41 12 2 8" xfId="6477" xr:uid="{00000000-0005-0000-0000-000052190000}"/>
    <cellStyle name="Normal 41 12 2 9" xfId="6478" xr:uid="{00000000-0005-0000-0000-000053190000}"/>
    <cellStyle name="Normal 41 12 3" xfId="6479" xr:uid="{00000000-0005-0000-0000-000054190000}"/>
    <cellStyle name="Normal 41 12 4" xfId="6480" xr:uid="{00000000-0005-0000-0000-000055190000}"/>
    <cellStyle name="Normal 41 12 5" xfId="6481" xr:uid="{00000000-0005-0000-0000-000056190000}"/>
    <cellStyle name="Normal 41 12 6" xfId="6482" xr:uid="{00000000-0005-0000-0000-000057190000}"/>
    <cellStyle name="Normal 41 12 7" xfId="6483" xr:uid="{00000000-0005-0000-0000-000058190000}"/>
    <cellStyle name="Normal 41 12 8" xfId="6484" xr:uid="{00000000-0005-0000-0000-000059190000}"/>
    <cellStyle name="Normal 41 12 9" xfId="6485" xr:uid="{00000000-0005-0000-0000-00005A190000}"/>
    <cellStyle name="Normal 41 13" xfId="6486" xr:uid="{00000000-0005-0000-0000-00005B190000}"/>
    <cellStyle name="Normal 41 13 10" xfId="6487" xr:uid="{00000000-0005-0000-0000-00005C190000}"/>
    <cellStyle name="Normal 41 13 11" xfId="6488" xr:uid="{00000000-0005-0000-0000-00005D190000}"/>
    <cellStyle name="Normal 41 13 12" xfId="6489" xr:uid="{00000000-0005-0000-0000-00005E190000}"/>
    <cellStyle name="Normal 41 13 13" xfId="6490" xr:uid="{00000000-0005-0000-0000-00005F190000}"/>
    <cellStyle name="Normal 41 13 2" xfId="6491" xr:uid="{00000000-0005-0000-0000-000060190000}"/>
    <cellStyle name="Normal 41 13 2 10" xfId="6492" xr:uid="{00000000-0005-0000-0000-000061190000}"/>
    <cellStyle name="Normal 41 13 2 11" xfId="6493" xr:uid="{00000000-0005-0000-0000-000062190000}"/>
    <cellStyle name="Normal 41 13 2 2" xfId="6494" xr:uid="{00000000-0005-0000-0000-000063190000}"/>
    <cellStyle name="Normal 41 13 2 3" xfId="6495" xr:uid="{00000000-0005-0000-0000-000064190000}"/>
    <cellStyle name="Normal 41 13 2 4" xfId="6496" xr:uid="{00000000-0005-0000-0000-000065190000}"/>
    <cellStyle name="Normal 41 13 2 5" xfId="6497" xr:uid="{00000000-0005-0000-0000-000066190000}"/>
    <cellStyle name="Normal 41 13 2 6" xfId="6498" xr:uid="{00000000-0005-0000-0000-000067190000}"/>
    <cellStyle name="Normal 41 13 2 7" xfId="6499" xr:uid="{00000000-0005-0000-0000-000068190000}"/>
    <cellStyle name="Normal 41 13 2 8" xfId="6500" xr:uid="{00000000-0005-0000-0000-000069190000}"/>
    <cellStyle name="Normal 41 13 2 9" xfId="6501" xr:uid="{00000000-0005-0000-0000-00006A190000}"/>
    <cellStyle name="Normal 41 13 3" xfId="6502" xr:uid="{00000000-0005-0000-0000-00006B190000}"/>
    <cellStyle name="Normal 41 13 4" xfId="6503" xr:uid="{00000000-0005-0000-0000-00006C190000}"/>
    <cellStyle name="Normal 41 13 5" xfId="6504" xr:uid="{00000000-0005-0000-0000-00006D190000}"/>
    <cellStyle name="Normal 41 13 6" xfId="6505" xr:uid="{00000000-0005-0000-0000-00006E190000}"/>
    <cellStyle name="Normal 41 13 7" xfId="6506" xr:uid="{00000000-0005-0000-0000-00006F190000}"/>
    <cellStyle name="Normal 41 13 8" xfId="6507" xr:uid="{00000000-0005-0000-0000-000070190000}"/>
    <cellStyle name="Normal 41 13 9" xfId="6508" xr:uid="{00000000-0005-0000-0000-000071190000}"/>
    <cellStyle name="Normal 41 14" xfId="6509" xr:uid="{00000000-0005-0000-0000-000072190000}"/>
    <cellStyle name="Normal 41 14 10" xfId="6510" xr:uid="{00000000-0005-0000-0000-000073190000}"/>
    <cellStyle name="Normal 41 14 11" xfId="6511" xr:uid="{00000000-0005-0000-0000-000074190000}"/>
    <cellStyle name="Normal 41 14 2" xfId="6512" xr:uid="{00000000-0005-0000-0000-000075190000}"/>
    <cellStyle name="Normal 41 14 3" xfId="6513" xr:uid="{00000000-0005-0000-0000-000076190000}"/>
    <cellStyle name="Normal 41 14 4" xfId="6514" xr:uid="{00000000-0005-0000-0000-000077190000}"/>
    <cellStyle name="Normal 41 14 5" xfId="6515" xr:uid="{00000000-0005-0000-0000-000078190000}"/>
    <cellStyle name="Normal 41 14 6" xfId="6516" xr:uid="{00000000-0005-0000-0000-000079190000}"/>
    <cellStyle name="Normal 41 14 7" xfId="6517" xr:uid="{00000000-0005-0000-0000-00007A190000}"/>
    <cellStyle name="Normal 41 14 8" xfId="6518" xr:uid="{00000000-0005-0000-0000-00007B190000}"/>
    <cellStyle name="Normal 41 14 9" xfId="6519" xr:uid="{00000000-0005-0000-0000-00007C190000}"/>
    <cellStyle name="Normal 41 15" xfId="6520" xr:uid="{00000000-0005-0000-0000-00007D190000}"/>
    <cellStyle name="Normal 41 16" xfId="6521" xr:uid="{00000000-0005-0000-0000-00007E190000}"/>
    <cellStyle name="Normal 41 17" xfId="6522" xr:uid="{00000000-0005-0000-0000-00007F190000}"/>
    <cellStyle name="Normal 41 18" xfId="6523" xr:uid="{00000000-0005-0000-0000-000080190000}"/>
    <cellStyle name="Normal 41 19" xfId="6524" xr:uid="{00000000-0005-0000-0000-000081190000}"/>
    <cellStyle name="Normal 41 2" xfId="6525" xr:uid="{00000000-0005-0000-0000-000082190000}"/>
    <cellStyle name="Normal 41 2 10" xfId="6526" xr:uid="{00000000-0005-0000-0000-000083190000}"/>
    <cellStyle name="Normal 41 2 11" xfId="6527" xr:uid="{00000000-0005-0000-0000-000084190000}"/>
    <cellStyle name="Normal 41 2 12" xfId="6528" xr:uid="{00000000-0005-0000-0000-000085190000}"/>
    <cellStyle name="Normal 41 2 13" xfId="6529" xr:uid="{00000000-0005-0000-0000-000086190000}"/>
    <cellStyle name="Normal 41 2 2" xfId="6530" xr:uid="{00000000-0005-0000-0000-000087190000}"/>
    <cellStyle name="Normal 41 2 2 10" xfId="6531" xr:uid="{00000000-0005-0000-0000-000088190000}"/>
    <cellStyle name="Normal 41 2 2 11" xfId="6532" xr:uid="{00000000-0005-0000-0000-000089190000}"/>
    <cellStyle name="Normal 41 2 2 2" xfId="6533" xr:uid="{00000000-0005-0000-0000-00008A190000}"/>
    <cellStyle name="Normal 41 2 2 3" xfId="6534" xr:uid="{00000000-0005-0000-0000-00008B190000}"/>
    <cellStyle name="Normal 41 2 2 4" xfId="6535" xr:uid="{00000000-0005-0000-0000-00008C190000}"/>
    <cellStyle name="Normal 41 2 2 5" xfId="6536" xr:uid="{00000000-0005-0000-0000-00008D190000}"/>
    <cellStyle name="Normal 41 2 2 6" xfId="6537" xr:uid="{00000000-0005-0000-0000-00008E190000}"/>
    <cellStyle name="Normal 41 2 2 7" xfId="6538" xr:uid="{00000000-0005-0000-0000-00008F190000}"/>
    <cellStyle name="Normal 41 2 2 8" xfId="6539" xr:uid="{00000000-0005-0000-0000-000090190000}"/>
    <cellStyle name="Normal 41 2 2 9" xfId="6540" xr:uid="{00000000-0005-0000-0000-000091190000}"/>
    <cellStyle name="Normal 41 2 3" xfId="6541" xr:uid="{00000000-0005-0000-0000-000092190000}"/>
    <cellStyle name="Normal 41 2 4" xfId="6542" xr:uid="{00000000-0005-0000-0000-000093190000}"/>
    <cellStyle name="Normal 41 2 5" xfId="6543" xr:uid="{00000000-0005-0000-0000-000094190000}"/>
    <cellStyle name="Normal 41 2 6" xfId="6544" xr:uid="{00000000-0005-0000-0000-000095190000}"/>
    <cellStyle name="Normal 41 2 7" xfId="6545" xr:uid="{00000000-0005-0000-0000-000096190000}"/>
    <cellStyle name="Normal 41 2 8" xfId="6546" xr:uid="{00000000-0005-0000-0000-000097190000}"/>
    <cellStyle name="Normal 41 2 9" xfId="6547" xr:uid="{00000000-0005-0000-0000-000098190000}"/>
    <cellStyle name="Normal 41 20" xfId="6548" xr:uid="{00000000-0005-0000-0000-000099190000}"/>
    <cellStyle name="Normal 41 21" xfId="6549" xr:uid="{00000000-0005-0000-0000-00009A190000}"/>
    <cellStyle name="Normal 41 22" xfId="6550" xr:uid="{00000000-0005-0000-0000-00009B190000}"/>
    <cellStyle name="Normal 41 23" xfId="6551" xr:uid="{00000000-0005-0000-0000-00009C190000}"/>
    <cellStyle name="Normal 41 24" xfId="6552" xr:uid="{00000000-0005-0000-0000-00009D190000}"/>
    <cellStyle name="Normal 41 25" xfId="6553" xr:uid="{00000000-0005-0000-0000-00009E190000}"/>
    <cellStyle name="Normal 41 3" xfId="6554" xr:uid="{00000000-0005-0000-0000-00009F190000}"/>
    <cellStyle name="Normal 41 3 10" xfId="6555" xr:uid="{00000000-0005-0000-0000-0000A0190000}"/>
    <cellStyle name="Normal 41 3 11" xfId="6556" xr:uid="{00000000-0005-0000-0000-0000A1190000}"/>
    <cellStyle name="Normal 41 3 12" xfId="6557" xr:uid="{00000000-0005-0000-0000-0000A2190000}"/>
    <cellStyle name="Normal 41 3 13" xfId="6558" xr:uid="{00000000-0005-0000-0000-0000A3190000}"/>
    <cellStyle name="Normal 41 3 2" xfId="6559" xr:uid="{00000000-0005-0000-0000-0000A4190000}"/>
    <cellStyle name="Normal 41 3 2 10" xfId="6560" xr:uid="{00000000-0005-0000-0000-0000A5190000}"/>
    <cellStyle name="Normal 41 3 2 11" xfId="6561" xr:uid="{00000000-0005-0000-0000-0000A6190000}"/>
    <cellStyle name="Normal 41 3 2 2" xfId="6562" xr:uid="{00000000-0005-0000-0000-0000A7190000}"/>
    <cellStyle name="Normal 41 3 2 3" xfId="6563" xr:uid="{00000000-0005-0000-0000-0000A8190000}"/>
    <cellStyle name="Normal 41 3 2 4" xfId="6564" xr:uid="{00000000-0005-0000-0000-0000A9190000}"/>
    <cellStyle name="Normal 41 3 2 5" xfId="6565" xr:uid="{00000000-0005-0000-0000-0000AA190000}"/>
    <cellStyle name="Normal 41 3 2 6" xfId="6566" xr:uid="{00000000-0005-0000-0000-0000AB190000}"/>
    <cellStyle name="Normal 41 3 2 7" xfId="6567" xr:uid="{00000000-0005-0000-0000-0000AC190000}"/>
    <cellStyle name="Normal 41 3 2 8" xfId="6568" xr:uid="{00000000-0005-0000-0000-0000AD190000}"/>
    <cellStyle name="Normal 41 3 2 9" xfId="6569" xr:uid="{00000000-0005-0000-0000-0000AE190000}"/>
    <cellStyle name="Normal 41 3 3" xfId="6570" xr:uid="{00000000-0005-0000-0000-0000AF190000}"/>
    <cellStyle name="Normal 41 3 4" xfId="6571" xr:uid="{00000000-0005-0000-0000-0000B0190000}"/>
    <cellStyle name="Normal 41 3 5" xfId="6572" xr:uid="{00000000-0005-0000-0000-0000B1190000}"/>
    <cellStyle name="Normal 41 3 6" xfId="6573" xr:uid="{00000000-0005-0000-0000-0000B2190000}"/>
    <cellStyle name="Normal 41 3 7" xfId="6574" xr:uid="{00000000-0005-0000-0000-0000B3190000}"/>
    <cellStyle name="Normal 41 3 8" xfId="6575" xr:uid="{00000000-0005-0000-0000-0000B4190000}"/>
    <cellStyle name="Normal 41 3 9" xfId="6576" xr:uid="{00000000-0005-0000-0000-0000B5190000}"/>
    <cellStyle name="Normal 41 4" xfId="6577" xr:uid="{00000000-0005-0000-0000-0000B6190000}"/>
    <cellStyle name="Normal 41 4 10" xfId="6578" xr:uid="{00000000-0005-0000-0000-0000B7190000}"/>
    <cellStyle name="Normal 41 4 11" xfId="6579" xr:uid="{00000000-0005-0000-0000-0000B8190000}"/>
    <cellStyle name="Normal 41 4 12" xfId="6580" xr:uid="{00000000-0005-0000-0000-0000B9190000}"/>
    <cellStyle name="Normal 41 4 13" xfId="6581" xr:uid="{00000000-0005-0000-0000-0000BA190000}"/>
    <cellStyle name="Normal 41 4 2" xfId="6582" xr:uid="{00000000-0005-0000-0000-0000BB190000}"/>
    <cellStyle name="Normal 41 4 2 10" xfId="6583" xr:uid="{00000000-0005-0000-0000-0000BC190000}"/>
    <cellStyle name="Normal 41 4 2 11" xfId="6584" xr:uid="{00000000-0005-0000-0000-0000BD190000}"/>
    <cellStyle name="Normal 41 4 2 2" xfId="6585" xr:uid="{00000000-0005-0000-0000-0000BE190000}"/>
    <cellStyle name="Normal 41 4 2 3" xfId="6586" xr:uid="{00000000-0005-0000-0000-0000BF190000}"/>
    <cellStyle name="Normal 41 4 2 4" xfId="6587" xr:uid="{00000000-0005-0000-0000-0000C0190000}"/>
    <cellStyle name="Normal 41 4 2 5" xfId="6588" xr:uid="{00000000-0005-0000-0000-0000C1190000}"/>
    <cellStyle name="Normal 41 4 2 6" xfId="6589" xr:uid="{00000000-0005-0000-0000-0000C2190000}"/>
    <cellStyle name="Normal 41 4 2 7" xfId="6590" xr:uid="{00000000-0005-0000-0000-0000C3190000}"/>
    <cellStyle name="Normal 41 4 2 8" xfId="6591" xr:uid="{00000000-0005-0000-0000-0000C4190000}"/>
    <cellStyle name="Normal 41 4 2 9" xfId="6592" xr:uid="{00000000-0005-0000-0000-0000C5190000}"/>
    <cellStyle name="Normal 41 4 3" xfId="6593" xr:uid="{00000000-0005-0000-0000-0000C6190000}"/>
    <cellStyle name="Normal 41 4 4" xfId="6594" xr:uid="{00000000-0005-0000-0000-0000C7190000}"/>
    <cellStyle name="Normal 41 4 5" xfId="6595" xr:uid="{00000000-0005-0000-0000-0000C8190000}"/>
    <cellStyle name="Normal 41 4 6" xfId="6596" xr:uid="{00000000-0005-0000-0000-0000C9190000}"/>
    <cellStyle name="Normal 41 4 7" xfId="6597" xr:uid="{00000000-0005-0000-0000-0000CA190000}"/>
    <cellStyle name="Normal 41 4 8" xfId="6598" xr:uid="{00000000-0005-0000-0000-0000CB190000}"/>
    <cellStyle name="Normal 41 4 9" xfId="6599" xr:uid="{00000000-0005-0000-0000-0000CC190000}"/>
    <cellStyle name="Normal 41 5" xfId="6600" xr:uid="{00000000-0005-0000-0000-0000CD190000}"/>
    <cellStyle name="Normal 41 5 10" xfId="6601" xr:uid="{00000000-0005-0000-0000-0000CE190000}"/>
    <cellStyle name="Normal 41 5 11" xfId="6602" xr:uid="{00000000-0005-0000-0000-0000CF190000}"/>
    <cellStyle name="Normal 41 5 12" xfId="6603" xr:uid="{00000000-0005-0000-0000-0000D0190000}"/>
    <cellStyle name="Normal 41 5 13" xfId="6604" xr:uid="{00000000-0005-0000-0000-0000D1190000}"/>
    <cellStyle name="Normal 41 5 2" xfId="6605" xr:uid="{00000000-0005-0000-0000-0000D2190000}"/>
    <cellStyle name="Normal 41 5 2 10" xfId="6606" xr:uid="{00000000-0005-0000-0000-0000D3190000}"/>
    <cellStyle name="Normal 41 5 2 11" xfId="6607" xr:uid="{00000000-0005-0000-0000-0000D4190000}"/>
    <cellStyle name="Normal 41 5 2 2" xfId="6608" xr:uid="{00000000-0005-0000-0000-0000D5190000}"/>
    <cellStyle name="Normal 41 5 2 3" xfId="6609" xr:uid="{00000000-0005-0000-0000-0000D6190000}"/>
    <cellStyle name="Normal 41 5 2 4" xfId="6610" xr:uid="{00000000-0005-0000-0000-0000D7190000}"/>
    <cellStyle name="Normal 41 5 2 5" xfId="6611" xr:uid="{00000000-0005-0000-0000-0000D8190000}"/>
    <cellStyle name="Normal 41 5 2 6" xfId="6612" xr:uid="{00000000-0005-0000-0000-0000D9190000}"/>
    <cellStyle name="Normal 41 5 2 7" xfId="6613" xr:uid="{00000000-0005-0000-0000-0000DA190000}"/>
    <cellStyle name="Normal 41 5 2 8" xfId="6614" xr:uid="{00000000-0005-0000-0000-0000DB190000}"/>
    <cellStyle name="Normal 41 5 2 9" xfId="6615" xr:uid="{00000000-0005-0000-0000-0000DC190000}"/>
    <cellStyle name="Normal 41 5 3" xfId="6616" xr:uid="{00000000-0005-0000-0000-0000DD190000}"/>
    <cellStyle name="Normal 41 5 4" xfId="6617" xr:uid="{00000000-0005-0000-0000-0000DE190000}"/>
    <cellStyle name="Normal 41 5 5" xfId="6618" xr:uid="{00000000-0005-0000-0000-0000DF190000}"/>
    <cellStyle name="Normal 41 5 6" xfId="6619" xr:uid="{00000000-0005-0000-0000-0000E0190000}"/>
    <cellStyle name="Normal 41 5 7" xfId="6620" xr:uid="{00000000-0005-0000-0000-0000E1190000}"/>
    <cellStyle name="Normal 41 5 8" xfId="6621" xr:uid="{00000000-0005-0000-0000-0000E2190000}"/>
    <cellStyle name="Normal 41 5 9" xfId="6622" xr:uid="{00000000-0005-0000-0000-0000E3190000}"/>
    <cellStyle name="Normal 41 6" xfId="6623" xr:uid="{00000000-0005-0000-0000-0000E4190000}"/>
    <cellStyle name="Normal 41 6 10" xfId="6624" xr:uid="{00000000-0005-0000-0000-0000E5190000}"/>
    <cellStyle name="Normal 41 6 11" xfId="6625" xr:uid="{00000000-0005-0000-0000-0000E6190000}"/>
    <cellStyle name="Normal 41 6 12" xfId="6626" xr:uid="{00000000-0005-0000-0000-0000E7190000}"/>
    <cellStyle name="Normal 41 6 13" xfId="6627" xr:uid="{00000000-0005-0000-0000-0000E8190000}"/>
    <cellStyle name="Normal 41 6 2" xfId="6628" xr:uid="{00000000-0005-0000-0000-0000E9190000}"/>
    <cellStyle name="Normal 41 6 2 10" xfId="6629" xr:uid="{00000000-0005-0000-0000-0000EA190000}"/>
    <cellStyle name="Normal 41 6 2 11" xfId="6630" xr:uid="{00000000-0005-0000-0000-0000EB190000}"/>
    <cellStyle name="Normal 41 6 2 2" xfId="6631" xr:uid="{00000000-0005-0000-0000-0000EC190000}"/>
    <cellStyle name="Normal 41 6 2 3" xfId="6632" xr:uid="{00000000-0005-0000-0000-0000ED190000}"/>
    <cellStyle name="Normal 41 6 2 4" xfId="6633" xr:uid="{00000000-0005-0000-0000-0000EE190000}"/>
    <cellStyle name="Normal 41 6 2 5" xfId="6634" xr:uid="{00000000-0005-0000-0000-0000EF190000}"/>
    <cellStyle name="Normal 41 6 2 6" xfId="6635" xr:uid="{00000000-0005-0000-0000-0000F0190000}"/>
    <cellStyle name="Normal 41 6 2 7" xfId="6636" xr:uid="{00000000-0005-0000-0000-0000F1190000}"/>
    <cellStyle name="Normal 41 6 2 8" xfId="6637" xr:uid="{00000000-0005-0000-0000-0000F2190000}"/>
    <cellStyle name="Normal 41 6 2 9" xfId="6638" xr:uid="{00000000-0005-0000-0000-0000F3190000}"/>
    <cellStyle name="Normal 41 6 3" xfId="6639" xr:uid="{00000000-0005-0000-0000-0000F4190000}"/>
    <cellStyle name="Normal 41 6 4" xfId="6640" xr:uid="{00000000-0005-0000-0000-0000F5190000}"/>
    <cellStyle name="Normal 41 6 5" xfId="6641" xr:uid="{00000000-0005-0000-0000-0000F6190000}"/>
    <cellStyle name="Normal 41 6 6" xfId="6642" xr:uid="{00000000-0005-0000-0000-0000F7190000}"/>
    <cellStyle name="Normal 41 6 7" xfId="6643" xr:uid="{00000000-0005-0000-0000-0000F8190000}"/>
    <cellStyle name="Normal 41 6 8" xfId="6644" xr:uid="{00000000-0005-0000-0000-0000F9190000}"/>
    <cellStyle name="Normal 41 6 9" xfId="6645" xr:uid="{00000000-0005-0000-0000-0000FA190000}"/>
    <cellStyle name="Normal 41 7" xfId="6646" xr:uid="{00000000-0005-0000-0000-0000FB190000}"/>
    <cellStyle name="Normal 41 7 10" xfId="6647" xr:uid="{00000000-0005-0000-0000-0000FC190000}"/>
    <cellStyle name="Normal 41 7 11" xfId="6648" xr:uid="{00000000-0005-0000-0000-0000FD190000}"/>
    <cellStyle name="Normal 41 7 12" xfId="6649" xr:uid="{00000000-0005-0000-0000-0000FE190000}"/>
    <cellStyle name="Normal 41 7 13" xfId="6650" xr:uid="{00000000-0005-0000-0000-0000FF190000}"/>
    <cellStyle name="Normal 41 7 2" xfId="6651" xr:uid="{00000000-0005-0000-0000-0000001A0000}"/>
    <cellStyle name="Normal 41 7 2 10" xfId="6652" xr:uid="{00000000-0005-0000-0000-0000011A0000}"/>
    <cellStyle name="Normal 41 7 2 11" xfId="6653" xr:uid="{00000000-0005-0000-0000-0000021A0000}"/>
    <cellStyle name="Normal 41 7 2 2" xfId="6654" xr:uid="{00000000-0005-0000-0000-0000031A0000}"/>
    <cellStyle name="Normal 41 7 2 3" xfId="6655" xr:uid="{00000000-0005-0000-0000-0000041A0000}"/>
    <cellStyle name="Normal 41 7 2 4" xfId="6656" xr:uid="{00000000-0005-0000-0000-0000051A0000}"/>
    <cellStyle name="Normal 41 7 2 5" xfId="6657" xr:uid="{00000000-0005-0000-0000-0000061A0000}"/>
    <cellStyle name="Normal 41 7 2 6" xfId="6658" xr:uid="{00000000-0005-0000-0000-0000071A0000}"/>
    <cellStyle name="Normal 41 7 2 7" xfId="6659" xr:uid="{00000000-0005-0000-0000-0000081A0000}"/>
    <cellStyle name="Normal 41 7 2 8" xfId="6660" xr:uid="{00000000-0005-0000-0000-0000091A0000}"/>
    <cellStyle name="Normal 41 7 2 9" xfId="6661" xr:uid="{00000000-0005-0000-0000-00000A1A0000}"/>
    <cellStyle name="Normal 41 7 3" xfId="6662" xr:uid="{00000000-0005-0000-0000-00000B1A0000}"/>
    <cellStyle name="Normal 41 7 4" xfId="6663" xr:uid="{00000000-0005-0000-0000-00000C1A0000}"/>
    <cellStyle name="Normal 41 7 5" xfId="6664" xr:uid="{00000000-0005-0000-0000-00000D1A0000}"/>
    <cellStyle name="Normal 41 7 6" xfId="6665" xr:uid="{00000000-0005-0000-0000-00000E1A0000}"/>
    <cellStyle name="Normal 41 7 7" xfId="6666" xr:uid="{00000000-0005-0000-0000-00000F1A0000}"/>
    <cellStyle name="Normal 41 7 8" xfId="6667" xr:uid="{00000000-0005-0000-0000-0000101A0000}"/>
    <cellStyle name="Normal 41 7 9" xfId="6668" xr:uid="{00000000-0005-0000-0000-0000111A0000}"/>
    <cellStyle name="Normal 41 8" xfId="6669" xr:uid="{00000000-0005-0000-0000-0000121A0000}"/>
    <cellStyle name="Normal 41 8 10" xfId="6670" xr:uid="{00000000-0005-0000-0000-0000131A0000}"/>
    <cellStyle name="Normal 41 8 11" xfId="6671" xr:uid="{00000000-0005-0000-0000-0000141A0000}"/>
    <cellStyle name="Normal 41 8 12" xfId="6672" xr:uid="{00000000-0005-0000-0000-0000151A0000}"/>
    <cellStyle name="Normal 41 8 13" xfId="6673" xr:uid="{00000000-0005-0000-0000-0000161A0000}"/>
    <cellStyle name="Normal 41 8 2" xfId="6674" xr:uid="{00000000-0005-0000-0000-0000171A0000}"/>
    <cellStyle name="Normal 41 8 2 10" xfId="6675" xr:uid="{00000000-0005-0000-0000-0000181A0000}"/>
    <cellStyle name="Normal 41 8 2 11" xfId="6676" xr:uid="{00000000-0005-0000-0000-0000191A0000}"/>
    <cellStyle name="Normal 41 8 2 2" xfId="6677" xr:uid="{00000000-0005-0000-0000-00001A1A0000}"/>
    <cellStyle name="Normal 41 8 2 3" xfId="6678" xr:uid="{00000000-0005-0000-0000-00001B1A0000}"/>
    <cellStyle name="Normal 41 8 2 4" xfId="6679" xr:uid="{00000000-0005-0000-0000-00001C1A0000}"/>
    <cellStyle name="Normal 41 8 2 5" xfId="6680" xr:uid="{00000000-0005-0000-0000-00001D1A0000}"/>
    <cellStyle name="Normal 41 8 2 6" xfId="6681" xr:uid="{00000000-0005-0000-0000-00001E1A0000}"/>
    <cellStyle name="Normal 41 8 2 7" xfId="6682" xr:uid="{00000000-0005-0000-0000-00001F1A0000}"/>
    <cellStyle name="Normal 41 8 2 8" xfId="6683" xr:uid="{00000000-0005-0000-0000-0000201A0000}"/>
    <cellStyle name="Normal 41 8 2 9" xfId="6684" xr:uid="{00000000-0005-0000-0000-0000211A0000}"/>
    <cellStyle name="Normal 41 8 3" xfId="6685" xr:uid="{00000000-0005-0000-0000-0000221A0000}"/>
    <cellStyle name="Normal 41 8 4" xfId="6686" xr:uid="{00000000-0005-0000-0000-0000231A0000}"/>
    <cellStyle name="Normal 41 8 5" xfId="6687" xr:uid="{00000000-0005-0000-0000-0000241A0000}"/>
    <cellStyle name="Normal 41 8 6" xfId="6688" xr:uid="{00000000-0005-0000-0000-0000251A0000}"/>
    <cellStyle name="Normal 41 8 7" xfId="6689" xr:uid="{00000000-0005-0000-0000-0000261A0000}"/>
    <cellStyle name="Normal 41 8 8" xfId="6690" xr:uid="{00000000-0005-0000-0000-0000271A0000}"/>
    <cellStyle name="Normal 41 8 9" xfId="6691" xr:uid="{00000000-0005-0000-0000-0000281A0000}"/>
    <cellStyle name="Normal 41 9" xfId="6692" xr:uid="{00000000-0005-0000-0000-0000291A0000}"/>
    <cellStyle name="Normal 41 9 10" xfId="6693" xr:uid="{00000000-0005-0000-0000-00002A1A0000}"/>
    <cellStyle name="Normal 41 9 11" xfId="6694" xr:uid="{00000000-0005-0000-0000-00002B1A0000}"/>
    <cellStyle name="Normal 41 9 12" xfId="6695" xr:uid="{00000000-0005-0000-0000-00002C1A0000}"/>
    <cellStyle name="Normal 41 9 13" xfId="6696" xr:uid="{00000000-0005-0000-0000-00002D1A0000}"/>
    <cellStyle name="Normal 41 9 2" xfId="6697" xr:uid="{00000000-0005-0000-0000-00002E1A0000}"/>
    <cellStyle name="Normal 41 9 2 10" xfId="6698" xr:uid="{00000000-0005-0000-0000-00002F1A0000}"/>
    <cellStyle name="Normal 41 9 2 11" xfId="6699" xr:uid="{00000000-0005-0000-0000-0000301A0000}"/>
    <cellStyle name="Normal 41 9 2 2" xfId="6700" xr:uid="{00000000-0005-0000-0000-0000311A0000}"/>
    <cellStyle name="Normal 41 9 2 3" xfId="6701" xr:uid="{00000000-0005-0000-0000-0000321A0000}"/>
    <cellStyle name="Normal 41 9 2 4" xfId="6702" xr:uid="{00000000-0005-0000-0000-0000331A0000}"/>
    <cellStyle name="Normal 41 9 2 5" xfId="6703" xr:uid="{00000000-0005-0000-0000-0000341A0000}"/>
    <cellStyle name="Normal 41 9 2 6" xfId="6704" xr:uid="{00000000-0005-0000-0000-0000351A0000}"/>
    <cellStyle name="Normal 41 9 2 7" xfId="6705" xr:uid="{00000000-0005-0000-0000-0000361A0000}"/>
    <cellStyle name="Normal 41 9 2 8" xfId="6706" xr:uid="{00000000-0005-0000-0000-0000371A0000}"/>
    <cellStyle name="Normal 41 9 2 9" xfId="6707" xr:uid="{00000000-0005-0000-0000-0000381A0000}"/>
    <cellStyle name="Normal 41 9 3" xfId="6708" xr:uid="{00000000-0005-0000-0000-0000391A0000}"/>
    <cellStyle name="Normal 41 9 4" xfId="6709" xr:uid="{00000000-0005-0000-0000-00003A1A0000}"/>
    <cellStyle name="Normal 41 9 5" xfId="6710" xr:uid="{00000000-0005-0000-0000-00003B1A0000}"/>
    <cellStyle name="Normal 41 9 6" xfId="6711" xr:uid="{00000000-0005-0000-0000-00003C1A0000}"/>
    <cellStyle name="Normal 41 9 7" xfId="6712" xr:uid="{00000000-0005-0000-0000-00003D1A0000}"/>
    <cellStyle name="Normal 41 9 8" xfId="6713" xr:uid="{00000000-0005-0000-0000-00003E1A0000}"/>
    <cellStyle name="Normal 41 9 9" xfId="6714" xr:uid="{00000000-0005-0000-0000-00003F1A0000}"/>
    <cellStyle name="Normal 42" xfId="6715" xr:uid="{00000000-0005-0000-0000-0000401A0000}"/>
    <cellStyle name="Normal 42 10" xfId="6716" xr:uid="{00000000-0005-0000-0000-0000411A0000}"/>
    <cellStyle name="Normal 42 10 10" xfId="6717" xr:uid="{00000000-0005-0000-0000-0000421A0000}"/>
    <cellStyle name="Normal 42 10 11" xfId="6718" xr:uid="{00000000-0005-0000-0000-0000431A0000}"/>
    <cellStyle name="Normal 42 10 12" xfId="6719" xr:uid="{00000000-0005-0000-0000-0000441A0000}"/>
    <cellStyle name="Normal 42 10 13" xfId="6720" xr:uid="{00000000-0005-0000-0000-0000451A0000}"/>
    <cellStyle name="Normal 42 10 2" xfId="6721" xr:uid="{00000000-0005-0000-0000-0000461A0000}"/>
    <cellStyle name="Normal 42 10 2 10" xfId="6722" xr:uid="{00000000-0005-0000-0000-0000471A0000}"/>
    <cellStyle name="Normal 42 10 2 11" xfId="6723" xr:uid="{00000000-0005-0000-0000-0000481A0000}"/>
    <cellStyle name="Normal 42 10 2 2" xfId="6724" xr:uid="{00000000-0005-0000-0000-0000491A0000}"/>
    <cellStyle name="Normal 42 10 2 3" xfId="6725" xr:uid="{00000000-0005-0000-0000-00004A1A0000}"/>
    <cellStyle name="Normal 42 10 2 4" xfId="6726" xr:uid="{00000000-0005-0000-0000-00004B1A0000}"/>
    <cellStyle name="Normal 42 10 2 5" xfId="6727" xr:uid="{00000000-0005-0000-0000-00004C1A0000}"/>
    <cellStyle name="Normal 42 10 2 6" xfId="6728" xr:uid="{00000000-0005-0000-0000-00004D1A0000}"/>
    <cellStyle name="Normal 42 10 2 7" xfId="6729" xr:uid="{00000000-0005-0000-0000-00004E1A0000}"/>
    <cellStyle name="Normal 42 10 2 8" xfId="6730" xr:uid="{00000000-0005-0000-0000-00004F1A0000}"/>
    <cellStyle name="Normal 42 10 2 9" xfId="6731" xr:uid="{00000000-0005-0000-0000-0000501A0000}"/>
    <cellStyle name="Normal 42 10 3" xfId="6732" xr:uid="{00000000-0005-0000-0000-0000511A0000}"/>
    <cellStyle name="Normal 42 10 4" xfId="6733" xr:uid="{00000000-0005-0000-0000-0000521A0000}"/>
    <cellStyle name="Normal 42 10 5" xfId="6734" xr:uid="{00000000-0005-0000-0000-0000531A0000}"/>
    <cellStyle name="Normal 42 10 6" xfId="6735" xr:uid="{00000000-0005-0000-0000-0000541A0000}"/>
    <cellStyle name="Normal 42 10 7" xfId="6736" xr:uid="{00000000-0005-0000-0000-0000551A0000}"/>
    <cellStyle name="Normal 42 10 8" xfId="6737" xr:uid="{00000000-0005-0000-0000-0000561A0000}"/>
    <cellStyle name="Normal 42 10 9" xfId="6738" xr:uid="{00000000-0005-0000-0000-0000571A0000}"/>
    <cellStyle name="Normal 42 11" xfId="6739" xr:uid="{00000000-0005-0000-0000-0000581A0000}"/>
    <cellStyle name="Normal 42 11 10" xfId="6740" xr:uid="{00000000-0005-0000-0000-0000591A0000}"/>
    <cellStyle name="Normal 42 11 11" xfId="6741" xr:uid="{00000000-0005-0000-0000-00005A1A0000}"/>
    <cellStyle name="Normal 42 11 12" xfId="6742" xr:uid="{00000000-0005-0000-0000-00005B1A0000}"/>
    <cellStyle name="Normal 42 11 13" xfId="6743" xr:uid="{00000000-0005-0000-0000-00005C1A0000}"/>
    <cellStyle name="Normal 42 11 2" xfId="6744" xr:uid="{00000000-0005-0000-0000-00005D1A0000}"/>
    <cellStyle name="Normal 42 11 2 10" xfId="6745" xr:uid="{00000000-0005-0000-0000-00005E1A0000}"/>
    <cellStyle name="Normal 42 11 2 11" xfId="6746" xr:uid="{00000000-0005-0000-0000-00005F1A0000}"/>
    <cellStyle name="Normal 42 11 2 2" xfId="6747" xr:uid="{00000000-0005-0000-0000-0000601A0000}"/>
    <cellStyle name="Normal 42 11 2 3" xfId="6748" xr:uid="{00000000-0005-0000-0000-0000611A0000}"/>
    <cellStyle name="Normal 42 11 2 4" xfId="6749" xr:uid="{00000000-0005-0000-0000-0000621A0000}"/>
    <cellStyle name="Normal 42 11 2 5" xfId="6750" xr:uid="{00000000-0005-0000-0000-0000631A0000}"/>
    <cellStyle name="Normal 42 11 2 6" xfId="6751" xr:uid="{00000000-0005-0000-0000-0000641A0000}"/>
    <cellStyle name="Normal 42 11 2 7" xfId="6752" xr:uid="{00000000-0005-0000-0000-0000651A0000}"/>
    <cellStyle name="Normal 42 11 2 8" xfId="6753" xr:uid="{00000000-0005-0000-0000-0000661A0000}"/>
    <cellStyle name="Normal 42 11 2 9" xfId="6754" xr:uid="{00000000-0005-0000-0000-0000671A0000}"/>
    <cellStyle name="Normal 42 11 3" xfId="6755" xr:uid="{00000000-0005-0000-0000-0000681A0000}"/>
    <cellStyle name="Normal 42 11 4" xfId="6756" xr:uid="{00000000-0005-0000-0000-0000691A0000}"/>
    <cellStyle name="Normal 42 11 5" xfId="6757" xr:uid="{00000000-0005-0000-0000-00006A1A0000}"/>
    <cellStyle name="Normal 42 11 6" xfId="6758" xr:uid="{00000000-0005-0000-0000-00006B1A0000}"/>
    <cellStyle name="Normal 42 11 7" xfId="6759" xr:uid="{00000000-0005-0000-0000-00006C1A0000}"/>
    <cellStyle name="Normal 42 11 8" xfId="6760" xr:uid="{00000000-0005-0000-0000-00006D1A0000}"/>
    <cellStyle name="Normal 42 11 9" xfId="6761" xr:uid="{00000000-0005-0000-0000-00006E1A0000}"/>
    <cellStyle name="Normal 42 12" xfId="6762" xr:uid="{00000000-0005-0000-0000-00006F1A0000}"/>
    <cellStyle name="Normal 42 12 10" xfId="6763" xr:uid="{00000000-0005-0000-0000-0000701A0000}"/>
    <cellStyle name="Normal 42 12 11" xfId="6764" xr:uid="{00000000-0005-0000-0000-0000711A0000}"/>
    <cellStyle name="Normal 42 12 12" xfId="6765" xr:uid="{00000000-0005-0000-0000-0000721A0000}"/>
    <cellStyle name="Normal 42 12 13" xfId="6766" xr:uid="{00000000-0005-0000-0000-0000731A0000}"/>
    <cellStyle name="Normal 42 12 2" xfId="6767" xr:uid="{00000000-0005-0000-0000-0000741A0000}"/>
    <cellStyle name="Normal 42 12 2 10" xfId="6768" xr:uid="{00000000-0005-0000-0000-0000751A0000}"/>
    <cellStyle name="Normal 42 12 2 11" xfId="6769" xr:uid="{00000000-0005-0000-0000-0000761A0000}"/>
    <cellStyle name="Normal 42 12 2 2" xfId="6770" xr:uid="{00000000-0005-0000-0000-0000771A0000}"/>
    <cellStyle name="Normal 42 12 2 3" xfId="6771" xr:uid="{00000000-0005-0000-0000-0000781A0000}"/>
    <cellStyle name="Normal 42 12 2 4" xfId="6772" xr:uid="{00000000-0005-0000-0000-0000791A0000}"/>
    <cellStyle name="Normal 42 12 2 5" xfId="6773" xr:uid="{00000000-0005-0000-0000-00007A1A0000}"/>
    <cellStyle name="Normal 42 12 2 6" xfId="6774" xr:uid="{00000000-0005-0000-0000-00007B1A0000}"/>
    <cellStyle name="Normal 42 12 2 7" xfId="6775" xr:uid="{00000000-0005-0000-0000-00007C1A0000}"/>
    <cellStyle name="Normal 42 12 2 8" xfId="6776" xr:uid="{00000000-0005-0000-0000-00007D1A0000}"/>
    <cellStyle name="Normal 42 12 2 9" xfId="6777" xr:uid="{00000000-0005-0000-0000-00007E1A0000}"/>
    <cellStyle name="Normal 42 12 3" xfId="6778" xr:uid="{00000000-0005-0000-0000-00007F1A0000}"/>
    <cellStyle name="Normal 42 12 4" xfId="6779" xr:uid="{00000000-0005-0000-0000-0000801A0000}"/>
    <cellStyle name="Normal 42 12 5" xfId="6780" xr:uid="{00000000-0005-0000-0000-0000811A0000}"/>
    <cellStyle name="Normal 42 12 6" xfId="6781" xr:uid="{00000000-0005-0000-0000-0000821A0000}"/>
    <cellStyle name="Normal 42 12 7" xfId="6782" xr:uid="{00000000-0005-0000-0000-0000831A0000}"/>
    <cellStyle name="Normal 42 12 8" xfId="6783" xr:uid="{00000000-0005-0000-0000-0000841A0000}"/>
    <cellStyle name="Normal 42 12 9" xfId="6784" xr:uid="{00000000-0005-0000-0000-0000851A0000}"/>
    <cellStyle name="Normal 42 13" xfId="6785" xr:uid="{00000000-0005-0000-0000-0000861A0000}"/>
    <cellStyle name="Normal 42 13 10" xfId="6786" xr:uid="{00000000-0005-0000-0000-0000871A0000}"/>
    <cellStyle name="Normal 42 13 11" xfId="6787" xr:uid="{00000000-0005-0000-0000-0000881A0000}"/>
    <cellStyle name="Normal 42 13 12" xfId="6788" xr:uid="{00000000-0005-0000-0000-0000891A0000}"/>
    <cellStyle name="Normal 42 13 13" xfId="6789" xr:uid="{00000000-0005-0000-0000-00008A1A0000}"/>
    <cellStyle name="Normal 42 13 2" xfId="6790" xr:uid="{00000000-0005-0000-0000-00008B1A0000}"/>
    <cellStyle name="Normal 42 13 2 10" xfId="6791" xr:uid="{00000000-0005-0000-0000-00008C1A0000}"/>
    <cellStyle name="Normal 42 13 2 11" xfId="6792" xr:uid="{00000000-0005-0000-0000-00008D1A0000}"/>
    <cellStyle name="Normal 42 13 2 2" xfId="6793" xr:uid="{00000000-0005-0000-0000-00008E1A0000}"/>
    <cellStyle name="Normal 42 13 2 3" xfId="6794" xr:uid="{00000000-0005-0000-0000-00008F1A0000}"/>
    <cellStyle name="Normal 42 13 2 4" xfId="6795" xr:uid="{00000000-0005-0000-0000-0000901A0000}"/>
    <cellStyle name="Normal 42 13 2 5" xfId="6796" xr:uid="{00000000-0005-0000-0000-0000911A0000}"/>
    <cellStyle name="Normal 42 13 2 6" xfId="6797" xr:uid="{00000000-0005-0000-0000-0000921A0000}"/>
    <cellStyle name="Normal 42 13 2 7" xfId="6798" xr:uid="{00000000-0005-0000-0000-0000931A0000}"/>
    <cellStyle name="Normal 42 13 2 8" xfId="6799" xr:uid="{00000000-0005-0000-0000-0000941A0000}"/>
    <cellStyle name="Normal 42 13 2 9" xfId="6800" xr:uid="{00000000-0005-0000-0000-0000951A0000}"/>
    <cellStyle name="Normal 42 13 3" xfId="6801" xr:uid="{00000000-0005-0000-0000-0000961A0000}"/>
    <cellStyle name="Normal 42 13 4" xfId="6802" xr:uid="{00000000-0005-0000-0000-0000971A0000}"/>
    <cellStyle name="Normal 42 13 5" xfId="6803" xr:uid="{00000000-0005-0000-0000-0000981A0000}"/>
    <cellStyle name="Normal 42 13 6" xfId="6804" xr:uid="{00000000-0005-0000-0000-0000991A0000}"/>
    <cellStyle name="Normal 42 13 7" xfId="6805" xr:uid="{00000000-0005-0000-0000-00009A1A0000}"/>
    <cellStyle name="Normal 42 13 8" xfId="6806" xr:uid="{00000000-0005-0000-0000-00009B1A0000}"/>
    <cellStyle name="Normal 42 13 9" xfId="6807" xr:uid="{00000000-0005-0000-0000-00009C1A0000}"/>
    <cellStyle name="Normal 42 14" xfId="6808" xr:uid="{00000000-0005-0000-0000-00009D1A0000}"/>
    <cellStyle name="Normal 42 14 10" xfId="6809" xr:uid="{00000000-0005-0000-0000-00009E1A0000}"/>
    <cellStyle name="Normal 42 14 11" xfId="6810" xr:uid="{00000000-0005-0000-0000-00009F1A0000}"/>
    <cellStyle name="Normal 42 14 2" xfId="6811" xr:uid="{00000000-0005-0000-0000-0000A01A0000}"/>
    <cellStyle name="Normal 42 14 3" xfId="6812" xr:uid="{00000000-0005-0000-0000-0000A11A0000}"/>
    <cellStyle name="Normal 42 14 4" xfId="6813" xr:uid="{00000000-0005-0000-0000-0000A21A0000}"/>
    <cellStyle name="Normal 42 14 5" xfId="6814" xr:uid="{00000000-0005-0000-0000-0000A31A0000}"/>
    <cellStyle name="Normal 42 14 6" xfId="6815" xr:uid="{00000000-0005-0000-0000-0000A41A0000}"/>
    <cellStyle name="Normal 42 14 7" xfId="6816" xr:uid="{00000000-0005-0000-0000-0000A51A0000}"/>
    <cellStyle name="Normal 42 14 8" xfId="6817" xr:uid="{00000000-0005-0000-0000-0000A61A0000}"/>
    <cellStyle name="Normal 42 14 9" xfId="6818" xr:uid="{00000000-0005-0000-0000-0000A71A0000}"/>
    <cellStyle name="Normal 42 15" xfId="6819" xr:uid="{00000000-0005-0000-0000-0000A81A0000}"/>
    <cellStyle name="Normal 42 16" xfId="6820" xr:uid="{00000000-0005-0000-0000-0000A91A0000}"/>
    <cellStyle name="Normal 42 17" xfId="6821" xr:uid="{00000000-0005-0000-0000-0000AA1A0000}"/>
    <cellStyle name="Normal 42 18" xfId="6822" xr:uid="{00000000-0005-0000-0000-0000AB1A0000}"/>
    <cellStyle name="Normal 42 19" xfId="6823" xr:uid="{00000000-0005-0000-0000-0000AC1A0000}"/>
    <cellStyle name="Normal 42 2" xfId="6824" xr:uid="{00000000-0005-0000-0000-0000AD1A0000}"/>
    <cellStyle name="Normal 42 2 10" xfId="6825" xr:uid="{00000000-0005-0000-0000-0000AE1A0000}"/>
    <cellStyle name="Normal 42 2 11" xfId="6826" xr:uid="{00000000-0005-0000-0000-0000AF1A0000}"/>
    <cellStyle name="Normal 42 2 12" xfId="6827" xr:uid="{00000000-0005-0000-0000-0000B01A0000}"/>
    <cellStyle name="Normal 42 2 13" xfId="6828" xr:uid="{00000000-0005-0000-0000-0000B11A0000}"/>
    <cellStyle name="Normal 42 2 2" xfId="6829" xr:uid="{00000000-0005-0000-0000-0000B21A0000}"/>
    <cellStyle name="Normal 42 2 2 10" xfId="6830" xr:uid="{00000000-0005-0000-0000-0000B31A0000}"/>
    <cellStyle name="Normal 42 2 2 11" xfId="6831" xr:uid="{00000000-0005-0000-0000-0000B41A0000}"/>
    <cellStyle name="Normal 42 2 2 2" xfId="6832" xr:uid="{00000000-0005-0000-0000-0000B51A0000}"/>
    <cellStyle name="Normal 42 2 2 3" xfId="6833" xr:uid="{00000000-0005-0000-0000-0000B61A0000}"/>
    <cellStyle name="Normal 42 2 2 4" xfId="6834" xr:uid="{00000000-0005-0000-0000-0000B71A0000}"/>
    <cellStyle name="Normal 42 2 2 5" xfId="6835" xr:uid="{00000000-0005-0000-0000-0000B81A0000}"/>
    <cellStyle name="Normal 42 2 2 6" xfId="6836" xr:uid="{00000000-0005-0000-0000-0000B91A0000}"/>
    <cellStyle name="Normal 42 2 2 7" xfId="6837" xr:uid="{00000000-0005-0000-0000-0000BA1A0000}"/>
    <cellStyle name="Normal 42 2 2 8" xfId="6838" xr:uid="{00000000-0005-0000-0000-0000BB1A0000}"/>
    <cellStyle name="Normal 42 2 2 9" xfId="6839" xr:uid="{00000000-0005-0000-0000-0000BC1A0000}"/>
    <cellStyle name="Normal 42 2 3" xfId="6840" xr:uid="{00000000-0005-0000-0000-0000BD1A0000}"/>
    <cellStyle name="Normal 42 2 4" xfId="6841" xr:uid="{00000000-0005-0000-0000-0000BE1A0000}"/>
    <cellStyle name="Normal 42 2 5" xfId="6842" xr:uid="{00000000-0005-0000-0000-0000BF1A0000}"/>
    <cellStyle name="Normal 42 2 6" xfId="6843" xr:uid="{00000000-0005-0000-0000-0000C01A0000}"/>
    <cellStyle name="Normal 42 2 7" xfId="6844" xr:uid="{00000000-0005-0000-0000-0000C11A0000}"/>
    <cellStyle name="Normal 42 2 8" xfId="6845" xr:uid="{00000000-0005-0000-0000-0000C21A0000}"/>
    <cellStyle name="Normal 42 2 9" xfId="6846" xr:uid="{00000000-0005-0000-0000-0000C31A0000}"/>
    <cellStyle name="Normal 42 20" xfId="6847" xr:uid="{00000000-0005-0000-0000-0000C41A0000}"/>
    <cellStyle name="Normal 42 21" xfId="6848" xr:uid="{00000000-0005-0000-0000-0000C51A0000}"/>
    <cellStyle name="Normal 42 22" xfId="6849" xr:uid="{00000000-0005-0000-0000-0000C61A0000}"/>
    <cellStyle name="Normal 42 23" xfId="6850" xr:uid="{00000000-0005-0000-0000-0000C71A0000}"/>
    <cellStyle name="Normal 42 24" xfId="6851" xr:uid="{00000000-0005-0000-0000-0000C81A0000}"/>
    <cellStyle name="Normal 42 25" xfId="6852" xr:uid="{00000000-0005-0000-0000-0000C91A0000}"/>
    <cellStyle name="Normal 42 3" xfId="6853" xr:uid="{00000000-0005-0000-0000-0000CA1A0000}"/>
    <cellStyle name="Normal 42 3 10" xfId="6854" xr:uid="{00000000-0005-0000-0000-0000CB1A0000}"/>
    <cellStyle name="Normal 42 3 11" xfId="6855" xr:uid="{00000000-0005-0000-0000-0000CC1A0000}"/>
    <cellStyle name="Normal 42 3 12" xfId="6856" xr:uid="{00000000-0005-0000-0000-0000CD1A0000}"/>
    <cellStyle name="Normal 42 3 13" xfId="6857" xr:uid="{00000000-0005-0000-0000-0000CE1A0000}"/>
    <cellStyle name="Normal 42 3 2" xfId="6858" xr:uid="{00000000-0005-0000-0000-0000CF1A0000}"/>
    <cellStyle name="Normal 42 3 2 10" xfId="6859" xr:uid="{00000000-0005-0000-0000-0000D01A0000}"/>
    <cellStyle name="Normal 42 3 2 11" xfId="6860" xr:uid="{00000000-0005-0000-0000-0000D11A0000}"/>
    <cellStyle name="Normal 42 3 2 2" xfId="6861" xr:uid="{00000000-0005-0000-0000-0000D21A0000}"/>
    <cellStyle name="Normal 42 3 2 3" xfId="6862" xr:uid="{00000000-0005-0000-0000-0000D31A0000}"/>
    <cellStyle name="Normal 42 3 2 4" xfId="6863" xr:uid="{00000000-0005-0000-0000-0000D41A0000}"/>
    <cellStyle name="Normal 42 3 2 5" xfId="6864" xr:uid="{00000000-0005-0000-0000-0000D51A0000}"/>
    <cellStyle name="Normal 42 3 2 6" xfId="6865" xr:uid="{00000000-0005-0000-0000-0000D61A0000}"/>
    <cellStyle name="Normal 42 3 2 7" xfId="6866" xr:uid="{00000000-0005-0000-0000-0000D71A0000}"/>
    <cellStyle name="Normal 42 3 2 8" xfId="6867" xr:uid="{00000000-0005-0000-0000-0000D81A0000}"/>
    <cellStyle name="Normal 42 3 2 9" xfId="6868" xr:uid="{00000000-0005-0000-0000-0000D91A0000}"/>
    <cellStyle name="Normal 42 3 3" xfId="6869" xr:uid="{00000000-0005-0000-0000-0000DA1A0000}"/>
    <cellStyle name="Normal 42 3 4" xfId="6870" xr:uid="{00000000-0005-0000-0000-0000DB1A0000}"/>
    <cellStyle name="Normal 42 3 5" xfId="6871" xr:uid="{00000000-0005-0000-0000-0000DC1A0000}"/>
    <cellStyle name="Normal 42 3 6" xfId="6872" xr:uid="{00000000-0005-0000-0000-0000DD1A0000}"/>
    <cellStyle name="Normal 42 3 7" xfId="6873" xr:uid="{00000000-0005-0000-0000-0000DE1A0000}"/>
    <cellStyle name="Normal 42 3 8" xfId="6874" xr:uid="{00000000-0005-0000-0000-0000DF1A0000}"/>
    <cellStyle name="Normal 42 3 9" xfId="6875" xr:uid="{00000000-0005-0000-0000-0000E01A0000}"/>
    <cellStyle name="Normal 42 4" xfId="6876" xr:uid="{00000000-0005-0000-0000-0000E11A0000}"/>
    <cellStyle name="Normal 42 4 10" xfId="6877" xr:uid="{00000000-0005-0000-0000-0000E21A0000}"/>
    <cellStyle name="Normal 42 4 11" xfId="6878" xr:uid="{00000000-0005-0000-0000-0000E31A0000}"/>
    <cellStyle name="Normal 42 4 12" xfId="6879" xr:uid="{00000000-0005-0000-0000-0000E41A0000}"/>
    <cellStyle name="Normal 42 4 13" xfId="6880" xr:uid="{00000000-0005-0000-0000-0000E51A0000}"/>
    <cellStyle name="Normal 42 4 2" xfId="6881" xr:uid="{00000000-0005-0000-0000-0000E61A0000}"/>
    <cellStyle name="Normal 42 4 2 10" xfId="6882" xr:uid="{00000000-0005-0000-0000-0000E71A0000}"/>
    <cellStyle name="Normal 42 4 2 11" xfId="6883" xr:uid="{00000000-0005-0000-0000-0000E81A0000}"/>
    <cellStyle name="Normal 42 4 2 2" xfId="6884" xr:uid="{00000000-0005-0000-0000-0000E91A0000}"/>
    <cellStyle name="Normal 42 4 2 3" xfId="6885" xr:uid="{00000000-0005-0000-0000-0000EA1A0000}"/>
    <cellStyle name="Normal 42 4 2 4" xfId="6886" xr:uid="{00000000-0005-0000-0000-0000EB1A0000}"/>
    <cellStyle name="Normal 42 4 2 5" xfId="6887" xr:uid="{00000000-0005-0000-0000-0000EC1A0000}"/>
    <cellStyle name="Normal 42 4 2 6" xfId="6888" xr:uid="{00000000-0005-0000-0000-0000ED1A0000}"/>
    <cellStyle name="Normal 42 4 2 7" xfId="6889" xr:uid="{00000000-0005-0000-0000-0000EE1A0000}"/>
    <cellStyle name="Normal 42 4 2 8" xfId="6890" xr:uid="{00000000-0005-0000-0000-0000EF1A0000}"/>
    <cellStyle name="Normal 42 4 2 9" xfId="6891" xr:uid="{00000000-0005-0000-0000-0000F01A0000}"/>
    <cellStyle name="Normal 42 4 3" xfId="6892" xr:uid="{00000000-0005-0000-0000-0000F11A0000}"/>
    <cellStyle name="Normal 42 4 4" xfId="6893" xr:uid="{00000000-0005-0000-0000-0000F21A0000}"/>
    <cellStyle name="Normal 42 4 5" xfId="6894" xr:uid="{00000000-0005-0000-0000-0000F31A0000}"/>
    <cellStyle name="Normal 42 4 6" xfId="6895" xr:uid="{00000000-0005-0000-0000-0000F41A0000}"/>
    <cellStyle name="Normal 42 4 7" xfId="6896" xr:uid="{00000000-0005-0000-0000-0000F51A0000}"/>
    <cellStyle name="Normal 42 4 8" xfId="6897" xr:uid="{00000000-0005-0000-0000-0000F61A0000}"/>
    <cellStyle name="Normal 42 4 9" xfId="6898" xr:uid="{00000000-0005-0000-0000-0000F71A0000}"/>
    <cellStyle name="Normal 42 5" xfId="6899" xr:uid="{00000000-0005-0000-0000-0000F81A0000}"/>
    <cellStyle name="Normal 42 5 10" xfId="6900" xr:uid="{00000000-0005-0000-0000-0000F91A0000}"/>
    <cellStyle name="Normal 42 5 11" xfId="6901" xr:uid="{00000000-0005-0000-0000-0000FA1A0000}"/>
    <cellStyle name="Normal 42 5 12" xfId="6902" xr:uid="{00000000-0005-0000-0000-0000FB1A0000}"/>
    <cellStyle name="Normal 42 5 13" xfId="6903" xr:uid="{00000000-0005-0000-0000-0000FC1A0000}"/>
    <cellStyle name="Normal 42 5 2" xfId="6904" xr:uid="{00000000-0005-0000-0000-0000FD1A0000}"/>
    <cellStyle name="Normal 42 5 2 10" xfId="6905" xr:uid="{00000000-0005-0000-0000-0000FE1A0000}"/>
    <cellStyle name="Normal 42 5 2 11" xfId="6906" xr:uid="{00000000-0005-0000-0000-0000FF1A0000}"/>
    <cellStyle name="Normal 42 5 2 2" xfId="6907" xr:uid="{00000000-0005-0000-0000-0000001B0000}"/>
    <cellStyle name="Normal 42 5 2 3" xfId="6908" xr:uid="{00000000-0005-0000-0000-0000011B0000}"/>
    <cellStyle name="Normal 42 5 2 4" xfId="6909" xr:uid="{00000000-0005-0000-0000-0000021B0000}"/>
    <cellStyle name="Normal 42 5 2 5" xfId="6910" xr:uid="{00000000-0005-0000-0000-0000031B0000}"/>
    <cellStyle name="Normal 42 5 2 6" xfId="6911" xr:uid="{00000000-0005-0000-0000-0000041B0000}"/>
    <cellStyle name="Normal 42 5 2 7" xfId="6912" xr:uid="{00000000-0005-0000-0000-0000051B0000}"/>
    <cellStyle name="Normal 42 5 2 8" xfId="6913" xr:uid="{00000000-0005-0000-0000-0000061B0000}"/>
    <cellStyle name="Normal 42 5 2 9" xfId="6914" xr:uid="{00000000-0005-0000-0000-0000071B0000}"/>
    <cellStyle name="Normal 42 5 3" xfId="6915" xr:uid="{00000000-0005-0000-0000-0000081B0000}"/>
    <cellStyle name="Normal 42 5 4" xfId="6916" xr:uid="{00000000-0005-0000-0000-0000091B0000}"/>
    <cellStyle name="Normal 42 5 5" xfId="6917" xr:uid="{00000000-0005-0000-0000-00000A1B0000}"/>
    <cellStyle name="Normal 42 5 6" xfId="6918" xr:uid="{00000000-0005-0000-0000-00000B1B0000}"/>
    <cellStyle name="Normal 42 5 7" xfId="6919" xr:uid="{00000000-0005-0000-0000-00000C1B0000}"/>
    <cellStyle name="Normal 42 5 8" xfId="6920" xr:uid="{00000000-0005-0000-0000-00000D1B0000}"/>
    <cellStyle name="Normal 42 5 9" xfId="6921" xr:uid="{00000000-0005-0000-0000-00000E1B0000}"/>
    <cellStyle name="Normal 42 6" xfId="6922" xr:uid="{00000000-0005-0000-0000-00000F1B0000}"/>
    <cellStyle name="Normal 42 6 10" xfId="6923" xr:uid="{00000000-0005-0000-0000-0000101B0000}"/>
    <cellStyle name="Normal 42 6 11" xfId="6924" xr:uid="{00000000-0005-0000-0000-0000111B0000}"/>
    <cellStyle name="Normal 42 6 12" xfId="6925" xr:uid="{00000000-0005-0000-0000-0000121B0000}"/>
    <cellStyle name="Normal 42 6 13" xfId="6926" xr:uid="{00000000-0005-0000-0000-0000131B0000}"/>
    <cellStyle name="Normal 42 6 2" xfId="6927" xr:uid="{00000000-0005-0000-0000-0000141B0000}"/>
    <cellStyle name="Normal 42 6 2 10" xfId="6928" xr:uid="{00000000-0005-0000-0000-0000151B0000}"/>
    <cellStyle name="Normal 42 6 2 11" xfId="6929" xr:uid="{00000000-0005-0000-0000-0000161B0000}"/>
    <cellStyle name="Normal 42 6 2 2" xfId="6930" xr:uid="{00000000-0005-0000-0000-0000171B0000}"/>
    <cellStyle name="Normal 42 6 2 3" xfId="6931" xr:uid="{00000000-0005-0000-0000-0000181B0000}"/>
    <cellStyle name="Normal 42 6 2 4" xfId="6932" xr:uid="{00000000-0005-0000-0000-0000191B0000}"/>
    <cellStyle name="Normal 42 6 2 5" xfId="6933" xr:uid="{00000000-0005-0000-0000-00001A1B0000}"/>
    <cellStyle name="Normal 42 6 2 6" xfId="6934" xr:uid="{00000000-0005-0000-0000-00001B1B0000}"/>
    <cellStyle name="Normal 42 6 2 7" xfId="6935" xr:uid="{00000000-0005-0000-0000-00001C1B0000}"/>
    <cellStyle name="Normal 42 6 2 8" xfId="6936" xr:uid="{00000000-0005-0000-0000-00001D1B0000}"/>
    <cellStyle name="Normal 42 6 2 9" xfId="6937" xr:uid="{00000000-0005-0000-0000-00001E1B0000}"/>
    <cellStyle name="Normal 42 6 3" xfId="6938" xr:uid="{00000000-0005-0000-0000-00001F1B0000}"/>
    <cellStyle name="Normal 42 6 4" xfId="6939" xr:uid="{00000000-0005-0000-0000-0000201B0000}"/>
    <cellStyle name="Normal 42 6 5" xfId="6940" xr:uid="{00000000-0005-0000-0000-0000211B0000}"/>
    <cellStyle name="Normal 42 6 6" xfId="6941" xr:uid="{00000000-0005-0000-0000-0000221B0000}"/>
    <cellStyle name="Normal 42 6 7" xfId="6942" xr:uid="{00000000-0005-0000-0000-0000231B0000}"/>
    <cellStyle name="Normal 42 6 8" xfId="6943" xr:uid="{00000000-0005-0000-0000-0000241B0000}"/>
    <cellStyle name="Normal 42 6 9" xfId="6944" xr:uid="{00000000-0005-0000-0000-0000251B0000}"/>
    <cellStyle name="Normal 42 7" xfId="6945" xr:uid="{00000000-0005-0000-0000-0000261B0000}"/>
    <cellStyle name="Normal 42 7 10" xfId="6946" xr:uid="{00000000-0005-0000-0000-0000271B0000}"/>
    <cellStyle name="Normal 42 7 11" xfId="6947" xr:uid="{00000000-0005-0000-0000-0000281B0000}"/>
    <cellStyle name="Normal 42 7 12" xfId="6948" xr:uid="{00000000-0005-0000-0000-0000291B0000}"/>
    <cellStyle name="Normal 42 7 13" xfId="6949" xr:uid="{00000000-0005-0000-0000-00002A1B0000}"/>
    <cellStyle name="Normal 42 7 2" xfId="6950" xr:uid="{00000000-0005-0000-0000-00002B1B0000}"/>
    <cellStyle name="Normal 42 7 2 10" xfId="6951" xr:uid="{00000000-0005-0000-0000-00002C1B0000}"/>
    <cellStyle name="Normal 42 7 2 11" xfId="6952" xr:uid="{00000000-0005-0000-0000-00002D1B0000}"/>
    <cellStyle name="Normal 42 7 2 2" xfId="6953" xr:uid="{00000000-0005-0000-0000-00002E1B0000}"/>
    <cellStyle name="Normal 42 7 2 3" xfId="6954" xr:uid="{00000000-0005-0000-0000-00002F1B0000}"/>
    <cellStyle name="Normal 42 7 2 4" xfId="6955" xr:uid="{00000000-0005-0000-0000-0000301B0000}"/>
    <cellStyle name="Normal 42 7 2 5" xfId="6956" xr:uid="{00000000-0005-0000-0000-0000311B0000}"/>
    <cellStyle name="Normal 42 7 2 6" xfId="6957" xr:uid="{00000000-0005-0000-0000-0000321B0000}"/>
    <cellStyle name="Normal 42 7 2 7" xfId="6958" xr:uid="{00000000-0005-0000-0000-0000331B0000}"/>
    <cellStyle name="Normal 42 7 2 8" xfId="6959" xr:uid="{00000000-0005-0000-0000-0000341B0000}"/>
    <cellStyle name="Normal 42 7 2 9" xfId="6960" xr:uid="{00000000-0005-0000-0000-0000351B0000}"/>
    <cellStyle name="Normal 42 7 3" xfId="6961" xr:uid="{00000000-0005-0000-0000-0000361B0000}"/>
    <cellStyle name="Normal 42 7 4" xfId="6962" xr:uid="{00000000-0005-0000-0000-0000371B0000}"/>
    <cellStyle name="Normal 42 7 5" xfId="6963" xr:uid="{00000000-0005-0000-0000-0000381B0000}"/>
    <cellStyle name="Normal 42 7 6" xfId="6964" xr:uid="{00000000-0005-0000-0000-0000391B0000}"/>
    <cellStyle name="Normal 42 7 7" xfId="6965" xr:uid="{00000000-0005-0000-0000-00003A1B0000}"/>
    <cellStyle name="Normal 42 7 8" xfId="6966" xr:uid="{00000000-0005-0000-0000-00003B1B0000}"/>
    <cellStyle name="Normal 42 7 9" xfId="6967" xr:uid="{00000000-0005-0000-0000-00003C1B0000}"/>
    <cellStyle name="Normal 42 8" xfId="6968" xr:uid="{00000000-0005-0000-0000-00003D1B0000}"/>
    <cellStyle name="Normal 42 8 10" xfId="6969" xr:uid="{00000000-0005-0000-0000-00003E1B0000}"/>
    <cellStyle name="Normal 42 8 11" xfId="6970" xr:uid="{00000000-0005-0000-0000-00003F1B0000}"/>
    <cellStyle name="Normal 42 8 12" xfId="6971" xr:uid="{00000000-0005-0000-0000-0000401B0000}"/>
    <cellStyle name="Normal 42 8 13" xfId="6972" xr:uid="{00000000-0005-0000-0000-0000411B0000}"/>
    <cellStyle name="Normal 42 8 2" xfId="6973" xr:uid="{00000000-0005-0000-0000-0000421B0000}"/>
    <cellStyle name="Normal 42 8 2 10" xfId="6974" xr:uid="{00000000-0005-0000-0000-0000431B0000}"/>
    <cellStyle name="Normal 42 8 2 11" xfId="6975" xr:uid="{00000000-0005-0000-0000-0000441B0000}"/>
    <cellStyle name="Normal 42 8 2 2" xfId="6976" xr:uid="{00000000-0005-0000-0000-0000451B0000}"/>
    <cellStyle name="Normal 42 8 2 3" xfId="6977" xr:uid="{00000000-0005-0000-0000-0000461B0000}"/>
    <cellStyle name="Normal 42 8 2 4" xfId="6978" xr:uid="{00000000-0005-0000-0000-0000471B0000}"/>
    <cellStyle name="Normal 42 8 2 5" xfId="6979" xr:uid="{00000000-0005-0000-0000-0000481B0000}"/>
    <cellStyle name="Normal 42 8 2 6" xfId="6980" xr:uid="{00000000-0005-0000-0000-0000491B0000}"/>
    <cellStyle name="Normal 42 8 2 7" xfId="6981" xr:uid="{00000000-0005-0000-0000-00004A1B0000}"/>
    <cellStyle name="Normal 42 8 2 8" xfId="6982" xr:uid="{00000000-0005-0000-0000-00004B1B0000}"/>
    <cellStyle name="Normal 42 8 2 9" xfId="6983" xr:uid="{00000000-0005-0000-0000-00004C1B0000}"/>
    <cellStyle name="Normal 42 8 3" xfId="6984" xr:uid="{00000000-0005-0000-0000-00004D1B0000}"/>
    <cellStyle name="Normal 42 8 4" xfId="6985" xr:uid="{00000000-0005-0000-0000-00004E1B0000}"/>
    <cellStyle name="Normal 42 8 5" xfId="6986" xr:uid="{00000000-0005-0000-0000-00004F1B0000}"/>
    <cellStyle name="Normal 42 8 6" xfId="6987" xr:uid="{00000000-0005-0000-0000-0000501B0000}"/>
    <cellStyle name="Normal 42 8 7" xfId="6988" xr:uid="{00000000-0005-0000-0000-0000511B0000}"/>
    <cellStyle name="Normal 42 8 8" xfId="6989" xr:uid="{00000000-0005-0000-0000-0000521B0000}"/>
    <cellStyle name="Normal 42 8 9" xfId="6990" xr:uid="{00000000-0005-0000-0000-0000531B0000}"/>
    <cellStyle name="Normal 42 9" xfId="6991" xr:uid="{00000000-0005-0000-0000-0000541B0000}"/>
    <cellStyle name="Normal 42 9 10" xfId="6992" xr:uid="{00000000-0005-0000-0000-0000551B0000}"/>
    <cellStyle name="Normal 42 9 11" xfId="6993" xr:uid="{00000000-0005-0000-0000-0000561B0000}"/>
    <cellStyle name="Normal 42 9 12" xfId="6994" xr:uid="{00000000-0005-0000-0000-0000571B0000}"/>
    <cellStyle name="Normal 42 9 13" xfId="6995" xr:uid="{00000000-0005-0000-0000-0000581B0000}"/>
    <cellStyle name="Normal 42 9 2" xfId="6996" xr:uid="{00000000-0005-0000-0000-0000591B0000}"/>
    <cellStyle name="Normal 42 9 2 10" xfId="6997" xr:uid="{00000000-0005-0000-0000-00005A1B0000}"/>
    <cellStyle name="Normal 42 9 2 11" xfId="6998" xr:uid="{00000000-0005-0000-0000-00005B1B0000}"/>
    <cellStyle name="Normal 42 9 2 2" xfId="6999" xr:uid="{00000000-0005-0000-0000-00005C1B0000}"/>
    <cellStyle name="Normal 42 9 2 3" xfId="7000" xr:uid="{00000000-0005-0000-0000-00005D1B0000}"/>
    <cellStyle name="Normal 42 9 2 4" xfId="7001" xr:uid="{00000000-0005-0000-0000-00005E1B0000}"/>
    <cellStyle name="Normal 42 9 2 5" xfId="7002" xr:uid="{00000000-0005-0000-0000-00005F1B0000}"/>
    <cellStyle name="Normal 42 9 2 6" xfId="7003" xr:uid="{00000000-0005-0000-0000-0000601B0000}"/>
    <cellStyle name="Normal 42 9 2 7" xfId="7004" xr:uid="{00000000-0005-0000-0000-0000611B0000}"/>
    <cellStyle name="Normal 42 9 2 8" xfId="7005" xr:uid="{00000000-0005-0000-0000-0000621B0000}"/>
    <cellStyle name="Normal 42 9 2 9" xfId="7006" xr:uid="{00000000-0005-0000-0000-0000631B0000}"/>
    <cellStyle name="Normal 42 9 3" xfId="7007" xr:uid="{00000000-0005-0000-0000-0000641B0000}"/>
    <cellStyle name="Normal 42 9 4" xfId="7008" xr:uid="{00000000-0005-0000-0000-0000651B0000}"/>
    <cellStyle name="Normal 42 9 5" xfId="7009" xr:uid="{00000000-0005-0000-0000-0000661B0000}"/>
    <cellStyle name="Normal 42 9 6" xfId="7010" xr:uid="{00000000-0005-0000-0000-0000671B0000}"/>
    <cellStyle name="Normal 42 9 7" xfId="7011" xr:uid="{00000000-0005-0000-0000-0000681B0000}"/>
    <cellStyle name="Normal 42 9 8" xfId="7012" xr:uid="{00000000-0005-0000-0000-0000691B0000}"/>
    <cellStyle name="Normal 42 9 9" xfId="7013" xr:uid="{00000000-0005-0000-0000-00006A1B0000}"/>
    <cellStyle name="Normal 43" xfId="7014" xr:uid="{00000000-0005-0000-0000-00006B1B0000}"/>
    <cellStyle name="Normal 43 10" xfId="7015" xr:uid="{00000000-0005-0000-0000-00006C1B0000}"/>
    <cellStyle name="Normal 43 10 10" xfId="7016" xr:uid="{00000000-0005-0000-0000-00006D1B0000}"/>
    <cellStyle name="Normal 43 10 11" xfId="7017" xr:uid="{00000000-0005-0000-0000-00006E1B0000}"/>
    <cellStyle name="Normal 43 10 12" xfId="7018" xr:uid="{00000000-0005-0000-0000-00006F1B0000}"/>
    <cellStyle name="Normal 43 10 13" xfId="7019" xr:uid="{00000000-0005-0000-0000-0000701B0000}"/>
    <cellStyle name="Normal 43 10 2" xfId="7020" xr:uid="{00000000-0005-0000-0000-0000711B0000}"/>
    <cellStyle name="Normal 43 10 2 10" xfId="7021" xr:uid="{00000000-0005-0000-0000-0000721B0000}"/>
    <cellStyle name="Normal 43 10 2 11" xfId="7022" xr:uid="{00000000-0005-0000-0000-0000731B0000}"/>
    <cellStyle name="Normal 43 10 2 2" xfId="7023" xr:uid="{00000000-0005-0000-0000-0000741B0000}"/>
    <cellStyle name="Normal 43 10 2 3" xfId="7024" xr:uid="{00000000-0005-0000-0000-0000751B0000}"/>
    <cellStyle name="Normal 43 10 2 4" xfId="7025" xr:uid="{00000000-0005-0000-0000-0000761B0000}"/>
    <cellStyle name="Normal 43 10 2 5" xfId="7026" xr:uid="{00000000-0005-0000-0000-0000771B0000}"/>
    <cellStyle name="Normal 43 10 2 6" xfId="7027" xr:uid="{00000000-0005-0000-0000-0000781B0000}"/>
    <cellStyle name="Normal 43 10 2 7" xfId="7028" xr:uid="{00000000-0005-0000-0000-0000791B0000}"/>
    <cellStyle name="Normal 43 10 2 8" xfId="7029" xr:uid="{00000000-0005-0000-0000-00007A1B0000}"/>
    <cellStyle name="Normal 43 10 2 9" xfId="7030" xr:uid="{00000000-0005-0000-0000-00007B1B0000}"/>
    <cellStyle name="Normal 43 10 3" xfId="7031" xr:uid="{00000000-0005-0000-0000-00007C1B0000}"/>
    <cellStyle name="Normal 43 10 4" xfId="7032" xr:uid="{00000000-0005-0000-0000-00007D1B0000}"/>
    <cellStyle name="Normal 43 10 5" xfId="7033" xr:uid="{00000000-0005-0000-0000-00007E1B0000}"/>
    <cellStyle name="Normal 43 10 6" xfId="7034" xr:uid="{00000000-0005-0000-0000-00007F1B0000}"/>
    <cellStyle name="Normal 43 10 7" xfId="7035" xr:uid="{00000000-0005-0000-0000-0000801B0000}"/>
    <cellStyle name="Normal 43 10 8" xfId="7036" xr:uid="{00000000-0005-0000-0000-0000811B0000}"/>
    <cellStyle name="Normal 43 10 9" xfId="7037" xr:uid="{00000000-0005-0000-0000-0000821B0000}"/>
    <cellStyle name="Normal 43 11" xfId="7038" xr:uid="{00000000-0005-0000-0000-0000831B0000}"/>
    <cellStyle name="Normal 43 11 10" xfId="7039" xr:uid="{00000000-0005-0000-0000-0000841B0000}"/>
    <cellStyle name="Normal 43 11 11" xfId="7040" xr:uid="{00000000-0005-0000-0000-0000851B0000}"/>
    <cellStyle name="Normal 43 11 12" xfId="7041" xr:uid="{00000000-0005-0000-0000-0000861B0000}"/>
    <cellStyle name="Normal 43 11 13" xfId="7042" xr:uid="{00000000-0005-0000-0000-0000871B0000}"/>
    <cellStyle name="Normal 43 11 2" xfId="7043" xr:uid="{00000000-0005-0000-0000-0000881B0000}"/>
    <cellStyle name="Normal 43 11 2 10" xfId="7044" xr:uid="{00000000-0005-0000-0000-0000891B0000}"/>
    <cellStyle name="Normal 43 11 2 11" xfId="7045" xr:uid="{00000000-0005-0000-0000-00008A1B0000}"/>
    <cellStyle name="Normal 43 11 2 2" xfId="7046" xr:uid="{00000000-0005-0000-0000-00008B1B0000}"/>
    <cellStyle name="Normal 43 11 2 3" xfId="7047" xr:uid="{00000000-0005-0000-0000-00008C1B0000}"/>
    <cellStyle name="Normal 43 11 2 4" xfId="7048" xr:uid="{00000000-0005-0000-0000-00008D1B0000}"/>
    <cellStyle name="Normal 43 11 2 5" xfId="7049" xr:uid="{00000000-0005-0000-0000-00008E1B0000}"/>
    <cellStyle name="Normal 43 11 2 6" xfId="7050" xr:uid="{00000000-0005-0000-0000-00008F1B0000}"/>
    <cellStyle name="Normal 43 11 2 7" xfId="7051" xr:uid="{00000000-0005-0000-0000-0000901B0000}"/>
    <cellStyle name="Normal 43 11 2 8" xfId="7052" xr:uid="{00000000-0005-0000-0000-0000911B0000}"/>
    <cellStyle name="Normal 43 11 2 9" xfId="7053" xr:uid="{00000000-0005-0000-0000-0000921B0000}"/>
    <cellStyle name="Normal 43 11 3" xfId="7054" xr:uid="{00000000-0005-0000-0000-0000931B0000}"/>
    <cellStyle name="Normal 43 11 4" xfId="7055" xr:uid="{00000000-0005-0000-0000-0000941B0000}"/>
    <cellStyle name="Normal 43 11 5" xfId="7056" xr:uid="{00000000-0005-0000-0000-0000951B0000}"/>
    <cellStyle name="Normal 43 11 6" xfId="7057" xr:uid="{00000000-0005-0000-0000-0000961B0000}"/>
    <cellStyle name="Normal 43 11 7" xfId="7058" xr:uid="{00000000-0005-0000-0000-0000971B0000}"/>
    <cellStyle name="Normal 43 11 8" xfId="7059" xr:uid="{00000000-0005-0000-0000-0000981B0000}"/>
    <cellStyle name="Normal 43 11 9" xfId="7060" xr:uid="{00000000-0005-0000-0000-0000991B0000}"/>
    <cellStyle name="Normal 43 12" xfId="7061" xr:uid="{00000000-0005-0000-0000-00009A1B0000}"/>
    <cellStyle name="Normal 43 12 10" xfId="7062" xr:uid="{00000000-0005-0000-0000-00009B1B0000}"/>
    <cellStyle name="Normal 43 12 11" xfId="7063" xr:uid="{00000000-0005-0000-0000-00009C1B0000}"/>
    <cellStyle name="Normal 43 12 12" xfId="7064" xr:uid="{00000000-0005-0000-0000-00009D1B0000}"/>
    <cellStyle name="Normal 43 12 13" xfId="7065" xr:uid="{00000000-0005-0000-0000-00009E1B0000}"/>
    <cellStyle name="Normal 43 12 2" xfId="7066" xr:uid="{00000000-0005-0000-0000-00009F1B0000}"/>
    <cellStyle name="Normal 43 12 2 10" xfId="7067" xr:uid="{00000000-0005-0000-0000-0000A01B0000}"/>
    <cellStyle name="Normal 43 12 2 11" xfId="7068" xr:uid="{00000000-0005-0000-0000-0000A11B0000}"/>
    <cellStyle name="Normal 43 12 2 2" xfId="7069" xr:uid="{00000000-0005-0000-0000-0000A21B0000}"/>
    <cellStyle name="Normal 43 12 2 3" xfId="7070" xr:uid="{00000000-0005-0000-0000-0000A31B0000}"/>
    <cellStyle name="Normal 43 12 2 4" xfId="7071" xr:uid="{00000000-0005-0000-0000-0000A41B0000}"/>
    <cellStyle name="Normal 43 12 2 5" xfId="7072" xr:uid="{00000000-0005-0000-0000-0000A51B0000}"/>
    <cellStyle name="Normal 43 12 2 6" xfId="7073" xr:uid="{00000000-0005-0000-0000-0000A61B0000}"/>
    <cellStyle name="Normal 43 12 2 7" xfId="7074" xr:uid="{00000000-0005-0000-0000-0000A71B0000}"/>
    <cellStyle name="Normal 43 12 2 8" xfId="7075" xr:uid="{00000000-0005-0000-0000-0000A81B0000}"/>
    <cellStyle name="Normal 43 12 2 9" xfId="7076" xr:uid="{00000000-0005-0000-0000-0000A91B0000}"/>
    <cellStyle name="Normal 43 12 3" xfId="7077" xr:uid="{00000000-0005-0000-0000-0000AA1B0000}"/>
    <cellStyle name="Normal 43 12 4" xfId="7078" xr:uid="{00000000-0005-0000-0000-0000AB1B0000}"/>
    <cellStyle name="Normal 43 12 5" xfId="7079" xr:uid="{00000000-0005-0000-0000-0000AC1B0000}"/>
    <cellStyle name="Normal 43 12 6" xfId="7080" xr:uid="{00000000-0005-0000-0000-0000AD1B0000}"/>
    <cellStyle name="Normal 43 12 7" xfId="7081" xr:uid="{00000000-0005-0000-0000-0000AE1B0000}"/>
    <cellStyle name="Normal 43 12 8" xfId="7082" xr:uid="{00000000-0005-0000-0000-0000AF1B0000}"/>
    <cellStyle name="Normal 43 12 9" xfId="7083" xr:uid="{00000000-0005-0000-0000-0000B01B0000}"/>
    <cellStyle name="Normal 43 13" xfId="7084" xr:uid="{00000000-0005-0000-0000-0000B11B0000}"/>
    <cellStyle name="Normal 43 13 10" xfId="7085" xr:uid="{00000000-0005-0000-0000-0000B21B0000}"/>
    <cellStyle name="Normal 43 13 11" xfId="7086" xr:uid="{00000000-0005-0000-0000-0000B31B0000}"/>
    <cellStyle name="Normal 43 13 12" xfId="7087" xr:uid="{00000000-0005-0000-0000-0000B41B0000}"/>
    <cellStyle name="Normal 43 13 13" xfId="7088" xr:uid="{00000000-0005-0000-0000-0000B51B0000}"/>
    <cellStyle name="Normal 43 13 2" xfId="7089" xr:uid="{00000000-0005-0000-0000-0000B61B0000}"/>
    <cellStyle name="Normal 43 13 2 10" xfId="7090" xr:uid="{00000000-0005-0000-0000-0000B71B0000}"/>
    <cellStyle name="Normal 43 13 2 11" xfId="7091" xr:uid="{00000000-0005-0000-0000-0000B81B0000}"/>
    <cellStyle name="Normal 43 13 2 2" xfId="7092" xr:uid="{00000000-0005-0000-0000-0000B91B0000}"/>
    <cellStyle name="Normal 43 13 2 3" xfId="7093" xr:uid="{00000000-0005-0000-0000-0000BA1B0000}"/>
    <cellStyle name="Normal 43 13 2 4" xfId="7094" xr:uid="{00000000-0005-0000-0000-0000BB1B0000}"/>
    <cellStyle name="Normal 43 13 2 5" xfId="7095" xr:uid="{00000000-0005-0000-0000-0000BC1B0000}"/>
    <cellStyle name="Normal 43 13 2 6" xfId="7096" xr:uid="{00000000-0005-0000-0000-0000BD1B0000}"/>
    <cellStyle name="Normal 43 13 2 7" xfId="7097" xr:uid="{00000000-0005-0000-0000-0000BE1B0000}"/>
    <cellStyle name="Normal 43 13 2 8" xfId="7098" xr:uid="{00000000-0005-0000-0000-0000BF1B0000}"/>
    <cellStyle name="Normal 43 13 2 9" xfId="7099" xr:uid="{00000000-0005-0000-0000-0000C01B0000}"/>
    <cellStyle name="Normal 43 13 3" xfId="7100" xr:uid="{00000000-0005-0000-0000-0000C11B0000}"/>
    <cellStyle name="Normal 43 13 4" xfId="7101" xr:uid="{00000000-0005-0000-0000-0000C21B0000}"/>
    <cellStyle name="Normal 43 13 5" xfId="7102" xr:uid="{00000000-0005-0000-0000-0000C31B0000}"/>
    <cellStyle name="Normal 43 13 6" xfId="7103" xr:uid="{00000000-0005-0000-0000-0000C41B0000}"/>
    <cellStyle name="Normal 43 13 7" xfId="7104" xr:uid="{00000000-0005-0000-0000-0000C51B0000}"/>
    <cellStyle name="Normal 43 13 8" xfId="7105" xr:uid="{00000000-0005-0000-0000-0000C61B0000}"/>
    <cellStyle name="Normal 43 13 9" xfId="7106" xr:uid="{00000000-0005-0000-0000-0000C71B0000}"/>
    <cellStyle name="Normal 43 14" xfId="7107" xr:uid="{00000000-0005-0000-0000-0000C81B0000}"/>
    <cellStyle name="Normal 43 14 10" xfId="7108" xr:uid="{00000000-0005-0000-0000-0000C91B0000}"/>
    <cellStyle name="Normal 43 14 11" xfId="7109" xr:uid="{00000000-0005-0000-0000-0000CA1B0000}"/>
    <cellStyle name="Normal 43 14 2" xfId="7110" xr:uid="{00000000-0005-0000-0000-0000CB1B0000}"/>
    <cellStyle name="Normal 43 14 3" xfId="7111" xr:uid="{00000000-0005-0000-0000-0000CC1B0000}"/>
    <cellStyle name="Normal 43 14 4" xfId="7112" xr:uid="{00000000-0005-0000-0000-0000CD1B0000}"/>
    <cellStyle name="Normal 43 14 5" xfId="7113" xr:uid="{00000000-0005-0000-0000-0000CE1B0000}"/>
    <cellStyle name="Normal 43 14 6" xfId="7114" xr:uid="{00000000-0005-0000-0000-0000CF1B0000}"/>
    <cellStyle name="Normal 43 14 7" xfId="7115" xr:uid="{00000000-0005-0000-0000-0000D01B0000}"/>
    <cellStyle name="Normal 43 14 8" xfId="7116" xr:uid="{00000000-0005-0000-0000-0000D11B0000}"/>
    <cellStyle name="Normal 43 14 9" xfId="7117" xr:uid="{00000000-0005-0000-0000-0000D21B0000}"/>
    <cellStyle name="Normal 43 15" xfId="7118" xr:uid="{00000000-0005-0000-0000-0000D31B0000}"/>
    <cellStyle name="Normal 43 16" xfId="7119" xr:uid="{00000000-0005-0000-0000-0000D41B0000}"/>
    <cellStyle name="Normal 43 17" xfId="7120" xr:uid="{00000000-0005-0000-0000-0000D51B0000}"/>
    <cellStyle name="Normal 43 18" xfId="7121" xr:uid="{00000000-0005-0000-0000-0000D61B0000}"/>
    <cellStyle name="Normal 43 19" xfId="7122" xr:uid="{00000000-0005-0000-0000-0000D71B0000}"/>
    <cellStyle name="Normal 43 2" xfId="7123" xr:uid="{00000000-0005-0000-0000-0000D81B0000}"/>
    <cellStyle name="Normal 43 2 10" xfId="7124" xr:uid="{00000000-0005-0000-0000-0000D91B0000}"/>
    <cellStyle name="Normal 43 2 11" xfId="7125" xr:uid="{00000000-0005-0000-0000-0000DA1B0000}"/>
    <cellStyle name="Normal 43 2 12" xfId="7126" xr:uid="{00000000-0005-0000-0000-0000DB1B0000}"/>
    <cellStyle name="Normal 43 2 13" xfId="7127" xr:uid="{00000000-0005-0000-0000-0000DC1B0000}"/>
    <cellStyle name="Normal 43 2 2" xfId="7128" xr:uid="{00000000-0005-0000-0000-0000DD1B0000}"/>
    <cellStyle name="Normal 43 2 2 10" xfId="7129" xr:uid="{00000000-0005-0000-0000-0000DE1B0000}"/>
    <cellStyle name="Normal 43 2 2 11" xfId="7130" xr:uid="{00000000-0005-0000-0000-0000DF1B0000}"/>
    <cellStyle name="Normal 43 2 2 2" xfId="7131" xr:uid="{00000000-0005-0000-0000-0000E01B0000}"/>
    <cellStyle name="Normal 43 2 2 3" xfId="7132" xr:uid="{00000000-0005-0000-0000-0000E11B0000}"/>
    <cellStyle name="Normal 43 2 2 4" xfId="7133" xr:uid="{00000000-0005-0000-0000-0000E21B0000}"/>
    <cellStyle name="Normal 43 2 2 5" xfId="7134" xr:uid="{00000000-0005-0000-0000-0000E31B0000}"/>
    <cellStyle name="Normal 43 2 2 6" xfId="7135" xr:uid="{00000000-0005-0000-0000-0000E41B0000}"/>
    <cellStyle name="Normal 43 2 2 7" xfId="7136" xr:uid="{00000000-0005-0000-0000-0000E51B0000}"/>
    <cellStyle name="Normal 43 2 2 8" xfId="7137" xr:uid="{00000000-0005-0000-0000-0000E61B0000}"/>
    <cellStyle name="Normal 43 2 2 9" xfId="7138" xr:uid="{00000000-0005-0000-0000-0000E71B0000}"/>
    <cellStyle name="Normal 43 2 3" xfId="7139" xr:uid="{00000000-0005-0000-0000-0000E81B0000}"/>
    <cellStyle name="Normal 43 2 4" xfId="7140" xr:uid="{00000000-0005-0000-0000-0000E91B0000}"/>
    <cellStyle name="Normal 43 2 5" xfId="7141" xr:uid="{00000000-0005-0000-0000-0000EA1B0000}"/>
    <cellStyle name="Normal 43 2 6" xfId="7142" xr:uid="{00000000-0005-0000-0000-0000EB1B0000}"/>
    <cellStyle name="Normal 43 2 7" xfId="7143" xr:uid="{00000000-0005-0000-0000-0000EC1B0000}"/>
    <cellStyle name="Normal 43 2 8" xfId="7144" xr:uid="{00000000-0005-0000-0000-0000ED1B0000}"/>
    <cellStyle name="Normal 43 2 9" xfId="7145" xr:uid="{00000000-0005-0000-0000-0000EE1B0000}"/>
    <cellStyle name="Normal 43 20" xfId="7146" xr:uid="{00000000-0005-0000-0000-0000EF1B0000}"/>
    <cellStyle name="Normal 43 21" xfId="7147" xr:uid="{00000000-0005-0000-0000-0000F01B0000}"/>
    <cellStyle name="Normal 43 22" xfId="7148" xr:uid="{00000000-0005-0000-0000-0000F11B0000}"/>
    <cellStyle name="Normal 43 23" xfId="7149" xr:uid="{00000000-0005-0000-0000-0000F21B0000}"/>
    <cellStyle name="Normal 43 24" xfId="7150" xr:uid="{00000000-0005-0000-0000-0000F31B0000}"/>
    <cellStyle name="Normal 43 25" xfId="7151" xr:uid="{00000000-0005-0000-0000-0000F41B0000}"/>
    <cellStyle name="Normal 43 3" xfId="7152" xr:uid="{00000000-0005-0000-0000-0000F51B0000}"/>
    <cellStyle name="Normal 43 3 10" xfId="7153" xr:uid="{00000000-0005-0000-0000-0000F61B0000}"/>
    <cellStyle name="Normal 43 3 11" xfId="7154" xr:uid="{00000000-0005-0000-0000-0000F71B0000}"/>
    <cellStyle name="Normal 43 3 12" xfId="7155" xr:uid="{00000000-0005-0000-0000-0000F81B0000}"/>
    <cellStyle name="Normal 43 3 13" xfId="7156" xr:uid="{00000000-0005-0000-0000-0000F91B0000}"/>
    <cellStyle name="Normal 43 3 2" xfId="7157" xr:uid="{00000000-0005-0000-0000-0000FA1B0000}"/>
    <cellStyle name="Normal 43 3 2 10" xfId="7158" xr:uid="{00000000-0005-0000-0000-0000FB1B0000}"/>
    <cellStyle name="Normal 43 3 2 11" xfId="7159" xr:uid="{00000000-0005-0000-0000-0000FC1B0000}"/>
    <cellStyle name="Normal 43 3 2 2" xfId="7160" xr:uid="{00000000-0005-0000-0000-0000FD1B0000}"/>
    <cellStyle name="Normal 43 3 2 3" xfId="7161" xr:uid="{00000000-0005-0000-0000-0000FE1B0000}"/>
    <cellStyle name="Normal 43 3 2 4" xfId="7162" xr:uid="{00000000-0005-0000-0000-0000FF1B0000}"/>
    <cellStyle name="Normal 43 3 2 5" xfId="7163" xr:uid="{00000000-0005-0000-0000-0000001C0000}"/>
    <cellStyle name="Normal 43 3 2 6" xfId="7164" xr:uid="{00000000-0005-0000-0000-0000011C0000}"/>
    <cellStyle name="Normal 43 3 2 7" xfId="7165" xr:uid="{00000000-0005-0000-0000-0000021C0000}"/>
    <cellStyle name="Normal 43 3 2 8" xfId="7166" xr:uid="{00000000-0005-0000-0000-0000031C0000}"/>
    <cellStyle name="Normal 43 3 2 9" xfId="7167" xr:uid="{00000000-0005-0000-0000-0000041C0000}"/>
    <cellStyle name="Normal 43 3 3" xfId="7168" xr:uid="{00000000-0005-0000-0000-0000051C0000}"/>
    <cellStyle name="Normal 43 3 4" xfId="7169" xr:uid="{00000000-0005-0000-0000-0000061C0000}"/>
    <cellStyle name="Normal 43 3 5" xfId="7170" xr:uid="{00000000-0005-0000-0000-0000071C0000}"/>
    <cellStyle name="Normal 43 3 6" xfId="7171" xr:uid="{00000000-0005-0000-0000-0000081C0000}"/>
    <cellStyle name="Normal 43 3 7" xfId="7172" xr:uid="{00000000-0005-0000-0000-0000091C0000}"/>
    <cellStyle name="Normal 43 3 8" xfId="7173" xr:uid="{00000000-0005-0000-0000-00000A1C0000}"/>
    <cellStyle name="Normal 43 3 9" xfId="7174" xr:uid="{00000000-0005-0000-0000-00000B1C0000}"/>
    <cellStyle name="Normal 43 4" xfId="7175" xr:uid="{00000000-0005-0000-0000-00000C1C0000}"/>
    <cellStyle name="Normal 43 4 10" xfId="7176" xr:uid="{00000000-0005-0000-0000-00000D1C0000}"/>
    <cellStyle name="Normal 43 4 11" xfId="7177" xr:uid="{00000000-0005-0000-0000-00000E1C0000}"/>
    <cellStyle name="Normal 43 4 12" xfId="7178" xr:uid="{00000000-0005-0000-0000-00000F1C0000}"/>
    <cellStyle name="Normal 43 4 13" xfId="7179" xr:uid="{00000000-0005-0000-0000-0000101C0000}"/>
    <cellStyle name="Normal 43 4 2" xfId="7180" xr:uid="{00000000-0005-0000-0000-0000111C0000}"/>
    <cellStyle name="Normal 43 4 2 10" xfId="7181" xr:uid="{00000000-0005-0000-0000-0000121C0000}"/>
    <cellStyle name="Normal 43 4 2 11" xfId="7182" xr:uid="{00000000-0005-0000-0000-0000131C0000}"/>
    <cellStyle name="Normal 43 4 2 2" xfId="7183" xr:uid="{00000000-0005-0000-0000-0000141C0000}"/>
    <cellStyle name="Normal 43 4 2 3" xfId="7184" xr:uid="{00000000-0005-0000-0000-0000151C0000}"/>
    <cellStyle name="Normal 43 4 2 4" xfId="7185" xr:uid="{00000000-0005-0000-0000-0000161C0000}"/>
    <cellStyle name="Normal 43 4 2 5" xfId="7186" xr:uid="{00000000-0005-0000-0000-0000171C0000}"/>
    <cellStyle name="Normal 43 4 2 6" xfId="7187" xr:uid="{00000000-0005-0000-0000-0000181C0000}"/>
    <cellStyle name="Normal 43 4 2 7" xfId="7188" xr:uid="{00000000-0005-0000-0000-0000191C0000}"/>
    <cellStyle name="Normal 43 4 2 8" xfId="7189" xr:uid="{00000000-0005-0000-0000-00001A1C0000}"/>
    <cellStyle name="Normal 43 4 2 9" xfId="7190" xr:uid="{00000000-0005-0000-0000-00001B1C0000}"/>
    <cellStyle name="Normal 43 4 3" xfId="7191" xr:uid="{00000000-0005-0000-0000-00001C1C0000}"/>
    <cellStyle name="Normal 43 4 4" xfId="7192" xr:uid="{00000000-0005-0000-0000-00001D1C0000}"/>
    <cellStyle name="Normal 43 4 5" xfId="7193" xr:uid="{00000000-0005-0000-0000-00001E1C0000}"/>
    <cellStyle name="Normal 43 4 6" xfId="7194" xr:uid="{00000000-0005-0000-0000-00001F1C0000}"/>
    <cellStyle name="Normal 43 4 7" xfId="7195" xr:uid="{00000000-0005-0000-0000-0000201C0000}"/>
    <cellStyle name="Normal 43 4 8" xfId="7196" xr:uid="{00000000-0005-0000-0000-0000211C0000}"/>
    <cellStyle name="Normal 43 4 9" xfId="7197" xr:uid="{00000000-0005-0000-0000-0000221C0000}"/>
    <cellStyle name="Normal 43 5" xfId="7198" xr:uid="{00000000-0005-0000-0000-0000231C0000}"/>
    <cellStyle name="Normal 43 5 10" xfId="7199" xr:uid="{00000000-0005-0000-0000-0000241C0000}"/>
    <cellStyle name="Normal 43 5 11" xfId="7200" xr:uid="{00000000-0005-0000-0000-0000251C0000}"/>
    <cellStyle name="Normal 43 5 12" xfId="7201" xr:uid="{00000000-0005-0000-0000-0000261C0000}"/>
    <cellStyle name="Normal 43 5 13" xfId="7202" xr:uid="{00000000-0005-0000-0000-0000271C0000}"/>
    <cellStyle name="Normal 43 5 2" xfId="7203" xr:uid="{00000000-0005-0000-0000-0000281C0000}"/>
    <cellStyle name="Normal 43 5 2 10" xfId="7204" xr:uid="{00000000-0005-0000-0000-0000291C0000}"/>
    <cellStyle name="Normal 43 5 2 11" xfId="7205" xr:uid="{00000000-0005-0000-0000-00002A1C0000}"/>
    <cellStyle name="Normal 43 5 2 2" xfId="7206" xr:uid="{00000000-0005-0000-0000-00002B1C0000}"/>
    <cellStyle name="Normal 43 5 2 3" xfId="7207" xr:uid="{00000000-0005-0000-0000-00002C1C0000}"/>
    <cellStyle name="Normal 43 5 2 4" xfId="7208" xr:uid="{00000000-0005-0000-0000-00002D1C0000}"/>
    <cellStyle name="Normal 43 5 2 5" xfId="7209" xr:uid="{00000000-0005-0000-0000-00002E1C0000}"/>
    <cellStyle name="Normal 43 5 2 6" xfId="7210" xr:uid="{00000000-0005-0000-0000-00002F1C0000}"/>
    <cellStyle name="Normal 43 5 2 7" xfId="7211" xr:uid="{00000000-0005-0000-0000-0000301C0000}"/>
    <cellStyle name="Normal 43 5 2 8" xfId="7212" xr:uid="{00000000-0005-0000-0000-0000311C0000}"/>
    <cellStyle name="Normal 43 5 2 9" xfId="7213" xr:uid="{00000000-0005-0000-0000-0000321C0000}"/>
    <cellStyle name="Normal 43 5 3" xfId="7214" xr:uid="{00000000-0005-0000-0000-0000331C0000}"/>
    <cellStyle name="Normal 43 5 4" xfId="7215" xr:uid="{00000000-0005-0000-0000-0000341C0000}"/>
    <cellStyle name="Normal 43 5 5" xfId="7216" xr:uid="{00000000-0005-0000-0000-0000351C0000}"/>
    <cellStyle name="Normal 43 5 6" xfId="7217" xr:uid="{00000000-0005-0000-0000-0000361C0000}"/>
    <cellStyle name="Normal 43 5 7" xfId="7218" xr:uid="{00000000-0005-0000-0000-0000371C0000}"/>
    <cellStyle name="Normal 43 5 8" xfId="7219" xr:uid="{00000000-0005-0000-0000-0000381C0000}"/>
    <cellStyle name="Normal 43 5 9" xfId="7220" xr:uid="{00000000-0005-0000-0000-0000391C0000}"/>
    <cellStyle name="Normal 43 6" xfId="7221" xr:uid="{00000000-0005-0000-0000-00003A1C0000}"/>
    <cellStyle name="Normal 43 6 10" xfId="7222" xr:uid="{00000000-0005-0000-0000-00003B1C0000}"/>
    <cellStyle name="Normal 43 6 11" xfId="7223" xr:uid="{00000000-0005-0000-0000-00003C1C0000}"/>
    <cellStyle name="Normal 43 6 12" xfId="7224" xr:uid="{00000000-0005-0000-0000-00003D1C0000}"/>
    <cellStyle name="Normal 43 6 13" xfId="7225" xr:uid="{00000000-0005-0000-0000-00003E1C0000}"/>
    <cellStyle name="Normal 43 6 2" xfId="7226" xr:uid="{00000000-0005-0000-0000-00003F1C0000}"/>
    <cellStyle name="Normal 43 6 2 10" xfId="7227" xr:uid="{00000000-0005-0000-0000-0000401C0000}"/>
    <cellStyle name="Normal 43 6 2 11" xfId="7228" xr:uid="{00000000-0005-0000-0000-0000411C0000}"/>
    <cellStyle name="Normal 43 6 2 2" xfId="7229" xr:uid="{00000000-0005-0000-0000-0000421C0000}"/>
    <cellStyle name="Normal 43 6 2 3" xfId="7230" xr:uid="{00000000-0005-0000-0000-0000431C0000}"/>
    <cellStyle name="Normal 43 6 2 4" xfId="7231" xr:uid="{00000000-0005-0000-0000-0000441C0000}"/>
    <cellStyle name="Normal 43 6 2 5" xfId="7232" xr:uid="{00000000-0005-0000-0000-0000451C0000}"/>
    <cellStyle name="Normal 43 6 2 6" xfId="7233" xr:uid="{00000000-0005-0000-0000-0000461C0000}"/>
    <cellStyle name="Normal 43 6 2 7" xfId="7234" xr:uid="{00000000-0005-0000-0000-0000471C0000}"/>
    <cellStyle name="Normal 43 6 2 8" xfId="7235" xr:uid="{00000000-0005-0000-0000-0000481C0000}"/>
    <cellStyle name="Normal 43 6 2 9" xfId="7236" xr:uid="{00000000-0005-0000-0000-0000491C0000}"/>
    <cellStyle name="Normal 43 6 3" xfId="7237" xr:uid="{00000000-0005-0000-0000-00004A1C0000}"/>
    <cellStyle name="Normal 43 6 4" xfId="7238" xr:uid="{00000000-0005-0000-0000-00004B1C0000}"/>
    <cellStyle name="Normal 43 6 5" xfId="7239" xr:uid="{00000000-0005-0000-0000-00004C1C0000}"/>
    <cellStyle name="Normal 43 6 6" xfId="7240" xr:uid="{00000000-0005-0000-0000-00004D1C0000}"/>
    <cellStyle name="Normal 43 6 7" xfId="7241" xr:uid="{00000000-0005-0000-0000-00004E1C0000}"/>
    <cellStyle name="Normal 43 6 8" xfId="7242" xr:uid="{00000000-0005-0000-0000-00004F1C0000}"/>
    <cellStyle name="Normal 43 6 9" xfId="7243" xr:uid="{00000000-0005-0000-0000-0000501C0000}"/>
    <cellStyle name="Normal 43 7" xfId="7244" xr:uid="{00000000-0005-0000-0000-0000511C0000}"/>
    <cellStyle name="Normal 43 7 10" xfId="7245" xr:uid="{00000000-0005-0000-0000-0000521C0000}"/>
    <cellStyle name="Normal 43 7 11" xfId="7246" xr:uid="{00000000-0005-0000-0000-0000531C0000}"/>
    <cellStyle name="Normal 43 7 12" xfId="7247" xr:uid="{00000000-0005-0000-0000-0000541C0000}"/>
    <cellStyle name="Normal 43 7 13" xfId="7248" xr:uid="{00000000-0005-0000-0000-0000551C0000}"/>
    <cellStyle name="Normal 43 7 2" xfId="7249" xr:uid="{00000000-0005-0000-0000-0000561C0000}"/>
    <cellStyle name="Normal 43 7 2 10" xfId="7250" xr:uid="{00000000-0005-0000-0000-0000571C0000}"/>
    <cellStyle name="Normal 43 7 2 11" xfId="7251" xr:uid="{00000000-0005-0000-0000-0000581C0000}"/>
    <cellStyle name="Normal 43 7 2 2" xfId="7252" xr:uid="{00000000-0005-0000-0000-0000591C0000}"/>
    <cellStyle name="Normal 43 7 2 3" xfId="7253" xr:uid="{00000000-0005-0000-0000-00005A1C0000}"/>
    <cellStyle name="Normal 43 7 2 4" xfId="7254" xr:uid="{00000000-0005-0000-0000-00005B1C0000}"/>
    <cellStyle name="Normal 43 7 2 5" xfId="7255" xr:uid="{00000000-0005-0000-0000-00005C1C0000}"/>
    <cellStyle name="Normal 43 7 2 6" xfId="7256" xr:uid="{00000000-0005-0000-0000-00005D1C0000}"/>
    <cellStyle name="Normal 43 7 2 7" xfId="7257" xr:uid="{00000000-0005-0000-0000-00005E1C0000}"/>
    <cellStyle name="Normal 43 7 2 8" xfId="7258" xr:uid="{00000000-0005-0000-0000-00005F1C0000}"/>
    <cellStyle name="Normal 43 7 2 9" xfId="7259" xr:uid="{00000000-0005-0000-0000-0000601C0000}"/>
    <cellStyle name="Normal 43 7 3" xfId="7260" xr:uid="{00000000-0005-0000-0000-0000611C0000}"/>
    <cellStyle name="Normal 43 7 4" xfId="7261" xr:uid="{00000000-0005-0000-0000-0000621C0000}"/>
    <cellStyle name="Normal 43 7 5" xfId="7262" xr:uid="{00000000-0005-0000-0000-0000631C0000}"/>
    <cellStyle name="Normal 43 7 6" xfId="7263" xr:uid="{00000000-0005-0000-0000-0000641C0000}"/>
    <cellStyle name="Normal 43 7 7" xfId="7264" xr:uid="{00000000-0005-0000-0000-0000651C0000}"/>
    <cellStyle name="Normal 43 7 8" xfId="7265" xr:uid="{00000000-0005-0000-0000-0000661C0000}"/>
    <cellStyle name="Normal 43 7 9" xfId="7266" xr:uid="{00000000-0005-0000-0000-0000671C0000}"/>
    <cellStyle name="Normal 43 8" xfId="7267" xr:uid="{00000000-0005-0000-0000-0000681C0000}"/>
    <cellStyle name="Normal 43 8 10" xfId="7268" xr:uid="{00000000-0005-0000-0000-0000691C0000}"/>
    <cellStyle name="Normal 43 8 11" xfId="7269" xr:uid="{00000000-0005-0000-0000-00006A1C0000}"/>
    <cellStyle name="Normal 43 8 12" xfId="7270" xr:uid="{00000000-0005-0000-0000-00006B1C0000}"/>
    <cellStyle name="Normal 43 8 13" xfId="7271" xr:uid="{00000000-0005-0000-0000-00006C1C0000}"/>
    <cellStyle name="Normal 43 8 2" xfId="7272" xr:uid="{00000000-0005-0000-0000-00006D1C0000}"/>
    <cellStyle name="Normal 43 8 2 10" xfId="7273" xr:uid="{00000000-0005-0000-0000-00006E1C0000}"/>
    <cellStyle name="Normal 43 8 2 11" xfId="7274" xr:uid="{00000000-0005-0000-0000-00006F1C0000}"/>
    <cellStyle name="Normal 43 8 2 2" xfId="7275" xr:uid="{00000000-0005-0000-0000-0000701C0000}"/>
    <cellStyle name="Normal 43 8 2 3" xfId="7276" xr:uid="{00000000-0005-0000-0000-0000711C0000}"/>
    <cellStyle name="Normal 43 8 2 4" xfId="7277" xr:uid="{00000000-0005-0000-0000-0000721C0000}"/>
    <cellStyle name="Normal 43 8 2 5" xfId="7278" xr:uid="{00000000-0005-0000-0000-0000731C0000}"/>
    <cellStyle name="Normal 43 8 2 6" xfId="7279" xr:uid="{00000000-0005-0000-0000-0000741C0000}"/>
    <cellStyle name="Normal 43 8 2 7" xfId="7280" xr:uid="{00000000-0005-0000-0000-0000751C0000}"/>
    <cellStyle name="Normal 43 8 2 8" xfId="7281" xr:uid="{00000000-0005-0000-0000-0000761C0000}"/>
    <cellStyle name="Normal 43 8 2 9" xfId="7282" xr:uid="{00000000-0005-0000-0000-0000771C0000}"/>
    <cellStyle name="Normal 43 8 3" xfId="7283" xr:uid="{00000000-0005-0000-0000-0000781C0000}"/>
    <cellStyle name="Normal 43 8 4" xfId="7284" xr:uid="{00000000-0005-0000-0000-0000791C0000}"/>
    <cellStyle name="Normal 43 8 5" xfId="7285" xr:uid="{00000000-0005-0000-0000-00007A1C0000}"/>
    <cellStyle name="Normal 43 8 6" xfId="7286" xr:uid="{00000000-0005-0000-0000-00007B1C0000}"/>
    <cellStyle name="Normal 43 8 7" xfId="7287" xr:uid="{00000000-0005-0000-0000-00007C1C0000}"/>
    <cellStyle name="Normal 43 8 8" xfId="7288" xr:uid="{00000000-0005-0000-0000-00007D1C0000}"/>
    <cellStyle name="Normal 43 8 9" xfId="7289" xr:uid="{00000000-0005-0000-0000-00007E1C0000}"/>
    <cellStyle name="Normal 43 9" xfId="7290" xr:uid="{00000000-0005-0000-0000-00007F1C0000}"/>
    <cellStyle name="Normal 43 9 10" xfId="7291" xr:uid="{00000000-0005-0000-0000-0000801C0000}"/>
    <cellStyle name="Normal 43 9 11" xfId="7292" xr:uid="{00000000-0005-0000-0000-0000811C0000}"/>
    <cellStyle name="Normal 43 9 12" xfId="7293" xr:uid="{00000000-0005-0000-0000-0000821C0000}"/>
    <cellStyle name="Normal 43 9 13" xfId="7294" xr:uid="{00000000-0005-0000-0000-0000831C0000}"/>
    <cellStyle name="Normal 43 9 2" xfId="7295" xr:uid="{00000000-0005-0000-0000-0000841C0000}"/>
    <cellStyle name="Normal 43 9 2 10" xfId="7296" xr:uid="{00000000-0005-0000-0000-0000851C0000}"/>
    <cellStyle name="Normal 43 9 2 11" xfId="7297" xr:uid="{00000000-0005-0000-0000-0000861C0000}"/>
    <cellStyle name="Normal 43 9 2 2" xfId="7298" xr:uid="{00000000-0005-0000-0000-0000871C0000}"/>
    <cellStyle name="Normal 43 9 2 3" xfId="7299" xr:uid="{00000000-0005-0000-0000-0000881C0000}"/>
    <cellStyle name="Normal 43 9 2 4" xfId="7300" xr:uid="{00000000-0005-0000-0000-0000891C0000}"/>
    <cellStyle name="Normal 43 9 2 5" xfId="7301" xr:uid="{00000000-0005-0000-0000-00008A1C0000}"/>
    <cellStyle name="Normal 43 9 2 6" xfId="7302" xr:uid="{00000000-0005-0000-0000-00008B1C0000}"/>
    <cellStyle name="Normal 43 9 2 7" xfId="7303" xr:uid="{00000000-0005-0000-0000-00008C1C0000}"/>
    <cellStyle name="Normal 43 9 2 8" xfId="7304" xr:uid="{00000000-0005-0000-0000-00008D1C0000}"/>
    <cellStyle name="Normal 43 9 2 9" xfId="7305" xr:uid="{00000000-0005-0000-0000-00008E1C0000}"/>
    <cellStyle name="Normal 43 9 3" xfId="7306" xr:uid="{00000000-0005-0000-0000-00008F1C0000}"/>
    <cellStyle name="Normal 43 9 4" xfId="7307" xr:uid="{00000000-0005-0000-0000-0000901C0000}"/>
    <cellStyle name="Normal 43 9 5" xfId="7308" xr:uid="{00000000-0005-0000-0000-0000911C0000}"/>
    <cellStyle name="Normal 43 9 6" xfId="7309" xr:uid="{00000000-0005-0000-0000-0000921C0000}"/>
    <cellStyle name="Normal 43 9 7" xfId="7310" xr:uid="{00000000-0005-0000-0000-0000931C0000}"/>
    <cellStyle name="Normal 43 9 8" xfId="7311" xr:uid="{00000000-0005-0000-0000-0000941C0000}"/>
    <cellStyle name="Normal 43 9 9" xfId="7312" xr:uid="{00000000-0005-0000-0000-0000951C0000}"/>
    <cellStyle name="Normal 44" xfId="7313" xr:uid="{00000000-0005-0000-0000-0000961C0000}"/>
    <cellStyle name="Normal 44 10" xfId="7314" xr:uid="{00000000-0005-0000-0000-0000971C0000}"/>
    <cellStyle name="Normal 44 10 10" xfId="7315" xr:uid="{00000000-0005-0000-0000-0000981C0000}"/>
    <cellStyle name="Normal 44 10 11" xfId="7316" xr:uid="{00000000-0005-0000-0000-0000991C0000}"/>
    <cellStyle name="Normal 44 10 12" xfId="7317" xr:uid="{00000000-0005-0000-0000-00009A1C0000}"/>
    <cellStyle name="Normal 44 10 13" xfId="7318" xr:uid="{00000000-0005-0000-0000-00009B1C0000}"/>
    <cellStyle name="Normal 44 10 2" xfId="7319" xr:uid="{00000000-0005-0000-0000-00009C1C0000}"/>
    <cellStyle name="Normal 44 10 2 10" xfId="7320" xr:uid="{00000000-0005-0000-0000-00009D1C0000}"/>
    <cellStyle name="Normal 44 10 2 11" xfId="7321" xr:uid="{00000000-0005-0000-0000-00009E1C0000}"/>
    <cellStyle name="Normal 44 10 2 2" xfId="7322" xr:uid="{00000000-0005-0000-0000-00009F1C0000}"/>
    <cellStyle name="Normal 44 10 2 3" xfId="7323" xr:uid="{00000000-0005-0000-0000-0000A01C0000}"/>
    <cellStyle name="Normal 44 10 2 4" xfId="7324" xr:uid="{00000000-0005-0000-0000-0000A11C0000}"/>
    <cellStyle name="Normal 44 10 2 5" xfId="7325" xr:uid="{00000000-0005-0000-0000-0000A21C0000}"/>
    <cellStyle name="Normal 44 10 2 6" xfId="7326" xr:uid="{00000000-0005-0000-0000-0000A31C0000}"/>
    <cellStyle name="Normal 44 10 2 7" xfId="7327" xr:uid="{00000000-0005-0000-0000-0000A41C0000}"/>
    <cellStyle name="Normal 44 10 2 8" xfId="7328" xr:uid="{00000000-0005-0000-0000-0000A51C0000}"/>
    <cellStyle name="Normal 44 10 2 9" xfId="7329" xr:uid="{00000000-0005-0000-0000-0000A61C0000}"/>
    <cellStyle name="Normal 44 10 3" xfId="7330" xr:uid="{00000000-0005-0000-0000-0000A71C0000}"/>
    <cellStyle name="Normal 44 10 4" xfId="7331" xr:uid="{00000000-0005-0000-0000-0000A81C0000}"/>
    <cellStyle name="Normal 44 10 5" xfId="7332" xr:uid="{00000000-0005-0000-0000-0000A91C0000}"/>
    <cellStyle name="Normal 44 10 6" xfId="7333" xr:uid="{00000000-0005-0000-0000-0000AA1C0000}"/>
    <cellStyle name="Normal 44 10 7" xfId="7334" xr:uid="{00000000-0005-0000-0000-0000AB1C0000}"/>
    <cellStyle name="Normal 44 10 8" xfId="7335" xr:uid="{00000000-0005-0000-0000-0000AC1C0000}"/>
    <cellStyle name="Normal 44 10 9" xfId="7336" xr:uid="{00000000-0005-0000-0000-0000AD1C0000}"/>
    <cellStyle name="Normal 44 11" xfId="7337" xr:uid="{00000000-0005-0000-0000-0000AE1C0000}"/>
    <cellStyle name="Normal 44 11 10" xfId="7338" xr:uid="{00000000-0005-0000-0000-0000AF1C0000}"/>
    <cellStyle name="Normal 44 11 11" xfId="7339" xr:uid="{00000000-0005-0000-0000-0000B01C0000}"/>
    <cellStyle name="Normal 44 11 12" xfId="7340" xr:uid="{00000000-0005-0000-0000-0000B11C0000}"/>
    <cellStyle name="Normal 44 11 13" xfId="7341" xr:uid="{00000000-0005-0000-0000-0000B21C0000}"/>
    <cellStyle name="Normal 44 11 2" xfId="7342" xr:uid="{00000000-0005-0000-0000-0000B31C0000}"/>
    <cellStyle name="Normal 44 11 2 10" xfId="7343" xr:uid="{00000000-0005-0000-0000-0000B41C0000}"/>
    <cellStyle name="Normal 44 11 2 11" xfId="7344" xr:uid="{00000000-0005-0000-0000-0000B51C0000}"/>
    <cellStyle name="Normal 44 11 2 2" xfId="7345" xr:uid="{00000000-0005-0000-0000-0000B61C0000}"/>
    <cellStyle name="Normal 44 11 2 3" xfId="7346" xr:uid="{00000000-0005-0000-0000-0000B71C0000}"/>
    <cellStyle name="Normal 44 11 2 4" xfId="7347" xr:uid="{00000000-0005-0000-0000-0000B81C0000}"/>
    <cellStyle name="Normal 44 11 2 5" xfId="7348" xr:uid="{00000000-0005-0000-0000-0000B91C0000}"/>
    <cellStyle name="Normal 44 11 2 6" xfId="7349" xr:uid="{00000000-0005-0000-0000-0000BA1C0000}"/>
    <cellStyle name="Normal 44 11 2 7" xfId="7350" xr:uid="{00000000-0005-0000-0000-0000BB1C0000}"/>
    <cellStyle name="Normal 44 11 2 8" xfId="7351" xr:uid="{00000000-0005-0000-0000-0000BC1C0000}"/>
    <cellStyle name="Normal 44 11 2 9" xfId="7352" xr:uid="{00000000-0005-0000-0000-0000BD1C0000}"/>
    <cellStyle name="Normal 44 11 3" xfId="7353" xr:uid="{00000000-0005-0000-0000-0000BE1C0000}"/>
    <cellStyle name="Normal 44 11 4" xfId="7354" xr:uid="{00000000-0005-0000-0000-0000BF1C0000}"/>
    <cellStyle name="Normal 44 11 5" xfId="7355" xr:uid="{00000000-0005-0000-0000-0000C01C0000}"/>
    <cellStyle name="Normal 44 11 6" xfId="7356" xr:uid="{00000000-0005-0000-0000-0000C11C0000}"/>
    <cellStyle name="Normal 44 11 7" xfId="7357" xr:uid="{00000000-0005-0000-0000-0000C21C0000}"/>
    <cellStyle name="Normal 44 11 8" xfId="7358" xr:uid="{00000000-0005-0000-0000-0000C31C0000}"/>
    <cellStyle name="Normal 44 11 9" xfId="7359" xr:uid="{00000000-0005-0000-0000-0000C41C0000}"/>
    <cellStyle name="Normal 44 12" xfId="7360" xr:uid="{00000000-0005-0000-0000-0000C51C0000}"/>
    <cellStyle name="Normal 44 12 10" xfId="7361" xr:uid="{00000000-0005-0000-0000-0000C61C0000}"/>
    <cellStyle name="Normal 44 12 11" xfId="7362" xr:uid="{00000000-0005-0000-0000-0000C71C0000}"/>
    <cellStyle name="Normal 44 12 12" xfId="7363" xr:uid="{00000000-0005-0000-0000-0000C81C0000}"/>
    <cellStyle name="Normal 44 12 13" xfId="7364" xr:uid="{00000000-0005-0000-0000-0000C91C0000}"/>
    <cellStyle name="Normal 44 12 2" xfId="7365" xr:uid="{00000000-0005-0000-0000-0000CA1C0000}"/>
    <cellStyle name="Normal 44 12 2 10" xfId="7366" xr:uid="{00000000-0005-0000-0000-0000CB1C0000}"/>
    <cellStyle name="Normal 44 12 2 11" xfId="7367" xr:uid="{00000000-0005-0000-0000-0000CC1C0000}"/>
    <cellStyle name="Normal 44 12 2 2" xfId="7368" xr:uid="{00000000-0005-0000-0000-0000CD1C0000}"/>
    <cellStyle name="Normal 44 12 2 3" xfId="7369" xr:uid="{00000000-0005-0000-0000-0000CE1C0000}"/>
    <cellStyle name="Normal 44 12 2 4" xfId="7370" xr:uid="{00000000-0005-0000-0000-0000CF1C0000}"/>
    <cellStyle name="Normal 44 12 2 5" xfId="7371" xr:uid="{00000000-0005-0000-0000-0000D01C0000}"/>
    <cellStyle name="Normal 44 12 2 6" xfId="7372" xr:uid="{00000000-0005-0000-0000-0000D11C0000}"/>
    <cellStyle name="Normal 44 12 2 7" xfId="7373" xr:uid="{00000000-0005-0000-0000-0000D21C0000}"/>
    <cellStyle name="Normal 44 12 2 8" xfId="7374" xr:uid="{00000000-0005-0000-0000-0000D31C0000}"/>
    <cellStyle name="Normal 44 12 2 9" xfId="7375" xr:uid="{00000000-0005-0000-0000-0000D41C0000}"/>
    <cellStyle name="Normal 44 12 3" xfId="7376" xr:uid="{00000000-0005-0000-0000-0000D51C0000}"/>
    <cellStyle name="Normal 44 12 4" xfId="7377" xr:uid="{00000000-0005-0000-0000-0000D61C0000}"/>
    <cellStyle name="Normal 44 12 5" xfId="7378" xr:uid="{00000000-0005-0000-0000-0000D71C0000}"/>
    <cellStyle name="Normal 44 12 6" xfId="7379" xr:uid="{00000000-0005-0000-0000-0000D81C0000}"/>
    <cellStyle name="Normal 44 12 7" xfId="7380" xr:uid="{00000000-0005-0000-0000-0000D91C0000}"/>
    <cellStyle name="Normal 44 12 8" xfId="7381" xr:uid="{00000000-0005-0000-0000-0000DA1C0000}"/>
    <cellStyle name="Normal 44 12 9" xfId="7382" xr:uid="{00000000-0005-0000-0000-0000DB1C0000}"/>
    <cellStyle name="Normal 44 13" xfId="7383" xr:uid="{00000000-0005-0000-0000-0000DC1C0000}"/>
    <cellStyle name="Normal 44 13 10" xfId="7384" xr:uid="{00000000-0005-0000-0000-0000DD1C0000}"/>
    <cellStyle name="Normal 44 13 11" xfId="7385" xr:uid="{00000000-0005-0000-0000-0000DE1C0000}"/>
    <cellStyle name="Normal 44 13 12" xfId="7386" xr:uid="{00000000-0005-0000-0000-0000DF1C0000}"/>
    <cellStyle name="Normal 44 13 13" xfId="7387" xr:uid="{00000000-0005-0000-0000-0000E01C0000}"/>
    <cellStyle name="Normal 44 13 2" xfId="7388" xr:uid="{00000000-0005-0000-0000-0000E11C0000}"/>
    <cellStyle name="Normal 44 13 2 10" xfId="7389" xr:uid="{00000000-0005-0000-0000-0000E21C0000}"/>
    <cellStyle name="Normal 44 13 2 11" xfId="7390" xr:uid="{00000000-0005-0000-0000-0000E31C0000}"/>
    <cellStyle name="Normal 44 13 2 2" xfId="7391" xr:uid="{00000000-0005-0000-0000-0000E41C0000}"/>
    <cellStyle name="Normal 44 13 2 3" xfId="7392" xr:uid="{00000000-0005-0000-0000-0000E51C0000}"/>
    <cellStyle name="Normal 44 13 2 4" xfId="7393" xr:uid="{00000000-0005-0000-0000-0000E61C0000}"/>
    <cellStyle name="Normal 44 13 2 5" xfId="7394" xr:uid="{00000000-0005-0000-0000-0000E71C0000}"/>
    <cellStyle name="Normal 44 13 2 6" xfId="7395" xr:uid="{00000000-0005-0000-0000-0000E81C0000}"/>
    <cellStyle name="Normal 44 13 2 7" xfId="7396" xr:uid="{00000000-0005-0000-0000-0000E91C0000}"/>
    <cellStyle name="Normal 44 13 2 8" xfId="7397" xr:uid="{00000000-0005-0000-0000-0000EA1C0000}"/>
    <cellStyle name="Normal 44 13 2 9" xfId="7398" xr:uid="{00000000-0005-0000-0000-0000EB1C0000}"/>
    <cellStyle name="Normal 44 13 3" xfId="7399" xr:uid="{00000000-0005-0000-0000-0000EC1C0000}"/>
    <cellStyle name="Normal 44 13 4" xfId="7400" xr:uid="{00000000-0005-0000-0000-0000ED1C0000}"/>
    <cellStyle name="Normal 44 13 5" xfId="7401" xr:uid="{00000000-0005-0000-0000-0000EE1C0000}"/>
    <cellStyle name="Normal 44 13 6" xfId="7402" xr:uid="{00000000-0005-0000-0000-0000EF1C0000}"/>
    <cellStyle name="Normal 44 13 7" xfId="7403" xr:uid="{00000000-0005-0000-0000-0000F01C0000}"/>
    <cellStyle name="Normal 44 13 8" xfId="7404" xr:uid="{00000000-0005-0000-0000-0000F11C0000}"/>
    <cellStyle name="Normal 44 13 9" xfId="7405" xr:uid="{00000000-0005-0000-0000-0000F21C0000}"/>
    <cellStyle name="Normal 44 14" xfId="7406" xr:uid="{00000000-0005-0000-0000-0000F31C0000}"/>
    <cellStyle name="Normal 44 14 10" xfId="7407" xr:uid="{00000000-0005-0000-0000-0000F41C0000}"/>
    <cellStyle name="Normal 44 14 11" xfId="7408" xr:uid="{00000000-0005-0000-0000-0000F51C0000}"/>
    <cellStyle name="Normal 44 14 2" xfId="7409" xr:uid="{00000000-0005-0000-0000-0000F61C0000}"/>
    <cellStyle name="Normal 44 14 3" xfId="7410" xr:uid="{00000000-0005-0000-0000-0000F71C0000}"/>
    <cellStyle name="Normal 44 14 4" xfId="7411" xr:uid="{00000000-0005-0000-0000-0000F81C0000}"/>
    <cellStyle name="Normal 44 14 5" xfId="7412" xr:uid="{00000000-0005-0000-0000-0000F91C0000}"/>
    <cellStyle name="Normal 44 14 6" xfId="7413" xr:uid="{00000000-0005-0000-0000-0000FA1C0000}"/>
    <cellStyle name="Normal 44 14 7" xfId="7414" xr:uid="{00000000-0005-0000-0000-0000FB1C0000}"/>
    <cellStyle name="Normal 44 14 8" xfId="7415" xr:uid="{00000000-0005-0000-0000-0000FC1C0000}"/>
    <cellStyle name="Normal 44 14 9" xfId="7416" xr:uid="{00000000-0005-0000-0000-0000FD1C0000}"/>
    <cellStyle name="Normal 44 15" xfId="7417" xr:uid="{00000000-0005-0000-0000-0000FE1C0000}"/>
    <cellStyle name="Normal 44 16" xfId="7418" xr:uid="{00000000-0005-0000-0000-0000FF1C0000}"/>
    <cellStyle name="Normal 44 17" xfId="7419" xr:uid="{00000000-0005-0000-0000-0000001D0000}"/>
    <cellStyle name="Normal 44 18" xfId="7420" xr:uid="{00000000-0005-0000-0000-0000011D0000}"/>
    <cellStyle name="Normal 44 19" xfId="7421" xr:uid="{00000000-0005-0000-0000-0000021D0000}"/>
    <cellStyle name="Normal 44 2" xfId="7422" xr:uid="{00000000-0005-0000-0000-0000031D0000}"/>
    <cellStyle name="Normal 44 2 10" xfId="7423" xr:uid="{00000000-0005-0000-0000-0000041D0000}"/>
    <cellStyle name="Normal 44 2 11" xfId="7424" xr:uid="{00000000-0005-0000-0000-0000051D0000}"/>
    <cellStyle name="Normal 44 2 12" xfId="7425" xr:uid="{00000000-0005-0000-0000-0000061D0000}"/>
    <cellStyle name="Normal 44 2 13" xfId="7426" xr:uid="{00000000-0005-0000-0000-0000071D0000}"/>
    <cellStyle name="Normal 44 2 2" xfId="7427" xr:uid="{00000000-0005-0000-0000-0000081D0000}"/>
    <cellStyle name="Normal 44 2 2 10" xfId="7428" xr:uid="{00000000-0005-0000-0000-0000091D0000}"/>
    <cellStyle name="Normal 44 2 2 11" xfId="7429" xr:uid="{00000000-0005-0000-0000-00000A1D0000}"/>
    <cellStyle name="Normal 44 2 2 2" xfId="7430" xr:uid="{00000000-0005-0000-0000-00000B1D0000}"/>
    <cellStyle name="Normal 44 2 2 3" xfId="7431" xr:uid="{00000000-0005-0000-0000-00000C1D0000}"/>
    <cellStyle name="Normal 44 2 2 4" xfId="7432" xr:uid="{00000000-0005-0000-0000-00000D1D0000}"/>
    <cellStyle name="Normal 44 2 2 5" xfId="7433" xr:uid="{00000000-0005-0000-0000-00000E1D0000}"/>
    <cellStyle name="Normal 44 2 2 6" xfId="7434" xr:uid="{00000000-0005-0000-0000-00000F1D0000}"/>
    <cellStyle name="Normal 44 2 2 7" xfId="7435" xr:uid="{00000000-0005-0000-0000-0000101D0000}"/>
    <cellStyle name="Normal 44 2 2 8" xfId="7436" xr:uid="{00000000-0005-0000-0000-0000111D0000}"/>
    <cellStyle name="Normal 44 2 2 9" xfId="7437" xr:uid="{00000000-0005-0000-0000-0000121D0000}"/>
    <cellStyle name="Normal 44 2 3" xfId="7438" xr:uid="{00000000-0005-0000-0000-0000131D0000}"/>
    <cellStyle name="Normal 44 2 4" xfId="7439" xr:uid="{00000000-0005-0000-0000-0000141D0000}"/>
    <cellStyle name="Normal 44 2 5" xfId="7440" xr:uid="{00000000-0005-0000-0000-0000151D0000}"/>
    <cellStyle name="Normal 44 2 6" xfId="7441" xr:uid="{00000000-0005-0000-0000-0000161D0000}"/>
    <cellStyle name="Normal 44 2 7" xfId="7442" xr:uid="{00000000-0005-0000-0000-0000171D0000}"/>
    <cellStyle name="Normal 44 2 8" xfId="7443" xr:uid="{00000000-0005-0000-0000-0000181D0000}"/>
    <cellStyle name="Normal 44 2 9" xfId="7444" xr:uid="{00000000-0005-0000-0000-0000191D0000}"/>
    <cellStyle name="Normal 44 20" xfId="7445" xr:uid="{00000000-0005-0000-0000-00001A1D0000}"/>
    <cellStyle name="Normal 44 21" xfId="7446" xr:uid="{00000000-0005-0000-0000-00001B1D0000}"/>
    <cellStyle name="Normal 44 22" xfId="7447" xr:uid="{00000000-0005-0000-0000-00001C1D0000}"/>
    <cellStyle name="Normal 44 23" xfId="7448" xr:uid="{00000000-0005-0000-0000-00001D1D0000}"/>
    <cellStyle name="Normal 44 24" xfId="7449" xr:uid="{00000000-0005-0000-0000-00001E1D0000}"/>
    <cellStyle name="Normal 44 25" xfId="7450" xr:uid="{00000000-0005-0000-0000-00001F1D0000}"/>
    <cellStyle name="Normal 44 3" xfId="7451" xr:uid="{00000000-0005-0000-0000-0000201D0000}"/>
    <cellStyle name="Normal 44 3 10" xfId="7452" xr:uid="{00000000-0005-0000-0000-0000211D0000}"/>
    <cellStyle name="Normal 44 3 11" xfId="7453" xr:uid="{00000000-0005-0000-0000-0000221D0000}"/>
    <cellStyle name="Normal 44 3 12" xfId="7454" xr:uid="{00000000-0005-0000-0000-0000231D0000}"/>
    <cellStyle name="Normal 44 3 13" xfId="7455" xr:uid="{00000000-0005-0000-0000-0000241D0000}"/>
    <cellStyle name="Normal 44 3 2" xfId="7456" xr:uid="{00000000-0005-0000-0000-0000251D0000}"/>
    <cellStyle name="Normal 44 3 2 10" xfId="7457" xr:uid="{00000000-0005-0000-0000-0000261D0000}"/>
    <cellStyle name="Normal 44 3 2 11" xfId="7458" xr:uid="{00000000-0005-0000-0000-0000271D0000}"/>
    <cellStyle name="Normal 44 3 2 2" xfId="7459" xr:uid="{00000000-0005-0000-0000-0000281D0000}"/>
    <cellStyle name="Normal 44 3 2 3" xfId="7460" xr:uid="{00000000-0005-0000-0000-0000291D0000}"/>
    <cellStyle name="Normal 44 3 2 4" xfId="7461" xr:uid="{00000000-0005-0000-0000-00002A1D0000}"/>
    <cellStyle name="Normal 44 3 2 5" xfId="7462" xr:uid="{00000000-0005-0000-0000-00002B1D0000}"/>
    <cellStyle name="Normal 44 3 2 6" xfId="7463" xr:uid="{00000000-0005-0000-0000-00002C1D0000}"/>
    <cellStyle name="Normal 44 3 2 7" xfId="7464" xr:uid="{00000000-0005-0000-0000-00002D1D0000}"/>
    <cellStyle name="Normal 44 3 2 8" xfId="7465" xr:uid="{00000000-0005-0000-0000-00002E1D0000}"/>
    <cellStyle name="Normal 44 3 2 9" xfId="7466" xr:uid="{00000000-0005-0000-0000-00002F1D0000}"/>
    <cellStyle name="Normal 44 3 3" xfId="7467" xr:uid="{00000000-0005-0000-0000-0000301D0000}"/>
    <cellStyle name="Normal 44 3 4" xfId="7468" xr:uid="{00000000-0005-0000-0000-0000311D0000}"/>
    <cellStyle name="Normal 44 3 5" xfId="7469" xr:uid="{00000000-0005-0000-0000-0000321D0000}"/>
    <cellStyle name="Normal 44 3 6" xfId="7470" xr:uid="{00000000-0005-0000-0000-0000331D0000}"/>
    <cellStyle name="Normal 44 3 7" xfId="7471" xr:uid="{00000000-0005-0000-0000-0000341D0000}"/>
    <cellStyle name="Normal 44 3 8" xfId="7472" xr:uid="{00000000-0005-0000-0000-0000351D0000}"/>
    <cellStyle name="Normal 44 3 9" xfId="7473" xr:uid="{00000000-0005-0000-0000-0000361D0000}"/>
    <cellStyle name="Normal 44 4" xfId="7474" xr:uid="{00000000-0005-0000-0000-0000371D0000}"/>
    <cellStyle name="Normal 44 4 10" xfId="7475" xr:uid="{00000000-0005-0000-0000-0000381D0000}"/>
    <cellStyle name="Normal 44 4 11" xfId="7476" xr:uid="{00000000-0005-0000-0000-0000391D0000}"/>
    <cellStyle name="Normal 44 4 12" xfId="7477" xr:uid="{00000000-0005-0000-0000-00003A1D0000}"/>
    <cellStyle name="Normal 44 4 13" xfId="7478" xr:uid="{00000000-0005-0000-0000-00003B1D0000}"/>
    <cellStyle name="Normal 44 4 2" xfId="7479" xr:uid="{00000000-0005-0000-0000-00003C1D0000}"/>
    <cellStyle name="Normal 44 4 2 10" xfId="7480" xr:uid="{00000000-0005-0000-0000-00003D1D0000}"/>
    <cellStyle name="Normal 44 4 2 11" xfId="7481" xr:uid="{00000000-0005-0000-0000-00003E1D0000}"/>
    <cellStyle name="Normal 44 4 2 2" xfId="7482" xr:uid="{00000000-0005-0000-0000-00003F1D0000}"/>
    <cellStyle name="Normal 44 4 2 3" xfId="7483" xr:uid="{00000000-0005-0000-0000-0000401D0000}"/>
    <cellStyle name="Normal 44 4 2 4" xfId="7484" xr:uid="{00000000-0005-0000-0000-0000411D0000}"/>
    <cellStyle name="Normal 44 4 2 5" xfId="7485" xr:uid="{00000000-0005-0000-0000-0000421D0000}"/>
    <cellStyle name="Normal 44 4 2 6" xfId="7486" xr:uid="{00000000-0005-0000-0000-0000431D0000}"/>
    <cellStyle name="Normal 44 4 2 7" xfId="7487" xr:uid="{00000000-0005-0000-0000-0000441D0000}"/>
    <cellStyle name="Normal 44 4 2 8" xfId="7488" xr:uid="{00000000-0005-0000-0000-0000451D0000}"/>
    <cellStyle name="Normal 44 4 2 9" xfId="7489" xr:uid="{00000000-0005-0000-0000-0000461D0000}"/>
    <cellStyle name="Normal 44 4 3" xfId="7490" xr:uid="{00000000-0005-0000-0000-0000471D0000}"/>
    <cellStyle name="Normal 44 4 4" xfId="7491" xr:uid="{00000000-0005-0000-0000-0000481D0000}"/>
    <cellStyle name="Normal 44 4 5" xfId="7492" xr:uid="{00000000-0005-0000-0000-0000491D0000}"/>
    <cellStyle name="Normal 44 4 6" xfId="7493" xr:uid="{00000000-0005-0000-0000-00004A1D0000}"/>
    <cellStyle name="Normal 44 4 7" xfId="7494" xr:uid="{00000000-0005-0000-0000-00004B1D0000}"/>
    <cellStyle name="Normal 44 4 8" xfId="7495" xr:uid="{00000000-0005-0000-0000-00004C1D0000}"/>
    <cellStyle name="Normal 44 4 9" xfId="7496" xr:uid="{00000000-0005-0000-0000-00004D1D0000}"/>
    <cellStyle name="Normal 44 5" xfId="7497" xr:uid="{00000000-0005-0000-0000-00004E1D0000}"/>
    <cellStyle name="Normal 44 5 10" xfId="7498" xr:uid="{00000000-0005-0000-0000-00004F1D0000}"/>
    <cellStyle name="Normal 44 5 11" xfId="7499" xr:uid="{00000000-0005-0000-0000-0000501D0000}"/>
    <cellStyle name="Normal 44 5 12" xfId="7500" xr:uid="{00000000-0005-0000-0000-0000511D0000}"/>
    <cellStyle name="Normal 44 5 13" xfId="7501" xr:uid="{00000000-0005-0000-0000-0000521D0000}"/>
    <cellStyle name="Normal 44 5 2" xfId="7502" xr:uid="{00000000-0005-0000-0000-0000531D0000}"/>
    <cellStyle name="Normal 44 5 2 10" xfId="7503" xr:uid="{00000000-0005-0000-0000-0000541D0000}"/>
    <cellStyle name="Normal 44 5 2 11" xfId="7504" xr:uid="{00000000-0005-0000-0000-0000551D0000}"/>
    <cellStyle name="Normal 44 5 2 2" xfId="7505" xr:uid="{00000000-0005-0000-0000-0000561D0000}"/>
    <cellStyle name="Normal 44 5 2 3" xfId="7506" xr:uid="{00000000-0005-0000-0000-0000571D0000}"/>
    <cellStyle name="Normal 44 5 2 4" xfId="7507" xr:uid="{00000000-0005-0000-0000-0000581D0000}"/>
    <cellStyle name="Normal 44 5 2 5" xfId="7508" xr:uid="{00000000-0005-0000-0000-0000591D0000}"/>
    <cellStyle name="Normal 44 5 2 6" xfId="7509" xr:uid="{00000000-0005-0000-0000-00005A1D0000}"/>
    <cellStyle name="Normal 44 5 2 7" xfId="7510" xr:uid="{00000000-0005-0000-0000-00005B1D0000}"/>
    <cellStyle name="Normal 44 5 2 8" xfId="7511" xr:uid="{00000000-0005-0000-0000-00005C1D0000}"/>
    <cellStyle name="Normal 44 5 2 9" xfId="7512" xr:uid="{00000000-0005-0000-0000-00005D1D0000}"/>
    <cellStyle name="Normal 44 5 3" xfId="7513" xr:uid="{00000000-0005-0000-0000-00005E1D0000}"/>
    <cellStyle name="Normal 44 5 4" xfId="7514" xr:uid="{00000000-0005-0000-0000-00005F1D0000}"/>
    <cellStyle name="Normal 44 5 5" xfId="7515" xr:uid="{00000000-0005-0000-0000-0000601D0000}"/>
    <cellStyle name="Normal 44 5 6" xfId="7516" xr:uid="{00000000-0005-0000-0000-0000611D0000}"/>
    <cellStyle name="Normal 44 5 7" xfId="7517" xr:uid="{00000000-0005-0000-0000-0000621D0000}"/>
    <cellStyle name="Normal 44 5 8" xfId="7518" xr:uid="{00000000-0005-0000-0000-0000631D0000}"/>
    <cellStyle name="Normal 44 5 9" xfId="7519" xr:uid="{00000000-0005-0000-0000-0000641D0000}"/>
    <cellStyle name="Normal 44 6" xfId="7520" xr:uid="{00000000-0005-0000-0000-0000651D0000}"/>
    <cellStyle name="Normal 44 6 10" xfId="7521" xr:uid="{00000000-0005-0000-0000-0000661D0000}"/>
    <cellStyle name="Normal 44 6 11" xfId="7522" xr:uid="{00000000-0005-0000-0000-0000671D0000}"/>
    <cellStyle name="Normal 44 6 12" xfId="7523" xr:uid="{00000000-0005-0000-0000-0000681D0000}"/>
    <cellStyle name="Normal 44 6 13" xfId="7524" xr:uid="{00000000-0005-0000-0000-0000691D0000}"/>
    <cellStyle name="Normal 44 6 2" xfId="7525" xr:uid="{00000000-0005-0000-0000-00006A1D0000}"/>
    <cellStyle name="Normal 44 6 2 10" xfId="7526" xr:uid="{00000000-0005-0000-0000-00006B1D0000}"/>
    <cellStyle name="Normal 44 6 2 11" xfId="7527" xr:uid="{00000000-0005-0000-0000-00006C1D0000}"/>
    <cellStyle name="Normal 44 6 2 2" xfId="7528" xr:uid="{00000000-0005-0000-0000-00006D1D0000}"/>
    <cellStyle name="Normal 44 6 2 3" xfId="7529" xr:uid="{00000000-0005-0000-0000-00006E1D0000}"/>
    <cellStyle name="Normal 44 6 2 4" xfId="7530" xr:uid="{00000000-0005-0000-0000-00006F1D0000}"/>
    <cellStyle name="Normal 44 6 2 5" xfId="7531" xr:uid="{00000000-0005-0000-0000-0000701D0000}"/>
    <cellStyle name="Normal 44 6 2 6" xfId="7532" xr:uid="{00000000-0005-0000-0000-0000711D0000}"/>
    <cellStyle name="Normal 44 6 2 7" xfId="7533" xr:uid="{00000000-0005-0000-0000-0000721D0000}"/>
    <cellStyle name="Normal 44 6 2 8" xfId="7534" xr:uid="{00000000-0005-0000-0000-0000731D0000}"/>
    <cellStyle name="Normal 44 6 2 9" xfId="7535" xr:uid="{00000000-0005-0000-0000-0000741D0000}"/>
    <cellStyle name="Normal 44 6 3" xfId="7536" xr:uid="{00000000-0005-0000-0000-0000751D0000}"/>
    <cellStyle name="Normal 44 6 4" xfId="7537" xr:uid="{00000000-0005-0000-0000-0000761D0000}"/>
    <cellStyle name="Normal 44 6 5" xfId="7538" xr:uid="{00000000-0005-0000-0000-0000771D0000}"/>
    <cellStyle name="Normal 44 6 6" xfId="7539" xr:uid="{00000000-0005-0000-0000-0000781D0000}"/>
    <cellStyle name="Normal 44 6 7" xfId="7540" xr:uid="{00000000-0005-0000-0000-0000791D0000}"/>
    <cellStyle name="Normal 44 6 8" xfId="7541" xr:uid="{00000000-0005-0000-0000-00007A1D0000}"/>
    <cellStyle name="Normal 44 6 9" xfId="7542" xr:uid="{00000000-0005-0000-0000-00007B1D0000}"/>
    <cellStyle name="Normal 44 7" xfId="7543" xr:uid="{00000000-0005-0000-0000-00007C1D0000}"/>
    <cellStyle name="Normal 44 7 10" xfId="7544" xr:uid="{00000000-0005-0000-0000-00007D1D0000}"/>
    <cellStyle name="Normal 44 7 11" xfId="7545" xr:uid="{00000000-0005-0000-0000-00007E1D0000}"/>
    <cellStyle name="Normal 44 7 12" xfId="7546" xr:uid="{00000000-0005-0000-0000-00007F1D0000}"/>
    <cellStyle name="Normal 44 7 13" xfId="7547" xr:uid="{00000000-0005-0000-0000-0000801D0000}"/>
    <cellStyle name="Normal 44 7 2" xfId="7548" xr:uid="{00000000-0005-0000-0000-0000811D0000}"/>
    <cellStyle name="Normal 44 7 2 10" xfId="7549" xr:uid="{00000000-0005-0000-0000-0000821D0000}"/>
    <cellStyle name="Normal 44 7 2 11" xfId="7550" xr:uid="{00000000-0005-0000-0000-0000831D0000}"/>
    <cellStyle name="Normal 44 7 2 2" xfId="7551" xr:uid="{00000000-0005-0000-0000-0000841D0000}"/>
    <cellStyle name="Normal 44 7 2 3" xfId="7552" xr:uid="{00000000-0005-0000-0000-0000851D0000}"/>
    <cellStyle name="Normal 44 7 2 4" xfId="7553" xr:uid="{00000000-0005-0000-0000-0000861D0000}"/>
    <cellStyle name="Normal 44 7 2 5" xfId="7554" xr:uid="{00000000-0005-0000-0000-0000871D0000}"/>
    <cellStyle name="Normal 44 7 2 6" xfId="7555" xr:uid="{00000000-0005-0000-0000-0000881D0000}"/>
    <cellStyle name="Normal 44 7 2 7" xfId="7556" xr:uid="{00000000-0005-0000-0000-0000891D0000}"/>
    <cellStyle name="Normal 44 7 2 8" xfId="7557" xr:uid="{00000000-0005-0000-0000-00008A1D0000}"/>
    <cellStyle name="Normal 44 7 2 9" xfId="7558" xr:uid="{00000000-0005-0000-0000-00008B1D0000}"/>
    <cellStyle name="Normal 44 7 3" xfId="7559" xr:uid="{00000000-0005-0000-0000-00008C1D0000}"/>
    <cellStyle name="Normal 44 7 4" xfId="7560" xr:uid="{00000000-0005-0000-0000-00008D1D0000}"/>
    <cellStyle name="Normal 44 7 5" xfId="7561" xr:uid="{00000000-0005-0000-0000-00008E1D0000}"/>
    <cellStyle name="Normal 44 7 6" xfId="7562" xr:uid="{00000000-0005-0000-0000-00008F1D0000}"/>
    <cellStyle name="Normal 44 7 7" xfId="7563" xr:uid="{00000000-0005-0000-0000-0000901D0000}"/>
    <cellStyle name="Normal 44 7 8" xfId="7564" xr:uid="{00000000-0005-0000-0000-0000911D0000}"/>
    <cellStyle name="Normal 44 7 9" xfId="7565" xr:uid="{00000000-0005-0000-0000-0000921D0000}"/>
    <cellStyle name="Normal 44 8" xfId="7566" xr:uid="{00000000-0005-0000-0000-0000931D0000}"/>
    <cellStyle name="Normal 44 8 10" xfId="7567" xr:uid="{00000000-0005-0000-0000-0000941D0000}"/>
    <cellStyle name="Normal 44 8 11" xfId="7568" xr:uid="{00000000-0005-0000-0000-0000951D0000}"/>
    <cellStyle name="Normal 44 8 12" xfId="7569" xr:uid="{00000000-0005-0000-0000-0000961D0000}"/>
    <cellStyle name="Normal 44 8 13" xfId="7570" xr:uid="{00000000-0005-0000-0000-0000971D0000}"/>
    <cellStyle name="Normal 44 8 2" xfId="7571" xr:uid="{00000000-0005-0000-0000-0000981D0000}"/>
    <cellStyle name="Normal 44 8 2 10" xfId="7572" xr:uid="{00000000-0005-0000-0000-0000991D0000}"/>
    <cellStyle name="Normal 44 8 2 11" xfId="7573" xr:uid="{00000000-0005-0000-0000-00009A1D0000}"/>
    <cellStyle name="Normal 44 8 2 2" xfId="7574" xr:uid="{00000000-0005-0000-0000-00009B1D0000}"/>
    <cellStyle name="Normal 44 8 2 3" xfId="7575" xr:uid="{00000000-0005-0000-0000-00009C1D0000}"/>
    <cellStyle name="Normal 44 8 2 4" xfId="7576" xr:uid="{00000000-0005-0000-0000-00009D1D0000}"/>
    <cellStyle name="Normal 44 8 2 5" xfId="7577" xr:uid="{00000000-0005-0000-0000-00009E1D0000}"/>
    <cellStyle name="Normal 44 8 2 6" xfId="7578" xr:uid="{00000000-0005-0000-0000-00009F1D0000}"/>
    <cellStyle name="Normal 44 8 2 7" xfId="7579" xr:uid="{00000000-0005-0000-0000-0000A01D0000}"/>
    <cellStyle name="Normal 44 8 2 8" xfId="7580" xr:uid="{00000000-0005-0000-0000-0000A11D0000}"/>
    <cellStyle name="Normal 44 8 2 9" xfId="7581" xr:uid="{00000000-0005-0000-0000-0000A21D0000}"/>
    <cellStyle name="Normal 44 8 3" xfId="7582" xr:uid="{00000000-0005-0000-0000-0000A31D0000}"/>
    <cellStyle name="Normal 44 8 4" xfId="7583" xr:uid="{00000000-0005-0000-0000-0000A41D0000}"/>
    <cellStyle name="Normal 44 8 5" xfId="7584" xr:uid="{00000000-0005-0000-0000-0000A51D0000}"/>
    <cellStyle name="Normal 44 8 6" xfId="7585" xr:uid="{00000000-0005-0000-0000-0000A61D0000}"/>
    <cellStyle name="Normal 44 8 7" xfId="7586" xr:uid="{00000000-0005-0000-0000-0000A71D0000}"/>
    <cellStyle name="Normal 44 8 8" xfId="7587" xr:uid="{00000000-0005-0000-0000-0000A81D0000}"/>
    <cellStyle name="Normal 44 8 9" xfId="7588" xr:uid="{00000000-0005-0000-0000-0000A91D0000}"/>
    <cellStyle name="Normal 44 9" xfId="7589" xr:uid="{00000000-0005-0000-0000-0000AA1D0000}"/>
    <cellStyle name="Normal 44 9 10" xfId="7590" xr:uid="{00000000-0005-0000-0000-0000AB1D0000}"/>
    <cellStyle name="Normal 44 9 11" xfId="7591" xr:uid="{00000000-0005-0000-0000-0000AC1D0000}"/>
    <cellStyle name="Normal 44 9 12" xfId="7592" xr:uid="{00000000-0005-0000-0000-0000AD1D0000}"/>
    <cellStyle name="Normal 44 9 13" xfId="7593" xr:uid="{00000000-0005-0000-0000-0000AE1D0000}"/>
    <cellStyle name="Normal 44 9 2" xfId="7594" xr:uid="{00000000-0005-0000-0000-0000AF1D0000}"/>
    <cellStyle name="Normal 44 9 2 10" xfId="7595" xr:uid="{00000000-0005-0000-0000-0000B01D0000}"/>
    <cellStyle name="Normal 44 9 2 11" xfId="7596" xr:uid="{00000000-0005-0000-0000-0000B11D0000}"/>
    <cellStyle name="Normal 44 9 2 2" xfId="7597" xr:uid="{00000000-0005-0000-0000-0000B21D0000}"/>
    <cellStyle name="Normal 44 9 2 3" xfId="7598" xr:uid="{00000000-0005-0000-0000-0000B31D0000}"/>
    <cellStyle name="Normal 44 9 2 4" xfId="7599" xr:uid="{00000000-0005-0000-0000-0000B41D0000}"/>
    <cellStyle name="Normal 44 9 2 5" xfId="7600" xr:uid="{00000000-0005-0000-0000-0000B51D0000}"/>
    <cellStyle name="Normal 44 9 2 6" xfId="7601" xr:uid="{00000000-0005-0000-0000-0000B61D0000}"/>
    <cellStyle name="Normal 44 9 2 7" xfId="7602" xr:uid="{00000000-0005-0000-0000-0000B71D0000}"/>
    <cellStyle name="Normal 44 9 2 8" xfId="7603" xr:uid="{00000000-0005-0000-0000-0000B81D0000}"/>
    <cellStyle name="Normal 44 9 2 9" xfId="7604" xr:uid="{00000000-0005-0000-0000-0000B91D0000}"/>
    <cellStyle name="Normal 44 9 3" xfId="7605" xr:uid="{00000000-0005-0000-0000-0000BA1D0000}"/>
    <cellStyle name="Normal 44 9 4" xfId="7606" xr:uid="{00000000-0005-0000-0000-0000BB1D0000}"/>
    <cellStyle name="Normal 44 9 5" xfId="7607" xr:uid="{00000000-0005-0000-0000-0000BC1D0000}"/>
    <cellStyle name="Normal 44 9 6" xfId="7608" xr:uid="{00000000-0005-0000-0000-0000BD1D0000}"/>
    <cellStyle name="Normal 44 9 7" xfId="7609" xr:uid="{00000000-0005-0000-0000-0000BE1D0000}"/>
    <cellStyle name="Normal 44 9 8" xfId="7610" xr:uid="{00000000-0005-0000-0000-0000BF1D0000}"/>
    <cellStyle name="Normal 44 9 9" xfId="7611" xr:uid="{00000000-0005-0000-0000-0000C01D0000}"/>
    <cellStyle name="Normal 45" xfId="7612" xr:uid="{00000000-0005-0000-0000-0000C11D0000}"/>
    <cellStyle name="Normal 45 10" xfId="7613" xr:uid="{00000000-0005-0000-0000-0000C21D0000}"/>
    <cellStyle name="Normal 45 10 10" xfId="7614" xr:uid="{00000000-0005-0000-0000-0000C31D0000}"/>
    <cellStyle name="Normal 45 10 11" xfId="7615" xr:uid="{00000000-0005-0000-0000-0000C41D0000}"/>
    <cellStyle name="Normal 45 10 12" xfId="7616" xr:uid="{00000000-0005-0000-0000-0000C51D0000}"/>
    <cellStyle name="Normal 45 10 13" xfId="7617" xr:uid="{00000000-0005-0000-0000-0000C61D0000}"/>
    <cellStyle name="Normal 45 10 2" xfId="7618" xr:uid="{00000000-0005-0000-0000-0000C71D0000}"/>
    <cellStyle name="Normal 45 10 2 10" xfId="7619" xr:uid="{00000000-0005-0000-0000-0000C81D0000}"/>
    <cellStyle name="Normal 45 10 2 11" xfId="7620" xr:uid="{00000000-0005-0000-0000-0000C91D0000}"/>
    <cellStyle name="Normal 45 10 2 2" xfId="7621" xr:uid="{00000000-0005-0000-0000-0000CA1D0000}"/>
    <cellStyle name="Normal 45 10 2 3" xfId="7622" xr:uid="{00000000-0005-0000-0000-0000CB1D0000}"/>
    <cellStyle name="Normal 45 10 2 4" xfId="7623" xr:uid="{00000000-0005-0000-0000-0000CC1D0000}"/>
    <cellStyle name="Normal 45 10 2 5" xfId="7624" xr:uid="{00000000-0005-0000-0000-0000CD1D0000}"/>
    <cellStyle name="Normal 45 10 2 6" xfId="7625" xr:uid="{00000000-0005-0000-0000-0000CE1D0000}"/>
    <cellStyle name="Normal 45 10 2 7" xfId="7626" xr:uid="{00000000-0005-0000-0000-0000CF1D0000}"/>
    <cellStyle name="Normal 45 10 2 8" xfId="7627" xr:uid="{00000000-0005-0000-0000-0000D01D0000}"/>
    <cellStyle name="Normal 45 10 2 9" xfId="7628" xr:uid="{00000000-0005-0000-0000-0000D11D0000}"/>
    <cellStyle name="Normal 45 10 3" xfId="7629" xr:uid="{00000000-0005-0000-0000-0000D21D0000}"/>
    <cellStyle name="Normal 45 10 4" xfId="7630" xr:uid="{00000000-0005-0000-0000-0000D31D0000}"/>
    <cellStyle name="Normal 45 10 5" xfId="7631" xr:uid="{00000000-0005-0000-0000-0000D41D0000}"/>
    <cellStyle name="Normal 45 10 6" xfId="7632" xr:uid="{00000000-0005-0000-0000-0000D51D0000}"/>
    <cellStyle name="Normal 45 10 7" xfId="7633" xr:uid="{00000000-0005-0000-0000-0000D61D0000}"/>
    <cellStyle name="Normal 45 10 8" xfId="7634" xr:uid="{00000000-0005-0000-0000-0000D71D0000}"/>
    <cellStyle name="Normal 45 10 9" xfId="7635" xr:uid="{00000000-0005-0000-0000-0000D81D0000}"/>
    <cellStyle name="Normal 45 11" xfId="7636" xr:uid="{00000000-0005-0000-0000-0000D91D0000}"/>
    <cellStyle name="Normal 45 11 10" xfId="7637" xr:uid="{00000000-0005-0000-0000-0000DA1D0000}"/>
    <cellStyle name="Normal 45 11 11" xfId="7638" xr:uid="{00000000-0005-0000-0000-0000DB1D0000}"/>
    <cellStyle name="Normal 45 11 12" xfId="7639" xr:uid="{00000000-0005-0000-0000-0000DC1D0000}"/>
    <cellStyle name="Normal 45 11 13" xfId="7640" xr:uid="{00000000-0005-0000-0000-0000DD1D0000}"/>
    <cellStyle name="Normal 45 11 2" xfId="7641" xr:uid="{00000000-0005-0000-0000-0000DE1D0000}"/>
    <cellStyle name="Normal 45 11 2 10" xfId="7642" xr:uid="{00000000-0005-0000-0000-0000DF1D0000}"/>
    <cellStyle name="Normal 45 11 2 11" xfId="7643" xr:uid="{00000000-0005-0000-0000-0000E01D0000}"/>
    <cellStyle name="Normal 45 11 2 2" xfId="7644" xr:uid="{00000000-0005-0000-0000-0000E11D0000}"/>
    <cellStyle name="Normal 45 11 2 3" xfId="7645" xr:uid="{00000000-0005-0000-0000-0000E21D0000}"/>
    <cellStyle name="Normal 45 11 2 4" xfId="7646" xr:uid="{00000000-0005-0000-0000-0000E31D0000}"/>
    <cellStyle name="Normal 45 11 2 5" xfId="7647" xr:uid="{00000000-0005-0000-0000-0000E41D0000}"/>
    <cellStyle name="Normal 45 11 2 6" xfId="7648" xr:uid="{00000000-0005-0000-0000-0000E51D0000}"/>
    <cellStyle name="Normal 45 11 2 7" xfId="7649" xr:uid="{00000000-0005-0000-0000-0000E61D0000}"/>
    <cellStyle name="Normal 45 11 2 8" xfId="7650" xr:uid="{00000000-0005-0000-0000-0000E71D0000}"/>
    <cellStyle name="Normal 45 11 2 9" xfId="7651" xr:uid="{00000000-0005-0000-0000-0000E81D0000}"/>
    <cellStyle name="Normal 45 11 3" xfId="7652" xr:uid="{00000000-0005-0000-0000-0000E91D0000}"/>
    <cellStyle name="Normal 45 11 4" xfId="7653" xr:uid="{00000000-0005-0000-0000-0000EA1D0000}"/>
    <cellStyle name="Normal 45 11 5" xfId="7654" xr:uid="{00000000-0005-0000-0000-0000EB1D0000}"/>
    <cellStyle name="Normal 45 11 6" xfId="7655" xr:uid="{00000000-0005-0000-0000-0000EC1D0000}"/>
    <cellStyle name="Normal 45 11 7" xfId="7656" xr:uid="{00000000-0005-0000-0000-0000ED1D0000}"/>
    <cellStyle name="Normal 45 11 8" xfId="7657" xr:uid="{00000000-0005-0000-0000-0000EE1D0000}"/>
    <cellStyle name="Normal 45 11 9" xfId="7658" xr:uid="{00000000-0005-0000-0000-0000EF1D0000}"/>
    <cellStyle name="Normal 45 12" xfId="7659" xr:uid="{00000000-0005-0000-0000-0000F01D0000}"/>
    <cellStyle name="Normal 45 12 10" xfId="7660" xr:uid="{00000000-0005-0000-0000-0000F11D0000}"/>
    <cellStyle name="Normal 45 12 11" xfId="7661" xr:uid="{00000000-0005-0000-0000-0000F21D0000}"/>
    <cellStyle name="Normal 45 12 12" xfId="7662" xr:uid="{00000000-0005-0000-0000-0000F31D0000}"/>
    <cellStyle name="Normal 45 12 13" xfId="7663" xr:uid="{00000000-0005-0000-0000-0000F41D0000}"/>
    <cellStyle name="Normal 45 12 2" xfId="7664" xr:uid="{00000000-0005-0000-0000-0000F51D0000}"/>
    <cellStyle name="Normal 45 12 2 10" xfId="7665" xr:uid="{00000000-0005-0000-0000-0000F61D0000}"/>
    <cellStyle name="Normal 45 12 2 11" xfId="7666" xr:uid="{00000000-0005-0000-0000-0000F71D0000}"/>
    <cellStyle name="Normal 45 12 2 2" xfId="7667" xr:uid="{00000000-0005-0000-0000-0000F81D0000}"/>
    <cellStyle name="Normal 45 12 2 3" xfId="7668" xr:uid="{00000000-0005-0000-0000-0000F91D0000}"/>
    <cellStyle name="Normal 45 12 2 4" xfId="7669" xr:uid="{00000000-0005-0000-0000-0000FA1D0000}"/>
    <cellStyle name="Normal 45 12 2 5" xfId="7670" xr:uid="{00000000-0005-0000-0000-0000FB1D0000}"/>
    <cellStyle name="Normal 45 12 2 6" xfId="7671" xr:uid="{00000000-0005-0000-0000-0000FC1D0000}"/>
    <cellStyle name="Normal 45 12 2 7" xfId="7672" xr:uid="{00000000-0005-0000-0000-0000FD1D0000}"/>
    <cellStyle name="Normal 45 12 2 8" xfId="7673" xr:uid="{00000000-0005-0000-0000-0000FE1D0000}"/>
    <cellStyle name="Normal 45 12 2 9" xfId="7674" xr:uid="{00000000-0005-0000-0000-0000FF1D0000}"/>
    <cellStyle name="Normal 45 12 3" xfId="7675" xr:uid="{00000000-0005-0000-0000-0000001E0000}"/>
    <cellStyle name="Normal 45 12 4" xfId="7676" xr:uid="{00000000-0005-0000-0000-0000011E0000}"/>
    <cellStyle name="Normal 45 12 5" xfId="7677" xr:uid="{00000000-0005-0000-0000-0000021E0000}"/>
    <cellStyle name="Normal 45 12 6" xfId="7678" xr:uid="{00000000-0005-0000-0000-0000031E0000}"/>
    <cellStyle name="Normal 45 12 7" xfId="7679" xr:uid="{00000000-0005-0000-0000-0000041E0000}"/>
    <cellStyle name="Normal 45 12 8" xfId="7680" xr:uid="{00000000-0005-0000-0000-0000051E0000}"/>
    <cellStyle name="Normal 45 12 9" xfId="7681" xr:uid="{00000000-0005-0000-0000-0000061E0000}"/>
    <cellStyle name="Normal 45 13" xfId="7682" xr:uid="{00000000-0005-0000-0000-0000071E0000}"/>
    <cellStyle name="Normal 45 13 10" xfId="7683" xr:uid="{00000000-0005-0000-0000-0000081E0000}"/>
    <cellStyle name="Normal 45 13 11" xfId="7684" xr:uid="{00000000-0005-0000-0000-0000091E0000}"/>
    <cellStyle name="Normal 45 13 12" xfId="7685" xr:uid="{00000000-0005-0000-0000-00000A1E0000}"/>
    <cellStyle name="Normal 45 13 13" xfId="7686" xr:uid="{00000000-0005-0000-0000-00000B1E0000}"/>
    <cellStyle name="Normal 45 13 2" xfId="7687" xr:uid="{00000000-0005-0000-0000-00000C1E0000}"/>
    <cellStyle name="Normal 45 13 2 10" xfId="7688" xr:uid="{00000000-0005-0000-0000-00000D1E0000}"/>
    <cellStyle name="Normal 45 13 2 11" xfId="7689" xr:uid="{00000000-0005-0000-0000-00000E1E0000}"/>
    <cellStyle name="Normal 45 13 2 2" xfId="7690" xr:uid="{00000000-0005-0000-0000-00000F1E0000}"/>
    <cellStyle name="Normal 45 13 2 3" xfId="7691" xr:uid="{00000000-0005-0000-0000-0000101E0000}"/>
    <cellStyle name="Normal 45 13 2 4" xfId="7692" xr:uid="{00000000-0005-0000-0000-0000111E0000}"/>
    <cellStyle name="Normal 45 13 2 5" xfId="7693" xr:uid="{00000000-0005-0000-0000-0000121E0000}"/>
    <cellStyle name="Normal 45 13 2 6" xfId="7694" xr:uid="{00000000-0005-0000-0000-0000131E0000}"/>
    <cellStyle name="Normal 45 13 2 7" xfId="7695" xr:uid="{00000000-0005-0000-0000-0000141E0000}"/>
    <cellStyle name="Normal 45 13 2 8" xfId="7696" xr:uid="{00000000-0005-0000-0000-0000151E0000}"/>
    <cellStyle name="Normal 45 13 2 9" xfId="7697" xr:uid="{00000000-0005-0000-0000-0000161E0000}"/>
    <cellStyle name="Normal 45 13 3" xfId="7698" xr:uid="{00000000-0005-0000-0000-0000171E0000}"/>
    <cellStyle name="Normal 45 13 4" xfId="7699" xr:uid="{00000000-0005-0000-0000-0000181E0000}"/>
    <cellStyle name="Normal 45 13 5" xfId="7700" xr:uid="{00000000-0005-0000-0000-0000191E0000}"/>
    <cellStyle name="Normal 45 13 6" xfId="7701" xr:uid="{00000000-0005-0000-0000-00001A1E0000}"/>
    <cellStyle name="Normal 45 13 7" xfId="7702" xr:uid="{00000000-0005-0000-0000-00001B1E0000}"/>
    <cellStyle name="Normal 45 13 8" xfId="7703" xr:uid="{00000000-0005-0000-0000-00001C1E0000}"/>
    <cellStyle name="Normal 45 13 9" xfId="7704" xr:uid="{00000000-0005-0000-0000-00001D1E0000}"/>
    <cellStyle name="Normal 45 14" xfId="7705" xr:uid="{00000000-0005-0000-0000-00001E1E0000}"/>
    <cellStyle name="Normal 45 14 10" xfId="7706" xr:uid="{00000000-0005-0000-0000-00001F1E0000}"/>
    <cellStyle name="Normal 45 14 11" xfId="7707" xr:uid="{00000000-0005-0000-0000-0000201E0000}"/>
    <cellStyle name="Normal 45 14 2" xfId="7708" xr:uid="{00000000-0005-0000-0000-0000211E0000}"/>
    <cellStyle name="Normal 45 14 3" xfId="7709" xr:uid="{00000000-0005-0000-0000-0000221E0000}"/>
    <cellStyle name="Normal 45 14 4" xfId="7710" xr:uid="{00000000-0005-0000-0000-0000231E0000}"/>
    <cellStyle name="Normal 45 14 5" xfId="7711" xr:uid="{00000000-0005-0000-0000-0000241E0000}"/>
    <cellStyle name="Normal 45 14 6" xfId="7712" xr:uid="{00000000-0005-0000-0000-0000251E0000}"/>
    <cellStyle name="Normal 45 14 7" xfId="7713" xr:uid="{00000000-0005-0000-0000-0000261E0000}"/>
    <cellStyle name="Normal 45 14 8" xfId="7714" xr:uid="{00000000-0005-0000-0000-0000271E0000}"/>
    <cellStyle name="Normal 45 14 9" xfId="7715" xr:uid="{00000000-0005-0000-0000-0000281E0000}"/>
    <cellStyle name="Normal 45 15" xfId="7716" xr:uid="{00000000-0005-0000-0000-0000291E0000}"/>
    <cellStyle name="Normal 45 16" xfId="7717" xr:uid="{00000000-0005-0000-0000-00002A1E0000}"/>
    <cellStyle name="Normal 45 17" xfId="7718" xr:uid="{00000000-0005-0000-0000-00002B1E0000}"/>
    <cellStyle name="Normal 45 18" xfId="7719" xr:uid="{00000000-0005-0000-0000-00002C1E0000}"/>
    <cellStyle name="Normal 45 19" xfId="7720" xr:uid="{00000000-0005-0000-0000-00002D1E0000}"/>
    <cellStyle name="Normal 45 2" xfId="7721" xr:uid="{00000000-0005-0000-0000-00002E1E0000}"/>
    <cellStyle name="Normal 45 2 10" xfId="7722" xr:uid="{00000000-0005-0000-0000-00002F1E0000}"/>
    <cellStyle name="Normal 45 2 11" xfId="7723" xr:uid="{00000000-0005-0000-0000-0000301E0000}"/>
    <cellStyle name="Normal 45 2 12" xfId="7724" xr:uid="{00000000-0005-0000-0000-0000311E0000}"/>
    <cellStyle name="Normal 45 2 13" xfId="7725" xr:uid="{00000000-0005-0000-0000-0000321E0000}"/>
    <cellStyle name="Normal 45 2 2" xfId="7726" xr:uid="{00000000-0005-0000-0000-0000331E0000}"/>
    <cellStyle name="Normal 45 2 2 10" xfId="7727" xr:uid="{00000000-0005-0000-0000-0000341E0000}"/>
    <cellStyle name="Normal 45 2 2 11" xfId="7728" xr:uid="{00000000-0005-0000-0000-0000351E0000}"/>
    <cellStyle name="Normal 45 2 2 2" xfId="7729" xr:uid="{00000000-0005-0000-0000-0000361E0000}"/>
    <cellStyle name="Normal 45 2 2 3" xfId="7730" xr:uid="{00000000-0005-0000-0000-0000371E0000}"/>
    <cellStyle name="Normal 45 2 2 4" xfId="7731" xr:uid="{00000000-0005-0000-0000-0000381E0000}"/>
    <cellStyle name="Normal 45 2 2 5" xfId="7732" xr:uid="{00000000-0005-0000-0000-0000391E0000}"/>
    <cellStyle name="Normal 45 2 2 6" xfId="7733" xr:uid="{00000000-0005-0000-0000-00003A1E0000}"/>
    <cellStyle name="Normal 45 2 2 7" xfId="7734" xr:uid="{00000000-0005-0000-0000-00003B1E0000}"/>
    <cellStyle name="Normal 45 2 2 8" xfId="7735" xr:uid="{00000000-0005-0000-0000-00003C1E0000}"/>
    <cellStyle name="Normal 45 2 2 9" xfId="7736" xr:uid="{00000000-0005-0000-0000-00003D1E0000}"/>
    <cellStyle name="Normal 45 2 3" xfId="7737" xr:uid="{00000000-0005-0000-0000-00003E1E0000}"/>
    <cellStyle name="Normal 45 2 4" xfId="7738" xr:uid="{00000000-0005-0000-0000-00003F1E0000}"/>
    <cellStyle name="Normal 45 2 5" xfId="7739" xr:uid="{00000000-0005-0000-0000-0000401E0000}"/>
    <cellStyle name="Normal 45 2 6" xfId="7740" xr:uid="{00000000-0005-0000-0000-0000411E0000}"/>
    <cellStyle name="Normal 45 2 7" xfId="7741" xr:uid="{00000000-0005-0000-0000-0000421E0000}"/>
    <cellStyle name="Normal 45 2 8" xfId="7742" xr:uid="{00000000-0005-0000-0000-0000431E0000}"/>
    <cellStyle name="Normal 45 2 9" xfId="7743" xr:uid="{00000000-0005-0000-0000-0000441E0000}"/>
    <cellStyle name="Normal 45 20" xfId="7744" xr:uid="{00000000-0005-0000-0000-0000451E0000}"/>
    <cellStyle name="Normal 45 21" xfId="7745" xr:uid="{00000000-0005-0000-0000-0000461E0000}"/>
    <cellStyle name="Normal 45 22" xfId="7746" xr:uid="{00000000-0005-0000-0000-0000471E0000}"/>
    <cellStyle name="Normal 45 23" xfId="7747" xr:uid="{00000000-0005-0000-0000-0000481E0000}"/>
    <cellStyle name="Normal 45 24" xfId="7748" xr:uid="{00000000-0005-0000-0000-0000491E0000}"/>
    <cellStyle name="Normal 45 25" xfId="7749" xr:uid="{00000000-0005-0000-0000-00004A1E0000}"/>
    <cellStyle name="Normal 45 3" xfId="7750" xr:uid="{00000000-0005-0000-0000-00004B1E0000}"/>
    <cellStyle name="Normal 45 3 10" xfId="7751" xr:uid="{00000000-0005-0000-0000-00004C1E0000}"/>
    <cellStyle name="Normal 45 3 11" xfId="7752" xr:uid="{00000000-0005-0000-0000-00004D1E0000}"/>
    <cellStyle name="Normal 45 3 12" xfId="7753" xr:uid="{00000000-0005-0000-0000-00004E1E0000}"/>
    <cellStyle name="Normal 45 3 13" xfId="7754" xr:uid="{00000000-0005-0000-0000-00004F1E0000}"/>
    <cellStyle name="Normal 45 3 2" xfId="7755" xr:uid="{00000000-0005-0000-0000-0000501E0000}"/>
    <cellStyle name="Normal 45 3 2 10" xfId="7756" xr:uid="{00000000-0005-0000-0000-0000511E0000}"/>
    <cellStyle name="Normal 45 3 2 11" xfId="7757" xr:uid="{00000000-0005-0000-0000-0000521E0000}"/>
    <cellStyle name="Normal 45 3 2 2" xfId="7758" xr:uid="{00000000-0005-0000-0000-0000531E0000}"/>
    <cellStyle name="Normal 45 3 2 3" xfId="7759" xr:uid="{00000000-0005-0000-0000-0000541E0000}"/>
    <cellStyle name="Normal 45 3 2 4" xfId="7760" xr:uid="{00000000-0005-0000-0000-0000551E0000}"/>
    <cellStyle name="Normal 45 3 2 5" xfId="7761" xr:uid="{00000000-0005-0000-0000-0000561E0000}"/>
    <cellStyle name="Normal 45 3 2 6" xfId="7762" xr:uid="{00000000-0005-0000-0000-0000571E0000}"/>
    <cellStyle name="Normal 45 3 2 7" xfId="7763" xr:uid="{00000000-0005-0000-0000-0000581E0000}"/>
    <cellStyle name="Normal 45 3 2 8" xfId="7764" xr:uid="{00000000-0005-0000-0000-0000591E0000}"/>
    <cellStyle name="Normal 45 3 2 9" xfId="7765" xr:uid="{00000000-0005-0000-0000-00005A1E0000}"/>
    <cellStyle name="Normal 45 3 3" xfId="7766" xr:uid="{00000000-0005-0000-0000-00005B1E0000}"/>
    <cellStyle name="Normal 45 3 4" xfId="7767" xr:uid="{00000000-0005-0000-0000-00005C1E0000}"/>
    <cellStyle name="Normal 45 3 5" xfId="7768" xr:uid="{00000000-0005-0000-0000-00005D1E0000}"/>
    <cellStyle name="Normal 45 3 6" xfId="7769" xr:uid="{00000000-0005-0000-0000-00005E1E0000}"/>
    <cellStyle name="Normal 45 3 7" xfId="7770" xr:uid="{00000000-0005-0000-0000-00005F1E0000}"/>
    <cellStyle name="Normal 45 3 8" xfId="7771" xr:uid="{00000000-0005-0000-0000-0000601E0000}"/>
    <cellStyle name="Normal 45 3 9" xfId="7772" xr:uid="{00000000-0005-0000-0000-0000611E0000}"/>
    <cellStyle name="Normal 45 4" xfId="7773" xr:uid="{00000000-0005-0000-0000-0000621E0000}"/>
    <cellStyle name="Normal 45 4 10" xfId="7774" xr:uid="{00000000-0005-0000-0000-0000631E0000}"/>
    <cellStyle name="Normal 45 4 11" xfId="7775" xr:uid="{00000000-0005-0000-0000-0000641E0000}"/>
    <cellStyle name="Normal 45 4 12" xfId="7776" xr:uid="{00000000-0005-0000-0000-0000651E0000}"/>
    <cellStyle name="Normal 45 4 13" xfId="7777" xr:uid="{00000000-0005-0000-0000-0000661E0000}"/>
    <cellStyle name="Normal 45 4 2" xfId="7778" xr:uid="{00000000-0005-0000-0000-0000671E0000}"/>
    <cellStyle name="Normal 45 4 2 10" xfId="7779" xr:uid="{00000000-0005-0000-0000-0000681E0000}"/>
    <cellStyle name="Normal 45 4 2 11" xfId="7780" xr:uid="{00000000-0005-0000-0000-0000691E0000}"/>
    <cellStyle name="Normal 45 4 2 2" xfId="7781" xr:uid="{00000000-0005-0000-0000-00006A1E0000}"/>
    <cellStyle name="Normal 45 4 2 3" xfId="7782" xr:uid="{00000000-0005-0000-0000-00006B1E0000}"/>
    <cellStyle name="Normal 45 4 2 4" xfId="7783" xr:uid="{00000000-0005-0000-0000-00006C1E0000}"/>
    <cellStyle name="Normal 45 4 2 5" xfId="7784" xr:uid="{00000000-0005-0000-0000-00006D1E0000}"/>
    <cellStyle name="Normal 45 4 2 6" xfId="7785" xr:uid="{00000000-0005-0000-0000-00006E1E0000}"/>
    <cellStyle name="Normal 45 4 2 7" xfId="7786" xr:uid="{00000000-0005-0000-0000-00006F1E0000}"/>
    <cellStyle name="Normal 45 4 2 8" xfId="7787" xr:uid="{00000000-0005-0000-0000-0000701E0000}"/>
    <cellStyle name="Normal 45 4 2 9" xfId="7788" xr:uid="{00000000-0005-0000-0000-0000711E0000}"/>
    <cellStyle name="Normal 45 4 3" xfId="7789" xr:uid="{00000000-0005-0000-0000-0000721E0000}"/>
    <cellStyle name="Normal 45 4 4" xfId="7790" xr:uid="{00000000-0005-0000-0000-0000731E0000}"/>
    <cellStyle name="Normal 45 4 5" xfId="7791" xr:uid="{00000000-0005-0000-0000-0000741E0000}"/>
    <cellStyle name="Normal 45 4 6" xfId="7792" xr:uid="{00000000-0005-0000-0000-0000751E0000}"/>
    <cellStyle name="Normal 45 4 7" xfId="7793" xr:uid="{00000000-0005-0000-0000-0000761E0000}"/>
    <cellStyle name="Normal 45 4 8" xfId="7794" xr:uid="{00000000-0005-0000-0000-0000771E0000}"/>
    <cellStyle name="Normal 45 4 9" xfId="7795" xr:uid="{00000000-0005-0000-0000-0000781E0000}"/>
    <cellStyle name="Normal 45 5" xfId="7796" xr:uid="{00000000-0005-0000-0000-0000791E0000}"/>
    <cellStyle name="Normal 45 5 10" xfId="7797" xr:uid="{00000000-0005-0000-0000-00007A1E0000}"/>
    <cellStyle name="Normal 45 5 11" xfId="7798" xr:uid="{00000000-0005-0000-0000-00007B1E0000}"/>
    <cellStyle name="Normal 45 5 12" xfId="7799" xr:uid="{00000000-0005-0000-0000-00007C1E0000}"/>
    <cellStyle name="Normal 45 5 13" xfId="7800" xr:uid="{00000000-0005-0000-0000-00007D1E0000}"/>
    <cellStyle name="Normal 45 5 2" xfId="7801" xr:uid="{00000000-0005-0000-0000-00007E1E0000}"/>
    <cellStyle name="Normal 45 5 2 10" xfId="7802" xr:uid="{00000000-0005-0000-0000-00007F1E0000}"/>
    <cellStyle name="Normal 45 5 2 11" xfId="7803" xr:uid="{00000000-0005-0000-0000-0000801E0000}"/>
    <cellStyle name="Normal 45 5 2 2" xfId="7804" xr:uid="{00000000-0005-0000-0000-0000811E0000}"/>
    <cellStyle name="Normal 45 5 2 3" xfId="7805" xr:uid="{00000000-0005-0000-0000-0000821E0000}"/>
    <cellStyle name="Normal 45 5 2 4" xfId="7806" xr:uid="{00000000-0005-0000-0000-0000831E0000}"/>
    <cellStyle name="Normal 45 5 2 5" xfId="7807" xr:uid="{00000000-0005-0000-0000-0000841E0000}"/>
    <cellStyle name="Normal 45 5 2 6" xfId="7808" xr:uid="{00000000-0005-0000-0000-0000851E0000}"/>
    <cellStyle name="Normal 45 5 2 7" xfId="7809" xr:uid="{00000000-0005-0000-0000-0000861E0000}"/>
    <cellStyle name="Normal 45 5 2 8" xfId="7810" xr:uid="{00000000-0005-0000-0000-0000871E0000}"/>
    <cellStyle name="Normal 45 5 2 9" xfId="7811" xr:uid="{00000000-0005-0000-0000-0000881E0000}"/>
    <cellStyle name="Normal 45 5 3" xfId="7812" xr:uid="{00000000-0005-0000-0000-0000891E0000}"/>
    <cellStyle name="Normal 45 5 4" xfId="7813" xr:uid="{00000000-0005-0000-0000-00008A1E0000}"/>
    <cellStyle name="Normal 45 5 5" xfId="7814" xr:uid="{00000000-0005-0000-0000-00008B1E0000}"/>
    <cellStyle name="Normal 45 5 6" xfId="7815" xr:uid="{00000000-0005-0000-0000-00008C1E0000}"/>
    <cellStyle name="Normal 45 5 7" xfId="7816" xr:uid="{00000000-0005-0000-0000-00008D1E0000}"/>
    <cellStyle name="Normal 45 5 8" xfId="7817" xr:uid="{00000000-0005-0000-0000-00008E1E0000}"/>
    <cellStyle name="Normal 45 5 9" xfId="7818" xr:uid="{00000000-0005-0000-0000-00008F1E0000}"/>
    <cellStyle name="Normal 45 6" xfId="7819" xr:uid="{00000000-0005-0000-0000-0000901E0000}"/>
    <cellStyle name="Normal 45 6 10" xfId="7820" xr:uid="{00000000-0005-0000-0000-0000911E0000}"/>
    <cellStyle name="Normal 45 6 11" xfId="7821" xr:uid="{00000000-0005-0000-0000-0000921E0000}"/>
    <cellStyle name="Normal 45 6 12" xfId="7822" xr:uid="{00000000-0005-0000-0000-0000931E0000}"/>
    <cellStyle name="Normal 45 6 13" xfId="7823" xr:uid="{00000000-0005-0000-0000-0000941E0000}"/>
    <cellStyle name="Normal 45 6 2" xfId="7824" xr:uid="{00000000-0005-0000-0000-0000951E0000}"/>
    <cellStyle name="Normal 45 6 2 10" xfId="7825" xr:uid="{00000000-0005-0000-0000-0000961E0000}"/>
    <cellStyle name="Normal 45 6 2 11" xfId="7826" xr:uid="{00000000-0005-0000-0000-0000971E0000}"/>
    <cellStyle name="Normal 45 6 2 2" xfId="7827" xr:uid="{00000000-0005-0000-0000-0000981E0000}"/>
    <cellStyle name="Normal 45 6 2 3" xfId="7828" xr:uid="{00000000-0005-0000-0000-0000991E0000}"/>
    <cellStyle name="Normal 45 6 2 4" xfId="7829" xr:uid="{00000000-0005-0000-0000-00009A1E0000}"/>
    <cellStyle name="Normal 45 6 2 5" xfId="7830" xr:uid="{00000000-0005-0000-0000-00009B1E0000}"/>
    <cellStyle name="Normal 45 6 2 6" xfId="7831" xr:uid="{00000000-0005-0000-0000-00009C1E0000}"/>
    <cellStyle name="Normal 45 6 2 7" xfId="7832" xr:uid="{00000000-0005-0000-0000-00009D1E0000}"/>
    <cellStyle name="Normal 45 6 2 8" xfId="7833" xr:uid="{00000000-0005-0000-0000-00009E1E0000}"/>
    <cellStyle name="Normal 45 6 2 9" xfId="7834" xr:uid="{00000000-0005-0000-0000-00009F1E0000}"/>
    <cellStyle name="Normal 45 6 3" xfId="7835" xr:uid="{00000000-0005-0000-0000-0000A01E0000}"/>
    <cellStyle name="Normal 45 6 4" xfId="7836" xr:uid="{00000000-0005-0000-0000-0000A11E0000}"/>
    <cellStyle name="Normal 45 6 5" xfId="7837" xr:uid="{00000000-0005-0000-0000-0000A21E0000}"/>
    <cellStyle name="Normal 45 6 6" xfId="7838" xr:uid="{00000000-0005-0000-0000-0000A31E0000}"/>
    <cellStyle name="Normal 45 6 7" xfId="7839" xr:uid="{00000000-0005-0000-0000-0000A41E0000}"/>
    <cellStyle name="Normal 45 6 8" xfId="7840" xr:uid="{00000000-0005-0000-0000-0000A51E0000}"/>
    <cellStyle name="Normal 45 6 9" xfId="7841" xr:uid="{00000000-0005-0000-0000-0000A61E0000}"/>
    <cellStyle name="Normal 45 7" xfId="7842" xr:uid="{00000000-0005-0000-0000-0000A71E0000}"/>
    <cellStyle name="Normal 45 7 10" xfId="7843" xr:uid="{00000000-0005-0000-0000-0000A81E0000}"/>
    <cellStyle name="Normal 45 7 11" xfId="7844" xr:uid="{00000000-0005-0000-0000-0000A91E0000}"/>
    <cellStyle name="Normal 45 7 12" xfId="7845" xr:uid="{00000000-0005-0000-0000-0000AA1E0000}"/>
    <cellStyle name="Normal 45 7 13" xfId="7846" xr:uid="{00000000-0005-0000-0000-0000AB1E0000}"/>
    <cellStyle name="Normal 45 7 2" xfId="7847" xr:uid="{00000000-0005-0000-0000-0000AC1E0000}"/>
    <cellStyle name="Normal 45 7 2 10" xfId="7848" xr:uid="{00000000-0005-0000-0000-0000AD1E0000}"/>
    <cellStyle name="Normal 45 7 2 11" xfId="7849" xr:uid="{00000000-0005-0000-0000-0000AE1E0000}"/>
    <cellStyle name="Normal 45 7 2 2" xfId="7850" xr:uid="{00000000-0005-0000-0000-0000AF1E0000}"/>
    <cellStyle name="Normal 45 7 2 3" xfId="7851" xr:uid="{00000000-0005-0000-0000-0000B01E0000}"/>
    <cellStyle name="Normal 45 7 2 4" xfId="7852" xr:uid="{00000000-0005-0000-0000-0000B11E0000}"/>
    <cellStyle name="Normal 45 7 2 5" xfId="7853" xr:uid="{00000000-0005-0000-0000-0000B21E0000}"/>
    <cellStyle name="Normal 45 7 2 6" xfId="7854" xr:uid="{00000000-0005-0000-0000-0000B31E0000}"/>
    <cellStyle name="Normal 45 7 2 7" xfId="7855" xr:uid="{00000000-0005-0000-0000-0000B41E0000}"/>
    <cellStyle name="Normal 45 7 2 8" xfId="7856" xr:uid="{00000000-0005-0000-0000-0000B51E0000}"/>
    <cellStyle name="Normal 45 7 2 9" xfId="7857" xr:uid="{00000000-0005-0000-0000-0000B61E0000}"/>
    <cellStyle name="Normal 45 7 3" xfId="7858" xr:uid="{00000000-0005-0000-0000-0000B71E0000}"/>
    <cellStyle name="Normal 45 7 4" xfId="7859" xr:uid="{00000000-0005-0000-0000-0000B81E0000}"/>
    <cellStyle name="Normal 45 7 5" xfId="7860" xr:uid="{00000000-0005-0000-0000-0000B91E0000}"/>
    <cellStyle name="Normal 45 7 6" xfId="7861" xr:uid="{00000000-0005-0000-0000-0000BA1E0000}"/>
    <cellStyle name="Normal 45 7 7" xfId="7862" xr:uid="{00000000-0005-0000-0000-0000BB1E0000}"/>
    <cellStyle name="Normal 45 7 8" xfId="7863" xr:uid="{00000000-0005-0000-0000-0000BC1E0000}"/>
    <cellStyle name="Normal 45 7 9" xfId="7864" xr:uid="{00000000-0005-0000-0000-0000BD1E0000}"/>
    <cellStyle name="Normal 45 8" xfId="7865" xr:uid="{00000000-0005-0000-0000-0000BE1E0000}"/>
    <cellStyle name="Normal 45 8 10" xfId="7866" xr:uid="{00000000-0005-0000-0000-0000BF1E0000}"/>
    <cellStyle name="Normal 45 8 11" xfId="7867" xr:uid="{00000000-0005-0000-0000-0000C01E0000}"/>
    <cellStyle name="Normal 45 8 12" xfId="7868" xr:uid="{00000000-0005-0000-0000-0000C11E0000}"/>
    <cellStyle name="Normal 45 8 13" xfId="7869" xr:uid="{00000000-0005-0000-0000-0000C21E0000}"/>
    <cellStyle name="Normal 45 8 2" xfId="7870" xr:uid="{00000000-0005-0000-0000-0000C31E0000}"/>
    <cellStyle name="Normal 45 8 2 10" xfId="7871" xr:uid="{00000000-0005-0000-0000-0000C41E0000}"/>
    <cellStyle name="Normal 45 8 2 11" xfId="7872" xr:uid="{00000000-0005-0000-0000-0000C51E0000}"/>
    <cellStyle name="Normal 45 8 2 2" xfId="7873" xr:uid="{00000000-0005-0000-0000-0000C61E0000}"/>
    <cellStyle name="Normal 45 8 2 3" xfId="7874" xr:uid="{00000000-0005-0000-0000-0000C71E0000}"/>
    <cellStyle name="Normal 45 8 2 4" xfId="7875" xr:uid="{00000000-0005-0000-0000-0000C81E0000}"/>
    <cellStyle name="Normal 45 8 2 5" xfId="7876" xr:uid="{00000000-0005-0000-0000-0000C91E0000}"/>
    <cellStyle name="Normal 45 8 2 6" xfId="7877" xr:uid="{00000000-0005-0000-0000-0000CA1E0000}"/>
    <cellStyle name="Normal 45 8 2 7" xfId="7878" xr:uid="{00000000-0005-0000-0000-0000CB1E0000}"/>
    <cellStyle name="Normal 45 8 2 8" xfId="7879" xr:uid="{00000000-0005-0000-0000-0000CC1E0000}"/>
    <cellStyle name="Normal 45 8 2 9" xfId="7880" xr:uid="{00000000-0005-0000-0000-0000CD1E0000}"/>
    <cellStyle name="Normal 45 8 3" xfId="7881" xr:uid="{00000000-0005-0000-0000-0000CE1E0000}"/>
    <cellStyle name="Normal 45 8 4" xfId="7882" xr:uid="{00000000-0005-0000-0000-0000CF1E0000}"/>
    <cellStyle name="Normal 45 8 5" xfId="7883" xr:uid="{00000000-0005-0000-0000-0000D01E0000}"/>
    <cellStyle name="Normal 45 8 6" xfId="7884" xr:uid="{00000000-0005-0000-0000-0000D11E0000}"/>
    <cellStyle name="Normal 45 8 7" xfId="7885" xr:uid="{00000000-0005-0000-0000-0000D21E0000}"/>
    <cellStyle name="Normal 45 8 8" xfId="7886" xr:uid="{00000000-0005-0000-0000-0000D31E0000}"/>
    <cellStyle name="Normal 45 8 9" xfId="7887" xr:uid="{00000000-0005-0000-0000-0000D41E0000}"/>
    <cellStyle name="Normal 45 9" xfId="7888" xr:uid="{00000000-0005-0000-0000-0000D51E0000}"/>
    <cellStyle name="Normal 45 9 10" xfId="7889" xr:uid="{00000000-0005-0000-0000-0000D61E0000}"/>
    <cellStyle name="Normal 45 9 11" xfId="7890" xr:uid="{00000000-0005-0000-0000-0000D71E0000}"/>
    <cellStyle name="Normal 45 9 12" xfId="7891" xr:uid="{00000000-0005-0000-0000-0000D81E0000}"/>
    <cellStyle name="Normal 45 9 13" xfId="7892" xr:uid="{00000000-0005-0000-0000-0000D91E0000}"/>
    <cellStyle name="Normal 45 9 2" xfId="7893" xr:uid="{00000000-0005-0000-0000-0000DA1E0000}"/>
    <cellStyle name="Normal 45 9 2 10" xfId="7894" xr:uid="{00000000-0005-0000-0000-0000DB1E0000}"/>
    <cellStyle name="Normal 45 9 2 11" xfId="7895" xr:uid="{00000000-0005-0000-0000-0000DC1E0000}"/>
    <cellStyle name="Normal 45 9 2 2" xfId="7896" xr:uid="{00000000-0005-0000-0000-0000DD1E0000}"/>
    <cellStyle name="Normal 45 9 2 3" xfId="7897" xr:uid="{00000000-0005-0000-0000-0000DE1E0000}"/>
    <cellStyle name="Normal 45 9 2 4" xfId="7898" xr:uid="{00000000-0005-0000-0000-0000DF1E0000}"/>
    <cellStyle name="Normal 45 9 2 5" xfId="7899" xr:uid="{00000000-0005-0000-0000-0000E01E0000}"/>
    <cellStyle name="Normal 45 9 2 6" xfId="7900" xr:uid="{00000000-0005-0000-0000-0000E11E0000}"/>
    <cellStyle name="Normal 45 9 2 7" xfId="7901" xr:uid="{00000000-0005-0000-0000-0000E21E0000}"/>
    <cellStyle name="Normal 45 9 2 8" xfId="7902" xr:uid="{00000000-0005-0000-0000-0000E31E0000}"/>
    <cellStyle name="Normal 45 9 2 9" xfId="7903" xr:uid="{00000000-0005-0000-0000-0000E41E0000}"/>
    <cellStyle name="Normal 45 9 3" xfId="7904" xr:uid="{00000000-0005-0000-0000-0000E51E0000}"/>
    <cellStyle name="Normal 45 9 4" xfId="7905" xr:uid="{00000000-0005-0000-0000-0000E61E0000}"/>
    <cellStyle name="Normal 45 9 5" xfId="7906" xr:uid="{00000000-0005-0000-0000-0000E71E0000}"/>
    <cellStyle name="Normal 45 9 6" xfId="7907" xr:uid="{00000000-0005-0000-0000-0000E81E0000}"/>
    <cellStyle name="Normal 45 9 7" xfId="7908" xr:uid="{00000000-0005-0000-0000-0000E91E0000}"/>
    <cellStyle name="Normal 45 9 8" xfId="7909" xr:uid="{00000000-0005-0000-0000-0000EA1E0000}"/>
    <cellStyle name="Normal 45 9 9" xfId="7910" xr:uid="{00000000-0005-0000-0000-0000EB1E0000}"/>
    <cellStyle name="Normal 46" xfId="7911" xr:uid="{00000000-0005-0000-0000-0000EC1E0000}"/>
    <cellStyle name="Normal 46 10" xfId="7912" xr:uid="{00000000-0005-0000-0000-0000ED1E0000}"/>
    <cellStyle name="Normal 46 10 10" xfId="7913" xr:uid="{00000000-0005-0000-0000-0000EE1E0000}"/>
    <cellStyle name="Normal 46 10 11" xfId="7914" xr:uid="{00000000-0005-0000-0000-0000EF1E0000}"/>
    <cellStyle name="Normal 46 10 12" xfId="7915" xr:uid="{00000000-0005-0000-0000-0000F01E0000}"/>
    <cellStyle name="Normal 46 10 13" xfId="7916" xr:uid="{00000000-0005-0000-0000-0000F11E0000}"/>
    <cellStyle name="Normal 46 10 2" xfId="7917" xr:uid="{00000000-0005-0000-0000-0000F21E0000}"/>
    <cellStyle name="Normal 46 10 2 10" xfId="7918" xr:uid="{00000000-0005-0000-0000-0000F31E0000}"/>
    <cellStyle name="Normal 46 10 2 11" xfId="7919" xr:uid="{00000000-0005-0000-0000-0000F41E0000}"/>
    <cellStyle name="Normal 46 10 2 2" xfId="7920" xr:uid="{00000000-0005-0000-0000-0000F51E0000}"/>
    <cellStyle name="Normal 46 10 2 3" xfId="7921" xr:uid="{00000000-0005-0000-0000-0000F61E0000}"/>
    <cellStyle name="Normal 46 10 2 4" xfId="7922" xr:uid="{00000000-0005-0000-0000-0000F71E0000}"/>
    <cellStyle name="Normal 46 10 2 5" xfId="7923" xr:uid="{00000000-0005-0000-0000-0000F81E0000}"/>
    <cellStyle name="Normal 46 10 2 6" xfId="7924" xr:uid="{00000000-0005-0000-0000-0000F91E0000}"/>
    <cellStyle name="Normal 46 10 2 7" xfId="7925" xr:uid="{00000000-0005-0000-0000-0000FA1E0000}"/>
    <cellStyle name="Normal 46 10 2 8" xfId="7926" xr:uid="{00000000-0005-0000-0000-0000FB1E0000}"/>
    <cellStyle name="Normal 46 10 2 9" xfId="7927" xr:uid="{00000000-0005-0000-0000-0000FC1E0000}"/>
    <cellStyle name="Normal 46 10 3" xfId="7928" xr:uid="{00000000-0005-0000-0000-0000FD1E0000}"/>
    <cellStyle name="Normal 46 10 4" xfId="7929" xr:uid="{00000000-0005-0000-0000-0000FE1E0000}"/>
    <cellStyle name="Normal 46 10 5" xfId="7930" xr:uid="{00000000-0005-0000-0000-0000FF1E0000}"/>
    <cellStyle name="Normal 46 10 6" xfId="7931" xr:uid="{00000000-0005-0000-0000-0000001F0000}"/>
    <cellStyle name="Normal 46 10 7" xfId="7932" xr:uid="{00000000-0005-0000-0000-0000011F0000}"/>
    <cellStyle name="Normal 46 10 8" xfId="7933" xr:uid="{00000000-0005-0000-0000-0000021F0000}"/>
    <cellStyle name="Normal 46 10 9" xfId="7934" xr:uid="{00000000-0005-0000-0000-0000031F0000}"/>
    <cellStyle name="Normal 46 11" xfId="7935" xr:uid="{00000000-0005-0000-0000-0000041F0000}"/>
    <cellStyle name="Normal 46 11 10" xfId="7936" xr:uid="{00000000-0005-0000-0000-0000051F0000}"/>
    <cellStyle name="Normal 46 11 11" xfId="7937" xr:uid="{00000000-0005-0000-0000-0000061F0000}"/>
    <cellStyle name="Normal 46 11 12" xfId="7938" xr:uid="{00000000-0005-0000-0000-0000071F0000}"/>
    <cellStyle name="Normal 46 11 13" xfId="7939" xr:uid="{00000000-0005-0000-0000-0000081F0000}"/>
    <cellStyle name="Normal 46 11 2" xfId="7940" xr:uid="{00000000-0005-0000-0000-0000091F0000}"/>
    <cellStyle name="Normal 46 11 2 10" xfId="7941" xr:uid="{00000000-0005-0000-0000-00000A1F0000}"/>
    <cellStyle name="Normal 46 11 2 11" xfId="7942" xr:uid="{00000000-0005-0000-0000-00000B1F0000}"/>
    <cellStyle name="Normal 46 11 2 2" xfId="7943" xr:uid="{00000000-0005-0000-0000-00000C1F0000}"/>
    <cellStyle name="Normal 46 11 2 3" xfId="7944" xr:uid="{00000000-0005-0000-0000-00000D1F0000}"/>
    <cellStyle name="Normal 46 11 2 4" xfId="7945" xr:uid="{00000000-0005-0000-0000-00000E1F0000}"/>
    <cellStyle name="Normal 46 11 2 5" xfId="7946" xr:uid="{00000000-0005-0000-0000-00000F1F0000}"/>
    <cellStyle name="Normal 46 11 2 6" xfId="7947" xr:uid="{00000000-0005-0000-0000-0000101F0000}"/>
    <cellStyle name="Normal 46 11 2 7" xfId="7948" xr:uid="{00000000-0005-0000-0000-0000111F0000}"/>
    <cellStyle name="Normal 46 11 2 8" xfId="7949" xr:uid="{00000000-0005-0000-0000-0000121F0000}"/>
    <cellStyle name="Normal 46 11 2 9" xfId="7950" xr:uid="{00000000-0005-0000-0000-0000131F0000}"/>
    <cellStyle name="Normal 46 11 3" xfId="7951" xr:uid="{00000000-0005-0000-0000-0000141F0000}"/>
    <cellStyle name="Normal 46 11 4" xfId="7952" xr:uid="{00000000-0005-0000-0000-0000151F0000}"/>
    <cellStyle name="Normal 46 11 5" xfId="7953" xr:uid="{00000000-0005-0000-0000-0000161F0000}"/>
    <cellStyle name="Normal 46 11 6" xfId="7954" xr:uid="{00000000-0005-0000-0000-0000171F0000}"/>
    <cellStyle name="Normal 46 11 7" xfId="7955" xr:uid="{00000000-0005-0000-0000-0000181F0000}"/>
    <cellStyle name="Normal 46 11 8" xfId="7956" xr:uid="{00000000-0005-0000-0000-0000191F0000}"/>
    <cellStyle name="Normal 46 11 9" xfId="7957" xr:uid="{00000000-0005-0000-0000-00001A1F0000}"/>
    <cellStyle name="Normal 46 12" xfId="7958" xr:uid="{00000000-0005-0000-0000-00001B1F0000}"/>
    <cellStyle name="Normal 46 12 10" xfId="7959" xr:uid="{00000000-0005-0000-0000-00001C1F0000}"/>
    <cellStyle name="Normal 46 12 11" xfId="7960" xr:uid="{00000000-0005-0000-0000-00001D1F0000}"/>
    <cellStyle name="Normal 46 12 12" xfId="7961" xr:uid="{00000000-0005-0000-0000-00001E1F0000}"/>
    <cellStyle name="Normal 46 12 13" xfId="7962" xr:uid="{00000000-0005-0000-0000-00001F1F0000}"/>
    <cellStyle name="Normal 46 12 2" xfId="7963" xr:uid="{00000000-0005-0000-0000-0000201F0000}"/>
    <cellStyle name="Normal 46 12 2 10" xfId="7964" xr:uid="{00000000-0005-0000-0000-0000211F0000}"/>
    <cellStyle name="Normal 46 12 2 11" xfId="7965" xr:uid="{00000000-0005-0000-0000-0000221F0000}"/>
    <cellStyle name="Normal 46 12 2 2" xfId="7966" xr:uid="{00000000-0005-0000-0000-0000231F0000}"/>
    <cellStyle name="Normal 46 12 2 3" xfId="7967" xr:uid="{00000000-0005-0000-0000-0000241F0000}"/>
    <cellStyle name="Normal 46 12 2 4" xfId="7968" xr:uid="{00000000-0005-0000-0000-0000251F0000}"/>
    <cellStyle name="Normal 46 12 2 5" xfId="7969" xr:uid="{00000000-0005-0000-0000-0000261F0000}"/>
    <cellStyle name="Normal 46 12 2 6" xfId="7970" xr:uid="{00000000-0005-0000-0000-0000271F0000}"/>
    <cellStyle name="Normal 46 12 2 7" xfId="7971" xr:uid="{00000000-0005-0000-0000-0000281F0000}"/>
    <cellStyle name="Normal 46 12 2 8" xfId="7972" xr:uid="{00000000-0005-0000-0000-0000291F0000}"/>
    <cellStyle name="Normal 46 12 2 9" xfId="7973" xr:uid="{00000000-0005-0000-0000-00002A1F0000}"/>
    <cellStyle name="Normal 46 12 3" xfId="7974" xr:uid="{00000000-0005-0000-0000-00002B1F0000}"/>
    <cellStyle name="Normal 46 12 4" xfId="7975" xr:uid="{00000000-0005-0000-0000-00002C1F0000}"/>
    <cellStyle name="Normal 46 12 5" xfId="7976" xr:uid="{00000000-0005-0000-0000-00002D1F0000}"/>
    <cellStyle name="Normal 46 12 6" xfId="7977" xr:uid="{00000000-0005-0000-0000-00002E1F0000}"/>
    <cellStyle name="Normal 46 12 7" xfId="7978" xr:uid="{00000000-0005-0000-0000-00002F1F0000}"/>
    <cellStyle name="Normal 46 12 8" xfId="7979" xr:uid="{00000000-0005-0000-0000-0000301F0000}"/>
    <cellStyle name="Normal 46 12 9" xfId="7980" xr:uid="{00000000-0005-0000-0000-0000311F0000}"/>
    <cellStyle name="Normal 46 13" xfId="7981" xr:uid="{00000000-0005-0000-0000-0000321F0000}"/>
    <cellStyle name="Normal 46 13 10" xfId="7982" xr:uid="{00000000-0005-0000-0000-0000331F0000}"/>
    <cellStyle name="Normal 46 13 11" xfId="7983" xr:uid="{00000000-0005-0000-0000-0000341F0000}"/>
    <cellStyle name="Normal 46 13 12" xfId="7984" xr:uid="{00000000-0005-0000-0000-0000351F0000}"/>
    <cellStyle name="Normal 46 13 13" xfId="7985" xr:uid="{00000000-0005-0000-0000-0000361F0000}"/>
    <cellStyle name="Normal 46 13 2" xfId="7986" xr:uid="{00000000-0005-0000-0000-0000371F0000}"/>
    <cellStyle name="Normal 46 13 2 10" xfId="7987" xr:uid="{00000000-0005-0000-0000-0000381F0000}"/>
    <cellStyle name="Normal 46 13 2 11" xfId="7988" xr:uid="{00000000-0005-0000-0000-0000391F0000}"/>
    <cellStyle name="Normal 46 13 2 2" xfId="7989" xr:uid="{00000000-0005-0000-0000-00003A1F0000}"/>
    <cellStyle name="Normal 46 13 2 3" xfId="7990" xr:uid="{00000000-0005-0000-0000-00003B1F0000}"/>
    <cellStyle name="Normal 46 13 2 4" xfId="7991" xr:uid="{00000000-0005-0000-0000-00003C1F0000}"/>
    <cellStyle name="Normal 46 13 2 5" xfId="7992" xr:uid="{00000000-0005-0000-0000-00003D1F0000}"/>
    <cellStyle name="Normal 46 13 2 6" xfId="7993" xr:uid="{00000000-0005-0000-0000-00003E1F0000}"/>
    <cellStyle name="Normal 46 13 2 7" xfId="7994" xr:uid="{00000000-0005-0000-0000-00003F1F0000}"/>
    <cellStyle name="Normal 46 13 2 8" xfId="7995" xr:uid="{00000000-0005-0000-0000-0000401F0000}"/>
    <cellStyle name="Normal 46 13 2 9" xfId="7996" xr:uid="{00000000-0005-0000-0000-0000411F0000}"/>
    <cellStyle name="Normal 46 13 3" xfId="7997" xr:uid="{00000000-0005-0000-0000-0000421F0000}"/>
    <cellStyle name="Normal 46 13 4" xfId="7998" xr:uid="{00000000-0005-0000-0000-0000431F0000}"/>
    <cellStyle name="Normal 46 13 5" xfId="7999" xr:uid="{00000000-0005-0000-0000-0000441F0000}"/>
    <cellStyle name="Normal 46 13 6" xfId="8000" xr:uid="{00000000-0005-0000-0000-0000451F0000}"/>
    <cellStyle name="Normal 46 13 7" xfId="8001" xr:uid="{00000000-0005-0000-0000-0000461F0000}"/>
    <cellStyle name="Normal 46 13 8" xfId="8002" xr:uid="{00000000-0005-0000-0000-0000471F0000}"/>
    <cellStyle name="Normal 46 13 9" xfId="8003" xr:uid="{00000000-0005-0000-0000-0000481F0000}"/>
    <cellStyle name="Normal 46 14" xfId="8004" xr:uid="{00000000-0005-0000-0000-0000491F0000}"/>
    <cellStyle name="Normal 46 14 10" xfId="8005" xr:uid="{00000000-0005-0000-0000-00004A1F0000}"/>
    <cellStyle name="Normal 46 14 11" xfId="8006" xr:uid="{00000000-0005-0000-0000-00004B1F0000}"/>
    <cellStyle name="Normal 46 14 2" xfId="8007" xr:uid="{00000000-0005-0000-0000-00004C1F0000}"/>
    <cellStyle name="Normal 46 14 3" xfId="8008" xr:uid="{00000000-0005-0000-0000-00004D1F0000}"/>
    <cellStyle name="Normal 46 14 4" xfId="8009" xr:uid="{00000000-0005-0000-0000-00004E1F0000}"/>
    <cellStyle name="Normal 46 14 5" xfId="8010" xr:uid="{00000000-0005-0000-0000-00004F1F0000}"/>
    <cellStyle name="Normal 46 14 6" xfId="8011" xr:uid="{00000000-0005-0000-0000-0000501F0000}"/>
    <cellStyle name="Normal 46 14 7" xfId="8012" xr:uid="{00000000-0005-0000-0000-0000511F0000}"/>
    <cellStyle name="Normal 46 14 8" xfId="8013" xr:uid="{00000000-0005-0000-0000-0000521F0000}"/>
    <cellStyle name="Normal 46 14 9" xfId="8014" xr:uid="{00000000-0005-0000-0000-0000531F0000}"/>
    <cellStyle name="Normal 46 15" xfId="8015" xr:uid="{00000000-0005-0000-0000-0000541F0000}"/>
    <cellStyle name="Normal 46 16" xfId="8016" xr:uid="{00000000-0005-0000-0000-0000551F0000}"/>
    <cellStyle name="Normal 46 17" xfId="8017" xr:uid="{00000000-0005-0000-0000-0000561F0000}"/>
    <cellStyle name="Normal 46 18" xfId="8018" xr:uid="{00000000-0005-0000-0000-0000571F0000}"/>
    <cellStyle name="Normal 46 19" xfId="8019" xr:uid="{00000000-0005-0000-0000-0000581F0000}"/>
    <cellStyle name="Normal 46 2" xfId="8020" xr:uid="{00000000-0005-0000-0000-0000591F0000}"/>
    <cellStyle name="Normal 46 2 10" xfId="8021" xr:uid="{00000000-0005-0000-0000-00005A1F0000}"/>
    <cellStyle name="Normal 46 2 11" xfId="8022" xr:uid="{00000000-0005-0000-0000-00005B1F0000}"/>
    <cellStyle name="Normal 46 2 12" xfId="8023" xr:uid="{00000000-0005-0000-0000-00005C1F0000}"/>
    <cellStyle name="Normal 46 2 13" xfId="8024" xr:uid="{00000000-0005-0000-0000-00005D1F0000}"/>
    <cellStyle name="Normal 46 2 2" xfId="8025" xr:uid="{00000000-0005-0000-0000-00005E1F0000}"/>
    <cellStyle name="Normal 46 2 2 10" xfId="8026" xr:uid="{00000000-0005-0000-0000-00005F1F0000}"/>
    <cellStyle name="Normal 46 2 2 11" xfId="8027" xr:uid="{00000000-0005-0000-0000-0000601F0000}"/>
    <cellStyle name="Normal 46 2 2 2" xfId="8028" xr:uid="{00000000-0005-0000-0000-0000611F0000}"/>
    <cellStyle name="Normal 46 2 2 3" xfId="8029" xr:uid="{00000000-0005-0000-0000-0000621F0000}"/>
    <cellStyle name="Normal 46 2 2 4" xfId="8030" xr:uid="{00000000-0005-0000-0000-0000631F0000}"/>
    <cellStyle name="Normal 46 2 2 5" xfId="8031" xr:uid="{00000000-0005-0000-0000-0000641F0000}"/>
    <cellStyle name="Normal 46 2 2 6" xfId="8032" xr:uid="{00000000-0005-0000-0000-0000651F0000}"/>
    <cellStyle name="Normal 46 2 2 7" xfId="8033" xr:uid="{00000000-0005-0000-0000-0000661F0000}"/>
    <cellStyle name="Normal 46 2 2 8" xfId="8034" xr:uid="{00000000-0005-0000-0000-0000671F0000}"/>
    <cellStyle name="Normal 46 2 2 9" xfId="8035" xr:uid="{00000000-0005-0000-0000-0000681F0000}"/>
    <cellStyle name="Normal 46 2 3" xfId="8036" xr:uid="{00000000-0005-0000-0000-0000691F0000}"/>
    <cellStyle name="Normal 46 2 4" xfId="8037" xr:uid="{00000000-0005-0000-0000-00006A1F0000}"/>
    <cellStyle name="Normal 46 2 5" xfId="8038" xr:uid="{00000000-0005-0000-0000-00006B1F0000}"/>
    <cellStyle name="Normal 46 2 6" xfId="8039" xr:uid="{00000000-0005-0000-0000-00006C1F0000}"/>
    <cellStyle name="Normal 46 2 7" xfId="8040" xr:uid="{00000000-0005-0000-0000-00006D1F0000}"/>
    <cellStyle name="Normal 46 2 8" xfId="8041" xr:uid="{00000000-0005-0000-0000-00006E1F0000}"/>
    <cellStyle name="Normal 46 2 9" xfId="8042" xr:uid="{00000000-0005-0000-0000-00006F1F0000}"/>
    <cellStyle name="Normal 46 20" xfId="8043" xr:uid="{00000000-0005-0000-0000-0000701F0000}"/>
    <cellStyle name="Normal 46 21" xfId="8044" xr:uid="{00000000-0005-0000-0000-0000711F0000}"/>
    <cellStyle name="Normal 46 22" xfId="8045" xr:uid="{00000000-0005-0000-0000-0000721F0000}"/>
    <cellStyle name="Normal 46 23" xfId="8046" xr:uid="{00000000-0005-0000-0000-0000731F0000}"/>
    <cellStyle name="Normal 46 24" xfId="8047" xr:uid="{00000000-0005-0000-0000-0000741F0000}"/>
    <cellStyle name="Normal 46 25" xfId="8048" xr:uid="{00000000-0005-0000-0000-0000751F0000}"/>
    <cellStyle name="Normal 46 3" xfId="8049" xr:uid="{00000000-0005-0000-0000-0000761F0000}"/>
    <cellStyle name="Normal 46 3 10" xfId="8050" xr:uid="{00000000-0005-0000-0000-0000771F0000}"/>
    <cellStyle name="Normal 46 3 11" xfId="8051" xr:uid="{00000000-0005-0000-0000-0000781F0000}"/>
    <cellStyle name="Normal 46 3 12" xfId="8052" xr:uid="{00000000-0005-0000-0000-0000791F0000}"/>
    <cellStyle name="Normal 46 3 13" xfId="8053" xr:uid="{00000000-0005-0000-0000-00007A1F0000}"/>
    <cellStyle name="Normal 46 3 2" xfId="8054" xr:uid="{00000000-0005-0000-0000-00007B1F0000}"/>
    <cellStyle name="Normal 46 3 2 10" xfId="8055" xr:uid="{00000000-0005-0000-0000-00007C1F0000}"/>
    <cellStyle name="Normal 46 3 2 11" xfId="8056" xr:uid="{00000000-0005-0000-0000-00007D1F0000}"/>
    <cellStyle name="Normal 46 3 2 2" xfId="8057" xr:uid="{00000000-0005-0000-0000-00007E1F0000}"/>
    <cellStyle name="Normal 46 3 2 3" xfId="8058" xr:uid="{00000000-0005-0000-0000-00007F1F0000}"/>
    <cellStyle name="Normal 46 3 2 4" xfId="8059" xr:uid="{00000000-0005-0000-0000-0000801F0000}"/>
    <cellStyle name="Normal 46 3 2 5" xfId="8060" xr:uid="{00000000-0005-0000-0000-0000811F0000}"/>
    <cellStyle name="Normal 46 3 2 6" xfId="8061" xr:uid="{00000000-0005-0000-0000-0000821F0000}"/>
    <cellStyle name="Normal 46 3 2 7" xfId="8062" xr:uid="{00000000-0005-0000-0000-0000831F0000}"/>
    <cellStyle name="Normal 46 3 2 8" xfId="8063" xr:uid="{00000000-0005-0000-0000-0000841F0000}"/>
    <cellStyle name="Normal 46 3 2 9" xfId="8064" xr:uid="{00000000-0005-0000-0000-0000851F0000}"/>
    <cellStyle name="Normal 46 3 3" xfId="8065" xr:uid="{00000000-0005-0000-0000-0000861F0000}"/>
    <cellStyle name="Normal 46 3 4" xfId="8066" xr:uid="{00000000-0005-0000-0000-0000871F0000}"/>
    <cellStyle name="Normal 46 3 5" xfId="8067" xr:uid="{00000000-0005-0000-0000-0000881F0000}"/>
    <cellStyle name="Normal 46 3 6" xfId="8068" xr:uid="{00000000-0005-0000-0000-0000891F0000}"/>
    <cellStyle name="Normal 46 3 7" xfId="8069" xr:uid="{00000000-0005-0000-0000-00008A1F0000}"/>
    <cellStyle name="Normal 46 3 8" xfId="8070" xr:uid="{00000000-0005-0000-0000-00008B1F0000}"/>
    <cellStyle name="Normal 46 3 9" xfId="8071" xr:uid="{00000000-0005-0000-0000-00008C1F0000}"/>
    <cellStyle name="Normal 46 4" xfId="8072" xr:uid="{00000000-0005-0000-0000-00008D1F0000}"/>
    <cellStyle name="Normal 46 4 10" xfId="8073" xr:uid="{00000000-0005-0000-0000-00008E1F0000}"/>
    <cellStyle name="Normal 46 4 11" xfId="8074" xr:uid="{00000000-0005-0000-0000-00008F1F0000}"/>
    <cellStyle name="Normal 46 4 12" xfId="8075" xr:uid="{00000000-0005-0000-0000-0000901F0000}"/>
    <cellStyle name="Normal 46 4 13" xfId="8076" xr:uid="{00000000-0005-0000-0000-0000911F0000}"/>
    <cellStyle name="Normal 46 4 2" xfId="8077" xr:uid="{00000000-0005-0000-0000-0000921F0000}"/>
    <cellStyle name="Normal 46 4 2 10" xfId="8078" xr:uid="{00000000-0005-0000-0000-0000931F0000}"/>
    <cellStyle name="Normal 46 4 2 11" xfId="8079" xr:uid="{00000000-0005-0000-0000-0000941F0000}"/>
    <cellStyle name="Normal 46 4 2 2" xfId="8080" xr:uid="{00000000-0005-0000-0000-0000951F0000}"/>
    <cellStyle name="Normal 46 4 2 3" xfId="8081" xr:uid="{00000000-0005-0000-0000-0000961F0000}"/>
    <cellStyle name="Normal 46 4 2 4" xfId="8082" xr:uid="{00000000-0005-0000-0000-0000971F0000}"/>
    <cellStyle name="Normal 46 4 2 5" xfId="8083" xr:uid="{00000000-0005-0000-0000-0000981F0000}"/>
    <cellStyle name="Normal 46 4 2 6" xfId="8084" xr:uid="{00000000-0005-0000-0000-0000991F0000}"/>
    <cellStyle name="Normal 46 4 2 7" xfId="8085" xr:uid="{00000000-0005-0000-0000-00009A1F0000}"/>
    <cellStyle name="Normal 46 4 2 8" xfId="8086" xr:uid="{00000000-0005-0000-0000-00009B1F0000}"/>
    <cellStyle name="Normal 46 4 2 9" xfId="8087" xr:uid="{00000000-0005-0000-0000-00009C1F0000}"/>
    <cellStyle name="Normal 46 4 3" xfId="8088" xr:uid="{00000000-0005-0000-0000-00009D1F0000}"/>
    <cellStyle name="Normal 46 4 4" xfId="8089" xr:uid="{00000000-0005-0000-0000-00009E1F0000}"/>
    <cellStyle name="Normal 46 4 5" xfId="8090" xr:uid="{00000000-0005-0000-0000-00009F1F0000}"/>
    <cellStyle name="Normal 46 4 6" xfId="8091" xr:uid="{00000000-0005-0000-0000-0000A01F0000}"/>
    <cellStyle name="Normal 46 4 7" xfId="8092" xr:uid="{00000000-0005-0000-0000-0000A11F0000}"/>
    <cellStyle name="Normal 46 4 8" xfId="8093" xr:uid="{00000000-0005-0000-0000-0000A21F0000}"/>
    <cellStyle name="Normal 46 4 9" xfId="8094" xr:uid="{00000000-0005-0000-0000-0000A31F0000}"/>
    <cellStyle name="Normal 46 5" xfId="8095" xr:uid="{00000000-0005-0000-0000-0000A41F0000}"/>
    <cellStyle name="Normal 46 5 10" xfId="8096" xr:uid="{00000000-0005-0000-0000-0000A51F0000}"/>
    <cellStyle name="Normal 46 5 11" xfId="8097" xr:uid="{00000000-0005-0000-0000-0000A61F0000}"/>
    <cellStyle name="Normal 46 5 12" xfId="8098" xr:uid="{00000000-0005-0000-0000-0000A71F0000}"/>
    <cellStyle name="Normal 46 5 13" xfId="8099" xr:uid="{00000000-0005-0000-0000-0000A81F0000}"/>
    <cellStyle name="Normal 46 5 2" xfId="8100" xr:uid="{00000000-0005-0000-0000-0000A91F0000}"/>
    <cellStyle name="Normal 46 5 2 10" xfId="8101" xr:uid="{00000000-0005-0000-0000-0000AA1F0000}"/>
    <cellStyle name="Normal 46 5 2 11" xfId="8102" xr:uid="{00000000-0005-0000-0000-0000AB1F0000}"/>
    <cellStyle name="Normal 46 5 2 2" xfId="8103" xr:uid="{00000000-0005-0000-0000-0000AC1F0000}"/>
    <cellStyle name="Normal 46 5 2 3" xfId="8104" xr:uid="{00000000-0005-0000-0000-0000AD1F0000}"/>
    <cellStyle name="Normal 46 5 2 4" xfId="8105" xr:uid="{00000000-0005-0000-0000-0000AE1F0000}"/>
    <cellStyle name="Normal 46 5 2 5" xfId="8106" xr:uid="{00000000-0005-0000-0000-0000AF1F0000}"/>
    <cellStyle name="Normal 46 5 2 6" xfId="8107" xr:uid="{00000000-0005-0000-0000-0000B01F0000}"/>
    <cellStyle name="Normal 46 5 2 7" xfId="8108" xr:uid="{00000000-0005-0000-0000-0000B11F0000}"/>
    <cellStyle name="Normal 46 5 2 8" xfId="8109" xr:uid="{00000000-0005-0000-0000-0000B21F0000}"/>
    <cellStyle name="Normal 46 5 2 9" xfId="8110" xr:uid="{00000000-0005-0000-0000-0000B31F0000}"/>
    <cellStyle name="Normal 46 5 3" xfId="8111" xr:uid="{00000000-0005-0000-0000-0000B41F0000}"/>
    <cellStyle name="Normal 46 5 4" xfId="8112" xr:uid="{00000000-0005-0000-0000-0000B51F0000}"/>
    <cellStyle name="Normal 46 5 5" xfId="8113" xr:uid="{00000000-0005-0000-0000-0000B61F0000}"/>
    <cellStyle name="Normal 46 5 6" xfId="8114" xr:uid="{00000000-0005-0000-0000-0000B71F0000}"/>
    <cellStyle name="Normal 46 5 7" xfId="8115" xr:uid="{00000000-0005-0000-0000-0000B81F0000}"/>
    <cellStyle name="Normal 46 5 8" xfId="8116" xr:uid="{00000000-0005-0000-0000-0000B91F0000}"/>
    <cellStyle name="Normal 46 5 9" xfId="8117" xr:uid="{00000000-0005-0000-0000-0000BA1F0000}"/>
    <cellStyle name="Normal 46 6" xfId="8118" xr:uid="{00000000-0005-0000-0000-0000BB1F0000}"/>
    <cellStyle name="Normal 46 6 10" xfId="8119" xr:uid="{00000000-0005-0000-0000-0000BC1F0000}"/>
    <cellStyle name="Normal 46 6 11" xfId="8120" xr:uid="{00000000-0005-0000-0000-0000BD1F0000}"/>
    <cellStyle name="Normal 46 6 12" xfId="8121" xr:uid="{00000000-0005-0000-0000-0000BE1F0000}"/>
    <cellStyle name="Normal 46 6 13" xfId="8122" xr:uid="{00000000-0005-0000-0000-0000BF1F0000}"/>
    <cellStyle name="Normal 46 6 2" xfId="8123" xr:uid="{00000000-0005-0000-0000-0000C01F0000}"/>
    <cellStyle name="Normal 46 6 2 10" xfId="8124" xr:uid="{00000000-0005-0000-0000-0000C11F0000}"/>
    <cellStyle name="Normal 46 6 2 11" xfId="8125" xr:uid="{00000000-0005-0000-0000-0000C21F0000}"/>
    <cellStyle name="Normal 46 6 2 2" xfId="8126" xr:uid="{00000000-0005-0000-0000-0000C31F0000}"/>
    <cellStyle name="Normal 46 6 2 3" xfId="8127" xr:uid="{00000000-0005-0000-0000-0000C41F0000}"/>
    <cellStyle name="Normal 46 6 2 4" xfId="8128" xr:uid="{00000000-0005-0000-0000-0000C51F0000}"/>
    <cellStyle name="Normal 46 6 2 5" xfId="8129" xr:uid="{00000000-0005-0000-0000-0000C61F0000}"/>
    <cellStyle name="Normal 46 6 2 6" xfId="8130" xr:uid="{00000000-0005-0000-0000-0000C71F0000}"/>
    <cellStyle name="Normal 46 6 2 7" xfId="8131" xr:uid="{00000000-0005-0000-0000-0000C81F0000}"/>
    <cellStyle name="Normal 46 6 2 8" xfId="8132" xr:uid="{00000000-0005-0000-0000-0000C91F0000}"/>
    <cellStyle name="Normal 46 6 2 9" xfId="8133" xr:uid="{00000000-0005-0000-0000-0000CA1F0000}"/>
    <cellStyle name="Normal 46 6 3" xfId="8134" xr:uid="{00000000-0005-0000-0000-0000CB1F0000}"/>
    <cellStyle name="Normal 46 6 4" xfId="8135" xr:uid="{00000000-0005-0000-0000-0000CC1F0000}"/>
    <cellStyle name="Normal 46 6 5" xfId="8136" xr:uid="{00000000-0005-0000-0000-0000CD1F0000}"/>
    <cellStyle name="Normal 46 6 6" xfId="8137" xr:uid="{00000000-0005-0000-0000-0000CE1F0000}"/>
    <cellStyle name="Normal 46 6 7" xfId="8138" xr:uid="{00000000-0005-0000-0000-0000CF1F0000}"/>
    <cellStyle name="Normal 46 6 8" xfId="8139" xr:uid="{00000000-0005-0000-0000-0000D01F0000}"/>
    <cellStyle name="Normal 46 6 9" xfId="8140" xr:uid="{00000000-0005-0000-0000-0000D11F0000}"/>
    <cellStyle name="Normal 46 7" xfId="8141" xr:uid="{00000000-0005-0000-0000-0000D21F0000}"/>
    <cellStyle name="Normal 46 7 10" xfId="8142" xr:uid="{00000000-0005-0000-0000-0000D31F0000}"/>
    <cellStyle name="Normal 46 7 11" xfId="8143" xr:uid="{00000000-0005-0000-0000-0000D41F0000}"/>
    <cellStyle name="Normal 46 7 12" xfId="8144" xr:uid="{00000000-0005-0000-0000-0000D51F0000}"/>
    <cellStyle name="Normal 46 7 13" xfId="8145" xr:uid="{00000000-0005-0000-0000-0000D61F0000}"/>
    <cellStyle name="Normal 46 7 2" xfId="8146" xr:uid="{00000000-0005-0000-0000-0000D71F0000}"/>
    <cellStyle name="Normal 46 7 2 10" xfId="8147" xr:uid="{00000000-0005-0000-0000-0000D81F0000}"/>
    <cellStyle name="Normal 46 7 2 11" xfId="8148" xr:uid="{00000000-0005-0000-0000-0000D91F0000}"/>
    <cellStyle name="Normal 46 7 2 2" xfId="8149" xr:uid="{00000000-0005-0000-0000-0000DA1F0000}"/>
    <cellStyle name="Normal 46 7 2 3" xfId="8150" xr:uid="{00000000-0005-0000-0000-0000DB1F0000}"/>
    <cellStyle name="Normal 46 7 2 4" xfId="8151" xr:uid="{00000000-0005-0000-0000-0000DC1F0000}"/>
    <cellStyle name="Normal 46 7 2 5" xfId="8152" xr:uid="{00000000-0005-0000-0000-0000DD1F0000}"/>
    <cellStyle name="Normal 46 7 2 6" xfId="8153" xr:uid="{00000000-0005-0000-0000-0000DE1F0000}"/>
    <cellStyle name="Normal 46 7 2 7" xfId="8154" xr:uid="{00000000-0005-0000-0000-0000DF1F0000}"/>
    <cellStyle name="Normal 46 7 2 8" xfId="8155" xr:uid="{00000000-0005-0000-0000-0000E01F0000}"/>
    <cellStyle name="Normal 46 7 2 9" xfId="8156" xr:uid="{00000000-0005-0000-0000-0000E11F0000}"/>
    <cellStyle name="Normal 46 7 3" xfId="8157" xr:uid="{00000000-0005-0000-0000-0000E21F0000}"/>
    <cellStyle name="Normal 46 7 4" xfId="8158" xr:uid="{00000000-0005-0000-0000-0000E31F0000}"/>
    <cellStyle name="Normal 46 7 5" xfId="8159" xr:uid="{00000000-0005-0000-0000-0000E41F0000}"/>
    <cellStyle name="Normal 46 7 6" xfId="8160" xr:uid="{00000000-0005-0000-0000-0000E51F0000}"/>
    <cellStyle name="Normal 46 7 7" xfId="8161" xr:uid="{00000000-0005-0000-0000-0000E61F0000}"/>
    <cellStyle name="Normal 46 7 8" xfId="8162" xr:uid="{00000000-0005-0000-0000-0000E71F0000}"/>
    <cellStyle name="Normal 46 7 9" xfId="8163" xr:uid="{00000000-0005-0000-0000-0000E81F0000}"/>
    <cellStyle name="Normal 46 8" xfId="8164" xr:uid="{00000000-0005-0000-0000-0000E91F0000}"/>
    <cellStyle name="Normal 46 8 10" xfId="8165" xr:uid="{00000000-0005-0000-0000-0000EA1F0000}"/>
    <cellStyle name="Normal 46 8 11" xfId="8166" xr:uid="{00000000-0005-0000-0000-0000EB1F0000}"/>
    <cellStyle name="Normal 46 8 12" xfId="8167" xr:uid="{00000000-0005-0000-0000-0000EC1F0000}"/>
    <cellStyle name="Normal 46 8 13" xfId="8168" xr:uid="{00000000-0005-0000-0000-0000ED1F0000}"/>
    <cellStyle name="Normal 46 8 2" xfId="8169" xr:uid="{00000000-0005-0000-0000-0000EE1F0000}"/>
    <cellStyle name="Normal 46 8 2 10" xfId="8170" xr:uid="{00000000-0005-0000-0000-0000EF1F0000}"/>
    <cellStyle name="Normal 46 8 2 11" xfId="8171" xr:uid="{00000000-0005-0000-0000-0000F01F0000}"/>
    <cellStyle name="Normal 46 8 2 2" xfId="8172" xr:uid="{00000000-0005-0000-0000-0000F11F0000}"/>
    <cellStyle name="Normal 46 8 2 3" xfId="8173" xr:uid="{00000000-0005-0000-0000-0000F21F0000}"/>
    <cellStyle name="Normal 46 8 2 4" xfId="8174" xr:uid="{00000000-0005-0000-0000-0000F31F0000}"/>
    <cellStyle name="Normal 46 8 2 5" xfId="8175" xr:uid="{00000000-0005-0000-0000-0000F41F0000}"/>
    <cellStyle name="Normal 46 8 2 6" xfId="8176" xr:uid="{00000000-0005-0000-0000-0000F51F0000}"/>
    <cellStyle name="Normal 46 8 2 7" xfId="8177" xr:uid="{00000000-0005-0000-0000-0000F61F0000}"/>
    <cellStyle name="Normal 46 8 2 8" xfId="8178" xr:uid="{00000000-0005-0000-0000-0000F71F0000}"/>
    <cellStyle name="Normal 46 8 2 9" xfId="8179" xr:uid="{00000000-0005-0000-0000-0000F81F0000}"/>
    <cellStyle name="Normal 46 8 3" xfId="8180" xr:uid="{00000000-0005-0000-0000-0000F91F0000}"/>
    <cellStyle name="Normal 46 8 4" xfId="8181" xr:uid="{00000000-0005-0000-0000-0000FA1F0000}"/>
    <cellStyle name="Normal 46 8 5" xfId="8182" xr:uid="{00000000-0005-0000-0000-0000FB1F0000}"/>
    <cellStyle name="Normal 46 8 6" xfId="8183" xr:uid="{00000000-0005-0000-0000-0000FC1F0000}"/>
    <cellStyle name="Normal 46 8 7" xfId="8184" xr:uid="{00000000-0005-0000-0000-0000FD1F0000}"/>
    <cellStyle name="Normal 46 8 8" xfId="8185" xr:uid="{00000000-0005-0000-0000-0000FE1F0000}"/>
    <cellStyle name="Normal 46 8 9" xfId="8186" xr:uid="{00000000-0005-0000-0000-0000FF1F0000}"/>
    <cellStyle name="Normal 46 9" xfId="8187" xr:uid="{00000000-0005-0000-0000-000000200000}"/>
    <cellStyle name="Normal 46 9 10" xfId="8188" xr:uid="{00000000-0005-0000-0000-000001200000}"/>
    <cellStyle name="Normal 46 9 11" xfId="8189" xr:uid="{00000000-0005-0000-0000-000002200000}"/>
    <cellStyle name="Normal 46 9 12" xfId="8190" xr:uid="{00000000-0005-0000-0000-000003200000}"/>
    <cellStyle name="Normal 46 9 13" xfId="8191" xr:uid="{00000000-0005-0000-0000-000004200000}"/>
    <cellStyle name="Normal 46 9 2" xfId="8192" xr:uid="{00000000-0005-0000-0000-000005200000}"/>
    <cellStyle name="Normal 46 9 2 10" xfId="8193" xr:uid="{00000000-0005-0000-0000-000006200000}"/>
    <cellStyle name="Normal 46 9 2 11" xfId="8194" xr:uid="{00000000-0005-0000-0000-000007200000}"/>
    <cellStyle name="Normal 46 9 2 2" xfId="8195" xr:uid="{00000000-0005-0000-0000-000008200000}"/>
    <cellStyle name="Normal 46 9 2 3" xfId="8196" xr:uid="{00000000-0005-0000-0000-000009200000}"/>
    <cellStyle name="Normal 46 9 2 4" xfId="8197" xr:uid="{00000000-0005-0000-0000-00000A200000}"/>
    <cellStyle name="Normal 46 9 2 5" xfId="8198" xr:uid="{00000000-0005-0000-0000-00000B200000}"/>
    <cellStyle name="Normal 46 9 2 6" xfId="8199" xr:uid="{00000000-0005-0000-0000-00000C200000}"/>
    <cellStyle name="Normal 46 9 2 7" xfId="8200" xr:uid="{00000000-0005-0000-0000-00000D200000}"/>
    <cellStyle name="Normal 46 9 2 8" xfId="8201" xr:uid="{00000000-0005-0000-0000-00000E200000}"/>
    <cellStyle name="Normal 46 9 2 9" xfId="8202" xr:uid="{00000000-0005-0000-0000-00000F200000}"/>
    <cellStyle name="Normal 46 9 3" xfId="8203" xr:uid="{00000000-0005-0000-0000-000010200000}"/>
    <cellStyle name="Normal 46 9 4" xfId="8204" xr:uid="{00000000-0005-0000-0000-000011200000}"/>
    <cellStyle name="Normal 46 9 5" xfId="8205" xr:uid="{00000000-0005-0000-0000-000012200000}"/>
    <cellStyle name="Normal 46 9 6" xfId="8206" xr:uid="{00000000-0005-0000-0000-000013200000}"/>
    <cellStyle name="Normal 46 9 7" xfId="8207" xr:uid="{00000000-0005-0000-0000-000014200000}"/>
    <cellStyle name="Normal 46 9 8" xfId="8208" xr:uid="{00000000-0005-0000-0000-000015200000}"/>
    <cellStyle name="Normal 46 9 9" xfId="8209" xr:uid="{00000000-0005-0000-0000-000016200000}"/>
    <cellStyle name="Normal 47" xfId="8210" xr:uid="{00000000-0005-0000-0000-000017200000}"/>
    <cellStyle name="Normal 47 10" xfId="8211" xr:uid="{00000000-0005-0000-0000-000018200000}"/>
    <cellStyle name="Normal 47 10 10" xfId="8212" xr:uid="{00000000-0005-0000-0000-000019200000}"/>
    <cellStyle name="Normal 47 10 11" xfId="8213" xr:uid="{00000000-0005-0000-0000-00001A200000}"/>
    <cellStyle name="Normal 47 10 12" xfId="8214" xr:uid="{00000000-0005-0000-0000-00001B200000}"/>
    <cellStyle name="Normal 47 10 13" xfId="8215" xr:uid="{00000000-0005-0000-0000-00001C200000}"/>
    <cellStyle name="Normal 47 10 2" xfId="8216" xr:uid="{00000000-0005-0000-0000-00001D200000}"/>
    <cellStyle name="Normal 47 10 2 10" xfId="8217" xr:uid="{00000000-0005-0000-0000-00001E200000}"/>
    <cellStyle name="Normal 47 10 2 11" xfId="8218" xr:uid="{00000000-0005-0000-0000-00001F200000}"/>
    <cellStyle name="Normal 47 10 2 2" xfId="8219" xr:uid="{00000000-0005-0000-0000-000020200000}"/>
    <cellStyle name="Normal 47 10 2 3" xfId="8220" xr:uid="{00000000-0005-0000-0000-000021200000}"/>
    <cellStyle name="Normal 47 10 2 4" xfId="8221" xr:uid="{00000000-0005-0000-0000-000022200000}"/>
    <cellStyle name="Normal 47 10 2 5" xfId="8222" xr:uid="{00000000-0005-0000-0000-000023200000}"/>
    <cellStyle name="Normal 47 10 2 6" xfId="8223" xr:uid="{00000000-0005-0000-0000-000024200000}"/>
    <cellStyle name="Normal 47 10 2 7" xfId="8224" xr:uid="{00000000-0005-0000-0000-000025200000}"/>
    <cellStyle name="Normal 47 10 2 8" xfId="8225" xr:uid="{00000000-0005-0000-0000-000026200000}"/>
    <cellStyle name="Normal 47 10 2 9" xfId="8226" xr:uid="{00000000-0005-0000-0000-000027200000}"/>
    <cellStyle name="Normal 47 10 3" xfId="8227" xr:uid="{00000000-0005-0000-0000-000028200000}"/>
    <cellStyle name="Normal 47 10 4" xfId="8228" xr:uid="{00000000-0005-0000-0000-000029200000}"/>
    <cellStyle name="Normal 47 10 5" xfId="8229" xr:uid="{00000000-0005-0000-0000-00002A200000}"/>
    <cellStyle name="Normal 47 10 6" xfId="8230" xr:uid="{00000000-0005-0000-0000-00002B200000}"/>
    <cellStyle name="Normal 47 10 7" xfId="8231" xr:uid="{00000000-0005-0000-0000-00002C200000}"/>
    <cellStyle name="Normal 47 10 8" xfId="8232" xr:uid="{00000000-0005-0000-0000-00002D200000}"/>
    <cellStyle name="Normal 47 10 9" xfId="8233" xr:uid="{00000000-0005-0000-0000-00002E200000}"/>
    <cellStyle name="Normal 47 11" xfId="8234" xr:uid="{00000000-0005-0000-0000-00002F200000}"/>
    <cellStyle name="Normal 47 11 10" xfId="8235" xr:uid="{00000000-0005-0000-0000-000030200000}"/>
    <cellStyle name="Normal 47 11 11" xfId="8236" xr:uid="{00000000-0005-0000-0000-000031200000}"/>
    <cellStyle name="Normal 47 11 12" xfId="8237" xr:uid="{00000000-0005-0000-0000-000032200000}"/>
    <cellStyle name="Normal 47 11 13" xfId="8238" xr:uid="{00000000-0005-0000-0000-000033200000}"/>
    <cellStyle name="Normal 47 11 2" xfId="8239" xr:uid="{00000000-0005-0000-0000-000034200000}"/>
    <cellStyle name="Normal 47 11 2 10" xfId="8240" xr:uid="{00000000-0005-0000-0000-000035200000}"/>
    <cellStyle name="Normal 47 11 2 11" xfId="8241" xr:uid="{00000000-0005-0000-0000-000036200000}"/>
    <cellStyle name="Normal 47 11 2 2" xfId="8242" xr:uid="{00000000-0005-0000-0000-000037200000}"/>
    <cellStyle name="Normal 47 11 2 3" xfId="8243" xr:uid="{00000000-0005-0000-0000-000038200000}"/>
    <cellStyle name="Normal 47 11 2 4" xfId="8244" xr:uid="{00000000-0005-0000-0000-000039200000}"/>
    <cellStyle name="Normal 47 11 2 5" xfId="8245" xr:uid="{00000000-0005-0000-0000-00003A200000}"/>
    <cellStyle name="Normal 47 11 2 6" xfId="8246" xr:uid="{00000000-0005-0000-0000-00003B200000}"/>
    <cellStyle name="Normal 47 11 2 7" xfId="8247" xr:uid="{00000000-0005-0000-0000-00003C200000}"/>
    <cellStyle name="Normal 47 11 2 8" xfId="8248" xr:uid="{00000000-0005-0000-0000-00003D200000}"/>
    <cellStyle name="Normal 47 11 2 9" xfId="8249" xr:uid="{00000000-0005-0000-0000-00003E200000}"/>
    <cellStyle name="Normal 47 11 3" xfId="8250" xr:uid="{00000000-0005-0000-0000-00003F200000}"/>
    <cellStyle name="Normal 47 11 4" xfId="8251" xr:uid="{00000000-0005-0000-0000-000040200000}"/>
    <cellStyle name="Normal 47 11 5" xfId="8252" xr:uid="{00000000-0005-0000-0000-000041200000}"/>
    <cellStyle name="Normal 47 11 6" xfId="8253" xr:uid="{00000000-0005-0000-0000-000042200000}"/>
    <cellStyle name="Normal 47 11 7" xfId="8254" xr:uid="{00000000-0005-0000-0000-000043200000}"/>
    <cellStyle name="Normal 47 11 8" xfId="8255" xr:uid="{00000000-0005-0000-0000-000044200000}"/>
    <cellStyle name="Normal 47 11 9" xfId="8256" xr:uid="{00000000-0005-0000-0000-000045200000}"/>
    <cellStyle name="Normal 47 12" xfId="8257" xr:uid="{00000000-0005-0000-0000-000046200000}"/>
    <cellStyle name="Normal 47 12 10" xfId="8258" xr:uid="{00000000-0005-0000-0000-000047200000}"/>
    <cellStyle name="Normal 47 12 11" xfId="8259" xr:uid="{00000000-0005-0000-0000-000048200000}"/>
    <cellStyle name="Normal 47 12 12" xfId="8260" xr:uid="{00000000-0005-0000-0000-000049200000}"/>
    <cellStyle name="Normal 47 12 13" xfId="8261" xr:uid="{00000000-0005-0000-0000-00004A200000}"/>
    <cellStyle name="Normal 47 12 2" xfId="8262" xr:uid="{00000000-0005-0000-0000-00004B200000}"/>
    <cellStyle name="Normal 47 12 2 10" xfId="8263" xr:uid="{00000000-0005-0000-0000-00004C200000}"/>
    <cellStyle name="Normal 47 12 2 11" xfId="8264" xr:uid="{00000000-0005-0000-0000-00004D200000}"/>
    <cellStyle name="Normal 47 12 2 2" xfId="8265" xr:uid="{00000000-0005-0000-0000-00004E200000}"/>
    <cellStyle name="Normal 47 12 2 3" xfId="8266" xr:uid="{00000000-0005-0000-0000-00004F200000}"/>
    <cellStyle name="Normal 47 12 2 4" xfId="8267" xr:uid="{00000000-0005-0000-0000-000050200000}"/>
    <cellStyle name="Normal 47 12 2 5" xfId="8268" xr:uid="{00000000-0005-0000-0000-000051200000}"/>
    <cellStyle name="Normal 47 12 2 6" xfId="8269" xr:uid="{00000000-0005-0000-0000-000052200000}"/>
    <cellStyle name="Normal 47 12 2 7" xfId="8270" xr:uid="{00000000-0005-0000-0000-000053200000}"/>
    <cellStyle name="Normal 47 12 2 8" xfId="8271" xr:uid="{00000000-0005-0000-0000-000054200000}"/>
    <cellStyle name="Normal 47 12 2 9" xfId="8272" xr:uid="{00000000-0005-0000-0000-000055200000}"/>
    <cellStyle name="Normal 47 12 3" xfId="8273" xr:uid="{00000000-0005-0000-0000-000056200000}"/>
    <cellStyle name="Normal 47 12 4" xfId="8274" xr:uid="{00000000-0005-0000-0000-000057200000}"/>
    <cellStyle name="Normal 47 12 5" xfId="8275" xr:uid="{00000000-0005-0000-0000-000058200000}"/>
    <cellStyle name="Normal 47 12 6" xfId="8276" xr:uid="{00000000-0005-0000-0000-000059200000}"/>
    <cellStyle name="Normal 47 12 7" xfId="8277" xr:uid="{00000000-0005-0000-0000-00005A200000}"/>
    <cellStyle name="Normal 47 12 8" xfId="8278" xr:uid="{00000000-0005-0000-0000-00005B200000}"/>
    <cellStyle name="Normal 47 12 9" xfId="8279" xr:uid="{00000000-0005-0000-0000-00005C200000}"/>
    <cellStyle name="Normal 47 13" xfId="8280" xr:uid="{00000000-0005-0000-0000-00005D200000}"/>
    <cellStyle name="Normal 47 13 10" xfId="8281" xr:uid="{00000000-0005-0000-0000-00005E200000}"/>
    <cellStyle name="Normal 47 13 11" xfId="8282" xr:uid="{00000000-0005-0000-0000-00005F200000}"/>
    <cellStyle name="Normal 47 13 12" xfId="8283" xr:uid="{00000000-0005-0000-0000-000060200000}"/>
    <cellStyle name="Normal 47 13 13" xfId="8284" xr:uid="{00000000-0005-0000-0000-000061200000}"/>
    <cellStyle name="Normal 47 13 2" xfId="8285" xr:uid="{00000000-0005-0000-0000-000062200000}"/>
    <cellStyle name="Normal 47 13 2 10" xfId="8286" xr:uid="{00000000-0005-0000-0000-000063200000}"/>
    <cellStyle name="Normal 47 13 2 11" xfId="8287" xr:uid="{00000000-0005-0000-0000-000064200000}"/>
    <cellStyle name="Normal 47 13 2 2" xfId="8288" xr:uid="{00000000-0005-0000-0000-000065200000}"/>
    <cellStyle name="Normal 47 13 2 3" xfId="8289" xr:uid="{00000000-0005-0000-0000-000066200000}"/>
    <cellStyle name="Normal 47 13 2 4" xfId="8290" xr:uid="{00000000-0005-0000-0000-000067200000}"/>
    <cellStyle name="Normal 47 13 2 5" xfId="8291" xr:uid="{00000000-0005-0000-0000-000068200000}"/>
    <cellStyle name="Normal 47 13 2 6" xfId="8292" xr:uid="{00000000-0005-0000-0000-000069200000}"/>
    <cellStyle name="Normal 47 13 2 7" xfId="8293" xr:uid="{00000000-0005-0000-0000-00006A200000}"/>
    <cellStyle name="Normal 47 13 2 8" xfId="8294" xr:uid="{00000000-0005-0000-0000-00006B200000}"/>
    <cellStyle name="Normal 47 13 2 9" xfId="8295" xr:uid="{00000000-0005-0000-0000-00006C200000}"/>
    <cellStyle name="Normal 47 13 3" xfId="8296" xr:uid="{00000000-0005-0000-0000-00006D200000}"/>
    <cellStyle name="Normal 47 13 4" xfId="8297" xr:uid="{00000000-0005-0000-0000-00006E200000}"/>
    <cellStyle name="Normal 47 13 5" xfId="8298" xr:uid="{00000000-0005-0000-0000-00006F200000}"/>
    <cellStyle name="Normal 47 13 6" xfId="8299" xr:uid="{00000000-0005-0000-0000-000070200000}"/>
    <cellStyle name="Normal 47 13 7" xfId="8300" xr:uid="{00000000-0005-0000-0000-000071200000}"/>
    <cellStyle name="Normal 47 13 8" xfId="8301" xr:uid="{00000000-0005-0000-0000-000072200000}"/>
    <cellStyle name="Normal 47 13 9" xfId="8302" xr:uid="{00000000-0005-0000-0000-000073200000}"/>
    <cellStyle name="Normal 47 14" xfId="8303" xr:uid="{00000000-0005-0000-0000-000074200000}"/>
    <cellStyle name="Normal 47 14 10" xfId="8304" xr:uid="{00000000-0005-0000-0000-000075200000}"/>
    <cellStyle name="Normal 47 14 11" xfId="8305" xr:uid="{00000000-0005-0000-0000-000076200000}"/>
    <cellStyle name="Normal 47 14 2" xfId="8306" xr:uid="{00000000-0005-0000-0000-000077200000}"/>
    <cellStyle name="Normal 47 14 3" xfId="8307" xr:uid="{00000000-0005-0000-0000-000078200000}"/>
    <cellStyle name="Normal 47 14 4" xfId="8308" xr:uid="{00000000-0005-0000-0000-000079200000}"/>
    <cellStyle name="Normal 47 14 5" xfId="8309" xr:uid="{00000000-0005-0000-0000-00007A200000}"/>
    <cellStyle name="Normal 47 14 6" xfId="8310" xr:uid="{00000000-0005-0000-0000-00007B200000}"/>
    <cellStyle name="Normal 47 14 7" xfId="8311" xr:uid="{00000000-0005-0000-0000-00007C200000}"/>
    <cellStyle name="Normal 47 14 8" xfId="8312" xr:uid="{00000000-0005-0000-0000-00007D200000}"/>
    <cellStyle name="Normal 47 14 9" xfId="8313" xr:uid="{00000000-0005-0000-0000-00007E200000}"/>
    <cellStyle name="Normal 47 15" xfId="8314" xr:uid="{00000000-0005-0000-0000-00007F200000}"/>
    <cellStyle name="Normal 47 16" xfId="8315" xr:uid="{00000000-0005-0000-0000-000080200000}"/>
    <cellStyle name="Normal 47 17" xfId="8316" xr:uid="{00000000-0005-0000-0000-000081200000}"/>
    <cellStyle name="Normal 47 18" xfId="8317" xr:uid="{00000000-0005-0000-0000-000082200000}"/>
    <cellStyle name="Normal 47 19" xfId="8318" xr:uid="{00000000-0005-0000-0000-000083200000}"/>
    <cellStyle name="Normal 47 2" xfId="8319" xr:uid="{00000000-0005-0000-0000-000084200000}"/>
    <cellStyle name="Normal 47 2 10" xfId="8320" xr:uid="{00000000-0005-0000-0000-000085200000}"/>
    <cellStyle name="Normal 47 2 11" xfId="8321" xr:uid="{00000000-0005-0000-0000-000086200000}"/>
    <cellStyle name="Normal 47 2 12" xfId="8322" xr:uid="{00000000-0005-0000-0000-000087200000}"/>
    <cellStyle name="Normal 47 2 13" xfId="8323" xr:uid="{00000000-0005-0000-0000-000088200000}"/>
    <cellStyle name="Normal 47 2 2" xfId="8324" xr:uid="{00000000-0005-0000-0000-000089200000}"/>
    <cellStyle name="Normal 47 2 2 10" xfId="8325" xr:uid="{00000000-0005-0000-0000-00008A200000}"/>
    <cellStyle name="Normal 47 2 2 11" xfId="8326" xr:uid="{00000000-0005-0000-0000-00008B200000}"/>
    <cellStyle name="Normal 47 2 2 2" xfId="8327" xr:uid="{00000000-0005-0000-0000-00008C200000}"/>
    <cellStyle name="Normal 47 2 2 3" xfId="8328" xr:uid="{00000000-0005-0000-0000-00008D200000}"/>
    <cellStyle name="Normal 47 2 2 4" xfId="8329" xr:uid="{00000000-0005-0000-0000-00008E200000}"/>
    <cellStyle name="Normal 47 2 2 5" xfId="8330" xr:uid="{00000000-0005-0000-0000-00008F200000}"/>
    <cellStyle name="Normal 47 2 2 6" xfId="8331" xr:uid="{00000000-0005-0000-0000-000090200000}"/>
    <cellStyle name="Normal 47 2 2 7" xfId="8332" xr:uid="{00000000-0005-0000-0000-000091200000}"/>
    <cellStyle name="Normal 47 2 2 8" xfId="8333" xr:uid="{00000000-0005-0000-0000-000092200000}"/>
    <cellStyle name="Normal 47 2 2 9" xfId="8334" xr:uid="{00000000-0005-0000-0000-000093200000}"/>
    <cellStyle name="Normal 47 2 3" xfId="8335" xr:uid="{00000000-0005-0000-0000-000094200000}"/>
    <cellStyle name="Normal 47 2 4" xfId="8336" xr:uid="{00000000-0005-0000-0000-000095200000}"/>
    <cellStyle name="Normal 47 2 5" xfId="8337" xr:uid="{00000000-0005-0000-0000-000096200000}"/>
    <cellStyle name="Normal 47 2 6" xfId="8338" xr:uid="{00000000-0005-0000-0000-000097200000}"/>
    <cellStyle name="Normal 47 2 7" xfId="8339" xr:uid="{00000000-0005-0000-0000-000098200000}"/>
    <cellStyle name="Normal 47 2 8" xfId="8340" xr:uid="{00000000-0005-0000-0000-000099200000}"/>
    <cellStyle name="Normal 47 2 9" xfId="8341" xr:uid="{00000000-0005-0000-0000-00009A200000}"/>
    <cellStyle name="Normal 47 20" xfId="8342" xr:uid="{00000000-0005-0000-0000-00009B200000}"/>
    <cellStyle name="Normal 47 21" xfId="8343" xr:uid="{00000000-0005-0000-0000-00009C200000}"/>
    <cellStyle name="Normal 47 22" xfId="8344" xr:uid="{00000000-0005-0000-0000-00009D200000}"/>
    <cellStyle name="Normal 47 23" xfId="8345" xr:uid="{00000000-0005-0000-0000-00009E200000}"/>
    <cellStyle name="Normal 47 24" xfId="8346" xr:uid="{00000000-0005-0000-0000-00009F200000}"/>
    <cellStyle name="Normal 47 25" xfId="8347" xr:uid="{00000000-0005-0000-0000-0000A0200000}"/>
    <cellStyle name="Normal 47 3" xfId="8348" xr:uid="{00000000-0005-0000-0000-0000A1200000}"/>
    <cellStyle name="Normal 47 3 10" xfId="8349" xr:uid="{00000000-0005-0000-0000-0000A2200000}"/>
    <cellStyle name="Normal 47 3 11" xfId="8350" xr:uid="{00000000-0005-0000-0000-0000A3200000}"/>
    <cellStyle name="Normal 47 3 12" xfId="8351" xr:uid="{00000000-0005-0000-0000-0000A4200000}"/>
    <cellStyle name="Normal 47 3 13" xfId="8352" xr:uid="{00000000-0005-0000-0000-0000A5200000}"/>
    <cellStyle name="Normal 47 3 2" xfId="8353" xr:uid="{00000000-0005-0000-0000-0000A6200000}"/>
    <cellStyle name="Normal 47 3 2 10" xfId="8354" xr:uid="{00000000-0005-0000-0000-0000A7200000}"/>
    <cellStyle name="Normal 47 3 2 11" xfId="8355" xr:uid="{00000000-0005-0000-0000-0000A8200000}"/>
    <cellStyle name="Normal 47 3 2 2" xfId="8356" xr:uid="{00000000-0005-0000-0000-0000A9200000}"/>
    <cellStyle name="Normal 47 3 2 3" xfId="8357" xr:uid="{00000000-0005-0000-0000-0000AA200000}"/>
    <cellStyle name="Normal 47 3 2 4" xfId="8358" xr:uid="{00000000-0005-0000-0000-0000AB200000}"/>
    <cellStyle name="Normal 47 3 2 5" xfId="8359" xr:uid="{00000000-0005-0000-0000-0000AC200000}"/>
    <cellStyle name="Normal 47 3 2 6" xfId="8360" xr:uid="{00000000-0005-0000-0000-0000AD200000}"/>
    <cellStyle name="Normal 47 3 2 7" xfId="8361" xr:uid="{00000000-0005-0000-0000-0000AE200000}"/>
    <cellStyle name="Normal 47 3 2 8" xfId="8362" xr:uid="{00000000-0005-0000-0000-0000AF200000}"/>
    <cellStyle name="Normal 47 3 2 9" xfId="8363" xr:uid="{00000000-0005-0000-0000-0000B0200000}"/>
    <cellStyle name="Normal 47 3 3" xfId="8364" xr:uid="{00000000-0005-0000-0000-0000B1200000}"/>
    <cellStyle name="Normal 47 3 4" xfId="8365" xr:uid="{00000000-0005-0000-0000-0000B2200000}"/>
    <cellStyle name="Normal 47 3 5" xfId="8366" xr:uid="{00000000-0005-0000-0000-0000B3200000}"/>
    <cellStyle name="Normal 47 3 6" xfId="8367" xr:uid="{00000000-0005-0000-0000-0000B4200000}"/>
    <cellStyle name="Normal 47 3 7" xfId="8368" xr:uid="{00000000-0005-0000-0000-0000B5200000}"/>
    <cellStyle name="Normal 47 3 8" xfId="8369" xr:uid="{00000000-0005-0000-0000-0000B6200000}"/>
    <cellStyle name="Normal 47 3 9" xfId="8370" xr:uid="{00000000-0005-0000-0000-0000B7200000}"/>
    <cellStyle name="Normal 47 4" xfId="8371" xr:uid="{00000000-0005-0000-0000-0000B8200000}"/>
    <cellStyle name="Normal 47 4 10" xfId="8372" xr:uid="{00000000-0005-0000-0000-0000B9200000}"/>
    <cellStyle name="Normal 47 4 11" xfId="8373" xr:uid="{00000000-0005-0000-0000-0000BA200000}"/>
    <cellStyle name="Normal 47 4 12" xfId="8374" xr:uid="{00000000-0005-0000-0000-0000BB200000}"/>
    <cellStyle name="Normal 47 4 13" xfId="8375" xr:uid="{00000000-0005-0000-0000-0000BC200000}"/>
    <cellStyle name="Normal 47 4 2" xfId="8376" xr:uid="{00000000-0005-0000-0000-0000BD200000}"/>
    <cellStyle name="Normal 47 4 2 10" xfId="8377" xr:uid="{00000000-0005-0000-0000-0000BE200000}"/>
    <cellStyle name="Normal 47 4 2 11" xfId="8378" xr:uid="{00000000-0005-0000-0000-0000BF200000}"/>
    <cellStyle name="Normal 47 4 2 2" xfId="8379" xr:uid="{00000000-0005-0000-0000-0000C0200000}"/>
    <cellStyle name="Normal 47 4 2 3" xfId="8380" xr:uid="{00000000-0005-0000-0000-0000C1200000}"/>
    <cellStyle name="Normal 47 4 2 4" xfId="8381" xr:uid="{00000000-0005-0000-0000-0000C2200000}"/>
    <cellStyle name="Normal 47 4 2 5" xfId="8382" xr:uid="{00000000-0005-0000-0000-0000C3200000}"/>
    <cellStyle name="Normal 47 4 2 6" xfId="8383" xr:uid="{00000000-0005-0000-0000-0000C4200000}"/>
    <cellStyle name="Normal 47 4 2 7" xfId="8384" xr:uid="{00000000-0005-0000-0000-0000C5200000}"/>
    <cellStyle name="Normal 47 4 2 8" xfId="8385" xr:uid="{00000000-0005-0000-0000-0000C6200000}"/>
    <cellStyle name="Normal 47 4 2 9" xfId="8386" xr:uid="{00000000-0005-0000-0000-0000C7200000}"/>
    <cellStyle name="Normal 47 4 3" xfId="8387" xr:uid="{00000000-0005-0000-0000-0000C8200000}"/>
    <cellStyle name="Normal 47 4 4" xfId="8388" xr:uid="{00000000-0005-0000-0000-0000C9200000}"/>
    <cellStyle name="Normal 47 4 5" xfId="8389" xr:uid="{00000000-0005-0000-0000-0000CA200000}"/>
    <cellStyle name="Normal 47 4 6" xfId="8390" xr:uid="{00000000-0005-0000-0000-0000CB200000}"/>
    <cellStyle name="Normal 47 4 7" xfId="8391" xr:uid="{00000000-0005-0000-0000-0000CC200000}"/>
    <cellStyle name="Normal 47 4 8" xfId="8392" xr:uid="{00000000-0005-0000-0000-0000CD200000}"/>
    <cellStyle name="Normal 47 4 9" xfId="8393" xr:uid="{00000000-0005-0000-0000-0000CE200000}"/>
    <cellStyle name="Normal 47 5" xfId="8394" xr:uid="{00000000-0005-0000-0000-0000CF200000}"/>
    <cellStyle name="Normal 47 5 10" xfId="8395" xr:uid="{00000000-0005-0000-0000-0000D0200000}"/>
    <cellStyle name="Normal 47 5 11" xfId="8396" xr:uid="{00000000-0005-0000-0000-0000D1200000}"/>
    <cellStyle name="Normal 47 5 12" xfId="8397" xr:uid="{00000000-0005-0000-0000-0000D2200000}"/>
    <cellStyle name="Normal 47 5 13" xfId="8398" xr:uid="{00000000-0005-0000-0000-0000D3200000}"/>
    <cellStyle name="Normal 47 5 2" xfId="8399" xr:uid="{00000000-0005-0000-0000-0000D4200000}"/>
    <cellStyle name="Normal 47 5 2 10" xfId="8400" xr:uid="{00000000-0005-0000-0000-0000D5200000}"/>
    <cellStyle name="Normal 47 5 2 11" xfId="8401" xr:uid="{00000000-0005-0000-0000-0000D6200000}"/>
    <cellStyle name="Normal 47 5 2 2" xfId="8402" xr:uid="{00000000-0005-0000-0000-0000D7200000}"/>
    <cellStyle name="Normal 47 5 2 3" xfId="8403" xr:uid="{00000000-0005-0000-0000-0000D8200000}"/>
    <cellStyle name="Normal 47 5 2 4" xfId="8404" xr:uid="{00000000-0005-0000-0000-0000D9200000}"/>
    <cellStyle name="Normal 47 5 2 5" xfId="8405" xr:uid="{00000000-0005-0000-0000-0000DA200000}"/>
    <cellStyle name="Normal 47 5 2 6" xfId="8406" xr:uid="{00000000-0005-0000-0000-0000DB200000}"/>
    <cellStyle name="Normal 47 5 2 7" xfId="8407" xr:uid="{00000000-0005-0000-0000-0000DC200000}"/>
    <cellStyle name="Normal 47 5 2 8" xfId="8408" xr:uid="{00000000-0005-0000-0000-0000DD200000}"/>
    <cellStyle name="Normal 47 5 2 9" xfId="8409" xr:uid="{00000000-0005-0000-0000-0000DE200000}"/>
    <cellStyle name="Normal 47 5 3" xfId="8410" xr:uid="{00000000-0005-0000-0000-0000DF200000}"/>
    <cellStyle name="Normal 47 5 4" xfId="8411" xr:uid="{00000000-0005-0000-0000-0000E0200000}"/>
    <cellStyle name="Normal 47 5 5" xfId="8412" xr:uid="{00000000-0005-0000-0000-0000E1200000}"/>
    <cellStyle name="Normal 47 5 6" xfId="8413" xr:uid="{00000000-0005-0000-0000-0000E2200000}"/>
    <cellStyle name="Normal 47 5 7" xfId="8414" xr:uid="{00000000-0005-0000-0000-0000E3200000}"/>
    <cellStyle name="Normal 47 5 8" xfId="8415" xr:uid="{00000000-0005-0000-0000-0000E4200000}"/>
    <cellStyle name="Normal 47 5 9" xfId="8416" xr:uid="{00000000-0005-0000-0000-0000E5200000}"/>
    <cellStyle name="Normal 47 6" xfId="8417" xr:uid="{00000000-0005-0000-0000-0000E6200000}"/>
    <cellStyle name="Normal 47 6 10" xfId="8418" xr:uid="{00000000-0005-0000-0000-0000E7200000}"/>
    <cellStyle name="Normal 47 6 11" xfId="8419" xr:uid="{00000000-0005-0000-0000-0000E8200000}"/>
    <cellStyle name="Normal 47 6 12" xfId="8420" xr:uid="{00000000-0005-0000-0000-0000E9200000}"/>
    <cellStyle name="Normal 47 6 13" xfId="8421" xr:uid="{00000000-0005-0000-0000-0000EA200000}"/>
    <cellStyle name="Normal 47 6 2" xfId="8422" xr:uid="{00000000-0005-0000-0000-0000EB200000}"/>
    <cellStyle name="Normal 47 6 2 10" xfId="8423" xr:uid="{00000000-0005-0000-0000-0000EC200000}"/>
    <cellStyle name="Normal 47 6 2 11" xfId="8424" xr:uid="{00000000-0005-0000-0000-0000ED200000}"/>
    <cellStyle name="Normal 47 6 2 2" xfId="8425" xr:uid="{00000000-0005-0000-0000-0000EE200000}"/>
    <cellStyle name="Normal 47 6 2 3" xfId="8426" xr:uid="{00000000-0005-0000-0000-0000EF200000}"/>
    <cellStyle name="Normal 47 6 2 4" xfId="8427" xr:uid="{00000000-0005-0000-0000-0000F0200000}"/>
    <cellStyle name="Normal 47 6 2 5" xfId="8428" xr:uid="{00000000-0005-0000-0000-0000F1200000}"/>
    <cellStyle name="Normal 47 6 2 6" xfId="8429" xr:uid="{00000000-0005-0000-0000-0000F2200000}"/>
    <cellStyle name="Normal 47 6 2 7" xfId="8430" xr:uid="{00000000-0005-0000-0000-0000F3200000}"/>
    <cellStyle name="Normal 47 6 2 8" xfId="8431" xr:uid="{00000000-0005-0000-0000-0000F4200000}"/>
    <cellStyle name="Normal 47 6 2 9" xfId="8432" xr:uid="{00000000-0005-0000-0000-0000F5200000}"/>
    <cellStyle name="Normal 47 6 3" xfId="8433" xr:uid="{00000000-0005-0000-0000-0000F6200000}"/>
    <cellStyle name="Normal 47 6 4" xfId="8434" xr:uid="{00000000-0005-0000-0000-0000F7200000}"/>
    <cellStyle name="Normal 47 6 5" xfId="8435" xr:uid="{00000000-0005-0000-0000-0000F8200000}"/>
    <cellStyle name="Normal 47 6 6" xfId="8436" xr:uid="{00000000-0005-0000-0000-0000F9200000}"/>
    <cellStyle name="Normal 47 6 7" xfId="8437" xr:uid="{00000000-0005-0000-0000-0000FA200000}"/>
    <cellStyle name="Normal 47 6 8" xfId="8438" xr:uid="{00000000-0005-0000-0000-0000FB200000}"/>
    <cellStyle name="Normal 47 6 9" xfId="8439" xr:uid="{00000000-0005-0000-0000-0000FC200000}"/>
    <cellStyle name="Normal 47 7" xfId="8440" xr:uid="{00000000-0005-0000-0000-0000FD200000}"/>
    <cellStyle name="Normal 47 7 10" xfId="8441" xr:uid="{00000000-0005-0000-0000-0000FE200000}"/>
    <cellStyle name="Normal 47 7 11" xfId="8442" xr:uid="{00000000-0005-0000-0000-0000FF200000}"/>
    <cellStyle name="Normal 47 7 12" xfId="8443" xr:uid="{00000000-0005-0000-0000-000000210000}"/>
    <cellStyle name="Normal 47 7 13" xfId="8444" xr:uid="{00000000-0005-0000-0000-000001210000}"/>
    <cellStyle name="Normal 47 7 2" xfId="8445" xr:uid="{00000000-0005-0000-0000-000002210000}"/>
    <cellStyle name="Normal 47 7 2 10" xfId="8446" xr:uid="{00000000-0005-0000-0000-000003210000}"/>
    <cellStyle name="Normal 47 7 2 11" xfId="8447" xr:uid="{00000000-0005-0000-0000-000004210000}"/>
    <cellStyle name="Normal 47 7 2 2" xfId="8448" xr:uid="{00000000-0005-0000-0000-000005210000}"/>
    <cellStyle name="Normal 47 7 2 3" xfId="8449" xr:uid="{00000000-0005-0000-0000-000006210000}"/>
    <cellStyle name="Normal 47 7 2 4" xfId="8450" xr:uid="{00000000-0005-0000-0000-000007210000}"/>
    <cellStyle name="Normal 47 7 2 5" xfId="8451" xr:uid="{00000000-0005-0000-0000-000008210000}"/>
    <cellStyle name="Normal 47 7 2 6" xfId="8452" xr:uid="{00000000-0005-0000-0000-000009210000}"/>
    <cellStyle name="Normal 47 7 2 7" xfId="8453" xr:uid="{00000000-0005-0000-0000-00000A210000}"/>
    <cellStyle name="Normal 47 7 2 8" xfId="8454" xr:uid="{00000000-0005-0000-0000-00000B210000}"/>
    <cellStyle name="Normal 47 7 2 9" xfId="8455" xr:uid="{00000000-0005-0000-0000-00000C210000}"/>
    <cellStyle name="Normal 47 7 3" xfId="8456" xr:uid="{00000000-0005-0000-0000-00000D210000}"/>
    <cellStyle name="Normal 47 7 4" xfId="8457" xr:uid="{00000000-0005-0000-0000-00000E210000}"/>
    <cellStyle name="Normal 47 7 5" xfId="8458" xr:uid="{00000000-0005-0000-0000-00000F210000}"/>
    <cellStyle name="Normal 47 7 6" xfId="8459" xr:uid="{00000000-0005-0000-0000-000010210000}"/>
    <cellStyle name="Normal 47 7 7" xfId="8460" xr:uid="{00000000-0005-0000-0000-000011210000}"/>
    <cellStyle name="Normal 47 7 8" xfId="8461" xr:uid="{00000000-0005-0000-0000-000012210000}"/>
    <cellStyle name="Normal 47 7 9" xfId="8462" xr:uid="{00000000-0005-0000-0000-000013210000}"/>
    <cellStyle name="Normal 47 8" xfId="8463" xr:uid="{00000000-0005-0000-0000-000014210000}"/>
    <cellStyle name="Normal 47 8 10" xfId="8464" xr:uid="{00000000-0005-0000-0000-000015210000}"/>
    <cellStyle name="Normal 47 8 11" xfId="8465" xr:uid="{00000000-0005-0000-0000-000016210000}"/>
    <cellStyle name="Normal 47 8 12" xfId="8466" xr:uid="{00000000-0005-0000-0000-000017210000}"/>
    <cellStyle name="Normal 47 8 13" xfId="8467" xr:uid="{00000000-0005-0000-0000-000018210000}"/>
    <cellStyle name="Normal 47 8 2" xfId="8468" xr:uid="{00000000-0005-0000-0000-000019210000}"/>
    <cellStyle name="Normal 47 8 2 10" xfId="8469" xr:uid="{00000000-0005-0000-0000-00001A210000}"/>
    <cellStyle name="Normal 47 8 2 11" xfId="8470" xr:uid="{00000000-0005-0000-0000-00001B210000}"/>
    <cellStyle name="Normal 47 8 2 2" xfId="8471" xr:uid="{00000000-0005-0000-0000-00001C210000}"/>
    <cellStyle name="Normal 47 8 2 3" xfId="8472" xr:uid="{00000000-0005-0000-0000-00001D210000}"/>
    <cellStyle name="Normal 47 8 2 4" xfId="8473" xr:uid="{00000000-0005-0000-0000-00001E210000}"/>
    <cellStyle name="Normal 47 8 2 5" xfId="8474" xr:uid="{00000000-0005-0000-0000-00001F210000}"/>
    <cellStyle name="Normal 47 8 2 6" xfId="8475" xr:uid="{00000000-0005-0000-0000-000020210000}"/>
    <cellStyle name="Normal 47 8 2 7" xfId="8476" xr:uid="{00000000-0005-0000-0000-000021210000}"/>
    <cellStyle name="Normal 47 8 2 8" xfId="8477" xr:uid="{00000000-0005-0000-0000-000022210000}"/>
    <cellStyle name="Normal 47 8 2 9" xfId="8478" xr:uid="{00000000-0005-0000-0000-000023210000}"/>
    <cellStyle name="Normal 47 8 3" xfId="8479" xr:uid="{00000000-0005-0000-0000-000024210000}"/>
    <cellStyle name="Normal 47 8 4" xfId="8480" xr:uid="{00000000-0005-0000-0000-000025210000}"/>
    <cellStyle name="Normal 47 8 5" xfId="8481" xr:uid="{00000000-0005-0000-0000-000026210000}"/>
    <cellStyle name="Normal 47 8 6" xfId="8482" xr:uid="{00000000-0005-0000-0000-000027210000}"/>
    <cellStyle name="Normal 47 8 7" xfId="8483" xr:uid="{00000000-0005-0000-0000-000028210000}"/>
    <cellStyle name="Normal 47 8 8" xfId="8484" xr:uid="{00000000-0005-0000-0000-000029210000}"/>
    <cellStyle name="Normal 47 8 9" xfId="8485" xr:uid="{00000000-0005-0000-0000-00002A210000}"/>
    <cellStyle name="Normal 47 9" xfId="8486" xr:uid="{00000000-0005-0000-0000-00002B210000}"/>
    <cellStyle name="Normal 47 9 10" xfId="8487" xr:uid="{00000000-0005-0000-0000-00002C210000}"/>
    <cellStyle name="Normal 47 9 11" xfId="8488" xr:uid="{00000000-0005-0000-0000-00002D210000}"/>
    <cellStyle name="Normal 47 9 12" xfId="8489" xr:uid="{00000000-0005-0000-0000-00002E210000}"/>
    <cellStyle name="Normal 47 9 13" xfId="8490" xr:uid="{00000000-0005-0000-0000-00002F210000}"/>
    <cellStyle name="Normal 47 9 2" xfId="8491" xr:uid="{00000000-0005-0000-0000-000030210000}"/>
    <cellStyle name="Normal 47 9 2 10" xfId="8492" xr:uid="{00000000-0005-0000-0000-000031210000}"/>
    <cellStyle name="Normal 47 9 2 11" xfId="8493" xr:uid="{00000000-0005-0000-0000-000032210000}"/>
    <cellStyle name="Normal 47 9 2 2" xfId="8494" xr:uid="{00000000-0005-0000-0000-000033210000}"/>
    <cellStyle name="Normal 47 9 2 3" xfId="8495" xr:uid="{00000000-0005-0000-0000-000034210000}"/>
    <cellStyle name="Normal 47 9 2 4" xfId="8496" xr:uid="{00000000-0005-0000-0000-000035210000}"/>
    <cellStyle name="Normal 47 9 2 5" xfId="8497" xr:uid="{00000000-0005-0000-0000-000036210000}"/>
    <cellStyle name="Normal 47 9 2 6" xfId="8498" xr:uid="{00000000-0005-0000-0000-000037210000}"/>
    <cellStyle name="Normal 47 9 2 7" xfId="8499" xr:uid="{00000000-0005-0000-0000-000038210000}"/>
    <cellStyle name="Normal 47 9 2 8" xfId="8500" xr:uid="{00000000-0005-0000-0000-000039210000}"/>
    <cellStyle name="Normal 47 9 2 9" xfId="8501" xr:uid="{00000000-0005-0000-0000-00003A210000}"/>
    <cellStyle name="Normal 47 9 3" xfId="8502" xr:uid="{00000000-0005-0000-0000-00003B210000}"/>
    <cellStyle name="Normal 47 9 4" xfId="8503" xr:uid="{00000000-0005-0000-0000-00003C210000}"/>
    <cellStyle name="Normal 47 9 5" xfId="8504" xr:uid="{00000000-0005-0000-0000-00003D210000}"/>
    <cellStyle name="Normal 47 9 6" xfId="8505" xr:uid="{00000000-0005-0000-0000-00003E210000}"/>
    <cellStyle name="Normal 47 9 7" xfId="8506" xr:uid="{00000000-0005-0000-0000-00003F210000}"/>
    <cellStyle name="Normal 47 9 8" xfId="8507" xr:uid="{00000000-0005-0000-0000-000040210000}"/>
    <cellStyle name="Normal 47 9 9" xfId="8508" xr:uid="{00000000-0005-0000-0000-000041210000}"/>
    <cellStyle name="Normal 48" xfId="8509" xr:uid="{00000000-0005-0000-0000-000042210000}"/>
    <cellStyle name="Normal 48 10" xfId="8510" xr:uid="{00000000-0005-0000-0000-000043210000}"/>
    <cellStyle name="Normal 48 10 10" xfId="8511" xr:uid="{00000000-0005-0000-0000-000044210000}"/>
    <cellStyle name="Normal 48 10 11" xfId="8512" xr:uid="{00000000-0005-0000-0000-000045210000}"/>
    <cellStyle name="Normal 48 10 12" xfId="8513" xr:uid="{00000000-0005-0000-0000-000046210000}"/>
    <cellStyle name="Normal 48 10 13" xfId="8514" xr:uid="{00000000-0005-0000-0000-000047210000}"/>
    <cellStyle name="Normal 48 10 2" xfId="8515" xr:uid="{00000000-0005-0000-0000-000048210000}"/>
    <cellStyle name="Normal 48 10 2 10" xfId="8516" xr:uid="{00000000-0005-0000-0000-000049210000}"/>
    <cellStyle name="Normal 48 10 2 11" xfId="8517" xr:uid="{00000000-0005-0000-0000-00004A210000}"/>
    <cellStyle name="Normal 48 10 2 2" xfId="8518" xr:uid="{00000000-0005-0000-0000-00004B210000}"/>
    <cellStyle name="Normal 48 10 2 3" xfId="8519" xr:uid="{00000000-0005-0000-0000-00004C210000}"/>
    <cellStyle name="Normal 48 10 2 4" xfId="8520" xr:uid="{00000000-0005-0000-0000-00004D210000}"/>
    <cellStyle name="Normal 48 10 2 5" xfId="8521" xr:uid="{00000000-0005-0000-0000-00004E210000}"/>
    <cellStyle name="Normal 48 10 2 6" xfId="8522" xr:uid="{00000000-0005-0000-0000-00004F210000}"/>
    <cellStyle name="Normal 48 10 2 7" xfId="8523" xr:uid="{00000000-0005-0000-0000-000050210000}"/>
    <cellStyle name="Normal 48 10 2 8" xfId="8524" xr:uid="{00000000-0005-0000-0000-000051210000}"/>
    <cellStyle name="Normal 48 10 2 9" xfId="8525" xr:uid="{00000000-0005-0000-0000-000052210000}"/>
    <cellStyle name="Normal 48 10 3" xfId="8526" xr:uid="{00000000-0005-0000-0000-000053210000}"/>
    <cellStyle name="Normal 48 10 4" xfId="8527" xr:uid="{00000000-0005-0000-0000-000054210000}"/>
    <cellStyle name="Normal 48 10 5" xfId="8528" xr:uid="{00000000-0005-0000-0000-000055210000}"/>
    <cellStyle name="Normal 48 10 6" xfId="8529" xr:uid="{00000000-0005-0000-0000-000056210000}"/>
    <cellStyle name="Normal 48 10 7" xfId="8530" xr:uid="{00000000-0005-0000-0000-000057210000}"/>
    <cellStyle name="Normal 48 10 8" xfId="8531" xr:uid="{00000000-0005-0000-0000-000058210000}"/>
    <cellStyle name="Normal 48 10 9" xfId="8532" xr:uid="{00000000-0005-0000-0000-000059210000}"/>
    <cellStyle name="Normal 48 11" xfId="8533" xr:uid="{00000000-0005-0000-0000-00005A210000}"/>
    <cellStyle name="Normal 48 11 10" xfId="8534" xr:uid="{00000000-0005-0000-0000-00005B210000}"/>
    <cellStyle name="Normal 48 11 11" xfId="8535" xr:uid="{00000000-0005-0000-0000-00005C210000}"/>
    <cellStyle name="Normal 48 11 12" xfId="8536" xr:uid="{00000000-0005-0000-0000-00005D210000}"/>
    <cellStyle name="Normal 48 11 13" xfId="8537" xr:uid="{00000000-0005-0000-0000-00005E210000}"/>
    <cellStyle name="Normal 48 11 2" xfId="8538" xr:uid="{00000000-0005-0000-0000-00005F210000}"/>
    <cellStyle name="Normal 48 11 2 10" xfId="8539" xr:uid="{00000000-0005-0000-0000-000060210000}"/>
    <cellStyle name="Normal 48 11 2 11" xfId="8540" xr:uid="{00000000-0005-0000-0000-000061210000}"/>
    <cellStyle name="Normal 48 11 2 2" xfId="8541" xr:uid="{00000000-0005-0000-0000-000062210000}"/>
    <cellStyle name="Normal 48 11 2 3" xfId="8542" xr:uid="{00000000-0005-0000-0000-000063210000}"/>
    <cellStyle name="Normal 48 11 2 4" xfId="8543" xr:uid="{00000000-0005-0000-0000-000064210000}"/>
    <cellStyle name="Normal 48 11 2 5" xfId="8544" xr:uid="{00000000-0005-0000-0000-000065210000}"/>
    <cellStyle name="Normal 48 11 2 6" xfId="8545" xr:uid="{00000000-0005-0000-0000-000066210000}"/>
    <cellStyle name="Normal 48 11 2 7" xfId="8546" xr:uid="{00000000-0005-0000-0000-000067210000}"/>
    <cellStyle name="Normal 48 11 2 8" xfId="8547" xr:uid="{00000000-0005-0000-0000-000068210000}"/>
    <cellStyle name="Normal 48 11 2 9" xfId="8548" xr:uid="{00000000-0005-0000-0000-000069210000}"/>
    <cellStyle name="Normal 48 11 3" xfId="8549" xr:uid="{00000000-0005-0000-0000-00006A210000}"/>
    <cellStyle name="Normal 48 11 4" xfId="8550" xr:uid="{00000000-0005-0000-0000-00006B210000}"/>
    <cellStyle name="Normal 48 11 5" xfId="8551" xr:uid="{00000000-0005-0000-0000-00006C210000}"/>
    <cellStyle name="Normal 48 11 6" xfId="8552" xr:uid="{00000000-0005-0000-0000-00006D210000}"/>
    <cellStyle name="Normal 48 11 7" xfId="8553" xr:uid="{00000000-0005-0000-0000-00006E210000}"/>
    <cellStyle name="Normal 48 11 8" xfId="8554" xr:uid="{00000000-0005-0000-0000-00006F210000}"/>
    <cellStyle name="Normal 48 11 9" xfId="8555" xr:uid="{00000000-0005-0000-0000-000070210000}"/>
    <cellStyle name="Normal 48 12" xfId="8556" xr:uid="{00000000-0005-0000-0000-000071210000}"/>
    <cellStyle name="Normal 48 12 10" xfId="8557" xr:uid="{00000000-0005-0000-0000-000072210000}"/>
    <cellStyle name="Normal 48 12 11" xfId="8558" xr:uid="{00000000-0005-0000-0000-000073210000}"/>
    <cellStyle name="Normal 48 12 12" xfId="8559" xr:uid="{00000000-0005-0000-0000-000074210000}"/>
    <cellStyle name="Normal 48 12 13" xfId="8560" xr:uid="{00000000-0005-0000-0000-000075210000}"/>
    <cellStyle name="Normal 48 12 2" xfId="8561" xr:uid="{00000000-0005-0000-0000-000076210000}"/>
    <cellStyle name="Normal 48 12 2 10" xfId="8562" xr:uid="{00000000-0005-0000-0000-000077210000}"/>
    <cellStyle name="Normal 48 12 2 11" xfId="8563" xr:uid="{00000000-0005-0000-0000-000078210000}"/>
    <cellStyle name="Normal 48 12 2 2" xfId="8564" xr:uid="{00000000-0005-0000-0000-000079210000}"/>
    <cellStyle name="Normal 48 12 2 3" xfId="8565" xr:uid="{00000000-0005-0000-0000-00007A210000}"/>
    <cellStyle name="Normal 48 12 2 4" xfId="8566" xr:uid="{00000000-0005-0000-0000-00007B210000}"/>
    <cellStyle name="Normal 48 12 2 5" xfId="8567" xr:uid="{00000000-0005-0000-0000-00007C210000}"/>
    <cellStyle name="Normal 48 12 2 6" xfId="8568" xr:uid="{00000000-0005-0000-0000-00007D210000}"/>
    <cellStyle name="Normal 48 12 2 7" xfId="8569" xr:uid="{00000000-0005-0000-0000-00007E210000}"/>
    <cellStyle name="Normal 48 12 2 8" xfId="8570" xr:uid="{00000000-0005-0000-0000-00007F210000}"/>
    <cellStyle name="Normal 48 12 2 9" xfId="8571" xr:uid="{00000000-0005-0000-0000-000080210000}"/>
    <cellStyle name="Normal 48 12 3" xfId="8572" xr:uid="{00000000-0005-0000-0000-000081210000}"/>
    <cellStyle name="Normal 48 12 4" xfId="8573" xr:uid="{00000000-0005-0000-0000-000082210000}"/>
    <cellStyle name="Normal 48 12 5" xfId="8574" xr:uid="{00000000-0005-0000-0000-000083210000}"/>
    <cellStyle name="Normal 48 12 6" xfId="8575" xr:uid="{00000000-0005-0000-0000-000084210000}"/>
    <cellStyle name="Normal 48 12 7" xfId="8576" xr:uid="{00000000-0005-0000-0000-000085210000}"/>
    <cellStyle name="Normal 48 12 8" xfId="8577" xr:uid="{00000000-0005-0000-0000-000086210000}"/>
    <cellStyle name="Normal 48 12 9" xfId="8578" xr:uid="{00000000-0005-0000-0000-000087210000}"/>
    <cellStyle name="Normal 48 13" xfId="8579" xr:uid="{00000000-0005-0000-0000-000088210000}"/>
    <cellStyle name="Normal 48 13 10" xfId="8580" xr:uid="{00000000-0005-0000-0000-000089210000}"/>
    <cellStyle name="Normal 48 13 11" xfId="8581" xr:uid="{00000000-0005-0000-0000-00008A210000}"/>
    <cellStyle name="Normal 48 13 12" xfId="8582" xr:uid="{00000000-0005-0000-0000-00008B210000}"/>
    <cellStyle name="Normal 48 13 13" xfId="8583" xr:uid="{00000000-0005-0000-0000-00008C210000}"/>
    <cellStyle name="Normal 48 13 2" xfId="8584" xr:uid="{00000000-0005-0000-0000-00008D210000}"/>
    <cellStyle name="Normal 48 13 2 10" xfId="8585" xr:uid="{00000000-0005-0000-0000-00008E210000}"/>
    <cellStyle name="Normal 48 13 2 11" xfId="8586" xr:uid="{00000000-0005-0000-0000-00008F210000}"/>
    <cellStyle name="Normal 48 13 2 2" xfId="8587" xr:uid="{00000000-0005-0000-0000-000090210000}"/>
    <cellStyle name="Normal 48 13 2 3" xfId="8588" xr:uid="{00000000-0005-0000-0000-000091210000}"/>
    <cellStyle name="Normal 48 13 2 4" xfId="8589" xr:uid="{00000000-0005-0000-0000-000092210000}"/>
    <cellStyle name="Normal 48 13 2 5" xfId="8590" xr:uid="{00000000-0005-0000-0000-000093210000}"/>
    <cellStyle name="Normal 48 13 2 6" xfId="8591" xr:uid="{00000000-0005-0000-0000-000094210000}"/>
    <cellStyle name="Normal 48 13 2 7" xfId="8592" xr:uid="{00000000-0005-0000-0000-000095210000}"/>
    <cellStyle name="Normal 48 13 2 8" xfId="8593" xr:uid="{00000000-0005-0000-0000-000096210000}"/>
    <cellStyle name="Normal 48 13 2 9" xfId="8594" xr:uid="{00000000-0005-0000-0000-000097210000}"/>
    <cellStyle name="Normal 48 13 3" xfId="8595" xr:uid="{00000000-0005-0000-0000-000098210000}"/>
    <cellStyle name="Normal 48 13 4" xfId="8596" xr:uid="{00000000-0005-0000-0000-000099210000}"/>
    <cellStyle name="Normal 48 13 5" xfId="8597" xr:uid="{00000000-0005-0000-0000-00009A210000}"/>
    <cellStyle name="Normal 48 13 6" xfId="8598" xr:uid="{00000000-0005-0000-0000-00009B210000}"/>
    <cellStyle name="Normal 48 13 7" xfId="8599" xr:uid="{00000000-0005-0000-0000-00009C210000}"/>
    <cellStyle name="Normal 48 13 8" xfId="8600" xr:uid="{00000000-0005-0000-0000-00009D210000}"/>
    <cellStyle name="Normal 48 13 9" xfId="8601" xr:uid="{00000000-0005-0000-0000-00009E210000}"/>
    <cellStyle name="Normal 48 14" xfId="8602" xr:uid="{00000000-0005-0000-0000-00009F210000}"/>
    <cellStyle name="Normal 48 14 10" xfId="8603" xr:uid="{00000000-0005-0000-0000-0000A0210000}"/>
    <cellStyle name="Normal 48 14 11" xfId="8604" xr:uid="{00000000-0005-0000-0000-0000A1210000}"/>
    <cellStyle name="Normal 48 14 2" xfId="8605" xr:uid="{00000000-0005-0000-0000-0000A2210000}"/>
    <cellStyle name="Normal 48 14 3" xfId="8606" xr:uid="{00000000-0005-0000-0000-0000A3210000}"/>
    <cellStyle name="Normal 48 14 4" xfId="8607" xr:uid="{00000000-0005-0000-0000-0000A4210000}"/>
    <cellStyle name="Normal 48 14 5" xfId="8608" xr:uid="{00000000-0005-0000-0000-0000A5210000}"/>
    <cellStyle name="Normal 48 14 6" xfId="8609" xr:uid="{00000000-0005-0000-0000-0000A6210000}"/>
    <cellStyle name="Normal 48 14 7" xfId="8610" xr:uid="{00000000-0005-0000-0000-0000A7210000}"/>
    <cellStyle name="Normal 48 14 8" xfId="8611" xr:uid="{00000000-0005-0000-0000-0000A8210000}"/>
    <cellStyle name="Normal 48 14 9" xfId="8612" xr:uid="{00000000-0005-0000-0000-0000A9210000}"/>
    <cellStyle name="Normal 48 15" xfId="8613" xr:uid="{00000000-0005-0000-0000-0000AA210000}"/>
    <cellStyle name="Normal 48 16" xfId="8614" xr:uid="{00000000-0005-0000-0000-0000AB210000}"/>
    <cellStyle name="Normal 48 17" xfId="8615" xr:uid="{00000000-0005-0000-0000-0000AC210000}"/>
    <cellStyle name="Normal 48 18" xfId="8616" xr:uid="{00000000-0005-0000-0000-0000AD210000}"/>
    <cellStyle name="Normal 48 19" xfId="8617" xr:uid="{00000000-0005-0000-0000-0000AE210000}"/>
    <cellStyle name="Normal 48 2" xfId="8618" xr:uid="{00000000-0005-0000-0000-0000AF210000}"/>
    <cellStyle name="Normal 48 2 10" xfId="8619" xr:uid="{00000000-0005-0000-0000-0000B0210000}"/>
    <cellStyle name="Normal 48 2 11" xfId="8620" xr:uid="{00000000-0005-0000-0000-0000B1210000}"/>
    <cellStyle name="Normal 48 2 12" xfId="8621" xr:uid="{00000000-0005-0000-0000-0000B2210000}"/>
    <cellStyle name="Normal 48 2 13" xfId="8622" xr:uid="{00000000-0005-0000-0000-0000B3210000}"/>
    <cellStyle name="Normal 48 2 2" xfId="8623" xr:uid="{00000000-0005-0000-0000-0000B4210000}"/>
    <cellStyle name="Normal 48 2 2 10" xfId="8624" xr:uid="{00000000-0005-0000-0000-0000B5210000}"/>
    <cellStyle name="Normal 48 2 2 11" xfId="8625" xr:uid="{00000000-0005-0000-0000-0000B6210000}"/>
    <cellStyle name="Normal 48 2 2 2" xfId="8626" xr:uid="{00000000-0005-0000-0000-0000B7210000}"/>
    <cellStyle name="Normal 48 2 2 3" xfId="8627" xr:uid="{00000000-0005-0000-0000-0000B8210000}"/>
    <cellStyle name="Normal 48 2 2 4" xfId="8628" xr:uid="{00000000-0005-0000-0000-0000B9210000}"/>
    <cellStyle name="Normal 48 2 2 5" xfId="8629" xr:uid="{00000000-0005-0000-0000-0000BA210000}"/>
    <cellStyle name="Normal 48 2 2 6" xfId="8630" xr:uid="{00000000-0005-0000-0000-0000BB210000}"/>
    <cellStyle name="Normal 48 2 2 7" xfId="8631" xr:uid="{00000000-0005-0000-0000-0000BC210000}"/>
    <cellStyle name="Normal 48 2 2 8" xfId="8632" xr:uid="{00000000-0005-0000-0000-0000BD210000}"/>
    <cellStyle name="Normal 48 2 2 9" xfId="8633" xr:uid="{00000000-0005-0000-0000-0000BE210000}"/>
    <cellStyle name="Normal 48 2 3" xfId="8634" xr:uid="{00000000-0005-0000-0000-0000BF210000}"/>
    <cellStyle name="Normal 48 2 4" xfId="8635" xr:uid="{00000000-0005-0000-0000-0000C0210000}"/>
    <cellStyle name="Normal 48 2 5" xfId="8636" xr:uid="{00000000-0005-0000-0000-0000C1210000}"/>
    <cellStyle name="Normal 48 2 6" xfId="8637" xr:uid="{00000000-0005-0000-0000-0000C2210000}"/>
    <cellStyle name="Normal 48 2 7" xfId="8638" xr:uid="{00000000-0005-0000-0000-0000C3210000}"/>
    <cellStyle name="Normal 48 2 8" xfId="8639" xr:uid="{00000000-0005-0000-0000-0000C4210000}"/>
    <cellStyle name="Normal 48 2 9" xfId="8640" xr:uid="{00000000-0005-0000-0000-0000C5210000}"/>
    <cellStyle name="Normal 48 20" xfId="8641" xr:uid="{00000000-0005-0000-0000-0000C6210000}"/>
    <cellStyle name="Normal 48 21" xfId="8642" xr:uid="{00000000-0005-0000-0000-0000C7210000}"/>
    <cellStyle name="Normal 48 22" xfId="8643" xr:uid="{00000000-0005-0000-0000-0000C8210000}"/>
    <cellStyle name="Normal 48 23" xfId="8644" xr:uid="{00000000-0005-0000-0000-0000C9210000}"/>
    <cellStyle name="Normal 48 24" xfId="8645" xr:uid="{00000000-0005-0000-0000-0000CA210000}"/>
    <cellStyle name="Normal 48 25" xfId="8646" xr:uid="{00000000-0005-0000-0000-0000CB210000}"/>
    <cellStyle name="Normal 48 3" xfId="8647" xr:uid="{00000000-0005-0000-0000-0000CC210000}"/>
    <cellStyle name="Normal 48 3 10" xfId="8648" xr:uid="{00000000-0005-0000-0000-0000CD210000}"/>
    <cellStyle name="Normal 48 3 11" xfId="8649" xr:uid="{00000000-0005-0000-0000-0000CE210000}"/>
    <cellStyle name="Normal 48 3 12" xfId="8650" xr:uid="{00000000-0005-0000-0000-0000CF210000}"/>
    <cellStyle name="Normal 48 3 13" xfId="8651" xr:uid="{00000000-0005-0000-0000-0000D0210000}"/>
    <cellStyle name="Normal 48 3 2" xfId="8652" xr:uid="{00000000-0005-0000-0000-0000D1210000}"/>
    <cellStyle name="Normal 48 3 2 10" xfId="8653" xr:uid="{00000000-0005-0000-0000-0000D2210000}"/>
    <cellStyle name="Normal 48 3 2 11" xfId="8654" xr:uid="{00000000-0005-0000-0000-0000D3210000}"/>
    <cellStyle name="Normal 48 3 2 2" xfId="8655" xr:uid="{00000000-0005-0000-0000-0000D4210000}"/>
    <cellStyle name="Normal 48 3 2 3" xfId="8656" xr:uid="{00000000-0005-0000-0000-0000D5210000}"/>
    <cellStyle name="Normal 48 3 2 4" xfId="8657" xr:uid="{00000000-0005-0000-0000-0000D6210000}"/>
    <cellStyle name="Normal 48 3 2 5" xfId="8658" xr:uid="{00000000-0005-0000-0000-0000D7210000}"/>
    <cellStyle name="Normal 48 3 2 6" xfId="8659" xr:uid="{00000000-0005-0000-0000-0000D8210000}"/>
    <cellStyle name="Normal 48 3 2 7" xfId="8660" xr:uid="{00000000-0005-0000-0000-0000D9210000}"/>
    <cellStyle name="Normal 48 3 2 8" xfId="8661" xr:uid="{00000000-0005-0000-0000-0000DA210000}"/>
    <cellStyle name="Normal 48 3 2 9" xfId="8662" xr:uid="{00000000-0005-0000-0000-0000DB210000}"/>
    <cellStyle name="Normal 48 3 3" xfId="8663" xr:uid="{00000000-0005-0000-0000-0000DC210000}"/>
    <cellStyle name="Normal 48 3 4" xfId="8664" xr:uid="{00000000-0005-0000-0000-0000DD210000}"/>
    <cellStyle name="Normal 48 3 5" xfId="8665" xr:uid="{00000000-0005-0000-0000-0000DE210000}"/>
    <cellStyle name="Normal 48 3 6" xfId="8666" xr:uid="{00000000-0005-0000-0000-0000DF210000}"/>
    <cellStyle name="Normal 48 3 7" xfId="8667" xr:uid="{00000000-0005-0000-0000-0000E0210000}"/>
    <cellStyle name="Normal 48 3 8" xfId="8668" xr:uid="{00000000-0005-0000-0000-0000E1210000}"/>
    <cellStyle name="Normal 48 3 9" xfId="8669" xr:uid="{00000000-0005-0000-0000-0000E2210000}"/>
    <cellStyle name="Normal 48 4" xfId="8670" xr:uid="{00000000-0005-0000-0000-0000E3210000}"/>
    <cellStyle name="Normal 48 4 10" xfId="8671" xr:uid="{00000000-0005-0000-0000-0000E4210000}"/>
    <cellStyle name="Normal 48 4 11" xfId="8672" xr:uid="{00000000-0005-0000-0000-0000E5210000}"/>
    <cellStyle name="Normal 48 4 12" xfId="8673" xr:uid="{00000000-0005-0000-0000-0000E6210000}"/>
    <cellStyle name="Normal 48 4 13" xfId="8674" xr:uid="{00000000-0005-0000-0000-0000E7210000}"/>
    <cellStyle name="Normal 48 4 2" xfId="8675" xr:uid="{00000000-0005-0000-0000-0000E8210000}"/>
    <cellStyle name="Normal 48 4 2 10" xfId="8676" xr:uid="{00000000-0005-0000-0000-0000E9210000}"/>
    <cellStyle name="Normal 48 4 2 11" xfId="8677" xr:uid="{00000000-0005-0000-0000-0000EA210000}"/>
    <cellStyle name="Normal 48 4 2 2" xfId="8678" xr:uid="{00000000-0005-0000-0000-0000EB210000}"/>
    <cellStyle name="Normal 48 4 2 3" xfId="8679" xr:uid="{00000000-0005-0000-0000-0000EC210000}"/>
    <cellStyle name="Normal 48 4 2 4" xfId="8680" xr:uid="{00000000-0005-0000-0000-0000ED210000}"/>
    <cellStyle name="Normal 48 4 2 5" xfId="8681" xr:uid="{00000000-0005-0000-0000-0000EE210000}"/>
    <cellStyle name="Normal 48 4 2 6" xfId="8682" xr:uid="{00000000-0005-0000-0000-0000EF210000}"/>
    <cellStyle name="Normal 48 4 2 7" xfId="8683" xr:uid="{00000000-0005-0000-0000-0000F0210000}"/>
    <cellStyle name="Normal 48 4 2 8" xfId="8684" xr:uid="{00000000-0005-0000-0000-0000F1210000}"/>
    <cellStyle name="Normal 48 4 2 9" xfId="8685" xr:uid="{00000000-0005-0000-0000-0000F2210000}"/>
    <cellStyle name="Normal 48 4 3" xfId="8686" xr:uid="{00000000-0005-0000-0000-0000F3210000}"/>
    <cellStyle name="Normal 48 4 4" xfId="8687" xr:uid="{00000000-0005-0000-0000-0000F4210000}"/>
    <cellStyle name="Normal 48 4 5" xfId="8688" xr:uid="{00000000-0005-0000-0000-0000F5210000}"/>
    <cellStyle name="Normal 48 4 6" xfId="8689" xr:uid="{00000000-0005-0000-0000-0000F6210000}"/>
    <cellStyle name="Normal 48 4 7" xfId="8690" xr:uid="{00000000-0005-0000-0000-0000F7210000}"/>
    <cellStyle name="Normal 48 4 8" xfId="8691" xr:uid="{00000000-0005-0000-0000-0000F8210000}"/>
    <cellStyle name="Normal 48 4 9" xfId="8692" xr:uid="{00000000-0005-0000-0000-0000F9210000}"/>
    <cellStyle name="Normal 48 5" xfId="8693" xr:uid="{00000000-0005-0000-0000-0000FA210000}"/>
    <cellStyle name="Normal 48 5 10" xfId="8694" xr:uid="{00000000-0005-0000-0000-0000FB210000}"/>
    <cellStyle name="Normal 48 5 11" xfId="8695" xr:uid="{00000000-0005-0000-0000-0000FC210000}"/>
    <cellStyle name="Normal 48 5 12" xfId="8696" xr:uid="{00000000-0005-0000-0000-0000FD210000}"/>
    <cellStyle name="Normal 48 5 13" xfId="8697" xr:uid="{00000000-0005-0000-0000-0000FE210000}"/>
    <cellStyle name="Normal 48 5 2" xfId="8698" xr:uid="{00000000-0005-0000-0000-0000FF210000}"/>
    <cellStyle name="Normal 48 5 2 10" xfId="8699" xr:uid="{00000000-0005-0000-0000-000000220000}"/>
    <cellStyle name="Normal 48 5 2 11" xfId="8700" xr:uid="{00000000-0005-0000-0000-000001220000}"/>
    <cellStyle name="Normal 48 5 2 2" xfId="8701" xr:uid="{00000000-0005-0000-0000-000002220000}"/>
    <cellStyle name="Normal 48 5 2 3" xfId="8702" xr:uid="{00000000-0005-0000-0000-000003220000}"/>
    <cellStyle name="Normal 48 5 2 4" xfId="8703" xr:uid="{00000000-0005-0000-0000-000004220000}"/>
    <cellStyle name="Normal 48 5 2 5" xfId="8704" xr:uid="{00000000-0005-0000-0000-000005220000}"/>
    <cellStyle name="Normal 48 5 2 6" xfId="8705" xr:uid="{00000000-0005-0000-0000-000006220000}"/>
    <cellStyle name="Normal 48 5 2 7" xfId="8706" xr:uid="{00000000-0005-0000-0000-000007220000}"/>
    <cellStyle name="Normal 48 5 2 8" xfId="8707" xr:uid="{00000000-0005-0000-0000-000008220000}"/>
    <cellStyle name="Normal 48 5 2 9" xfId="8708" xr:uid="{00000000-0005-0000-0000-000009220000}"/>
    <cellStyle name="Normal 48 5 3" xfId="8709" xr:uid="{00000000-0005-0000-0000-00000A220000}"/>
    <cellStyle name="Normal 48 5 4" xfId="8710" xr:uid="{00000000-0005-0000-0000-00000B220000}"/>
    <cellStyle name="Normal 48 5 5" xfId="8711" xr:uid="{00000000-0005-0000-0000-00000C220000}"/>
    <cellStyle name="Normal 48 5 6" xfId="8712" xr:uid="{00000000-0005-0000-0000-00000D220000}"/>
    <cellStyle name="Normal 48 5 7" xfId="8713" xr:uid="{00000000-0005-0000-0000-00000E220000}"/>
    <cellStyle name="Normal 48 5 8" xfId="8714" xr:uid="{00000000-0005-0000-0000-00000F220000}"/>
    <cellStyle name="Normal 48 5 9" xfId="8715" xr:uid="{00000000-0005-0000-0000-000010220000}"/>
    <cellStyle name="Normal 48 6" xfId="8716" xr:uid="{00000000-0005-0000-0000-000011220000}"/>
    <cellStyle name="Normal 48 6 10" xfId="8717" xr:uid="{00000000-0005-0000-0000-000012220000}"/>
    <cellStyle name="Normal 48 6 11" xfId="8718" xr:uid="{00000000-0005-0000-0000-000013220000}"/>
    <cellStyle name="Normal 48 6 12" xfId="8719" xr:uid="{00000000-0005-0000-0000-000014220000}"/>
    <cellStyle name="Normal 48 6 13" xfId="8720" xr:uid="{00000000-0005-0000-0000-000015220000}"/>
    <cellStyle name="Normal 48 6 2" xfId="8721" xr:uid="{00000000-0005-0000-0000-000016220000}"/>
    <cellStyle name="Normal 48 6 2 10" xfId="8722" xr:uid="{00000000-0005-0000-0000-000017220000}"/>
    <cellStyle name="Normal 48 6 2 11" xfId="8723" xr:uid="{00000000-0005-0000-0000-000018220000}"/>
    <cellStyle name="Normal 48 6 2 2" xfId="8724" xr:uid="{00000000-0005-0000-0000-000019220000}"/>
    <cellStyle name="Normal 48 6 2 3" xfId="8725" xr:uid="{00000000-0005-0000-0000-00001A220000}"/>
    <cellStyle name="Normal 48 6 2 4" xfId="8726" xr:uid="{00000000-0005-0000-0000-00001B220000}"/>
    <cellStyle name="Normal 48 6 2 5" xfId="8727" xr:uid="{00000000-0005-0000-0000-00001C220000}"/>
    <cellStyle name="Normal 48 6 2 6" xfId="8728" xr:uid="{00000000-0005-0000-0000-00001D220000}"/>
    <cellStyle name="Normal 48 6 2 7" xfId="8729" xr:uid="{00000000-0005-0000-0000-00001E220000}"/>
    <cellStyle name="Normal 48 6 2 8" xfId="8730" xr:uid="{00000000-0005-0000-0000-00001F220000}"/>
    <cellStyle name="Normal 48 6 2 9" xfId="8731" xr:uid="{00000000-0005-0000-0000-000020220000}"/>
    <cellStyle name="Normal 48 6 3" xfId="8732" xr:uid="{00000000-0005-0000-0000-000021220000}"/>
    <cellStyle name="Normal 48 6 4" xfId="8733" xr:uid="{00000000-0005-0000-0000-000022220000}"/>
    <cellStyle name="Normal 48 6 5" xfId="8734" xr:uid="{00000000-0005-0000-0000-000023220000}"/>
    <cellStyle name="Normal 48 6 6" xfId="8735" xr:uid="{00000000-0005-0000-0000-000024220000}"/>
    <cellStyle name="Normal 48 6 7" xfId="8736" xr:uid="{00000000-0005-0000-0000-000025220000}"/>
    <cellStyle name="Normal 48 6 8" xfId="8737" xr:uid="{00000000-0005-0000-0000-000026220000}"/>
    <cellStyle name="Normal 48 6 9" xfId="8738" xr:uid="{00000000-0005-0000-0000-000027220000}"/>
    <cellStyle name="Normal 48 7" xfId="8739" xr:uid="{00000000-0005-0000-0000-000028220000}"/>
    <cellStyle name="Normal 48 7 10" xfId="8740" xr:uid="{00000000-0005-0000-0000-000029220000}"/>
    <cellStyle name="Normal 48 7 11" xfId="8741" xr:uid="{00000000-0005-0000-0000-00002A220000}"/>
    <cellStyle name="Normal 48 7 12" xfId="8742" xr:uid="{00000000-0005-0000-0000-00002B220000}"/>
    <cellStyle name="Normal 48 7 13" xfId="8743" xr:uid="{00000000-0005-0000-0000-00002C220000}"/>
    <cellStyle name="Normal 48 7 2" xfId="8744" xr:uid="{00000000-0005-0000-0000-00002D220000}"/>
    <cellStyle name="Normal 48 7 2 10" xfId="8745" xr:uid="{00000000-0005-0000-0000-00002E220000}"/>
    <cellStyle name="Normal 48 7 2 11" xfId="8746" xr:uid="{00000000-0005-0000-0000-00002F220000}"/>
    <cellStyle name="Normal 48 7 2 2" xfId="8747" xr:uid="{00000000-0005-0000-0000-000030220000}"/>
    <cellStyle name="Normal 48 7 2 3" xfId="8748" xr:uid="{00000000-0005-0000-0000-000031220000}"/>
    <cellStyle name="Normal 48 7 2 4" xfId="8749" xr:uid="{00000000-0005-0000-0000-000032220000}"/>
    <cellStyle name="Normal 48 7 2 5" xfId="8750" xr:uid="{00000000-0005-0000-0000-000033220000}"/>
    <cellStyle name="Normal 48 7 2 6" xfId="8751" xr:uid="{00000000-0005-0000-0000-000034220000}"/>
    <cellStyle name="Normal 48 7 2 7" xfId="8752" xr:uid="{00000000-0005-0000-0000-000035220000}"/>
    <cellStyle name="Normal 48 7 2 8" xfId="8753" xr:uid="{00000000-0005-0000-0000-000036220000}"/>
    <cellStyle name="Normal 48 7 2 9" xfId="8754" xr:uid="{00000000-0005-0000-0000-000037220000}"/>
    <cellStyle name="Normal 48 7 3" xfId="8755" xr:uid="{00000000-0005-0000-0000-000038220000}"/>
    <cellStyle name="Normal 48 7 4" xfId="8756" xr:uid="{00000000-0005-0000-0000-000039220000}"/>
    <cellStyle name="Normal 48 7 5" xfId="8757" xr:uid="{00000000-0005-0000-0000-00003A220000}"/>
    <cellStyle name="Normal 48 7 6" xfId="8758" xr:uid="{00000000-0005-0000-0000-00003B220000}"/>
    <cellStyle name="Normal 48 7 7" xfId="8759" xr:uid="{00000000-0005-0000-0000-00003C220000}"/>
    <cellStyle name="Normal 48 7 8" xfId="8760" xr:uid="{00000000-0005-0000-0000-00003D220000}"/>
    <cellStyle name="Normal 48 7 9" xfId="8761" xr:uid="{00000000-0005-0000-0000-00003E220000}"/>
    <cellStyle name="Normal 48 8" xfId="8762" xr:uid="{00000000-0005-0000-0000-00003F220000}"/>
    <cellStyle name="Normal 48 8 10" xfId="8763" xr:uid="{00000000-0005-0000-0000-000040220000}"/>
    <cellStyle name="Normal 48 8 11" xfId="8764" xr:uid="{00000000-0005-0000-0000-000041220000}"/>
    <cellStyle name="Normal 48 8 12" xfId="8765" xr:uid="{00000000-0005-0000-0000-000042220000}"/>
    <cellStyle name="Normal 48 8 13" xfId="8766" xr:uid="{00000000-0005-0000-0000-000043220000}"/>
    <cellStyle name="Normal 48 8 2" xfId="8767" xr:uid="{00000000-0005-0000-0000-000044220000}"/>
    <cellStyle name="Normal 48 8 2 10" xfId="8768" xr:uid="{00000000-0005-0000-0000-000045220000}"/>
    <cellStyle name="Normal 48 8 2 11" xfId="8769" xr:uid="{00000000-0005-0000-0000-000046220000}"/>
    <cellStyle name="Normal 48 8 2 2" xfId="8770" xr:uid="{00000000-0005-0000-0000-000047220000}"/>
    <cellStyle name="Normal 48 8 2 3" xfId="8771" xr:uid="{00000000-0005-0000-0000-000048220000}"/>
    <cellStyle name="Normal 48 8 2 4" xfId="8772" xr:uid="{00000000-0005-0000-0000-000049220000}"/>
    <cellStyle name="Normal 48 8 2 5" xfId="8773" xr:uid="{00000000-0005-0000-0000-00004A220000}"/>
    <cellStyle name="Normal 48 8 2 6" xfId="8774" xr:uid="{00000000-0005-0000-0000-00004B220000}"/>
    <cellStyle name="Normal 48 8 2 7" xfId="8775" xr:uid="{00000000-0005-0000-0000-00004C220000}"/>
    <cellStyle name="Normal 48 8 2 8" xfId="8776" xr:uid="{00000000-0005-0000-0000-00004D220000}"/>
    <cellStyle name="Normal 48 8 2 9" xfId="8777" xr:uid="{00000000-0005-0000-0000-00004E220000}"/>
    <cellStyle name="Normal 48 8 3" xfId="8778" xr:uid="{00000000-0005-0000-0000-00004F220000}"/>
    <cellStyle name="Normal 48 8 4" xfId="8779" xr:uid="{00000000-0005-0000-0000-000050220000}"/>
    <cellStyle name="Normal 48 8 5" xfId="8780" xr:uid="{00000000-0005-0000-0000-000051220000}"/>
    <cellStyle name="Normal 48 8 6" xfId="8781" xr:uid="{00000000-0005-0000-0000-000052220000}"/>
    <cellStyle name="Normal 48 8 7" xfId="8782" xr:uid="{00000000-0005-0000-0000-000053220000}"/>
    <cellStyle name="Normal 48 8 8" xfId="8783" xr:uid="{00000000-0005-0000-0000-000054220000}"/>
    <cellStyle name="Normal 48 8 9" xfId="8784" xr:uid="{00000000-0005-0000-0000-000055220000}"/>
    <cellStyle name="Normal 48 9" xfId="8785" xr:uid="{00000000-0005-0000-0000-000056220000}"/>
    <cellStyle name="Normal 48 9 10" xfId="8786" xr:uid="{00000000-0005-0000-0000-000057220000}"/>
    <cellStyle name="Normal 48 9 11" xfId="8787" xr:uid="{00000000-0005-0000-0000-000058220000}"/>
    <cellStyle name="Normal 48 9 12" xfId="8788" xr:uid="{00000000-0005-0000-0000-000059220000}"/>
    <cellStyle name="Normal 48 9 13" xfId="8789" xr:uid="{00000000-0005-0000-0000-00005A220000}"/>
    <cellStyle name="Normal 48 9 2" xfId="8790" xr:uid="{00000000-0005-0000-0000-00005B220000}"/>
    <cellStyle name="Normal 48 9 2 10" xfId="8791" xr:uid="{00000000-0005-0000-0000-00005C220000}"/>
    <cellStyle name="Normal 48 9 2 11" xfId="8792" xr:uid="{00000000-0005-0000-0000-00005D220000}"/>
    <cellStyle name="Normal 48 9 2 2" xfId="8793" xr:uid="{00000000-0005-0000-0000-00005E220000}"/>
    <cellStyle name="Normal 48 9 2 3" xfId="8794" xr:uid="{00000000-0005-0000-0000-00005F220000}"/>
    <cellStyle name="Normal 48 9 2 4" xfId="8795" xr:uid="{00000000-0005-0000-0000-000060220000}"/>
    <cellStyle name="Normal 48 9 2 5" xfId="8796" xr:uid="{00000000-0005-0000-0000-000061220000}"/>
    <cellStyle name="Normal 48 9 2 6" xfId="8797" xr:uid="{00000000-0005-0000-0000-000062220000}"/>
    <cellStyle name="Normal 48 9 2 7" xfId="8798" xr:uid="{00000000-0005-0000-0000-000063220000}"/>
    <cellStyle name="Normal 48 9 2 8" xfId="8799" xr:uid="{00000000-0005-0000-0000-000064220000}"/>
    <cellStyle name="Normal 48 9 2 9" xfId="8800" xr:uid="{00000000-0005-0000-0000-000065220000}"/>
    <cellStyle name="Normal 48 9 3" xfId="8801" xr:uid="{00000000-0005-0000-0000-000066220000}"/>
    <cellStyle name="Normal 48 9 4" xfId="8802" xr:uid="{00000000-0005-0000-0000-000067220000}"/>
    <cellStyle name="Normal 48 9 5" xfId="8803" xr:uid="{00000000-0005-0000-0000-000068220000}"/>
    <cellStyle name="Normal 48 9 6" xfId="8804" xr:uid="{00000000-0005-0000-0000-000069220000}"/>
    <cellStyle name="Normal 48 9 7" xfId="8805" xr:uid="{00000000-0005-0000-0000-00006A220000}"/>
    <cellStyle name="Normal 48 9 8" xfId="8806" xr:uid="{00000000-0005-0000-0000-00006B220000}"/>
    <cellStyle name="Normal 48 9 9" xfId="8807" xr:uid="{00000000-0005-0000-0000-00006C220000}"/>
    <cellStyle name="Normal 49" xfId="8808" xr:uid="{00000000-0005-0000-0000-00006D220000}"/>
    <cellStyle name="Normal 49 10" xfId="8809" xr:uid="{00000000-0005-0000-0000-00006E220000}"/>
    <cellStyle name="Normal 49 10 10" xfId="8810" xr:uid="{00000000-0005-0000-0000-00006F220000}"/>
    <cellStyle name="Normal 49 10 11" xfId="8811" xr:uid="{00000000-0005-0000-0000-000070220000}"/>
    <cellStyle name="Normal 49 10 12" xfId="8812" xr:uid="{00000000-0005-0000-0000-000071220000}"/>
    <cellStyle name="Normal 49 10 13" xfId="8813" xr:uid="{00000000-0005-0000-0000-000072220000}"/>
    <cellStyle name="Normal 49 10 2" xfId="8814" xr:uid="{00000000-0005-0000-0000-000073220000}"/>
    <cellStyle name="Normal 49 10 2 10" xfId="8815" xr:uid="{00000000-0005-0000-0000-000074220000}"/>
    <cellStyle name="Normal 49 10 2 11" xfId="8816" xr:uid="{00000000-0005-0000-0000-000075220000}"/>
    <cellStyle name="Normal 49 10 2 2" xfId="8817" xr:uid="{00000000-0005-0000-0000-000076220000}"/>
    <cellStyle name="Normal 49 10 2 3" xfId="8818" xr:uid="{00000000-0005-0000-0000-000077220000}"/>
    <cellStyle name="Normal 49 10 2 4" xfId="8819" xr:uid="{00000000-0005-0000-0000-000078220000}"/>
    <cellStyle name="Normal 49 10 2 5" xfId="8820" xr:uid="{00000000-0005-0000-0000-000079220000}"/>
    <cellStyle name="Normal 49 10 2 6" xfId="8821" xr:uid="{00000000-0005-0000-0000-00007A220000}"/>
    <cellStyle name="Normal 49 10 2 7" xfId="8822" xr:uid="{00000000-0005-0000-0000-00007B220000}"/>
    <cellStyle name="Normal 49 10 2 8" xfId="8823" xr:uid="{00000000-0005-0000-0000-00007C220000}"/>
    <cellStyle name="Normal 49 10 2 9" xfId="8824" xr:uid="{00000000-0005-0000-0000-00007D220000}"/>
    <cellStyle name="Normal 49 10 3" xfId="8825" xr:uid="{00000000-0005-0000-0000-00007E220000}"/>
    <cellStyle name="Normal 49 10 4" xfId="8826" xr:uid="{00000000-0005-0000-0000-00007F220000}"/>
    <cellStyle name="Normal 49 10 5" xfId="8827" xr:uid="{00000000-0005-0000-0000-000080220000}"/>
    <cellStyle name="Normal 49 10 6" xfId="8828" xr:uid="{00000000-0005-0000-0000-000081220000}"/>
    <cellStyle name="Normal 49 10 7" xfId="8829" xr:uid="{00000000-0005-0000-0000-000082220000}"/>
    <cellStyle name="Normal 49 10 8" xfId="8830" xr:uid="{00000000-0005-0000-0000-000083220000}"/>
    <cellStyle name="Normal 49 10 9" xfId="8831" xr:uid="{00000000-0005-0000-0000-000084220000}"/>
    <cellStyle name="Normal 49 11" xfId="8832" xr:uid="{00000000-0005-0000-0000-000085220000}"/>
    <cellStyle name="Normal 49 11 10" xfId="8833" xr:uid="{00000000-0005-0000-0000-000086220000}"/>
    <cellStyle name="Normal 49 11 11" xfId="8834" xr:uid="{00000000-0005-0000-0000-000087220000}"/>
    <cellStyle name="Normal 49 11 12" xfId="8835" xr:uid="{00000000-0005-0000-0000-000088220000}"/>
    <cellStyle name="Normal 49 11 13" xfId="8836" xr:uid="{00000000-0005-0000-0000-000089220000}"/>
    <cellStyle name="Normal 49 11 2" xfId="8837" xr:uid="{00000000-0005-0000-0000-00008A220000}"/>
    <cellStyle name="Normal 49 11 2 10" xfId="8838" xr:uid="{00000000-0005-0000-0000-00008B220000}"/>
    <cellStyle name="Normal 49 11 2 11" xfId="8839" xr:uid="{00000000-0005-0000-0000-00008C220000}"/>
    <cellStyle name="Normal 49 11 2 2" xfId="8840" xr:uid="{00000000-0005-0000-0000-00008D220000}"/>
    <cellStyle name="Normal 49 11 2 3" xfId="8841" xr:uid="{00000000-0005-0000-0000-00008E220000}"/>
    <cellStyle name="Normal 49 11 2 4" xfId="8842" xr:uid="{00000000-0005-0000-0000-00008F220000}"/>
    <cellStyle name="Normal 49 11 2 5" xfId="8843" xr:uid="{00000000-0005-0000-0000-000090220000}"/>
    <cellStyle name="Normal 49 11 2 6" xfId="8844" xr:uid="{00000000-0005-0000-0000-000091220000}"/>
    <cellStyle name="Normal 49 11 2 7" xfId="8845" xr:uid="{00000000-0005-0000-0000-000092220000}"/>
    <cellStyle name="Normal 49 11 2 8" xfId="8846" xr:uid="{00000000-0005-0000-0000-000093220000}"/>
    <cellStyle name="Normal 49 11 2 9" xfId="8847" xr:uid="{00000000-0005-0000-0000-000094220000}"/>
    <cellStyle name="Normal 49 11 3" xfId="8848" xr:uid="{00000000-0005-0000-0000-000095220000}"/>
    <cellStyle name="Normal 49 11 4" xfId="8849" xr:uid="{00000000-0005-0000-0000-000096220000}"/>
    <cellStyle name="Normal 49 11 5" xfId="8850" xr:uid="{00000000-0005-0000-0000-000097220000}"/>
    <cellStyle name="Normal 49 11 6" xfId="8851" xr:uid="{00000000-0005-0000-0000-000098220000}"/>
    <cellStyle name="Normal 49 11 7" xfId="8852" xr:uid="{00000000-0005-0000-0000-000099220000}"/>
    <cellStyle name="Normal 49 11 8" xfId="8853" xr:uid="{00000000-0005-0000-0000-00009A220000}"/>
    <cellStyle name="Normal 49 11 9" xfId="8854" xr:uid="{00000000-0005-0000-0000-00009B220000}"/>
    <cellStyle name="Normal 49 12" xfId="8855" xr:uid="{00000000-0005-0000-0000-00009C220000}"/>
    <cellStyle name="Normal 49 12 10" xfId="8856" xr:uid="{00000000-0005-0000-0000-00009D220000}"/>
    <cellStyle name="Normal 49 12 11" xfId="8857" xr:uid="{00000000-0005-0000-0000-00009E220000}"/>
    <cellStyle name="Normal 49 12 12" xfId="8858" xr:uid="{00000000-0005-0000-0000-00009F220000}"/>
    <cellStyle name="Normal 49 12 13" xfId="8859" xr:uid="{00000000-0005-0000-0000-0000A0220000}"/>
    <cellStyle name="Normal 49 12 2" xfId="8860" xr:uid="{00000000-0005-0000-0000-0000A1220000}"/>
    <cellStyle name="Normal 49 12 2 10" xfId="8861" xr:uid="{00000000-0005-0000-0000-0000A2220000}"/>
    <cellStyle name="Normal 49 12 2 11" xfId="8862" xr:uid="{00000000-0005-0000-0000-0000A3220000}"/>
    <cellStyle name="Normal 49 12 2 2" xfId="8863" xr:uid="{00000000-0005-0000-0000-0000A4220000}"/>
    <cellStyle name="Normal 49 12 2 3" xfId="8864" xr:uid="{00000000-0005-0000-0000-0000A5220000}"/>
    <cellStyle name="Normal 49 12 2 4" xfId="8865" xr:uid="{00000000-0005-0000-0000-0000A6220000}"/>
    <cellStyle name="Normal 49 12 2 5" xfId="8866" xr:uid="{00000000-0005-0000-0000-0000A7220000}"/>
    <cellStyle name="Normal 49 12 2 6" xfId="8867" xr:uid="{00000000-0005-0000-0000-0000A8220000}"/>
    <cellStyle name="Normal 49 12 2 7" xfId="8868" xr:uid="{00000000-0005-0000-0000-0000A9220000}"/>
    <cellStyle name="Normal 49 12 2 8" xfId="8869" xr:uid="{00000000-0005-0000-0000-0000AA220000}"/>
    <cellStyle name="Normal 49 12 2 9" xfId="8870" xr:uid="{00000000-0005-0000-0000-0000AB220000}"/>
    <cellStyle name="Normal 49 12 3" xfId="8871" xr:uid="{00000000-0005-0000-0000-0000AC220000}"/>
    <cellStyle name="Normal 49 12 4" xfId="8872" xr:uid="{00000000-0005-0000-0000-0000AD220000}"/>
    <cellStyle name="Normal 49 12 5" xfId="8873" xr:uid="{00000000-0005-0000-0000-0000AE220000}"/>
    <cellStyle name="Normal 49 12 6" xfId="8874" xr:uid="{00000000-0005-0000-0000-0000AF220000}"/>
    <cellStyle name="Normal 49 12 7" xfId="8875" xr:uid="{00000000-0005-0000-0000-0000B0220000}"/>
    <cellStyle name="Normal 49 12 8" xfId="8876" xr:uid="{00000000-0005-0000-0000-0000B1220000}"/>
    <cellStyle name="Normal 49 12 9" xfId="8877" xr:uid="{00000000-0005-0000-0000-0000B2220000}"/>
    <cellStyle name="Normal 49 13" xfId="8878" xr:uid="{00000000-0005-0000-0000-0000B3220000}"/>
    <cellStyle name="Normal 49 13 10" xfId="8879" xr:uid="{00000000-0005-0000-0000-0000B4220000}"/>
    <cellStyle name="Normal 49 13 11" xfId="8880" xr:uid="{00000000-0005-0000-0000-0000B5220000}"/>
    <cellStyle name="Normal 49 13 12" xfId="8881" xr:uid="{00000000-0005-0000-0000-0000B6220000}"/>
    <cellStyle name="Normal 49 13 13" xfId="8882" xr:uid="{00000000-0005-0000-0000-0000B7220000}"/>
    <cellStyle name="Normal 49 13 2" xfId="8883" xr:uid="{00000000-0005-0000-0000-0000B8220000}"/>
    <cellStyle name="Normal 49 13 2 10" xfId="8884" xr:uid="{00000000-0005-0000-0000-0000B9220000}"/>
    <cellStyle name="Normal 49 13 2 11" xfId="8885" xr:uid="{00000000-0005-0000-0000-0000BA220000}"/>
    <cellStyle name="Normal 49 13 2 2" xfId="8886" xr:uid="{00000000-0005-0000-0000-0000BB220000}"/>
    <cellStyle name="Normal 49 13 2 3" xfId="8887" xr:uid="{00000000-0005-0000-0000-0000BC220000}"/>
    <cellStyle name="Normal 49 13 2 4" xfId="8888" xr:uid="{00000000-0005-0000-0000-0000BD220000}"/>
    <cellStyle name="Normal 49 13 2 5" xfId="8889" xr:uid="{00000000-0005-0000-0000-0000BE220000}"/>
    <cellStyle name="Normal 49 13 2 6" xfId="8890" xr:uid="{00000000-0005-0000-0000-0000BF220000}"/>
    <cellStyle name="Normal 49 13 2 7" xfId="8891" xr:uid="{00000000-0005-0000-0000-0000C0220000}"/>
    <cellStyle name="Normal 49 13 2 8" xfId="8892" xr:uid="{00000000-0005-0000-0000-0000C1220000}"/>
    <cellStyle name="Normal 49 13 2 9" xfId="8893" xr:uid="{00000000-0005-0000-0000-0000C2220000}"/>
    <cellStyle name="Normal 49 13 3" xfId="8894" xr:uid="{00000000-0005-0000-0000-0000C3220000}"/>
    <cellStyle name="Normal 49 13 4" xfId="8895" xr:uid="{00000000-0005-0000-0000-0000C4220000}"/>
    <cellStyle name="Normal 49 13 5" xfId="8896" xr:uid="{00000000-0005-0000-0000-0000C5220000}"/>
    <cellStyle name="Normal 49 13 6" xfId="8897" xr:uid="{00000000-0005-0000-0000-0000C6220000}"/>
    <cellStyle name="Normal 49 13 7" xfId="8898" xr:uid="{00000000-0005-0000-0000-0000C7220000}"/>
    <cellStyle name="Normal 49 13 8" xfId="8899" xr:uid="{00000000-0005-0000-0000-0000C8220000}"/>
    <cellStyle name="Normal 49 13 9" xfId="8900" xr:uid="{00000000-0005-0000-0000-0000C9220000}"/>
    <cellStyle name="Normal 49 14" xfId="8901" xr:uid="{00000000-0005-0000-0000-0000CA220000}"/>
    <cellStyle name="Normal 49 14 10" xfId="8902" xr:uid="{00000000-0005-0000-0000-0000CB220000}"/>
    <cellStyle name="Normal 49 14 11" xfId="8903" xr:uid="{00000000-0005-0000-0000-0000CC220000}"/>
    <cellStyle name="Normal 49 14 2" xfId="8904" xr:uid="{00000000-0005-0000-0000-0000CD220000}"/>
    <cellStyle name="Normal 49 14 3" xfId="8905" xr:uid="{00000000-0005-0000-0000-0000CE220000}"/>
    <cellStyle name="Normal 49 14 4" xfId="8906" xr:uid="{00000000-0005-0000-0000-0000CF220000}"/>
    <cellStyle name="Normal 49 14 5" xfId="8907" xr:uid="{00000000-0005-0000-0000-0000D0220000}"/>
    <cellStyle name="Normal 49 14 6" xfId="8908" xr:uid="{00000000-0005-0000-0000-0000D1220000}"/>
    <cellStyle name="Normal 49 14 7" xfId="8909" xr:uid="{00000000-0005-0000-0000-0000D2220000}"/>
    <cellStyle name="Normal 49 14 8" xfId="8910" xr:uid="{00000000-0005-0000-0000-0000D3220000}"/>
    <cellStyle name="Normal 49 14 9" xfId="8911" xr:uid="{00000000-0005-0000-0000-0000D4220000}"/>
    <cellStyle name="Normal 49 15" xfId="8912" xr:uid="{00000000-0005-0000-0000-0000D5220000}"/>
    <cellStyle name="Normal 49 16" xfId="8913" xr:uid="{00000000-0005-0000-0000-0000D6220000}"/>
    <cellStyle name="Normal 49 17" xfId="8914" xr:uid="{00000000-0005-0000-0000-0000D7220000}"/>
    <cellStyle name="Normal 49 18" xfId="8915" xr:uid="{00000000-0005-0000-0000-0000D8220000}"/>
    <cellStyle name="Normal 49 19" xfId="8916" xr:uid="{00000000-0005-0000-0000-0000D9220000}"/>
    <cellStyle name="Normal 49 2" xfId="8917" xr:uid="{00000000-0005-0000-0000-0000DA220000}"/>
    <cellStyle name="Normal 49 2 10" xfId="8918" xr:uid="{00000000-0005-0000-0000-0000DB220000}"/>
    <cellStyle name="Normal 49 2 11" xfId="8919" xr:uid="{00000000-0005-0000-0000-0000DC220000}"/>
    <cellStyle name="Normal 49 2 12" xfId="8920" xr:uid="{00000000-0005-0000-0000-0000DD220000}"/>
    <cellStyle name="Normal 49 2 13" xfId="8921" xr:uid="{00000000-0005-0000-0000-0000DE220000}"/>
    <cellStyle name="Normal 49 2 2" xfId="8922" xr:uid="{00000000-0005-0000-0000-0000DF220000}"/>
    <cellStyle name="Normal 49 2 2 10" xfId="8923" xr:uid="{00000000-0005-0000-0000-0000E0220000}"/>
    <cellStyle name="Normal 49 2 2 11" xfId="8924" xr:uid="{00000000-0005-0000-0000-0000E1220000}"/>
    <cellStyle name="Normal 49 2 2 2" xfId="8925" xr:uid="{00000000-0005-0000-0000-0000E2220000}"/>
    <cellStyle name="Normal 49 2 2 3" xfId="8926" xr:uid="{00000000-0005-0000-0000-0000E3220000}"/>
    <cellStyle name="Normal 49 2 2 4" xfId="8927" xr:uid="{00000000-0005-0000-0000-0000E4220000}"/>
    <cellStyle name="Normal 49 2 2 5" xfId="8928" xr:uid="{00000000-0005-0000-0000-0000E5220000}"/>
    <cellStyle name="Normal 49 2 2 6" xfId="8929" xr:uid="{00000000-0005-0000-0000-0000E6220000}"/>
    <cellStyle name="Normal 49 2 2 7" xfId="8930" xr:uid="{00000000-0005-0000-0000-0000E7220000}"/>
    <cellStyle name="Normal 49 2 2 8" xfId="8931" xr:uid="{00000000-0005-0000-0000-0000E8220000}"/>
    <cellStyle name="Normal 49 2 2 9" xfId="8932" xr:uid="{00000000-0005-0000-0000-0000E9220000}"/>
    <cellStyle name="Normal 49 2 3" xfId="8933" xr:uid="{00000000-0005-0000-0000-0000EA220000}"/>
    <cellStyle name="Normal 49 2 4" xfId="8934" xr:uid="{00000000-0005-0000-0000-0000EB220000}"/>
    <cellStyle name="Normal 49 2 5" xfId="8935" xr:uid="{00000000-0005-0000-0000-0000EC220000}"/>
    <cellStyle name="Normal 49 2 6" xfId="8936" xr:uid="{00000000-0005-0000-0000-0000ED220000}"/>
    <cellStyle name="Normal 49 2 7" xfId="8937" xr:uid="{00000000-0005-0000-0000-0000EE220000}"/>
    <cellStyle name="Normal 49 2 8" xfId="8938" xr:uid="{00000000-0005-0000-0000-0000EF220000}"/>
    <cellStyle name="Normal 49 2 9" xfId="8939" xr:uid="{00000000-0005-0000-0000-0000F0220000}"/>
    <cellStyle name="Normal 49 20" xfId="8940" xr:uid="{00000000-0005-0000-0000-0000F1220000}"/>
    <cellStyle name="Normal 49 21" xfId="8941" xr:uid="{00000000-0005-0000-0000-0000F2220000}"/>
    <cellStyle name="Normal 49 22" xfId="8942" xr:uid="{00000000-0005-0000-0000-0000F3220000}"/>
    <cellStyle name="Normal 49 23" xfId="8943" xr:uid="{00000000-0005-0000-0000-0000F4220000}"/>
    <cellStyle name="Normal 49 24" xfId="8944" xr:uid="{00000000-0005-0000-0000-0000F5220000}"/>
    <cellStyle name="Normal 49 25" xfId="8945" xr:uid="{00000000-0005-0000-0000-0000F6220000}"/>
    <cellStyle name="Normal 49 3" xfId="8946" xr:uid="{00000000-0005-0000-0000-0000F7220000}"/>
    <cellStyle name="Normal 49 3 10" xfId="8947" xr:uid="{00000000-0005-0000-0000-0000F8220000}"/>
    <cellStyle name="Normal 49 3 11" xfId="8948" xr:uid="{00000000-0005-0000-0000-0000F9220000}"/>
    <cellStyle name="Normal 49 3 12" xfId="8949" xr:uid="{00000000-0005-0000-0000-0000FA220000}"/>
    <cellStyle name="Normal 49 3 13" xfId="8950" xr:uid="{00000000-0005-0000-0000-0000FB220000}"/>
    <cellStyle name="Normal 49 3 2" xfId="8951" xr:uid="{00000000-0005-0000-0000-0000FC220000}"/>
    <cellStyle name="Normal 49 3 2 10" xfId="8952" xr:uid="{00000000-0005-0000-0000-0000FD220000}"/>
    <cellStyle name="Normal 49 3 2 11" xfId="8953" xr:uid="{00000000-0005-0000-0000-0000FE220000}"/>
    <cellStyle name="Normal 49 3 2 2" xfId="8954" xr:uid="{00000000-0005-0000-0000-0000FF220000}"/>
    <cellStyle name="Normal 49 3 2 3" xfId="8955" xr:uid="{00000000-0005-0000-0000-000000230000}"/>
    <cellStyle name="Normal 49 3 2 4" xfId="8956" xr:uid="{00000000-0005-0000-0000-000001230000}"/>
    <cellStyle name="Normal 49 3 2 5" xfId="8957" xr:uid="{00000000-0005-0000-0000-000002230000}"/>
    <cellStyle name="Normal 49 3 2 6" xfId="8958" xr:uid="{00000000-0005-0000-0000-000003230000}"/>
    <cellStyle name="Normal 49 3 2 7" xfId="8959" xr:uid="{00000000-0005-0000-0000-000004230000}"/>
    <cellStyle name="Normal 49 3 2 8" xfId="8960" xr:uid="{00000000-0005-0000-0000-000005230000}"/>
    <cellStyle name="Normal 49 3 2 9" xfId="8961" xr:uid="{00000000-0005-0000-0000-000006230000}"/>
    <cellStyle name="Normal 49 3 3" xfId="8962" xr:uid="{00000000-0005-0000-0000-000007230000}"/>
    <cellStyle name="Normal 49 3 4" xfId="8963" xr:uid="{00000000-0005-0000-0000-000008230000}"/>
    <cellStyle name="Normal 49 3 5" xfId="8964" xr:uid="{00000000-0005-0000-0000-000009230000}"/>
    <cellStyle name="Normal 49 3 6" xfId="8965" xr:uid="{00000000-0005-0000-0000-00000A230000}"/>
    <cellStyle name="Normal 49 3 7" xfId="8966" xr:uid="{00000000-0005-0000-0000-00000B230000}"/>
    <cellStyle name="Normal 49 3 8" xfId="8967" xr:uid="{00000000-0005-0000-0000-00000C230000}"/>
    <cellStyle name="Normal 49 3 9" xfId="8968" xr:uid="{00000000-0005-0000-0000-00000D230000}"/>
    <cellStyle name="Normal 49 4" xfId="8969" xr:uid="{00000000-0005-0000-0000-00000E230000}"/>
    <cellStyle name="Normal 49 4 10" xfId="8970" xr:uid="{00000000-0005-0000-0000-00000F230000}"/>
    <cellStyle name="Normal 49 4 11" xfId="8971" xr:uid="{00000000-0005-0000-0000-000010230000}"/>
    <cellStyle name="Normal 49 4 12" xfId="8972" xr:uid="{00000000-0005-0000-0000-000011230000}"/>
    <cellStyle name="Normal 49 4 13" xfId="8973" xr:uid="{00000000-0005-0000-0000-000012230000}"/>
    <cellStyle name="Normal 49 4 2" xfId="8974" xr:uid="{00000000-0005-0000-0000-000013230000}"/>
    <cellStyle name="Normal 49 4 2 10" xfId="8975" xr:uid="{00000000-0005-0000-0000-000014230000}"/>
    <cellStyle name="Normal 49 4 2 11" xfId="8976" xr:uid="{00000000-0005-0000-0000-000015230000}"/>
    <cellStyle name="Normal 49 4 2 2" xfId="8977" xr:uid="{00000000-0005-0000-0000-000016230000}"/>
    <cellStyle name="Normal 49 4 2 3" xfId="8978" xr:uid="{00000000-0005-0000-0000-000017230000}"/>
    <cellStyle name="Normal 49 4 2 4" xfId="8979" xr:uid="{00000000-0005-0000-0000-000018230000}"/>
    <cellStyle name="Normal 49 4 2 5" xfId="8980" xr:uid="{00000000-0005-0000-0000-000019230000}"/>
    <cellStyle name="Normal 49 4 2 6" xfId="8981" xr:uid="{00000000-0005-0000-0000-00001A230000}"/>
    <cellStyle name="Normal 49 4 2 7" xfId="8982" xr:uid="{00000000-0005-0000-0000-00001B230000}"/>
    <cellStyle name="Normal 49 4 2 8" xfId="8983" xr:uid="{00000000-0005-0000-0000-00001C230000}"/>
    <cellStyle name="Normal 49 4 2 9" xfId="8984" xr:uid="{00000000-0005-0000-0000-00001D230000}"/>
    <cellStyle name="Normal 49 4 3" xfId="8985" xr:uid="{00000000-0005-0000-0000-00001E230000}"/>
    <cellStyle name="Normal 49 4 4" xfId="8986" xr:uid="{00000000-0005-0000-0000-00001F230000}"/>
    <cellStyle name="Normal 49 4 5" xfId="8987" xr:uid="{00000000-0005-0000-0000-000020230000}"/>
    <cellStyle name="Normal 49 4 6" xfId="8988" xr:uid="{00000000-0005-0000-0000-000021230000}"/>
    <cellStyle name="Normal 49 4 7" xfId="8989" xr:uid="{00000000-0005-0000-0000-000022230000}"/>
    <cellStyle name="Normal 49 4 8" xfId="8990" xr:uid="{00000000-0005-0000-0000-000023230000}"/>
    <cellStyle name="Normal 49 4 9" xfId="8991" xr:uid="{00000000-0005-0000-0000-000024230000}"/>
    <cellStyle name="Normal 49 5" xfId="8992" xr:uid="{00000000-0005-0000-0000-000025230000}"/>
    <cellStyle name="Normal 49 5 10" xfId="8993" xr:uid="{00000000-0005-0000-0000-000026230000}"/>
    <cellStyle name="Normal 49 5 11" xfId="8994" xr:uid="{00000000-0005-0000-0000-000027230000}"/>
    <cellStyle name="Normal 49 5 12" xfId="8995" xr:uid="{00000000-0005-0000-0000-000028230000}"/>
    <cellStyle name="Normal 49 5 13" xfId="8996" xr:uid="{00000000-0005-0000-0000-000029230000}"/>
    <cellStyle name="Normal 49 5 2" xfId="8997" xr:uid="{00000000-0005-0000-0000-00002A230000}"/>
    <cellStyle name="Normal 49 5 2 10" xfId="8998" xr:uid="{00000000-0005-0000-0000-00002B230000}"/>
    <cellStyle name="Normal 49 5 2 11" xfId="8999" xr:uid="{00000000-0005-0000-0000-00002C230000}"/>
    <cellStyle name="Normal 49 5 2 2" xfId="9000" xr:uid="{00000000-0005-0000-0000-00002D230000}"/>
    <cellStyle name="Normal 49 5 2 3" xfId="9001" xr:uid="{00000000-0005-0000-0000-00002E230000}"/>
    <cellStyle name="Normal 49 5 2 4" xfId="9002" xr:uid="{00000000-0005-0000-0000-00002F230000}"/>
    <cellStyle name="Normal 49 5 2 5" xfId="9003" xr:uid="{00000000-0005-0000-0000-000030230000}"/>
    <cellStyle name="Normal 49 5 2 6" xfId="9004" xr:uid="{00000000-0005-0000-0000-000031230000}"/>
    <cellStyle name="Normal 49 5 2 7" xfId="9005" xr:uid="{00000000-0005-0000-0000-000032230000}"/>
    <cellStyle name="Normal 49 5 2 8" xfId="9006" xr:uid="{00000000-0005-0000-0000-000033230000}"/>
    <cellStyle name="Normal 49 5 2 9" xfId="9007" xr:uid="{00000000-0005-0000-0000-000034230000}"/>
    <cellStyle name="Normal 49 5 3" xfId="9008" xr:uid="{00000000-0005-0000-0000-000035230000}"/>
    <cellStyle name="Normal 49 5 4" xfId="9009" xr:uid="{00000000-0005-0000-0000-000036230000}"/>
    <cellStyle name="Normal 49 5 5" xfId="9010" xr:uid="{00000000-0005-0000-0000-000037230000}"/>
    <cellStyle name="Normal 49 5 6" xfId="9011" xr:uid="{00000000-0005-0000-0000-000038230000}"/>
    <cellStyle name="Normal 49 5 7" xfId="9012" xr:uid="{00000000-0005-0000-0000-000039230000}"/>
    <cellStyle name="Normal 49 5 8" xfId="9013" xr:uid="{00000000-0005-0000-0000-00003A230000}"/>
    <cellStyle name="Normal 49 5 9" xfId="9014" xr:uid="{00000000-0005-0000-0000-00003B230000}"/>
    <cellStyle name="Normal 49 6" xfId="9015" xr:uid="{00000000-0005-0000-0000-00003C230000}"/>
    <cellStyle name="Normal 49 6 10" xfId="9016" xr:uid="{00000000-0005-0000-0000-00003D230000}"/>
    <cellStyle name="Normal 49 6 11" xfId="9017" xr:uid="{00000000-0005-0000-0000-00003E230000}"/>
    <cellStyle name="Normal 49 6 12" xfId="9018" xr:uid="{00000000-0005-0000-0000-00003F230000}"/>
    <cellStyle name="Normal 49 6 13" xfId="9019" xr:uid="{00000000-0005-0000-0000-000040230000}"/>
    <cellStyle name="Normal 49 6 2" xfId="9020" xr:uid="{00000000-0005-0000-0000-000041230000}"/>
    <cellStyle name="Normal 49 6 2 10" xfId="9021" xr:uid="{00000000-0005-0000-0000-000042230000}"/>
    <cellStyle name="Normal 49 6 2 11" xfId="9022" xr:uid="{00000000-0005-0000-0000-000043230000}"/>
    <cellStyle name="Normal 49 6 2 2" xfId="9023" xr:uid="{00000000-0005-0000-0000-000044230000}"/>
    <cellStyle name="Normal 49 6 2 3" xfId="9024" xr:uid="{00000000-0005-0000-0000-000045230000}"/>
    <cellStyle name="Normal 49 6 2 4" xfId="9025" xr:uid="{00000000-0005-0000-0000-000046230000}"/>
    <cellStyle name="Normal 49 6 2 5" xfId="9026" xr:uid="{00000000-0005-0000-0000-000047230000}"/>
    <cellStyle name="Normal 49 6 2 6" xfId="9027" xr:uid="{00000000-0005-0000-0000-000048230000}"/>
    <cellStyle name="Normal 49 6 2 7" xfId="9028" xr:uid="{00000000-0005-0000-0000-000049230000}"/>
    <cellStyle name="Normal 49 6 2 8" xfId="9029" xr:uid="{00000000-0005-0000-0000-00004A230000}"/>
    <cellStyle name="Normal 49 6 2 9" xfId="9030" xr:uid="{00000000-0005-0000-0000-00004B230000}"/>
    <cellStyle name="Normal 49 6 3" xfId="9031" xr:uid="{00000000-0005-0000-0000-00004C230000}"/>
    <cellStyle name="Normal 49 6 4" xfId="9032" xr:uid="{00000000-0005-0000-0000-00004D230000}"/>
    <cellStyle name="Normal 49 6 5" xfId="9033" xr:uid="{00000000-0005-0000-0000-00004E230000}"/>
    <cellStyle name="Normal 49 6 6" xfId="9034" xr:uid="{00000000-0005-0000-0000-00004F230000}"/>
    <cellStyle name="Normal 49 6 7" xfId="9035" xr:uid="{00000000-0005-0000-0000-000050230000}"/>
    <cellStyle name="Normal 49 6 8" xfId="9036" xr:uid="{00000000-0005-0000-0000-000051230000}"/>
    <cellStyle name="Normal 49 6 9" xfId="9037" xr:uid="{00000000-0005-0000-0000-000052230000}"/>
    <cellStyle name="Normal 49 7" xfId="9038" xr:uid="{00000000-0005-0000-0000-000053230000}"/>
    <cellStyle name="Normal 49 7 10" xfId="9039" xr:uid="{00000000-0005-0000-0000-000054230000}"/>
    <cellStyle name="Normal 49 7 11" xfId="9040" xr:uid="{00000000-0005-0000-0000-000055230000}"/>
    <cellStyle name="Normal 49 7 12" xfId="9041" xr:uid="{00000000-0005-0000-0000-000056230000}"/>
    <cellStyle name="Normal 49 7 13" xfId="9042" xr:uid="{00000000-0005-0000-0000-000057230000}"/>
    <cellStyle name="Normal 49 7 2" xfId="9043" xr:uid="{00000000-0005-0000-0000-000058230000}"/>
    <cellStyle name="Normal 49 7 2 10" xfId="9044" xr:uid="{00000000-0005-0000-0000-000059230000}"/>
    <cellStyle name="Normal 49 7 2 11" xfId="9045" xr:uid="{00000000-0005-0000-0000-00005A230000}"/>
    <cellStyle name="Normal 49 7 2 2" xfId="9046" xr:uid="{00000000-0005-0000-0000-00005B230000}"/>
    <cellStyle name="Normal 49 7 2 3" xfId="9047" xr:uid="{00000000-0005-0000-0000-00005C230000}"/>
    <cellStyle name="Normal 49 7 2 4" xfId="9048" xr:uid="{00000000-0005-0000-0000-00005D230000}"/>
    <cellStyle name="Normal 49 7 2 5" xfId="9049" xr:uid="{00000000-0005-0000-0000-00005E230000}"/>
    <cellStyle name="Normal 49 7 2 6" xfId="9050" xr:uid="{00000000-0005-0000-0000-00005F230000}"/>
    <cellStyle name="Normal 49 7 2 7" xfId="9051" xr:uid="{00000000-0005-0000-0000-000060230000}"/>
    <cellStyle name="Normal 49 7 2 8" xfId="9052" xr:uid="{00000000-0005-0000-0000-000061230000}"/>
    <cellStyle name="Normal 49 7 2 9" xfId="9053" xr:uid="{00000000-0005-0000-0000-000062230000}"/>
    <cellStyle name="Normal 49 7 3" xfId="9054" xr:uid="{00000000-0005-0000-0000-000063230000}"/>
    <cellStyle name="Normal 49 7 4" xfId="9055" xr:uid="{00000000-0005-0000-0000-000064230000}"/>
    <cellStyle name="Normal 49 7 5" xfId="9056" xr:uid="{00000000-0005-0000-0000-000065230000}"/>
    <cellStyle name="Normal 49 7 6" xfId="9057" xr:uid="{00000000-0005-0000-0000-000066230000}"/>
    <cellStyle name="Normal 49 7 7" xfId="9058" xr:uid="{00000000-0005-0000-0000-000067230000}"/>
    <cellStyle name="Normal 49 7 8" xfId="9059" xr:uid="{00000000-0005-0000-0000-000068230000}"/>
    <cellStyle name="Normal 49 7 9" xfId="9060" xr:uid="{00000000-0005-0000-0000-000069230000}"/>
    <cellStyle name="Normal 49 8" xfId="9061" xr:uid="{00000000-0005-0000-0000-00006A230000}"/>
    <cellStyle name="Normal 49 8 10" xfId="9062" xr:uid="{00000000-0005-0000-0000-00006B230000}"/>
    <cellStyle name="Normal 49 8 11" xfId="9063" xr:uid="{00000000-0005-0000-0000-00006C230000}"/>
    <cellStyle name="Normal 49 8 12" xfId="9064" xr:uid="{00000000-0005-0000-0000-00006D230000}"/>
    <cellStyle name="Normal 49 8 13" xfId="9065" xr:uid="{00000000-0005-0000-0000-00006E230000}"/>
    <cellStyle name="Normal 49 8 2" xfId="9066" xr:uid="{00000000-0005-0000-0000-00006F230000}"/>
    <cellStyle name="Normal 49 8 2 10" xfId="9067" xr:uid="{00000000-0005-0000-0000-000070230000}"/>
    <cellStyle name="Normal 49 8 2 11" xfId="9068" xr:uid="{00000000-0005-0000-0000-000071230000}"/>
    <cellStyle name="Normal 49 8 2 2" xfId="9069" xr:uid="{00000000-0005-0000-0000-000072230000}"/>
    <cellStyle name="Normal 49 8 2 3" xfId="9070" xr:uid="{00000000-0005-0000-0000-000073230000}"/>
    <cellStyle name="Normal 49 8 2 4" xfId="9071" xr:uid="{00000000-0005-0000-0000-000074230000}"/>
    <cellStyle name="Normal 49 8 2 5" xfId="9072" xr:uid="{00000000-0005-0000-0000-000075230000}"/>
    <cellStyle name="Normal 49 8 2 6" xfId="9073" xr:uid="{00000000-0005-0000-0000-000076230000}"/>
    <cellStyle name="Normal 49 8 2 7" xfId="9074" xr:uid="{00000000-0005-0000-0000-000077230000}"/>
    <cellStyle name="Normal 49 8 2 8" xfId="9075" xr:uid="{00000000-0005-0000-0000-000078230000}"/>
    <cellStyle name="Normal 49 8 2 9" xfId="9076" xr:uid="{00000000-0005-0000-0000-000079230000}"/>
    <cellStyle name="Normal 49 8 3" xfId="9077" xr:uid="{00000000-0005-0000-0000-00007A230000}"/>
    <cellStyle name="Normal 49 8 4" xfId="9078" xr:uid="{00000000-0005-0000-0000-00007B230000}"/>
    <cellStyle name="Normal 49 8 5" xfId="9079" xr:uid="{00000000-0005-0000-0000-00007C230000}"/>
    <cellStyle name="Normal 49 8 6" xfId="9080" xr:uid="{00000000-0005-0000-0000-00007D230000}"/>
    <cellStyle name="Normal 49 8 7" xfId="9081" xr:uid="{00000000-0005-0000-0000-00007E230000}"/>
    <cellStyle name="Normal 49 8 8" xfId="9082" xr:uid="{00000000-0005-0000-0000-00007F230000}"/>
    <cellStyle name="Normal 49 8 9" xfId="9083" xr:uid="{00000000-0005-0000-0000-000080230000}"/>
    <cellStyle name="Normal 49 9" xfId="9084" xr:uid="{00000000-0005-0000-0000-000081230000}"/>
    <cellStyle name="Normal 49 9 10" xfId="9085" xr:uid="{00000000-0005-0000-0000-000082230000}"/>
    <cellStyle name="Normal 49 9 11" xfId="9086" xr:uid="{00000000-0005-0000-0000-000083230000}"/>
    <cellStyle name="Normal 49 9 12" xfId="9087" xr:uid="{00000000-0005-0000-0000-000084230000}"/>
    <cellStyle name="Normal 49 9 13" xfId="9088" xr:uid="{00000000-0005-0000-0000-000085230000}"/>
    <cellStyle name="Normal 49 9 2" xfId="9089" xr:uid="{00000000-0005-0000-0000-000086230000}"/>
    <cellStyle name="Normal 49 9 2 10" xfId="9090" xr:uid="{00000000-0005-0000-0000-000087230000}"/>
    <cellStyle name="Normal 49 9 2 11" xfId="9091" xr:uid="{00000000-0005-0000-0000-000088230000}"/>
    <cellStyle name="Normal 49 9 2 2" xfId="9092" xr:uid="{00000000-0005-0000-0000-000089230000}"/>
    <cellStyle name="Normal 49 9 2 3" xfId="9093" xr:uid="{00000000-0005-0000-0000-00008A230000}"/>
    <cellStyle name="Normal 49 9 2 4" xfId="9094" xr:uid="{00000000-0005-0000-0000-00008B230000}"/>
    <cellStyle name="Normal 49 9 2 5" xfId="9095" xr:uid="{00000000-0005-0000-0000-00008C230000}"/>
    <cellStyle name="Normal 49 9 2 6" xfId="9096" xr:uid="{00000000-0005-0000-0000-00008D230000}"/>
    <cellStyle name="Normal 49 9 2 7" xfId="9097" xr:uid="{00000000-0005-0000-0000-00008E230000}"/>
    <cellStyle name="Normal 49 9 2 8" xfId="9098" xr:uid="{00000000-0005-0000-0000-00008F230000}"/>
    <cellStyle name="Normal 49 9 2 9" xfId="9099" xr:uid="{00000000-0005-0000-0000-000090230000}"/>
    <cellStyle name="Normal 49 9 3" xfId="9100" xr:uid="{00000000-0005-0000-0000-000091230000}"/>
    <cellStyle name="Normal 49 9 4" xfId="9101" xr:uid="{00000000-0005-0000-0000-000092230000}"/>
    <cellStyle name="Normal 49 9 5" xfId="9102" xr:uid="{00000000-0005-0000-0000-000093230000}"/>
    <cellStyle name="Normal 49 9 6" xfId="9103" xr:uid="{00000000-0005-0000-0000-000094230000}"/>
    <cellStyle name="Normal 49 9 7" xfId="9104" xr:uid="{00000000-0005-0000-0000-000095230000}"/>
    <cellStyle name="Normal 49 9 8" xfId="9105" xr:uid="{00000000-0005-0000-0000-000096230000}"/>
    <cellStyle name="Normal 49 9 9" xfId="9106" xr:uid="{00000000-0005-0000-0000-000097230000}"/>
    <cellStyle name="Normal 5" xfId="9107" xr:uid="{00000000-0005-0000-0000-000098230000}"/>
    <cellStyle name="Normal 5 2" xfId="9108" xr:uid="{00000000-0005-0000-0000-000099230000}"/>
    <cellStyle name="Normal 50" xfId="9109" xr:uid="{00000000-0005-0000-0000-00009A230000}"/>
    <cellStyle name="Normal 50 10" xfId="9110" xr:uid="{00000000-0005-0000-0000-00009B230000}"/>
    <cellStyle name="Normal 50 10 10" xfId="9111" xr:uid="{00000000-0005-0000-0000-00009C230000}"/>
    <cellStyle name="Normal 50 10 11" xfId="9112" xr:uid="{00000000-0005-0000-0000-00009D230000}"/>
    <cellStyle name="Normal 50 10 12" xfId="9113" xr:uid="{00000000-0005-0000-0000-00009E230000}"/>
    <cellStyle name="Normal 50 10 13" xfId="9114" xr:uid="{00000000-0005-0000-0000-00009F230000}"/>
    <cellStyle name="Normal 50 10 2" xfId="9115" xr:uid="{00000000-0005-0000-0000-0000A0230000}"/>
    <cellStyle name="Normal 50 10 2 10" xfId="9116" xr:uid="{00000000-0005-0000-0000-0000A1230000}"/>
    <cellStyle name="Normal 50 10 2 11" xfId="9117" xr:uid="{00000000-0005-0000-0000-0000A2230000}"/>
    <cellStyle name="Normal 50 10 2 2" xfId="9118" xr:uid="{00000000-0005-0000-0000-0000A3230000}"/>
    <cellStyle name="Normal 50 10 2 3" xfId="9119" xr:uid="{00000000-0005-0000-0000-0000A4230000}"/>
    <cellStyle name="Normal 50 10 2 4" xfId="9120" xr:uid="{00000000-0005-0000-0000-0000A5230000}"/>
    <cellStyle name="Normal 50 10 2 5" xfId="9121" xr:uid="{00000000-0005-0000-0000-0000A6230000}"/>
    <cellStyle name="Normal 50 10 2 6" xfId="9122" xr:uid="{00000000-0005-0000-0000-0000A7230000}"/>
    <cellStyle name="Normal 50 10 2 7" xfId="9123" xr:uid="{00000000-0005-0000-0000-0000A8230000}"/>
    <cellStyle name="Normal 50 10 2 8" xfId="9124" xr:uid="{00000000-0005-0000-0000-0000A9230000}"/>
    <cellStyle name="Normal 50 10 2 9" xfId="9125" xr:uid="{00000000-0005-0000-0000-0000AA230000}"/>
    <cellStyle name="Normal 50 10 3" xfId="9126" xr:uid="{00000000-0005-0000-0000-0000AB230000}"/>
    <cellStyle name="Normal 50 10 4" xfId="9127" xr:uid="{00000000-0005-0000-0000-0000AC230000}"/>
    <cellStyle name="Normal 50 10 5" xfId="9128" xr:uid="{00000000-0005-0000-0000-0000AD230000}"/>
    <cellStyle name="Normal 50 10 6" xfId="9129" xr:uid="{00000000-0005-0000-0000-0000AE230000}"/>
    <cellStyle name="Normal 50 10 7" xfId="9130" xr:uid="{00000000-0005-0000-0000-0000AF230000}"/>
    <cellStyle name="Normal 50 10 8" xfId="9131" xr:uid="{00000000-0005-0000-0000-0000B0230000}"/>
    <cellStyle name="Normal 50 10 9" xfId="9132" xr:uid="{00000000-0005-0000-0000-0000B1230000}"/>
    <cellStyle name="Normal 50 11" xfId="9133" xr:uid="{00000000-0005-0000-0000-0000B2230000}"/>
    <cellStyle name="Normal 50 11 10" xfId="9134" xr:uid="{00000000-0005-0000-0000-0000B3230000}"/>
    <cellStyle name="Normal 50 11 11" xfId="9135" xr:uid="{00000000-0005-0000-0000-0000B4230000}"/>
    <cellStyle name="Normal 50 11 12" xfId="9136" xr:uid="{00000000-0005-0000-0000-0000B5230000}"/>
    <cellStyle name="Normal 50 11 13" xfId="9137" xr:uid="{00000000-0005-0000-0000-0000B6230000}"/>
    <cellStyle name="Normal 50 11 2" xfId="9138" xr:uid="{00000000-0005-0000-0000-0000B7230000}"/>
    <cellStyle name="Normal 50 11 2 10" xfId="9139" xr:uid="{00000000-0005-0000-0000-0000B8230000}"/>
    <cellStyle name="Normal 50 11 2 11" xfId="9140" xr:uid="{00000000-0005-0000-0000-0000B9230000}"/>
    <cellStyle name="Normal 50 11 2 2" xfId="9141" xr:uid="{00000000-0005-0000-0000-0000BA230000}"/>
    <cellStyle name="Normal 50 11 2 3" xfId="9142" xr:uid="{00000000-0005-0000-0000-0000BB230000}"/>
    <cellStyle name="Normal 50 11 2 4" xfId="9143" xr:uid="{00000000-0005-0000-0000-0000BC230000}"/>
    <cellStyle name="Normal 50 11 2 5" xfId="9144" xr:uid="{00000000-0005-0000-0000-0000BD230000}"/>
    <cellStyle name="Normal 50 11 2 6" xfId="9145" xr:uid="{00000000-0005-0000-0000-0000BE230000}"/>
    <cellStyle name="Normal 50 11 2 7" xfId="9146" xr:uid="{00000000-0005-0000-0000-0000BF230000}"/>
    <cellStyle name="Normal 50 11 2 8" xfId="9147" xr:uid="{00000000-0005-0000-0000-0000C0230000}"/>
    <cellStyle name="Normal 50 11 2 9" xfId="9148" xr:uid="{00000000-0005-0000-0000-0000C1230000}"/>
    <cellStyle name="Normal 50 11 3" xfId="9149" xr:uid="{00000000-0005-0000-0000-0000C2230000}"/>
    <cellStyle name="Normal 50 11 4" xfId="9150" xr:uid="{00000000-0005-0000-0000-0000C3230000}"/>
    <cellStyle name="Normal 50 11 5" xfId="9151" xr:uid="{00000000-0005-0000-0000-0000C4230000}"/>
    <cellStyle name="Normal 50 11 6" xfId="9152" xr:uid="{00000000-0005-0000-0000-0000C5230000}"/>
    <cellStyle name="Normal 50 11 7" xfId="9153" xr:uid="{00000000-0005-0000-0000-0000C6230000}"/>
    <cellStyle name="Normal 50 11 8" xfId="9154" xr:uid="{00000000-0005-0000-0000-0000C7230000}"/>
    <cellStyle name="Normal 50 11 9" xfId="9155" xr:uid="{00000000-0005-0000-0000-0000C8230000}"/>
    <cellStyle name="Normal 50 12" xfId="9156" xr:uid="{00000000-0005-0000-0000-0000C9230000}"/>
    <cellStyle name="Normal 50 12 10" xfId="9157" xr:uid="{00000000-0005-0000-0000-0000CA230000}"/>
    <cellStyle name="Normal 50 12 11" xfId="9158" xr:uid="{00000000-0005-0000-0000-0000CB230000}"/>
    <cellStyle name="Normal 50 12 12" xfId="9159" xr:uid="{00000000-0005-0000-0000-0000CC230000}"/>
    <cellStyle name="Normal 50 12 13" xfId="9160" xr:uid="{00000000-0005-0000-0000-0000CD230000}"/>
    <cellStyle name="Normal 50 12 2" xfId="9161" xr:uid="{00000000-0005-0000-0000-0000CE230000}"/>
    <cellStyle name="Normal 50 12 2 10" xfId="9162" xr:uid="{00000000-0005-0000-0000-0000CF230000}"/>
    <cellStyle name="Normal 50 12 2 11" xfId="9163" xr:uid="{00000000-0005-0000-0000-0000D0230000}"/>
    <cellStyle name="Normal 50 12 2 2" xfId="9164" xr:uid="{00000000-0005-0000-0000-0000D1230000}"/>
    <cellStyle name="Normal 50 12 2 3" xfId="9165" xr:uid="{00000000-0005-0000-0000-0000D2230000}"/>
    <cellStyle name="Normal 50 12 2 4" xfId="9166" xr:uid="{00000000-0005-0000-0000-0000D3230000}"/>
    <cellStyle name="Normal 50 12 2 5" xfId="9167" xr:uid="{00000000-0005-0000-0000-0000D4230000}"/>
    <cellStyle name="Normal 50 12 2 6" xfId="9168" xr:uid="{00000000-0005-0000-0000-0000D5230000}"/>
    <cellStyle name="Normal 50 12 2 7" xfId="9169" xr:uid="{00000000-0005-0000-0000-0000D6230000}"/>
    <cellStyle name="Normal 50 12 2 8" xfId="9170" xr:uid="{00000000-0005-0000-0000-0000D7230000}"/>
    <cellStyle name="Normal 50 12 2 9" xfId="9171" xr:uid="{00000000-0005-0000-0000-0000D8230000}"/>
    <cellStyle name="Normal 50 12 3" xfId="9172" xr:uid="{00000000-0005-0000-0000-0000D9230000}"/>
    <cellStyle name="Normal 50 12 4" xfId="9173" xr:uid="{00000000-0005-0000-0000-0000DA230000}"/>
    <cellStyle name="Normal 50 12 5" xfId="9174" xr:uid="{00000000-0005-0000-0000-0000DB230000}"/>
    <cellStyle name="Normal 50 12 6" xfId="9175" xr:uid="{00000000-0005-0000-0000-0000DC230000}"/>
    <cellStyle name="Normal 50 12 7" xfId="9176" xr:uid="{00000000-0005-0000-0000-0000DD230000}"/>
    <cellStyle name="Normal 50 12 8" xfId="9177" xr:uid="{00000000-0005-0000-0000-0000DE230000}"/>
    <cellStyle name="Normal 50 12 9" xfId="9178" xr:uid="{00000000-0005-0000-0000-0000DF230000}"/>
    <cellStyle name="Normal 50 13" xfId="9179" xr:uid="{00000000-0005-0000-0000-0000E0230000}"/>
    <cellStyle name="Normal 50 13 10" xfId="9180" xr:uid="{00000000-0005-0000-0000-0000E1230000}"/>
    <cellStyle name="Normal 50 13 11" xfId="9181" xr:uid="{00000000-0005-0000-0000-0000E2230000}"/>
    <cellStyle name="Normal 50 13 12" xfId="9182" xr:uid="{00000000-0005-0000-0000-0000E3230000}"/>
    <cellStyle name="Normal 50 13 13" xfId="9183" xr:uid="{00000000-0005-0000-0000-0000E4230000}"/>
    <cellStyle name="Normal 50 13 2" xfId="9184" xr:uid="{00000000-0005-0000-0000-0000E5230000}"/>
    <cellStyle name="Normal 50 13 2 10" xfId="9185" xr:uid="{00000000-0005-0000-0000-0000E6230000}"/>
    <cellStyle name="Normal 50 13 2 11" xfId="9186" xr:uid="{00000000-0005-0000-0000-0000E7230000}"/>
    <cellStyle name="Normal 50 13 2 2" xfId="9187" xr:uid="{00000000-0005-0000-0000-0000E8230000}"/>
    <cellStyle name="Normal 50 13 2 3" xfId="9188" xr:uid="{00000000-0005-0000-0000-0000E9230000}"/>
    <cellStyle name="Normal 50 13 2 4" xfId="9189" xr:uid="{00000000-0005-0000-0000-0000EA230000}"/>
    <cellStyle name="Normal 50 13 2 5" xfId="9190" xr:uid="{00000000-0005-0000-0000-0000EB230000}"/>
    <cellStyle name="Normal 50 13 2 6" xfId="9191" xr:uid="{00000000-0005-0000-0000-0000EC230000}"/>
    <cellStyle name="Normal 50 13 2 7" xfId="9192" xr:uid="{00000000-0005-0000-0000-0000ED230000}"/>
    <cellStyle name="Normal 50 13 2 8" xfId="9193" xr:uid="{00000000-0005-0000-0000-0000EE230000}"/>
    <cellStyle name="Normal 50 13 2 9" xfId="9194" xr:uid="{00000000-0005-0000-0000-0000EF230000}"/>
    <cellStyle name="Normal 50 13 3" xfId="9195" xr:uid="{00000000-0005-0000-0000-0000F0230000}"/>
    <cellStyle name="Normal 50 13 4" xfId="9196" xr:uid="{00000000-0005-0000-0000-0000F1230000}"/>
    <cellStyle name="Normal 50 13 5" xfId="9197" xr:uid="{00000000-0005-0000-0000-0000F2230000}"/>
    <cellStyle name="Normal 50 13 6" xfId="9198" xr:uid="{00000000-0005-0000-0000-0000F3230000}"/>
    <cellStyle name="Normal 50 13 7" xfId="9199" xr:uid="{00000000-0005-0000-0000-0000F4230000}"/>
    <cellStyle name="Normal 50 13 8" xfId="9200" xr:uid="{00000000-0005-0000-0000-0000F5230000}"/>
    <cellStyle name="Normal 50 13 9" xfId="9201" xr:uid="{00000000-0005-0000-0000-0000F6230000}"/>
    <cellStyle name="Normal 50 14" xfId="9202" xr:uid="{00000000-0005-0000-0000-0000F7230000}"/>
    <cellStyle name="Normal 50 14 10" xfId="9203" xr:uid="{00000000-0005-0000-0000-0000F8230000}"/>
    <cellStyle name="Normal 50 14 11" xfId="9204" xr:uid="{00000000-0005-0000-0000-0000F9230000}"/>
    <cellStyle name="Normal 50 14 2" xfId="9205" xr:uid="{00000000-0005-0000-0000-0000FA230000}"/>
    <cellStyle name="Normal 50 14 3" xfId="9206" xr:uid="{00000000-0005-0000-0000-0000FB230000}"/>
    <cellStyle name="Normal 50 14 4" xfId="9207" xr:uid="{00000000-0005-0000-0000-0000FC230000}"/>
    <cellStyle name="Normal 50 14 5" xfId="9208" xr:uid="{00000000-0005-0000-0000-0000FD230000}"/>
    <cellStyle name="Normal 50 14 6" xfId="9209" xr:uid="{00000000-0005-0000-0000-0000FE230000}"/>
    <cellStyle name="Normal 50 14 7" xfId="9210" xr:uid="{00000000-0005-0000-0000-0000FF230000}"/>
    <cellStyle name="Normal 50 14 8" xfId="9211" xr:uid="{00000000-0005-0000-0000-000000240000}"/>
    <cellStyle name="Normal 50 14 9" xfId="9212" xr:uid="{00000000-0005-0000-0000-000001240000}"/>
    <cellStyle name="Normal 50 15" xfId="9213" xr:uid="{00000000-0005-0000-0000-000002240000}"/>
    <cellStyle name="Normal 50 16" xfId="9214" xr:uid="{00000000-0005-0000-0000-000003240000}"/>
    <cellStyle name="Normal 50 17" xfId="9215" xr:uid="{00000000-0005-0000-0000-000004240000}"/>
    <cellStyle name="Normal 50 18" xfId="9216" xr:uid="{00000000-0005-0000-0000-000005240000}"/>
    <cellStyle name="Normal 50 19" xfId="9217" xr:uid="{00000000-0005-0000-0000-000006240000}"/>
    <cellStyle name="Normal 50 2" xfId="9218" xr:uid="{00000000-0005-0000-0000-000007240000}"/>
    <cellStyle name="Normal 50 2 10" xfId="9219" xr:uid="{00000000-0005-0000-0000-000008240000}"/>
    <cellStyle name="Normal 50 2 11" xfId="9220" xr:uid="{00000000-0005-0000-0000-000009240000}"/>
    <cellStyle name="Normal 50 2 12" xfId="9221" xr:uid="{00000000-0005-0000-0000-00000A240000}"/>
    <cellStyle name="Normal 50 2 13" xfId="9222" xr:uid="{00000000-0005-0000-0000-00000B240000}"/>
    <cellStyle name="Normal 50 2 2" xfId="9223" xr:uid="{00000000-0005-0000-0000-00000C240000}"/>
    <cellStyle name="Normal 50 2 2 10" xfId="9224" xr:uid="{00000000-0005-0000-0000-00000D240000}"/>
    <cellStyle name="Normal 50 2 2 11" xfId="9225" xr:uid="{00000000-0005-0000-0000-00000E240000}"/>
    <cellStyle name="Normal 50 2 2 2" xfId="9226" xr:uid="{00000000-0005-0000-0000-00000F240000}"/>
    <cellStyle name="Normal 50 2 2 3" xfId="9227" xr:uid="{00000000-0005-0000-0000-000010240000}"/>
    <cellStyle name="Normal 50 2 2 4" xfId="9228" xr:uid="{00000000-0005-0000-0000-000011240000}"/>
    <cellStyle name="Normal 50 2 2 5" xfId="9229" xr:uid="{00000000-0005-0000-0000-000012240000}"/>
    <cellStyle name="Normal 50 2 2 6" xfId="9230" xr:uid="{00000000-0005-0000-0000-000013240000}"/>
    <cellStyle name="Normal 50 2 2 7" xfId="9231" xr:uid="{00000000-0005-0000-0000-000014240000}"/>
    <cellStyle name="Normal 50 2 2 8" xfId="9232" xr:uid="{00000000-0005-0000-0000-000015240000}"/>
    <cellStyle name="Normal 50 2 2 9" xfId="9233" xr:uid="{00000000-0005-0000-0000-000016240000}"/>
    <cellStyle name="Normal 50 2 3" xfId="9234" xr:uid="{00000000-0005-0000-0000-000017240000}"/>
    <cellStyle name="Normal 50 2 4" xfId="9235" xr:uid="{00000000-0005-0000-0000-000018240000}"/>
    <cellStyle name="Normal 50 2 5" xfId="9236" xr:uid="{00000000-0005-0000-0000-000019240000}"/>
    <cellStyle name="Normal 50 2 6" xfId="9237" xr:uid="{00000000-0005-0000-0000-00001A240000}"/>
    <cellStyle name="Normal 50 2 7" xfId="9238" xr:uid="{00000000-0005-0000-0000-00001B240000}"/>
    <cellStyle name="Normal 50 2 8" xfId="9239" xr:uid="{00000000-0005-0000-0000-00001C240000}"/>
    <cellStyle name="Normal 50 2 9" xfId="9240" xr:uid="{00000000-0005-0000-0000-00001D240000}"/>
    <cellStyle name="Normal 50 20" xfId="9241" xr:uid="{00000000-0005-0000-0000-00001E240000}"/>
    <cellStyle name="Normal 50 21" xfId="9242" xr:uid="{00000000-0005-0000-0000-00001F240000}"/>
    <cellStyle name="Normal 50 22" xfId="9243" xr:uid="{00000000-0005-0000-0000-000020240000}"/>
    <cellStyle name="Normal 50 23" xfId="9244" xr:uid="{00000000-0005-0000-0000-000021240000}"/>
    <cellStyle name="Normal 50 24" xfId="9245" xr:uid="{00000000-0005-0000-0000-000022240000}"/>
    <cellStyle name="Normal 50 25" xfId="9246" xr:uid="{00000000-0005-0000-0000-000023240000}"/>
    <cellStyle name="Normal 50 3" xfId="9247" xr:uid="{00000000-0005-0000-0000-000024240000}"/>
    <cellStyle name="Normal 50 3 10" xfId="9248" xr:uid="{00000000-0005-0000-0000-000025240000}"/>
    <cellStyle name="Normal 50 3 11" xfId="9249" xr:uid="{00000000-0005-0000-0000-000026240000}"/>
    <cellStyle name="Normal 50 3 12" xfId="9250" xr:uid="{00000000-0005-0000-0000-000027240000}"/>
    <cellStyle name="Normal 50 3 13" xfId="9251" xr:uid="{00000000-0005-0000-0000-000028240000}"/>
    <cellStyle name="Normal 50 3 2" xfId="9252" xr:uid="{00000000-0005-0000-0000-000029240000}"/>
    <cellStyle name="Normal 50 3 2 10" xfId="9253" xr:uid="{00000000-0005-0000-0000-00002A240000}"/>
    <cellStyle name="Normal 50 3 2 11" xfId="9254" xr:uid="{00000000-0005-0000-0000-00002B240000}"/>
    <cellStyle name="Normal 50 3 2 2" xfId="9255" xr:uid="{00000000-0005-0000-0000-00002C240000}"/>
    <cellStyle name="Normal 50 3 2 3" xfId="9256" xr:uid="{00000000-0005-0000-0000-00002D240000}"/>
    <cellStyle name="Normal 50 3 2 4" xfId="9257" xr:uid="{00000000-0005-0000-0000-00002E240000}"/>
    <cellStyle name="Normal 50 3 2 5" xfId="9258" xr:uid="{00000000-0005-0000-0000-00002F240000}"/>
    <cellStyle name="Normal 50 3 2 6" xfId="9259" xr:uid="{00000000-0005-0000-0000-000030240000}"/>
    <cellStyle name="Normal 50 3 2 7" xfId="9260" xr:uid="{00000000-0005-0000-0000-000031240000}"/>
    <cellStyle name="Normal 50 3 2 8" xfId="9261" xr:uid="{00000000-0005-0000-0000-000032240000}"/>
    <cellStyle name="Normal 50 3 2 9" xfId="9262" xr:uid="{00000000-0005-0000-0000-000033240000}"/>
    <cellStyle name="Normal 50 3 3" xfId="9263" xr:uid="{00000000-0005-0000-0000-000034240000}"/>
    <cellStyle name="Normal 50 3 4" xfId="9264" xr:uid="{00000000-0005-0000-0000-000035240000}"/>
    <cellStyle name="Normal 50 3 5" xfId="9265" xr:uid="{00000000-0005-0000-0000-000036240000}"/>
    <cellStyle name="Normal 50 3 6" xfId="9266" xr:uid="{00000000-0005-0000-0000-000037240000}"/>
    <cellStyle name="Normal 50 3 7" xfId="9267" xr:uid="{00000000-0005-0000-0000-000038240000}"/>
    <cellStyle name="Normal 50 3 8" xfId="9268" xr:uid="{00000000-0005-0000-0000-000039240000}"/>
    <cellStyle name="Normal 50 3 9" xfId="9269" xr:uid="{00000000-0005-0000-0000-00003A240000}"/>
    <cellStyle name="Normal 50 4" xfId="9270" xr:uid="{00000000-0005-0000-0000-00003B240000}"/>
    <cellStyle name="Normal 50 4 10" xfId="9271" xr:uid="{00000000-0005-0000-0000-00003C240000}"/>
    <cellStyle name="Normal 50 4 11" xfId="9272" xr:uid="{00000000-0005-0000-0000-00003D240000}"/>
    <cellStyle name="Normal 50 4 12" xfId="9273" xr:uid="{00000000-0005-0000-0000-00003E240000}"/>
    <cellStyle name="Normal 50 4 13" xfId="9274" xr:uid="{00000000-0005-0000-0000-00003F240000}"/>
    <cellStyle name="Normal 50 4 2" xfId="9275" xr:uid="{00000000-0005-0000-0000-000040240000}"/>
    <cellStyle name="Normal 50 4 2 10" xfId="9276" xr:uid="{00000000-0005-0000-0000-000041240000}"/>
    <cellStyle name="Normal 50 4 2 11" xfId="9277" xr:uid="{00000000-0005-0000-0000-000042240000}"/>
    <cellStyle name="Normal 50 4 2 2" xfId="9278" xr:uid="{00000000-0005-0000-0000-000043240000}"/>
    <cellStyle name="Normal 50 4 2 3" xfId="9279" xr:uid="{00000000-0005-0000-0000-000044240000}"/>
    <cellStyle name="Normal 50 4 2 4" xfId="9280" xr:uid="{00000000-0005-0000-0000-000045240000}"/>
    <cellStyle name="Normal 50 4 2 5" xfId="9281" xr:uid="{00000000-0005-0000-0000-000046240000}"/>
    <cellStyle name="Normal 50 4 2 6" xfId="9282" xr:uid="{00000000-0005-0000-0000-000047240000}"/>
    <cellStyle name="Normal 50 4 2 7" xfId="9283" xr:uid="{00000000-0005-0000-0000-000048240000}"/>
    <cellStyle name="Normal 50 4 2 8" xfId="9284" xr:uid="{00000000-0005-0000-0000-000049240000}"/>
    <cellStyle name="Normal 50 4 2 9" xfId="9285" xr:uid="{00000000-0005-0000-0000-00004A240000}"/>
    <cellStyle name="Normal 50 4 3" xfId="9286" xr:uid="{00000000-0005-0000-0000-00004B240000}"/>
    <cellStyle name="Normal 50 4 4" xfId="9287" xr:uid="{00000000-0005-0000-0000-00004C240000}"/>
    <cellStyle name="Normal 50 4 5" xfId="9288" xr:uid="{00000000-0005-0000-0000-00004D240000}"/>
    <cellStyle name="Normal 50 4 6" xfId="9289" xr:uid="{00000000-0005-0000-0000-00004E240000}"/>
    <cellStyle name="Normal 50 4 7" xfId="9290" xr:uid="{00000000-0005-0000-0000-00004F240000}"/>
    <cellStyle name="Normal 50 4 8" xfId="9291" xr:uid="{00000000-0005-0000-0000-000050240000}"/>
    <cellStyle name="Normal 50 4 9" xfId="9292" xr:uid="{00000000-0005-0000-0000-000051240000}"/>
    <cellStyle name="Normal 50 5" xfId="9293" xr:uid="{00000000-0005-0000-0000-000052240000}"/>
    <cellStyle name="Normal 50 5 10" xfId="9294" xr:uid="{00000000-0005-0000-0000-000053240000}"/>
    <cellStyle name="Normal 50 5 11" xfId="9295" xr:uid="{00000000-0005-0000-0000-000054240000}"/>
    <cellStyle name="Normal 50 5 12" xfId="9296" xr:uid="{00000000-0005-0000-0000-000055240000}"/>
    <cellStyle name="Normal 50 5 13" xfId="9297" xr:uid="{00000000-0005-0000-0000-000056240000}"/>
    <cellStyle name="Normal 50 5 2" xfId="9298" xr:uid="{00000000-0005-0000-0000-000057240000}"/>
    <cellStyle name="Normal 50 5 2 10" xfId="9299" xr:uid="{00000000-0005-0000-0000-000058240000}"/>
    <cellStyle name="Normal 50 5 2 11" xfId="9300" xr:uid="{00000000-0005-0000-0000-000059240000}"/>
    <cellStyle name="Normal 50 5 2 2" xfId="9301" xr:uid="{00000000-0005-0000-0000-00005A240000}"/>
    <cellStyle name="Normal 50 5 2 3" xfId="9302" xr:uid="{00000000-0005-0000-0000-00005B240000}"/>
    <cellStyle name="Normal 50 5 2 4" xfId="9303" xr:uid="{00000000-0005-0000-0000-00005C240000}"/>
    <cellStyle name="Normal 50 5 2 5" xfId="9304" xr:uid="{00000000-0005-0000-0000-00005D240000}"/>
    <cellStyle name="Normal 50 5 2 6" xfId="9305" xr:uid="{00000000-0005-0000-0000-00005E240000}"/>
    <cellStyle name="Normal 50 5 2 7" xfId="9306" xr:uid="{00000000-0005-0000-0000-00005F240000}"/>
    <cellStyle name="Normal 50 5 2 8" xfId="9307" xr:uid="{00000000-0005-0000-0000-000060240000}"/>
    <cellStyle name="Normal 50 5 2 9" xfId="9308" xr:uid="{00000000-0005-0000-0000-000061240000}"/>
    <cellStyle name="Normal 50 5 3" xfId="9309" xr:uid="{00000000-0005-0000-0000-000062240000}"/>
    <cellStyle name="Normal 50 5 4" xfId="9310" xr:uid="{00000000-0005-0000-0000-000063240000}"/>
    <cellStyle name="Normal 50 5 5" xfId="9311" xr:uid="{00000000-0005-0000-0000-000064240000}"/>
    <cellStyle name="Normal 50 5 6" xfId="9312" xr:uid="{00000000-0005-0000-0000-000065240000}"/>
    <cellStyle name="Normal 50 5 7" xfId="9313" xr:uid="{00000000-0005-0000-0000-000066240000}"/>
    <cellStyle name="Normal 50 5 8" xfId="9314" xr:uid="{00000000-0005-0000-0000-000067240000}"/>
    <cellStyle name="Normal 50 5 9" xfId="9315" xr:uid="{00000000-0005-0000-0000-000068240000}"/>
    <cellStyle name="Normal 50 6" xfId="9316" xr:uid="{00000000-0005-0000-0000-000069240000}"/>
    <cellStyle name="Normal 50 6 10" xfId="9317" xr:uid="{00000000-0005-0000-0000-00006A240000}"/>
    <cellStyle name="Normal 50 6 11" xfId="9318" xr:uid="{00000000-0005-0000-0000-00006B240000}"/>
    <cellStyle name="Normal 50 6 12" xfId="9319" xr:uid="{00000000-0005-0000-0000-00006C240000}"/>
    <cellStyle name="Normal 50 6 13" xfId="9320" xr:uid="{00000000-0005-0000-0000-00006D240000}"/>
    <cellStyle name="Normal 50 6 2" xfId="9321" xr:uid="{00000000-0005-0000-0000-00006E240000}"/>
    <cellStyle name="Normal 50 6 2 10" xfId="9322" xr:uid="{00000000-0005-0000-0000-00006F240000}"/>
    <cellStyle name="Normal 50 6 2 11" xfId="9323" xr:uid="{00000000-0005-0000-0000-000070240000}"/>
    <cellStyle name="Normal 50 6 2 2" xfId="9324" xr:uid="{00000000-0005-0000-0000-000071240000}"/>
    <cellStyle name="Normal 50 6 2 3" xfId="9325" xr:uid="{00000000-0005-0000-0000-000072240000}"/>
    <cellStyle name="Normal 50 6 2 4" xfId="9326" xr:uid="{00000000-0005-0000-0000-000073240000}"/>
    <cellStyle name="Normal 50 6 2 5" xfId="9327" xr:uid="{00000000-0005-0000-0000-000074240000}"/>
    <cellStyle name="Normal 50 6 2 6" xfId="9328" xr:uid="{00000000-0005-0000-0000-000075240000}"/>
    <cellStyle name="Normal 50 6 2 7" xfId="9329" xr:uid="{00000000-0005-0000-0000-000076240000}"/>
    <cellStyle name="Normal 50 6 2 8" xfId="9330" xr:uid="{00000000-0005-0000-0000-000077240000}"/>
    <cellStyle name="Normal 50 6 2 9" xfId="9331" xr:uid="{00000000-0005-0000-0000-000078240000}"/>
    <cellStyle name="Normal 50 6 3" xfId="9332" xr:uid="{00000000-0005-0000-0000-000079240000}"/>
    <cellStyle name="Normal 50 6 4" xfId="9333" xr:uid="{00000000-0005-0000-0000-00007A240000}"/>
    <cellStyle name="Normal 50 6 5" xfId="9334" xr:uid="{00000000-0005-0000-0000-00007B240000}"/>
    <cellStyle name="Normal 50 6 6" xfId="9335" xr:uid="{00000000-0005-0000-0000-00007C240000}"/>
    <cellStyle name="Normal 50 6 7" xfId="9336" xr:uid="{00000000-0005-0000-0000-00007D240000}"/>
    <cellStyle name="Normal 50 6 8" xfId="9337" xr:uid="{00000000-0005-0000-0000-00007E240000}"/>
    <cellStyle name="Normal 50 6 9" xfId="9338" xr:uid="{00000000-0005-0000-0000-00007F240000}"/>
    <cellStyle name="Normal 50 7" xfId="9339" xr:uid="{00000000-0005-0000-0000-000080240000}"/>
    <cellStyle name="Normal 50 7 10" xfId="9340" xr:uid="{00000000-0005-0000-0000-000081240000}"/>
    <cellStyle name="Normal 50 7 11" xfId="9341" xr:uid="{00000000-0005-0000-0000-000082240000}"/>
    <cellStyle name="Normal 50 7 12" xfId="9342" xr:uid="{00000000-0005-0000-0000-000083240000}"/>
    <cellStyle name="Normal 50 7 13" xfId="9343" xr:uid="{00000000-0005-0000-0000-000084240000}"/>
    <cellStyle name="Normal 50 7 2" xfId="9344" xr:uid="{00000000-0005-0000-0000-000085240000}"/>
    <cellStyle name="Normal 50 7 2 10" xfId="9345" xr:uid="{00000000-0005-0000-0000-000086240000}"/>
    <cellStyle name="Normal 50 7 2 11" xfId="9346" xr:uid="{00000000-0005-0000-0000-000087240000}"/>
    <cellStyle name="Normal 50 7 2 2" xfId="9347" xr:uid="{00000000-0005-0000-0000-000088240000}"/>
    <cellStyle name="Normal 50 7 2 3" xfId="9348" xr:uid="{00000000-0005-0000-0000-000089240000}"/>
    <cellStyle name="Normal 50 7 2 4" xfId="9349" xr:uid="{00000000-0005-0000-0000-00008A240000}"/>
    <cellStyle name="Normal 50 7 2 5" xfId="9350" xr:uid="{00000000-0005-0000-0000-00008B240000}"/>
    <cellStyle name="Normal 50 7 2 6" xfId="9351" xr:uid="{00000000-0005-0000-0000-00008C240000}"/>
    <cellStyle name="Normal 50 7 2 7" xfId="9352" xr:uid="{00000000-0005-0000-0000-00008D240000}"/>
    <cellStyle name="Normal 50 7 2 8" xfId="9353" xr:uid="{00000000-0005-0000-0000-00008E240000}"/>
    <cellStyle name="Normal 50 7 2 9" xfId="9354" xr:uid="{00000000-0005-0000-0000-00008F240000}"/>
    <cellStyle name="Normal 50 7 3" xfId="9355" xr:uid="{00000000-0005-0000-0000-000090240000}"/>
    <cellStyle name="Normal 50 7 4" xfId="9356" xr:uid="{00000000-0005-0000-0000-000091240000}"/>
    <cellStyle name="Normal 50 7 5" xfId="9357" xr:uid="{00000000-0005-0000-0000-000092240000}"/>
    <cellStyle name="Normal 50 7 6" xfId="9358" xr:uid="{00000000-0005-0000-0000-000093240000}"/>
    <cellStyle name="Normal 50 7 7" xfId="9359" xr:uid="{00000000-0005-0000-0000-000094240000}"/>
    <cellStyle name="Normal 50 7 8" xfId="9360" xr:uid="{00000000-0005-0000-0000-000095240000}"/>
    <cellStyle name="Normal 50 7 9" xfId="9361" xr:uid="{00000000-0005-0000-0000-000096240000}"/>
    <cellStyle name="Normal 50 8" xfId="9362" xr:uid="{00000000-0005-0000-0000-000097240000}"/>
    <cellStyle name="Normal 50 8 10" xfId="9363" xr:uid="{00000000-0005-0000-0000-000098240000}"/>
    <cellStyle name="Normal 50 8 11" xfId="9364" xr:uid="{00000000-0005-0000-0000-000099240000}"/>
    <cellStyle name="Normal 50 8 12" xfId="9365" xr:uid="{00000000-0005-0000-0000-00009A240000}"/>
    <cellStyle name="Normal 50 8 13" xfId="9366" xr:uid="{00000000-0005-0000-0000-00009B240000}"/>
    <cellStyle name="Normal 50 8 2" xfId="9367" xr:uid="{00000000-0005-0000-0000-00009C240000}"/>
    <cellStyle name="Normal 50 8 2 10" xfId="9368" xr:uid="{00000000-0005-0000-0000-00009D240000}"/>
    <cellStyle name="Normal 50 8 2 11" xfId="9369" xr:uid="{00000000-0005-0000-0000-00009E240000}"/>
    <cellStyle name="Normal 50 8 2 2" xfId="9370" xr:uid="{00000000-0005-0000-0000-00009F240000}"/>
    <cellStyle name="Normal 50 8 2 3" xfId="9371" xr:uid="{00000000-0005-0000-0000-0000A0240000}"/>
    <cellStyle name="Normal 50 8 2 4" xfId="9372" xr:uid="{00000000-0005-0000-0000-0000A1240000}"/>
    <cellStyle name="Normal 50 8 2 5" xfId="9373" xr:uid="{00000000-0005-0000-0000-0000A2240000}"/>
    <cellStyle name="Normal 50 8 2 6" xfId="9374" xr:uid="{00000000-0005-0000-0000-0000A3240000}"/>
    <cellStyle name="Normal 50 8 2 7" xfId="9375" xr:uid="{00000000-0005-0000-0000-0000A4240000}"/>
    <cellStyle name="Normal 50 8 2 8" xfId="9376" xr:uid="{00000000-0005-0000-0000-0000A5240000}"/>
    <cellStyle name="Normal 50 8 2 9" xfId="9377" xr:uid="{00000000-0005-0000-0000-0000A6240000}"/>
    <cellStyle name="Normal 50 8 3" xfId="9378" xr:uid="{00000000-0005-0000-0000-0000A7240000}"/>
    <cellStyle name="Normal 50 8 4" xfId="9379" xr:uid="{00000000-0005-0000-0000-0000A8240000}"/>
    <cellStyle name="Normal 50 8 5" xfId="9380" xr:uid="{00000000-0005-0000-0000-0000A9240000}"/>
    <cellStyle name="Normal 50 8 6" xfId="9381" xr:uid="{00000000-0005-0000-0000-0000AA240000}"/>
    <cellStyle name="Normal 50 8 7" xfId="9382" xr:uid="{00000000-0005-0000-0000-0000AB240000}"/>
    <cellStyle name="Normal 50 8 8" xfId="9383" xr:uid="{00000000-0005-0000-0000-0000AC240000}"/>
    <cellStyle name="Normal 50 8 9" xfId="9384" xr:uid="{00000000-0005-0000-0000-0000AD240000}"/>
    <cellStyle name="Normal 50 9" xfId="9385" xr:uid="{00000000-0005-0000-0000-0000AE240000}"/>
    <cellStyle name="Normal 50 9 10" xfId="9386" xr:uid="{00000000-0005-0000-0000-0000AF240000}"/>
    <cellStyle name="Normal 50 9 11" xfId="9387" xr:uid="{00000000-0005-0000-0000-0000B0240000}"/>
    <cellStyle name="Normal 50 9 12" xfId="9388" xr:uid="{00000000-0005-0000-0000-0000B1240000}"/>
    <cellStyle name="Normal 50 9 13" xfId="9389" xr:uid="{00000000-0005-0000-0000-0000B2240000}"/>
    <cellStyle name="Normal 50 9 2" xfId="9390" xr:uid="{00000000-0005-0000-0000-0000B3240000}"/>
    <cellStyle name="Normal 50 9 2 10" xfId="9391" xr:uid="{00000000-0005-0000-0000-0000B4240000}"/>
    <cellStyle name="Normal 50 9 2 11" xfId="9392" xr:uid="{00000000-0005-0000-0000-0000B5240000}"/>
    <cellStyle name="Normal 50 9 2 2" xfId="9393" xr:uid="{00000000-0005-0000-0000-0000B6240000}"/>
    <cellStyle name="Normal 50 9 2 3" xfId="9394" xr:uid="{00000000-0005-0000-0000-0000B7240000}"/>
    <cellStyle name="Normal 50 9 2 4" xfId="9395" xr:uid="{00000000-0005-0000-0000-0000B8240000}"/>
    <cellStyle name="Normal 50 9 2 5" xfId="9396" xr:uid="{00000000-0005-0000-0000-0000B9240000}"/>
    <cellStyle name="Normal 50 9 2 6" xfId="9397" xr:uid="{00000000-0005-0000-0000-0000BA240000}"/>
    <cellStyle name="Normal 50 9 2 7" xfId="9398" xr:uid="{00000000-0005-0000-0000-0000BB240000}"/>
    <cellStyle name="Normal 50 9 2 8" xfId="9399" xr:uid="{00000000-0005-0000-0000-0000BC240000}"/>
    <cellStyle name="Normal 50 9 2 9" xfId="9400" xr:uid="{00000000-0005-0000-0000-0000BD240000}"/>
    <cellStyle name="Normal 50 9 3" xfId="9401" xr:uid="{00000000-0005-0000-0000-0000BE240000}"/>
    <cellStyle name="Normal 50 9 4" xfId="9402" xr:uid="{00000000-0005-0000-0000-0000BF240000}"/>
    <cellStyle name="Normal 50 9 5" xfId="9403" xr:uid="{00000000-0005-0000-0000-0000C0240000}"/>
    <cellStyle name="Normal 50 9 6" xfId="9404" xr:uid="{00000000-0005-0000-0000-0000C1240000}"/>
    <cellStyle name="Normal 50 9 7" xfId="9405" xr:uid="{00000000-0005-0000-0000-0000C2240000}"/>
    <cellStyle name="Normal 50 9 8" xfId="9406" xr:uid="{00000000-0005-0000-0000-0000C3240000}"/>
    <cellStyle name="Normal 50 9 9" xfId="9407" xr:uid="{00000000-0005-0000-0000-0000C4240000}"/>
    <cellStyle name="Normal 51" xfId="9408" xr:uid="{00000000-0005-0000-0000-0000C5240000}"/>
    <cellStyle name="Normal 51 10" xfId="9409" xr:uid="{00000000-0005-0000-0000-0000C6240000}"/>
    <cellStyle name="Normal 51 10 10" xfId="9410" xr:uid="{00000000-0005-0000-0000-0000C7240000}"/>
    <cellStyle name="Normal 51 10 11" xfId="9411" xr:uid="{00000000-0005-0000-0000-0000C8240000}"/>
    <cellStyle name="Normal 51 10 12" xfId="9412" xr:uid="{00000000-0005-0000-0000-0000C9240000}"/>
    <cellStyle name="Normal 51 10 13" xfId="9413" xr:uid="{00000000-0005-0000-0000-0000CA240000}"/>
    <cellStyle name="Normal 51 10 2" xfId="9414" xr:uid="{00000000-0005-0000-0000-0000CB240000}"/>
    <cellStyle name="Normal 51 10 2 10" xfId="9415" xr:uid="{00000000-0005-0000-0000-0000CC240000}"/>
    <cellStyle name="Normal 51 10 2 11" xfId="9416" xr:uid="{00000000-0005-0000-0000-0000CD240000}"/>
    <cellStyle name="Normal 51 10 2 2" xfId="9417" xr:uid="{00000000-0005-0000-0000-0000CE240000}"/>
    <cellStyle name="Normal 51 10 2 3" xfId="9418" xr:uid="{00000000-0005-0000-0000-0000CF240000}"/>
    <cellStyle name="Normal 51 10 2 4" xfId="9419" xr:uid="{00000000-0005-0000-0000-0000D0240000}"/>
    <cellStyle name="Normal 51 10 2 5" xfId="9420" xr:uid="{00000000-0005-0000-0000-0000D1240000}"/>
    <cellStyle name="Normal 51 10 2 6" xfId="9421" xr:uid="{00000000-0005-0000-0000-0000D2240000}"/>
    <cellStyle name="Normal 51 10 2 7" xfId="9422" xr:uid="{00000000-0005-0000-0000-0000D3240000}"/>
    <cellStyle name="Normal 51 10 2 8" xfId="9423" xr:uid="{00000000-0005-0000-0000-0000D4240000}"/>
    <cellStyle name="Normal 51 10 2 9" xfId="9424" xr:uid="{00000000-0005-0000-0000-0000D5240000}"/>
    <cellStyle name="Normal 51 10 3" xfId="9425" xr:uid="{00000000-0005-0000-0000-0000D6240000}"/>
    <cellStyle name="Normal 51 10 4" xfId="9426" xr:uid="{00000000-0005-0000-0000-0000D7240000}"/>
    <cellStyle name="Normal 51 10 5" xfId="9427" xr:uid="{00000000-0005-0000-0000-0000D8240000}"/>
    <cellStyle name="Normal 51 10 6" xfId="9428" xr:uid="{00000000-0005-0000-0000-0000D9240000}"/>
    <cellStyle name="Normal 51 10 7" xfId="9429" xr:uid="{00000000-0005-0000-0000-0000DA240000}"/>
    <cellStyle name="Normal 51 10 8" xfId="9430" xr:uid="{00000000-0005-0000-0000-0000DB240000}"/>
    <cellStyle name="Normal 51 10 9" xfId="9431" xr:uid="{00000000-0005-0000-0000-0000DC240000}"/>
    <cellStyle name="Normal 51 11" xfId="9432" xr:uid="{00000000-0005-0000-0000-0000DD240000}"/>
    <cellStyle name="Normal 51 11 10" xfId="9433" xr:uid="{00000000-0005-0000-0000-0000DE240000}"/>
    <cellStyle name="Normal 51 11 11" xfId="9434" xr:uid="{00000000-0005-0000-0000-0000DF240000}"/>
    <cellStyle name="Normal 51 11 12" xfId="9435" xr:uid="{00000000-0005-0000-0000-0000E0240000}"/>
    <cellStyle name="Normal 51 11 13" xfId="9436" xr:uid="{00000000-0005-0000-0000-0000E1240000}"/>
    <cellStyle name="Normal 51 11 2" xfId="9437" xr:uid="{00000000-0005-0000-0000-0000E2240000}"/>
    <cellStyle name="Normal 51 11 2 10" xfId="9438" xr:uid="{00000000-0005-0000-0000-0000E3240000}"/>
    <cellStyle name="Normal 51 11 2 11" xfId="9439" xr:uid="{00000000-0005-0000-0000-0000E4240000}"/>
    <cellStyle name="Normal 51 11 2 2" xfId="9440" xr:uid="{00000000-0005-0000-0000-0000E5240000}"/>
    <cellStyle name="Normal 51 11 2 3" xfId="9441" xr:uid="{00000000-0005-0000-0000-0000E6240000}"/>
    <cellStyle name="Normal 51 11 2 4" xfId="9442" xr:uid="{00000000-0005-0000-0000-0000E7240000}"/>
    <cellStyle name="Normal 51 11 2 5" xfId="9443" xr:uid="{00000000-0005-0000-0000-0000E8240000}"/>
    <cellStyle name="Normal 51 11 2 6" xfId="9444" xr:uid="{00000000-0005-0000-0000-0000E9240000}"/>
    <cellStyle name="Normal 51 11 2 7" xfId="9445" xr:uid="{00000000-0005-0000-0000-0000EA240000}"/>
    <cellStyle name="Normal 51 11 2 8" xfId="9446" xr:uid="{00000000-0005-0000-0000-0000EB240000}"/>
    <cellStyle name="Normal 51 11 2 9" xfId="9447" xr:uid="{00000000-0005-0000-0000-0000EC240000}"/>
    <cellStyle name="Normal 51 11 3" xfId="9448" xr:uid="{00000000-0005-0000-0000-0000ED240000}"/>
    <cellStyle name="Normal 51 11 4" xfId="9449" xr:uid="{00000000-0005-0000-0000-0000EE240000}"/>
    <cellStyle name="Normal 51 11 5" xfId="9450" xr:uid="{00000000-0005-0000-0000-0000EF240000}"/>
    <cellStyle name="Normal 51 11 6" xfId="9451" xr:uid="{00000000-0005-0000-0000-0000F0240000}"/>
    <cellStyle name="Normal 51 11 7" xfId="9452" xr:uid="{00000000-0005-0000-0000-0000F1240000}"/>
    <cellStyle name="Normal 51 11 8" xfId="9453" xr:uid="{00000000-0005-0000-0000-0000F2240000}"/>
    <cellStyle name="Normal 51 11 9" xfId="9454" xr:uid="{00000000-0005-0000-0000-0000F3240000}"/>
    <cellStyle name="Normal 51 12" xfId="9455" xr:uid="{00000000-0005-0000-0000-0000F4240000}"/>
    <cellStyle name="Normal 51 12 10" xfId="9456" xr:uid="{00000000-0005-0000-0000-0000F5240000}"/>
    <cellStyle name="Normal 51 12 11" xfId="9457" xr:uid="{00000000-0005-0000-0000-0000F6240000}"/>
    <cellStyle name="Normal 51 12 12" xfId="9458" xr:uid="{00000000-0005-0000-0000-0000F7240000}"/>
    <cellStyle name="Normal 51 12 13" xfId="9459" xr:uid="{00000000-0005-0000-0000-0000F8240000}"/>
    <cellStyle name="Normal 51 12 2" xfId="9460" xr:uid="{00000000-0005-0000-0000-0000F9240000}"/>
    <cellStyle name="Normal 51 12 2 10" xfId="9461" xr:uid="{00000000-0005-0000-0000-0000FA240000}"/>
    <cellStyle name="Normal 51 12 2 11" xfId="9462" xr:uid="{00000000-0005-0000-0000-0000FB240000}"/>
    <cellStyle name="Normal 51 12 2 2" xfId="9463" xr:uid="{00000000-0005-0000-0000-0000FC240000}"/>
    <cellStyle name="Normal 51 12 2 3" xfId="9464" xr:uid="{00000000-0005-0000-0000-0000FD240000}"/>
    <cellStyle name="Normal 51 12 2 4" xfId="9465" xr:uid="{00000000-0005-0000-0000-0000FE240000}"/>
    <cellStyle name="Normal 51 12 2 5" xfId="9466" xr:uid="{00000000-0005-0000-0000-0000FF240000}"/>
    <cellStyle name="Normal 51 12 2 6" xfId="9467" xr:uid="{00000000-0005-0000-0000-000000250000}"/>
    <cellStyle name="Normal 51 12 2 7" xfId="9468" xr:uid="{00000000-0005-0000-0000-000001250000}"/>
    <cellStyle name="Normal 51 12 2 8" xfId="9469" xr:uid="{00000000-0005-0000-0000-000002250000}"/>
    <cellStyle name="Normal 51 12 2 9" xfId="9470" xr:uid="{00000000-0005-0000-0000-000003250000}"/>
    <cellStyle name="Normal 51 12 3" xfId="9471" xr:uid="{00000000-0005-0000-0000-000004250000}"/>
    <cellStyle name="Normal 51 12 4" xfId="9472" xr:uid="{00000000-0005-0000-0000-000005250000}"/>
    <cellStyle name="Normal 51 12 5" xfId="9473" xr:uid="{00000000-0005-0000-0000-000006250000}"/>
    <cellStyle name="Normal 51 12 6" xfId="9474" xr:uid="{00000000-0005-0000-0000-000007250000}"/>
    <cellStyle name="Normal 51 12 7" xfId="9475" xr:uid="{00000000-0005-0000-0000-000008250000}"/>
    <cellStyle name="Normal 51 12 8" xfId="9476" xr:uid="{00000000-0005-0000-0000-000009250000}"/>
    <cellStyle name="Normal 51 12 9" xfId="9477" xr:uid="{00000000-0005-0000-0000-00000A250000}"/>
    <cellStyle name="Normal 51 13" xfId="9478" xr:uid="{00000000-0005-0000-0000-00000B250000}"/>
    <cellStyle name="Normal 51 13 10" xfId="9479" xr:uid="{00000000-0005-0000-0000-00000C250000}"/>
    <cellStyle name="Normal 51 13 11" xfId="9480" xr:uid="{00000000-0005-0000-0000-00000D250000}"/>
    <cellStyle name="Normal 51 13 12" xfId="9481" xr:uid="{00000000-0005-0000-0000-00000E250000}"/>
    <cellStyle name="Normal 51 13 13" xfId="9482" xr:uid="{00000000-0005-0000-0000-00000F250000}"/>
    <cellStyle name="Normal 51 13 2" xfId="9483" xr:uid="{00000000-0005-0000-0000-000010250000}"/>
    <cellStyle name="Normal 51 13 2 10" xfId="9484" xr:uid="{00000000-0005-0000-0000-000011250000}"/>
    <cellStyle name="Normal 51 13 2 11" xfId="9485" xr:uid="{00000000-0005-0000-0000-000012250000}"/>
    <cellStyle name="Normal 51 13 2 2" xfId="9486" xr:uid="{00000000-0005-0000-0000-000013250000}"/>
    <cellStyle name="Normal 51 13 2 3" xfId="9487" xr:uid="{00000000-0005-0000-0000-000014250000}"/>
    <cellStyle name="Normal 51 13 2 4" xfId="9488" xr:uid="{00000000-0005-0000-0000-000015250000}"/>
    <cellStyle name="Normal 51 13 2 5" xfId="9489" xr:uid="{00000000-0005-0000-0000-000016250000}"/>
    <cellStyle name="Normal 51 13 2 6" xfId="9490" xr:uid="{00000000-0005-0000-0000-000017250000}"/>
    <cellStyle name="Normal 51 13 2 7" xfId="9491" xr:uid="{00000000-0005-0000-0000-000018250000}"/>
    <cellStyle name="Normal 51 13 2 8" xfId="9492" xr:uid="{00000000-0005-0000-0000-000019250000}"/>
    <cellStyle name="Normal 51 13 2 9" xfId="9493" xr:uid="{00000000-0005-0000-0000-00001A250000}"/>
    <cellStyle name="Normal 51 13 3" xfId="9494" xr:uid="{00000000-0005-0000-0000-00001B250000}"/>
    <cellStyle name="Normal 51 13 4" xfId="9495" xr:uid="{00000000-0005-0000-0000-00001C250000}"/>
    <cellStyle name="Normal 51 13 5" xfId="9496" xr:uid="{00000000-0005-0000-0000-00001D250000}"/>
    <cellStyle name="Normal 51 13 6" xfId="9497" xr:uid="{00000000-0005-0000-0000-00001E250000}"/>
    <cellStyle name="Normal 51 13 7" xfId="9498" xr:uid="{00000000-0005-0000-0000-00001F250000}"/>
    <cellStyle name="Normal 51 13 8" xfId="9499" xr:uid="{00000000-0005-0000-0000-000020250000}"/>
    <cellStyle name="Normal 51 13 9" xfId="9500" xr:uid="{00000000-0005-0000-0000-000021250000}"/>
    <cellStyle name="Normal 51 14" xfId="9501" xr:uid="{00000000-0005-0000-0000-000022250000}"/>
    <cellStyle name="Normal 51 14 10" xfId="9502" xr:uid="{00000000-0005-0000-0000-000023250000}"/>
    <cellStyle name="Normal 51 14 11" xfId="9503" xr:uid="{00000000-0005-0000-0000-000024250000}"/>
    <cellStyle name="Normal 51 14 2" xfId="9504" xr:uid="{00000000-0005-0000-0000-000025250000}"/>
    <cellStyle name="Normal 51 14 3" xfId="9505" xr:uid="{00000000-0005-0000-0000-000026250000}"/>
    <cellStyle name="Normal 51 14 4" xfId="9506" xr:uid="{00000000-0005-0000-0000-000027250000}"/>
    <cellStyle name="Normal 51 14 5" xfId="9507" xr:uid="{00000000-0005-0000-0000-000028250000}"/>
    <cellStyle name="Normal 51 14 6" xfId="9508" xr:uid="{00000000-0005-0000-0000-000029250000}"/>
    <cellStyle name="Normal 51 14 7" xfId="9509" xr:uid="{00000000-0005-0000-0000-00002A250000}"/>
    <cellStyle name="Normal 51 14 8" xfId="9510" xr:uid="{00000000-0005-0000-0000-00002B250000}"/>
    <cellStyle name="Normal 51 14 9" xfId="9511" xr:uid="{00000000-0005-0000-0000-00002C250000}"/>
    <cellStyle name="Normal 51 15" xfId="9512" xr:uid="{00000000-0005-0000-0000-00002D250000}"/>
    <cellStyle name="Normal 51 16" xfId="9513" xr:uid="{00000000-0005-0000-0000-00002E250000}"/>
    <cellStyle name="Normal 51 17" xfId="9514" xr:uid="{00000000-0005-0000-0000-00002F250000}"/>
    <cellStyle name="Normal 51 18" xfId="9515" xr:uid="{00000000-0005-0000-0000-000030250000}"/>
    <cellStyle name="Normal 51 19" xfId="9516" xr:uid="{00000000-0005-0000-0000-000031250000}"/>
    <cellStyle name="Normal 51 2" xfId="9517" xr:uid="{00000000-0005-0000-0000-000032250000}"/>
    <cellStyle name="Normal 51 2 10" xfId="9518" xr:uid="{00000000-0005-0000-0000-000033250000}"/>
    <cellStyle name="Normal 51 2 11" xfId="9519" xr:uid="{00000000-0005-0000-0000-000034250000}"/>
    <cellStyle name="Normal 51 2 12" xfId="9520" xr:uid="{00000000-0005-0000-0000-000035250000}"/>
    <cellStyle name="Normal 51 2 13" xfId="9521" xr:uid="{00000000-0005-0000-0000-000036250000}"/>
    <cellStyle name="Normal 51 2 2" xfId="9522" xr:uid="{00000000-0005-0000-0000-000037250000}"/>
    <cellStyle name="Normal 51 2 2 10" xfId="9523" xr:uid="{00000000-0005-0000-0000-000038250000}"/>
    <cellStyle name="Normal 51 2 2 11" xfId="9524" xr:uid="{00000000-0005-0000-0000-000039250000}"/>
    <cellStyle name="Normal 51 2 2 2" xfId="9525" xr:uid="{00000000-0005-0000-0000-00003A250000}"/>
    <cellStyle name="Normal 51 2 2 3" xfId="9526" xr:uid="{00000000-0005-0000-0000-00003B250000}"/>
    <cellStyle name="Normal 51 2 2 4" xfId="9527" xr:uid="{00000000-0005-0000-0000-00003C250000}"/>
    <cellStyle name="Normal 51 2 2 5" xfId="9528" xr:uid="{00000000-0005-0000-0000-00003D250000}"/>
    <cellStyle name="Normal 51 2 2 6" xfId="9529" xr:uid="{00000000-0005-0000-0000-00003E250000}"/>
    <cellStyle name="Normal 51 2 2 7" xfId="9530" xr:uid="{00000000-0005-0000-0000-00003F250000}"/>
    <cellStyle name="Normal 51 2 2 8" xfId="9531" xr:uid="{00000000-0005-0000-0000-000040250000}"/>
    <cellStyle name="Normal 51 2 2 9" xfId="9532" xr:uid="{00000000-0005-0000-0000-000041250000}"/>
    <cellStyle name="Normal 51 2 3" xfId="9533" xr:uid="{00000000-0005-0000-0000-000042250000}"/>
    <cellStyle name="Normal 51 2 4" xfId="9534" xr:uid="{00000000-0005-0000-0000-000043250000}"/>
    <cellStyle name="Normal 51 2 5" xfId="9535" xr:uid="{00000000-0005-0000-0000-000044250000}"/>
    <cellStyle name="Normal 51 2 6" xfId="9536" xr:uid="{00000000-0005-0000-0000-000045250000}"/>
    <cellStyle name="Normal 51 2 7" xfId="9537" xr:uid="{00000000-0005-0000-0000-000046250000}"/>
    <cellStyle name="Normal 51 2 8" xfId="9538" xr:uid="{00000000-0005-0000-0000-000047250000}"/>
    <cellStyle name="Normal 51 2 9" xfId="9539" xr:uid="{00000000-0005-0000-0000-000048250000}"/>
    <cellStyle name="Normal 51 20" xfId="9540" xr:uid="{00000000-0005-0000-0000-000049250000}"/>
    <cellStyle name="Normal 51 21" xfId="9541" xr:uid="{00000000-0005-0000-0000-00004A250000}"/>
    <cellStyle name="Normal 51 22" xfId="9542" xr:uid="{00000000-0005-0000-0000-00004B250000}"/>
    <cellStyle name="Normal 51 23" xfId="9543" xr:uid="{00000000-0005-0000-0000-00004C250000}"/>
    <cellStyle name="Normal 51 24" xfId="9544" xr:uid="{00000000-0005-0000-0000-00004D250000}"/>
    <cellStyle name="Normal 51 25" xfId="9545" xr:uid="{00000000-0005-0000-0000-00004E250000}"/>
    <cellStyle name="Normal 51 3" xfId="9546" xr:uid="{00000000-0005-0000-0000-00004F250000}"/>
    <cellStyle name="Normal 51 3 10" xfId="9547" xr:uid="{00000000-0005-0000-0000-000050250000}"/>
    <cellStyle name="Normal 51 3 11" xfId="9548" xr:uid="{00000000-0005-0000-0000-000051250000}"/>
    <cellStyle name="Normal 51 3 12" xfId="9549" xr:uid="{00000000-0005-0000-0000-000052250000}"/>
    <cellStyle name="Normal 51 3 13" xfId="9550" xr:uid="{00000000-0005-0000-0000-000053250000}"/>
    <cellStyle name="Normal 51 3 2" xfId="9551" xr:uid="{00000000-0005-0000-0000-000054250000}"/>
    <cellStyle name="Normal 51 3 2 10" xfId="9552" xr:uid="{00000000-0005-0000-0000-000055250000}"/>
    <cellStyle name="Normal 51 3 2 11" xfId="9553" xr:uid="{00000000-0005-0000-0000-000056250000}"/>
    <cellStyle name="Normal 51 3 2 2" xfId="9554" xr:uid="{00000000-0005-0000-0000-000057250000}"/>
    <cellStyle name="Normal 51 3 2 3" xfId="9555" xr:uid="{00000000-0005-0000-0000-000058250000}"/>
    <cellStyle name="Normal 51 3 2 4" xfId="9556" xr:uid="{00000000-0005-0000-0000-000059250000}"/>
    <cellStyle name="Normal 51 3 2 5" xfId="9557" xr:uid="{00000000-0005-0000-0000-00005A250000}"/>
    <cellStyle name="Normal 51 3 2 6" xfId="9558" xr:uid="{00000000-0005-0000-0000-00005B250000}"/>
    <cellStyle name="Normal 51 3 2 7" xfId="9559" xr:uid="{00000000-0005-0000-0000-00005C250000}"/>
    <cellStyle name="Normal 51 3 2 8" xfId="9560" xr:uid="{00000000-0005-0000-0000-00005D250000}"/>
    <cellStyle name="Normal 51 3 2 9" xfId="9561" xr:uid="{00000000-0005-0000-0000-00005E250000}"/>
    <cellStyle name="Normal 51 3 3" xfId="9562" xr:uid="{00000000-0005-0000-0000-00005F250000}"/>
    <cellStyle name="Normal 51 3 4" xfId="9563" xr:uid="{00000000-0005-0000-0000-000060250000}"/>
    <cellStyle name="Normal 51 3 5" xfId="9564" xr:uid="{00000000-0005-0000-0000-000061250000}"/>
    <cellStyle name="Normal 51 3 6" xfId="9565" xr:uid="{00000000-0005-0000-0000-000062250000}"/>
    <cellStyle name="Normal 51 3 7" xfId="9566" xr:uid="{00000000-0005-0000-0000-000063250000}"/>
    <cellStyle name="Normal 51 3 8" xfId="9567" xr:uid="{00000000-0005-0000-0000-000064250000}"/>
    <cellStyle name="Normal 51 3 9" xfId="9568" xr:uid="{00000000-0005-0000-0000-000065250000}"/>
    <cellStyle name="Normal 51 4" xfId="9569" xr:uid="{00000000-0005-0000-0000-000066250000}"/>
    <cellStyle name="Normal 51 4 10" xfId="9570" xr:uid="{00000000-0005-0000-0000-000067250000}"/>
    <cellStyle name="Normal 51 4 11" xfId="9571" xr:uid="{00000000-0005-0000-0000-000068250000}"/>
    <cellStyle name="Normal 51 4 12" xfId="9572" xr:uid="{00000000-0005-0000-0000-000069250000}"/>
    <cellStyle name="Normal 51 4 13" xfId="9573" xr:uid="{00000000-0005-0000-0000-00006A250000}"/>
    <cellStyle name="Normal 51 4 2" xfId="9574" xr:uid="{00000000-0005-0000-0000-00006B250000}"/>
    <cellStyle name="Normal 51 4 2 10" xfId="9575" xr:uid="{00000000-0005-0000-0000-00006C250000}"/>
    <cellStyle name="Normal 51 4 2 11" xfId="9576" xr:uid="{00000000-0005-0000-0000-00006D250000}"/>
    <cellStyle name="Normal 51 4 2 2" xfId="9577" xr:uid="{00000000-0005-0000-0000-00006E250000}"/>
    <cellStyle name="Normal 51 4 2 3" xfId="9578" xr:uid="{00000000-0005-0000-0000-00006F250000}"/>
    <cellStyle name="Normal 51 4 2 4" xfId="9579" xr:uid="{00000000-0005-0000-0000-000070250000}"/>
    <cellStyle name="Normal 51 4 2 5" xfId="9580" xr:uid="{00000000-0005-0000-0000-000071250000}"/>
    <cellStyle name="Normal 51 4 2 6" xfId="9581" xr:uid="{00000000-0005-0000-0000-000072250000}"/>
    <cellStyle name="Normal 51 4 2 7" xfId="9582" xr:uid="{00000000-0005-0000-0000-000073250000}"/>
    <cellStyle name="Normal 51 4 2 8" xfId="9583" xr:uid="{00000000-0005-0000-0000-000074250000}"/>
    <cellStyle name="Normal 51 4 2 9" xfId="9584" xr:uid="{00000000-0005-0000-0000-000075250000}"/>
    <cellStyle name="Normal 51 4 3" xfId="9585" xr:uid="{00000000-0005-0000-0000-000076250000}"/>
    <cellStyle name="Normal 51 4 4" xfId="9586" xr:uid="{00000000-0005-0000-0000-000077250000}"/>
    <cellStyle name="Normal 51 4 5" xfId="9587" xr:uid="{00000000-0005-0000-0000-000078250000}"/>
    <cellStyle name="Normal 51 4 6" xfId="9588" xr:uid="{00000000-0005-0000-0000-000079250000}"/>
    <cellStyle name="Normal 51 4 7" xfId="9589" xr:uid="{00000000-0005-0000-0000-00007A250000}"/>
    <cellStyle name="Normal 51 4 8" xfId="9590" xr:uid="{00000000-0005-0000-0000-00007B250000}"/>
    <cellStyle name="Normal 51 4 9" xfId="9591" xr:uid="{00000000-0005-0000-0000-00007C250000}"/>
    <cellStyle name="Normal 51 5" xfId="9592" xr:uid="{00000000-0005-0000-0000-00007D250000}"/>
    <cellStyle name="Normal 51 5 10" xfId="9593" xr:uid="{00000000-0005-0000-0000-00007E250000}"/>
    <cellStyle name="Normal 51 5 11" xfId="9594" xr:uid="{00000000-0005-0000-0000-00007F250000}"/>
    <cellStyle name="Normal 51 5 12" xfId="9595" xr:uid="{00000000-0005-0000-0000-000080250000}"/>
    <cellStyle name="Normal 51 5 13" xfId="9596" xr:uid="{00000000-0005-0000-0000-000081250000}"/>
    <cellStyle name="Normal 51 5 2" xfId="9597" xr:uid="{00000000-0005-0000-0000-000082250000}"/>
    <cellStyle name="Normal 51 5 2 10" xfId="9598" xr:uid="{00000000-0005-0000-0000-000083250000}"/>
    <cellStyle name="Normal 51 5 2 11" xfId="9599" xr:uid="{00000000-0005-0000-0000-000084250000}"/>
    <cellStyle name="Normal 51 5 2 2" xfId="9600" xr:uid="{00000000-0005-0000-0000-000085250000}"/>
    <cellStyle name="Normal 51 5 2 3" xfId="9601" xr:uid="{00000000-0005-0000-0000-000086250000}"/>
    <cellStyle name="Normal 51 5 2 4" xfId="9602" xr:uid="{00000000-0005-0000-0000-000087250000}"/>
    <cellStyle name="Normal 51 5 2 5" xfId="9603" xr:uid="{00000000-0005-0000-0000-000088250000}"/>
    <cellStyle name="Normal 51 5 2 6" xfId="9604" xr:uid="{00000000-0005-0000-0000-000089250000}"/>
    <cellStyle name="Normal 51 5 2 7" xfId="9605" xr:uid="{00000000-0005-0000-0000-00008A250000}"/>
    <cellStyle name="Normal 51 5 2 8" xfId="9606" xr:uid="{00000000-0005-0000-0000-00008B250000}"/>
    <cellStyle name="Normal 51 5 2 9" xfId="9607" xr:uid="{00000000-0005-0000-0000-00008C250000}"/>
    <cellStyle name="Normal 51 5 3" xfId="9608" xr:uid="{00000000-0005-0000-0000-00008D250000}"/>
    <cellStyle name="Normal 51 5 4" xfId="9609" xr:uid="{00000000-0005-0000-0000-00008E250000}"/>
    <cellStyle name="Normal 51 5 5" xfId="9610" xr:uid="{00000000-0005-0000-0000-00008F250000}"/>
    <cellStyle name="Normal 51 5 6" xfId="9611" xr:uid="{00000000-0005-0000-0000-000090250000}"/>
    <cellStyle name="Normal 51 5 7" xfId="9612" xr:uid="{00000000-0005-0000-0000-000091250000}"/>
    <cellStyle name="Normal 51 5 8" xfId="9613" xr:uid="{00000000-0005-0000-0000-000092250000}"/>
    <cellStyle name="Normal 51 5 9" xfId="9614" xr:uid="{00000000-0005-0000-0000-000093250000}"/>
    <cellStyle name="Normal 51 6" xfId="9615" xr:uid="{00000000-0005-0000-0000-000094250000}"/>
    <cellStyle name="Normal 51 6 10" xfId="9616" xr:uid="{00000000-0005-0000-0000-000095250000}"/>
    <cellStyle name="Normal 51 6 11" xfId="9617" xr:uid="{00000000-0005-0000-0000-000096250000}"/>
    <cellStyle name="Normal 51 6 12" xfId="9618" xr:uid="{00000000-0005-0000-0000-000097250000}"/>
    <cellStyle name="Normal 51 6 13" xfId="9619" xr:uid="{00000000-0005-0000-0000-000098250000}"/>
    <cellStyle name="Normal 51 6 2" xfId="9620" xr:uid="{00000000-0005-0000-0000-000099250000}"/>
    <cellStyle name="Normal 51 6 2 10" xfId="9621" xr:uid="{00000000-0005-0000-0000-00009A250000}"/>
    <cellStyle name="Normal 51 6 2 11" xfId="9622" xr:uid="{00000000-0005-0000-0000-00009B250000}"/>
    <cellStyle name="Normal 51 6 2 2" xfId="9623" xr:uid="{00000000-0005-0000-0000-00009C250000}"/>
    <cellStyle name="Normal 51 6 2 3" xfId="9624" xr:uid="{00000000-0005-0000-0000-00009D250000}"/>
    <cellStyle name="Normal 51 6 2 4" xfId="9625" xr:uid="{00000000-0005-0000-0000-00009E250000}"/>
    <cellStyle name="Normal 51 6 2 5" xfId="9626" xr:uid="{00000000-0005-0000-0000-00009F250000}"/>
    <cellStyle name="Normal 51 6 2 6" xfId="9627" xr:uid="{00000000-0005-0000-0000-0000A0250000}"/>
    <cellStyle name="Normal 51 6 2 7" xfId="9628" xr:uid="{00000000-0005-0000-0000-0000A1250000}"/>
    <cellStyle name="Normal 51 6 2 8" xfId="9629" xr:uid="{00000000-0005-0000-0000-0000A2250000}"/>
    <cellStyle name="Normal 51 6 2 9" xfId="9630" xr:uid="{00000000-0005-0000-0000-0000A3250000}"/>
    <cellStyle name="Normal 51 6 3" xfId="9631" xr:uid="{00000000-0005-0000-0000-0000A4250000}"/>
    <cellStyle name="Normal 51 6 4" xfId="9632" xr:uid="{00000000-0005-0000-0000-0000A5250000}"/>
    <cellStyle name="Normal 51 6 5" xfId="9633" xr:uid="{00000000-0005-0000-0000-0000A6250000}"/>
    <cellStyle name="Normal 51 6 6" xfId="9634" xr:uid="{00000000-0005-0000-0000-0000A7250000}"/>
    <cellStyle name="Normal 51 6 7" xfId="9635" xr:uid="{00000000-0005-0000-0000-0000A8250000}"/>
    <cellStyle name="Normal 51 6 8" xfId="9636" xr:uid="{00000000-0005-0000-0000-0000A9250000}"/>
    <cellStyle name="Normal 51 6 9" xfId="9637" xr:uid="{00000000-0005-0000-0000-0000AA250000}"/>
    <cellStyle name="Normal 51 7" xfId="9638" xr:uid="{00000000-0005-0000-0000-0000AB250000}"/>
    <cellStyle name="Normal 51 7 10" xfId="9639" xr:uid="{00000000-0005-0000-0000-0000AC250000}"/>
    <cellStyle name="Normal 51 7 11" xfId="9640" xr:uid="{00000000-0005-0000-0000-0000AD250000}"/>
    <cellStyle name="Normal 51 7 12" xfId="9641" xr:uid="{00000000-0005-0000-0000-0000AE250000}"/>
    <cellStyle name="Normal 51 7 13" xfId="9642" xr:uid="{00000000-0005-0000-0000-0000AF250000}"/>
    <cellStyle name="Normal 51 7 2" xfId="9643" xr:uid="{00000000-0005-0000-0000-0000B0250000}"/>
    <cellStyle name="Normal 51 7 2 10" xfId="9644" xr:uid="{00000000-0005-0000-0000-0000B1250000}"/>
    <cellStyle name="Normal 51 7 2 11" xfId="9645" xr:uid="{00000000-0005-0000-0000-0000B2250000}"/>
    <cellStyle name="Normal 51 7 2 2" xfId="9646" xr:uid="{00000000-0005-0000-0000-0000B3250000}"/>
    <cellStyle name="Normal 51 7 2 3" xfId="9647" xr:uid="{00000000-0005-0000-0000-0000B4250000}"/>
    <cellStyle name="Normal 51 7 2 4" xfId="9648" xr:uid="{00000000-0005-0000-0000-0000B5250000}"/>
    <cellStyle name="Normal 51 7 2 5" xfId="9649" xr:uid="{00000000-0005-0000-0000-0000B6250000}"/>
    <cellStyle name="Normal 51 7 2 6" xfId="9650" xr:uid="{00000000-0005-0000-0000-0000B7250000}"/>
    <cellStyle name="Normal 51 7 2 7" xfId="9651" xr:uid="{00000000-0005-0000-0000-0000B8250000}"/>
    <cellStyle name="Normal 51 7 2 8" xfId="9652" xr:uid="{00000000-0005-0000-0000-0000B9250000}"/>
    <cellStyle name="Normal 51 7 2 9" xfId="9653" xr:uid="{00000000-0005-0000-0000-0000BA250000}"/>
    <cellStyle name="Normal 51 7 3" xfId="9654" xr:uid="{00000000-0005-0000-0000-0000BB250000}"/>
    <cellStyle name="Normal 51 7 4" xfId="9655" xr:uid="{00000000-0005-0000-0000-0000BC250000}"/>
    <cellStyle name="Normal 51 7 5" xfId="9656" xr:uid="{00000000-0005-0000-0000-0000BD250000}"/>
    <cellStyle name="Normal 51 7 6" xfId="9657" xr:uid="{00000000-0005-0000-0000-0000BE250000}"/>
    <cellStyle name="Normal 51 7 7" xfId="9658" xr:uid="{00000000-0005-0000-0000-0000BF250000}"/>
    <cellStyle name="Normal 51 7 8" xfId="9659" xr:uid="{00000000-0005-0000-0000-0000C0250000}"/>
    <cellStyle name="Normal 51 7 9" xfId="9660" xr:uid="{00000000-0005-0000-0000-0000C1250000}"/>
    <cellStyle name="Normal 51 8" xfId="9661" xr:uid="{00000000-0005-0000-0000-0000C2250000}"/>
    <cellStyle name="Normal 51 8 10" xfId="9662" xr:uid="{00000000-0005-0000-0000-0000C3250000}"/>
    <cellStyle name="Normal 51 8 11" xfId="9663" xr:uid="{00000000-0005-0000-0000-0000C4250000}"/>
    <cellStyle name="Normal 51 8 12" xfId="9664" xr:uid="{00000000-0005-0000-0000-0000C5250000}"/>
    <cellStyle name="Normal 51 8 13" xfId="9665" xr:uid="{00000000-0005-0000-0000-0000C6250000}"/>
    <cellStyle name="Normal 51 8 2" xfId="9666" xr:uid="{00000000-0005-0000-0000-0000C7250000}"/>
    <cellStyle name="Normal 51 8 2 10" xfId="9667" xr:uid="{00000000-0005-0000-0000-0000C8250000}"/>
    <cellStyle name="Normal 51 8 2 11" xfId="9668" xr:uid="{00000000-0005-0000-0000-0000C9250000}"/>
    <cellStyle name="Normal 51 8 2 2" xfId="9669" xr:uid="{00000000-0005-0000-0000-0000CA250000}"/>
    <cellStyle name="Normal 51 8 2 3" xfId="9670" xr:uid="{00000000-0005-0000-0000-0000CB250000}"/>
    <cellStyle name="Normal 51 8 2 4" xfId="9671" xr:uid="{00000000-0005-0000-0000-0000CC250000}"/>
    <cellStyle name="Normal 51 8 2 5" xfId="9672" xr:uid="{00000000-0005-0000-0000-0000CD250000}"/>
    <cellStyle name="Normal 51 8 2 6" xfId="9673" xr:uid="{00000000-0005-0000-0000-0000CE250000}"/>
    <cellStyle name="Normal 51 8 2 7" xfId="9674" xr:uid="{00000000-0005-0000-0000-0000CF250000}"/>
    <cellStyle name="Normal 51 8 2 8" xfId="9675" xr:uid="{00000000-0005-0000-0000-0000D0250000}"/>
    <cellStyle name="Normal 51 8 2 9" xfId="9676" xr:uid="{00000000-0005-0000-0000-0000D1250000}"/>
    <cellStyle name="Normal 51 8 3" xfId="9677" xr:uid="{00000000-0005-0000-0000-0000D2250000}"/>
    <cellStyle name="Normal 51 8 4" xfId="9678" xr:uid="{00000000-0005-0000-0000-0000D3250000}"/>
    <cellStyle name="Normal 51 8 5" xfId="9679" xr:uid="{00000000-0005-0000-0000-0000D4250000}"/>
    <cellStyle name="Normal 51 8 6" xfId="9680" xr:uid="{00000000-0005-0000-0000-0000D5250000}"/>
    <cellStyle name="Normal 51 8 7" xfId="9681" xr:uid="{00000000-0005-0000-0000-0000D6250000}"/>
    <cellStyle name="Normal 51 8 8" xfId="9682" xr:uid="{00000000-0005-0000-0000-0000D7250000}"/>
    <cellStyle name="Normal 51 8 9" xfId="9683" xr:uid="{00000000-0005-0000-0000-0000D8250000}"/>
    <cellStyle name="Normal 51 9" xfId="9684" xr:uid="{00000000-0005-0000-0000-0000D9250000}"/>
    <cellStyle name="Normal 51 9 10" xfId="9685" xr:uid="{00000000-0005-0000-0000-0000DA250000}"/>
    <cellStyle name="Normal 51 9 11" xfId="9686" xr:uid="{00000000-0005-0000-0000-0000DB250000}"/>
    <cellStyle name="Normal 51 9 12" xfId="9687" xr:uid="{00000000-0005-0000-0000-0000DC250000}"/>
    <cellStyle name="Normal 51 9 13" xfId="9688" xr:uid="{00000000-0005-0000-0000-0000DD250000}"/>
    <cellStyle name="Normal 51 9 2" xfId="9689" xr:uid="{00000000-0005-0000-0000-0000DE250000}"/>
    <cellStyle name="Normal 51 9 2 10" xfId="9690" xr:uid="{00000000-0005-0000-0000-0000DF250000}"/>
    <cellStyle name="Normal 51 9 2 11" xfId="9691" xr:uid="{00000000-0005-0000-0000-0000E0250000}"/>
    <cellStyle name="Normal 51 9 2 2" xfId="9692" xr:uid="{00000000-0005-0000-0000-0000E1250000}"/>
    <cellStyle name="Normal 51 9 2 3" xfId="9693" xr:uid="{00000000-0005-0000-0000-0000E2250000}"/>
    <cellStyle name="Normal 51 9 2 4" xfId="9694" xr:uid="{00000000-0005-0000-0000-0000E3250000}"/>
    <cellStyle name="Normal 51 9 2 5" xfId="9695" xr:uid="{00000000-0005-0000-0000-0000E4250000}"/>
    <cellStyle name="Normal 51 9 2 6" xfId="9696" xr:uid="{00000000-0005-0000-0000-0000E5250000}"/>
    <cellStyle name="Normal 51 9 2 7" xfId="9697" xr:uid="{00000000-0005-0000-0000-0000E6250000}"/>
    <cellStyle name="Normal 51 9 2 8" xfId="9698" xr:uid="{00000000-0005-0000-0000-0000E7250000}"/>
    <cellStyle name="Normal 51 9 2 9" xfId="9699" xr:uid="{00000000-0005-0000-0000-0000E8250000}"/>
    <cellStyle name="Normal 51 9 3" xfId="9700" xr:uid="{00000000-0005-0000-0000-0000E9250000}"/>
    <cellStyle name="Normal 51 9 4" xfId="9701" xr:uid="{00000000-0005-0000-0000-0000EA250000}"/>
    <cellStyle name="Normal 51 9 5" xfId="9702" xr:uid="{00000000-0005-0000-0000-0000EB250000}"/>
    <cellStyle name="Normal 51 9 6" xfId="9703" xr:uid="{00000000-0005-0000-0000-0000EC250000}"/>
    <cellStyle name="Normal 51 9 7" xfId="9704" xr:uid="{00000000-0005-0000-0000-0000ED250000}"/>
    <cellStyle name="Normal 51 9 8" xfId="9705" xr:uid="{00000000-0005-0000-0000-0000EE250000}"/>
    <cellStyle name="Normal 51 9 9" xfId="9706" xr:uid="{00000000-0005-0000-0000-0000EF250000}"/>
    <cellStyle name="Normal 52" xfId="9707" xr:uid="{00000000-0005-0000-0000-0000F0250000}"/>
    <cellStyle name="Normal 52 10" xfId="9708" xr:uid="{00000000-0005-0000-0000-0000F1250000}"/>
    <cellStyle name="Normal 52 10 10" xfId="9709" xr:uid="{00000000-0005-0000-0000-0000F2250000}"/>
    <cellStyle name="Normal 52 10 11" xfId="9710" xr:uid="{00000000-0005-0000-0000-0000F3250000}"/>
    <cellStyle name="Normal 52 10 12" xfId="9711" xr:uid="{00000000-0005-0000-0000-0000F4250000}"/>
    <cellStyle name="Normal 52 10 13" xfId="9712" xr:uid="{00000000-0005-0000-0000-0000F5250000}"/>
    <cellStyle name="Normal 52 10 2" xfId="9713" xr:uid="{00000000-0005-0000-0000-0000F6250000}"/>
    <cellStyle name="Normal 52 10 2 10" xfId="9714" xr:uid="{00000000-0005-0000-0000-0000F7250000}"/>
    <cellStyle name="Normal 52 10 2 11" xfId="9715" xr:uid="{00000000-0005-0000-0000-0000F8250000}"/>
    <cellStyle name="Normal 52 10 2 2" xfId="9716" xr:uid="{00000000-0005-0000-0000-0000F9250000}"/>
    <cellStyle name="Normal 52 10 2 3" xfId="9717" xr:uid="{00000000-0005-0000-0000-0000FA250000}"/>
    <cellStyle name="Normal 52 10 2 4" xfId="9718" xr:uid="{00000000-0005-0000-0000-0000FB250000}"/>
    <cellStyle name="Normal 52 10 2 5" xfId="9719" xr:uid="{00000000-0005-0000-0000-0000FC250000}"/>
    <cellStyle name="Normal 52 10 2 6" xfId="9720" xr:uid="{00000000-0005-0000-0000-0000FD250000}"/>
    <cellStyle name="Normal 52 10 2 7" xfId="9721" xr:uid="{00000000-0005-0000-0000-0000FE250000}"/>
    <cellStyle name="Normal 52 10 2 8" xfId="9722" xr:uid="{00000000-0005-0000-0000-0000FF250000}"/>
    <cellStyle name="Normal 52 10 2 9" xfId="9723" xr:uid="{00000000-0005-0000-0000-000000260000}"/>
    <cellStyle name="Normal 52 10 3" xfId="9724" xr:uid="{00000000-0005-0000-0000-000001260000}"/>
    <cellStyle name="Normal 52 10 4" xfId="9725" xr:uid="{00000000-0005-0000-0000-000002260000}"/>
    <cellStyle name="Normal 52 10 5" xfId="9726" xr:uid="{00000000-0005-0000-0000-000003260000}"/>
    <cellStyle name="Normal 52 10 6" xfId="9727" xr:uid="{00000000-0005-0000-0000-000004260000}"/>
    <cellStyle name="Normal 52 10 7" xfId="9728" xr:uid="{00000000-0005-0000-0000-000005260000}"/>
    <cellStyle name="Normal 52 10 8" xfId="9729" xr:uid="{00000000-0005-0000-0000-000006260000}"/>
    <cellStyle name="Normal 52 10 9" xfId="9730" xr:uid="{00000000-0005-0000-0000-000007260000}"/>
    <cellStyle name="Normal 52 11" xfId="9731" xr:uid="{00000000-0005-0000-0000-000008260000}"/>
    <cellStyle name="Normal 52 11 10" xfId="9732" xr:uid="{00000000-0005-0000-0000-000009260000}"/>
    <cellStyle name="Normal 52 11 11" xfId="9733" xr:uid="{00000000-0005-0000-0000-00000A260000}"/>
    <cellStyle name="Normal 52 11 12" xfId="9734" xr:uid="{00000000-0005-0000-0000-00000B260000}"/>
    <cellStyle name="Normal 52 11 13" xfId="9735" xr:uid="{00000000-0005-0000-0000-00000C260000}"/>
    <cellStyle name="Normal 52 11 2" xfId="9736" xr:uid="{00000000-0005-0000-0000-00000D260000}"/>
    <cellStyle name="Normal 52 11 2 10" xfId="9737" xr:uid="{00000000-0005-0000-0000-00000E260000}"/>
    <cellStyle name="Normal 52 11 2 11" xfId="9738" xr:uid="{00000000-0005-0000-0000-00000F260000}"/>
    <cellStyle name="Normal 52 11 2 2" xfId="9739" xr:uid="{00000000-0005-0000-0000-000010260000}"/>
    <cellStyle name="Normal 52 11 2 3" xfId="9740" xr:uid="{00000000-0005-0000-0000-000011260000}"/>
    <cellStyle name="Normal 52 11 2 4" xfId="9741" xr:uid="{00000000-0005-0000-0000-000012260000}"/>
    <cellStyle name="Normal 52 11 2 5" xfId="9742" xr:uid="{00000000-0005-0000-0000-000013260000}"/>
    <cellStyle name="Normal 52 11 2 6" xfId="9743" xr:uid="{00000000-0005-0000-0000-000014260000}"/>
    <cellStyle name="Normal 52 11 2 7" xfId="9744" xr:uid="{00000000-0005-0000-0000-000015260000}"/>
    <cellStyle name="Normal 52 11 2 8" xfId="9745" xr:uid="{00000000-0005-0000-0000-000016260000}"/>
    <cellStyle name="Normal 52 11 2 9" xfId="9746" xr:uid="{00000000-0005-0000-0000-000017260000}"/>
    <cellStyle name="Normal 52 11 3" xfId="9747" xr:uid="{00000000-0005-0000-0000-000018260000}"/>
    <cellStyle name="Normal 52 11 4" xfId="9748" xr:uid="{00000000-0005-0000-0000-000019260000}"/>
    <cellStyle name="Normal 52 11 5" xfId="9749" xr:uid="{00000000-0005-0000-0000-00001A260000}"/>
    <cellStyle name="Normal 52 11 6" xfId="9750" xr:uid="{00000000-0005-0000-0000-00001B260000}"/>
    <cellStyle name="Normal 52 11 7" xfId="9751" xr:uid="{00000000-0005-0000-0000-00001C260000}"/>
    <cellStyle name="Normal 52 11 8" xfId="9752" xr:uid="{00000000-0005-0000-0000-00001D260000}"/>
    <cellStyle name="Normal 52 11 9" xfId="9753" xr:uid="{00000000-0005-0000-0000-00001E260000}"/>
    <cellStyle name="Normal 52 12" xfId="9754" xr:uid="{00000000-0005-0000-0000-00001F260000}"/>
    <cellStyle name="Normal 52 12 10" xfId="9755" xr:uid="{00000000-0005-0000-0000-000020260000}"/>
    <cellStyle name="Normal 52 12 11" xfId="9756" xr:uid="{00000000-0005-0000-0000-000021260000}"/>
    <cellStyle name="Normal 52 12 12" xfId="9757" xr:uid="{00000000-0005-0000-0000-000022260000}"/>
    <cellStyle name="Normal 52 12 13" xfId="9758" xr:uid="{00000000-0005-0000-0000-000023260000}"/>
    <cellStyle name="Normal 52 12 2" xfId="9759" xr:uid="{00000000-0005-0000-0000-000024260000}"/>
    <cellStyle name="Normal 52 12 2 10" xfId="9760" xr:uid="{00000000-0005-0000-0000-000025260000}"/>
    <cellStyle name="Normal 52 12 2 11" xfId="9761" xr:uid="{00000000-0005-0000-0000-000026260000}"/>
    <cellStyle name="Normal 52 12 2 2" xfId="9762" xr:uid="{00000000-0005-0000-0000-000027260000}"/>
    <cellStyle name="Normal 52 12 2 3" xfId="9763" xr:uid="{00000000-0005-0000-0000-000028260000}"/>
    <cellStyle name="Normal 52 12 2 4" xfId="9764" xr:uid="{00000000-0005-0000-0000-000029260000}"/>
    <cellStyle name="Normal 52 12 2 5" xfId="9765" xr:uid="{00000000-0005-0000-0000-00002A260000}"/>
    <cellStyle name="Normal 52 12 2 6" xfId="9766" xr:uid="{00000000-0005-0000-0000-00002B260000}"/>
    <cellStyle name="Normal 52 12 2 7" xfId="9767" xr:uid="{00000000-0005-0000-0000-00002C260000}"/>
    <cellStyle name="Normal 52 12 2 8" xfId="9768" xr:uid="{00000000-0005-0000-0000-00002D260000}"/>
    <cellStyle name="Normal 52 12 2 9" xfId="9769" xr:uid="{00000000-0005-0000-0000-00002E260000}"/>
    <cellStyle name="Normal 52 12 3" xfId="9770" xr:uid="{00000000-0005-0000-0000-00002F260000}"/>
    <cellStyle name="Normal 52 12 4" xfId="9771" xr:uid="{00000000-0005-0000-0000-000030260000}"/>
    <cellStyle name="Normal 52 12 5" xfId="9772" xr:uid="{00000000-0005-0000-0000-000031260000}"/>
    <cellStyle name="Normal 52 12 6" xfId="9773" xr:uid="{00000000-0005-0000-0000-000032260000}"/>
    <cellStyle name="Normal 52 12 7" xfId="9774" xr:uid="{00000000-0005-0000-0000-000033260000}"/>
    <cellStyle name="Normal 52 12 8" xfId="9775" xr:uid="{00000000-0005-0000-0000-000034260000}"/>
    <cellStyle name="Normal 52 12 9" xfId="9776" xr:uid="{00000000-0005-0000-0000-000035260000}"/>
    <cellStyle name="Normal 52 13" xfId="9777" xr:uid="{00000000-0005-0000-0000-000036260000}"/>
    <cellStyle name="Normal 52 13 10" xfId="9778" xr:uid="{00000000-0005-0000-0000-000037260000}"/>
    <cellStyle name="Normal 52 13 11" xfId="9779" xr:uid="{00000000-0005-0000-0000-000038260000}"/>
    <cellStyle name="Normal 52 13 12" xfId="9780" xr:uid="{00000000-0005-0000-0000-000039260000}"/>
    <cellStyle name="Normal 52 13 13" xfId="9781" xr:uid="{00000000-0005-0000-0000-00003A260000}"/>
    <cellStyle name="Normal 52 13 2" xfId="9782" xr:uid="{00000000-0005-0000-0000-00003B260000}"/>
    <cellStyle name="Normal 52 13 2 10" xfId="9783" xr:uid="{00000000-0005-0000-0000-00003C260000}"/>
    <cellStyle name="Normal 52 13 2 11" xfId="9784" xr:uid="{00000000-0005-0000-0000-00003D260000}"/>
    <cellStyle name="Normal 52 13 2 2" xfId="9785" xr:uid="{00000000-0005-0000-0000-00003E260000}"/>
    <cellStyle name="Normal 52 13 2 3" xfId="9786" xr:uid="{00000000-0005-0000-0000-00003F260000}"/>
    <cellStyle name="Normal 52 13 2 4" xfId="9787" xr:uid="{00000000-0005-0000-0000-000040260000}"/>
    <cellStyle name="Normal 52 13 2 5" xfId="9788" xr:uid="{00000000-0005-0000-0000-000041260000}"/>
    <cellStyle name="Normal 52 13 2 6" xfId="9789" xr:uid="{00000000-0005-0000-0000-000042260000}"/>
    <cellStyle name="Normal 52 13 2 7" xfId="9790" xr:uid="{00000000-0005-0000-0000-000043260000}"/>
    <cellStyle name="Normal 52 13 2 8" xfId="9791" xr:uid="{00000000-0005-0000-0000-000044260000}"/>
    <cellStyle name="Normal 52 13 2 9" xfId="9792" xr:uid="{00000000-0005-0000-0000-000045260000}"/>
    <cellStyle name="Normal 52 13 3" xfId="9793" xr:uid="{00000000-0005-0000-0000-000046260000}"/>
    <cellStyle name="Normal 52 13 4" xfId="9794" xr:uid="{00000000-0005-0000-0000-000047260000}"/>
    <cellStyle name="Normal 52 13 5" xfId="9795" xr:uid="{00000000-0005-0000-0000-000048260000}"/>
    <cellStyle name="Normal 52 13 6" xfId="9796" xr:uid="{00000000-0005-0000-0000-000049260000}"/>
    <cellStyle name="Normal 52 13 7" xfId="9797" xr:uid="{00000000-0005-0000-0000-00004A260000}"/>
    <cellStyle name="Normal 52 13 8" xfId="9798" xr:uid="{00000000-0005-0000-0000-00004B260000}"/>
    <cellStyle name="Normal 52 13 9" xfId="9799" xr:uid="{00000000-0005-0000-0000-00004C260000}"/>
    <cellStyle name="Normal 52 14" xfId="9800" xr:uid="{00000000-0005-0000-0000-00004D260000}"/>
    <cellStyle name="Normal 52 14 10" xfId="9801" xr:uid="{00000000-0005-0000-0000-00004E260000}"/>
    <cellStyle name="Normal 52 14 11" xfId="9802" xr:uid="{00000000-0005-0000-0000-00004F260000}"/>
    <cellStyle name="Normal 52 14 2" xfId="9803" xr:uid="{00000000-0005-0000-0000-000050260000}"/>
    <cellStyle name="Normal 52 14 3" xfId="9804" xr:uid="{00000000-0005-0000-0000-000051260000}"/>
    <cellStyle name="Normal 52 14 4" xfId="9805" xr:uid="{00000000-0005-0000-0000-000052260000}"/>
    <cellStyle name="Normal 52 14 5" xfId="9806" xr:uid="{00000000-0005-0000-0000-000053260000}"/>
    <cellStyle name="Normal 52 14 6" xfId="9807" xr:uid="{00000000-0005-0000-0000-000054260000}"/>
    <cellStyle name="Normal 52 14 7" xfId="9808" xr:uid="{00000000-0005-0000-0000-000055260000}"/>
    <cellStyle name="Normal 52 14 8" xfId="9809" xr:uid="{00000000-0005-0000-0000-000056260000}"/>
    <cellStyle name="Normal 52 14 9" xfId="9810" xr:uid="{00000000-0005-0000-0000-000057260000}"/>
    <cellStyle name="Normal 52 15" xfId="9811" xr:uid="{00000000-0005-0000-0000-000058260000}"/>
    <cellStyle name="Normal 52 16" xfId="9812" xr:uid="{00000000-0005-0000-0000-000059260000}"/>
    <cellStyle name="Normal 52 17" xfId="9813" xr:uid="{00000000-0005-0000-0000-00005A260000}"/>
    <cellStyle name="Normal 52 18" xfId="9814" xr:uid="{00000000-0005-0000-0000-00005B260000}"/>
    <cellStyle name="Normal 52 19" xfId="9815" xr:uid="{00000000-0005-0000-0000-00005C260000}"/>
    <cellStyle name="Normal 52 2" xfId="9816" xr:uid="{00000000-0005-0000-0000-00005D260000}"/>
    <cellStyle name="Normal 52 2 10" xfId="9817" xr:uid="{00000000-0005-0000-0000-00005E260000}"/>
    <cellStyle name="Normal 52 2 11" xfId="9818" xr:uid="{00000000-0005-0000-0000-00005F260000}"/>
    <cellStyle name="Normal 52 2 12" xfId="9819" xr:uid="{00000000-0005-0000-0000-000060260000}"/>
    <cellStyle name="Normal 52 2 13" xfId="9820" xr:uid="{00000000-0005-0000-0000-000061260000}"/>
    <cellStyle name="Normal 52 2 2" xfId="9821" xr:uid="{00000000-0005-0000-0000-000062260000}"/>
    <cellStyle name="Normal 52 2 2 10" xfId="9822" xr:uid="{00000000-0005-0000-0000-000063260000}"/>
    <cellStyle name="Normal 52 2 2 11" xfId="9823" xr:uid="{00000000-0005-0000-0000-000064260000}"/>
    <cellStyle name="Normal 52 2 2 2" xfId="9824" xr:uid="{00000000-0005-0000-0000-000065260000}"/>
    <cellStyle name="Normal 52 2 2 3" xfId="9825" xr:uid="{00000000-0005-0000-0000-000066260000}"/>
    <cellStyle name="Normal 52 2 2 4" xfId="9826" xr:uid="{00000000-0005-0000-0000-000067260000}"/>
    <cellStyle name="Normal 52 2 2 5" xfId="9827" xr:uid="{00000000-0005-0000-0000-000068260000}"/>
    <cellStyle name="Normal 52 2 2 6" xfId="9828" xr:uid="{00000000-0005-0000-0000-000069260000}"/>
    <cellStyle name="Normal 52 2 2 7" xfId="9829" xr:uid="{00000000-0005-0000-0000-00006A260000}"/>
    <cellStyle name="Normal 52 2 2 8" xfId="9830" xr:uid="{00000000-0005-0000-0000-00006B260000}"/>
    <cellStyle name="Normal 52 2 2 9" xfId="9831" xr:uid="{00000000-0005-0000-0000-00006C260000}"/>
    <cellStyle name="Normal 52 2 3" xfId="9832" xr:uid="{00000000-0005-0000-0000-00006D260000}"/>
    <cellStyle name="Normal 52 2 4" xfId="9833" xr:uid="{00000000-0005-0000-0000-00006E260000}"/>
    <cellStyle name="Normal 52 2 5" xfId="9834" xr:uid="{00000000-0005-0000-0000-00006F260000}"/>
    <cellStyle name="Normal 52 2 6" xfId="9835" xr:uid="{00000000-0005-0000-0000-000070260000}"/>
    <cellStyle name="Normal 52 2 7" xfId="9836" xr:uid="{00000000-0005-0000-0000-000071260000}"/>
    <cellStyle name="Normal 52 2 8" xfId="9837" xr:uid="{00000000-0005-0000-0000-000072260000}"/>
    <cellStyle name="Normal 52 2 9" xfId="9838" xr:uid="{00000000-0005-0000-0000-000073260000}"/>
    <cellStyle name="Normal 52 20" xfId="9839" xr:uid="{00000000-0005-0000-0000-000074260000}"/>
    <cellStyle name="Normal 52 21" xfId="9840" xr:uid="{00000000-0005-0000-0000-000075260000}"/>
    <cellStyle name="Normal 52 22" xfId="9841" xr:uid="{00000000-0005-0000-0000-000076260000}"/>
    <cellStyle name="Normal 52 23" xfId="9842" xr:uid="{00000000-0005-0000-0000-000077260000}"/>
    <cellStyle name="Normal 52 24" xfId="9843" xr:uid="{00000000-0005-0000-0000-000078260000}"/>
    <cellStyle name="Normal 52 25" xfId="9844" xr:uid="{00000000-0005-0000-0000-000079260000}"/>
    <cellStyle name="Normal 52 3" xfId="9845" xr:uid="{00000000-0005-0000-0000-00007A260000}"/>
    <cellStyle name="Normal 52 3 10" xfId="9846" xr:uid="{00000000-0005-0000-0000-00007B260000}"/>
    <cellStyle name="Normal 52 3 11" xfId="9847" xr:uid="{00000000-0005-0000-0000-00007C260000}"/>
    <cellStyle name="Normal 52 3 12" xfId="9848" xr:uid="{00000000-0005-0000-0000-00007D260000}"/>
    <cellStyle name="Normal 52 3 13" xfId="9849" xr:uid="{00000000-0005-0000-0000-00007E260000}"/>
    <cellStyle name="Normal 52 3 2" xfId="9850" xr:uid="{00000000-0005-0000-0000-00007F260000}"/>
    <cellStyle name="Normal 52 3 2 10" xfId="9851" xr:uid="{00000000-0005-0000-0000-000080260000}"/>
    <cellStyle name="Normal 52 3 2 11" xfId="9852" xr:uid="{00000000-0005-0000-0000-000081260000}"/>
    <cellStyle name="Normal 52 3 2 2" xfId="9853" xr:uid="{00000000-0005-0000-0000-000082260000}"/>
    <cellStyle name="Normal 52 3 2 3" xfId="9854" xr:uid="{00000000-0005-0000-0000-000083260000}"/>
    <cellStyle name="Normal 52 3 2 4" xfId="9855" xr:uid="{00000000-0005-0000-0000-000084260000}"/>
    <cellStyle name="Normal 52 3 2 5" xfId="9856" xr:uid="{00000000-0005-0000-0000-000085260000}"/>
    <cellStyle name="Normal 52 3 2 6" xfId="9857" xr:uid="{00000000-0005-0000-0000-000086260000}"/>
    <cellStyle name="Normal 52 3 2 7" xfId="9858" xr:uid="{00000000-0005-0000-0000-000087260000}"/>
    <cellStyle name="Normal 52 3 2 8" xfId="9859" xr:uid="{00000000-0005-0000-0000-000088260000}"/>
    <cellStyle name="Normal 52 3 2 9" xfId="9860" xr:uid="{00000000-0005-0000-0000-000089260000}"/>
    <cellStyle name="Normal 52 3 3" xfId="9861" xr:uid="{00000000-0005-0000-0000-00008A260000}"/>
    <cellStyle name="Normal 52 3 4" xfId="9862" xr:uid="{00000000-0005-0000-0000-00008B260000}"/>
    <cellStyle name="Normal 52 3 5" xfId="9863" xr:uid="{00000000-0005-0000-0000-00008C260000}"/>
    <cellStyle name="Normal 52 3 6" xfId="9864" xr:uid="{00000000-0005-0000-0000-00008D260000}"/>
    <cellStyle name="Normal 52 3 7" xfId="9865" xr:uid="{00000000-0005-0000-0000-00008E260000}"/>
    <cellStyle name="Normal 52 3 8" xfId="9866" xr:uid="{00000000-0005-0000-0000-00008F260000}"/>
    <cellStyle name="Normal 52 3 9" xfId="9867" xr:uid="{00000000-0005-0000-0000-000090260000}"/>
    <cellStyle name="Normal 52 4" xfId="9868" xr:uid="{00000000-0005-0000-0000-000091260000}"/>
    <cellStyle name="Normal 52 4 10" xfId="9869" xr:uid="{00000000-0005-0000-0000-000092260000}"/>
    <cellStyle name="Normal 52 4 11" xfId="9870" xr:uid="{00000000-0005-0000-0000-000093260000}"/>
    <cellStyle name="Normal 52 4 12" xfId="9871" xr:uid="{00000000-0005-0000-0000-000094260000}"/>
    <cellStyle name="Normal 52 4 13" xfId="9872" xr:uid="{00000000-0005-0000-0000-000095260000}"/>
    <cellStyle name="Normal 52 4 2" xfId="9873" xr:uid="{00000000-0005-0000-0000-000096260000}"/>
    <cellStyle name="Normal 52 4 2 10" xfId="9874" xr:uid="{00000000-0005-0000-0000-000097260000}"/>
    <cellStyle name="Normal 52 4 2 11" xfId="9875" xr:uid="{00000000-0005-0000-0000-000098260000}"/>
    <cellStyle name="Normal 52 4 2 2" xfId="9876" xr:uid="{00000000-0005-0000-0000-000099260000}"/>
    <cellStyle name="Normal 52 4 2 3" xfId="9877" xr:uid="{00000000-0005-0000-0000-00009A260000}"/>
    <cellStyle name="Normal 52 4 2 4" xfId="9878" xr:uid="{00000000-0005-0000-0000-00009B260000}"/>
    <cellStyle name="Normal 52 4 2 5" xfId="9879" xr:uid="{00000000-0005-0000-0000-00009C260000}"/>
    <cellStyle name="Normal 52 4 2 6" xfId="9880" xr:uid="{00000000-0005-0000-0000-00009D260000}"/>
    <cellStyle name="Normal 52 4 2 7" xfId="9881" xr:uid="{00000000-0005-0000-0000-00009E260000}"/>
    <cellStyle name="Normal 52 4 2 8" xfId="9882" xr:uid="{00000000-0005-0000-0000-00009F260000}"/>
    <cellStyle name="Normal 52 4 2 9" xfId="9883" xr:uid="{00000000-0005-0000-0000-0000A0260000}"/>
    <cellStyle name="Normal 52 4 3" xfId="9884" xr:uid="{00000000-0005-0000-0000-0000A1260000}"/>
    <cellStyle name="Normal 52 4 4" xfId="9885" xr:uid="{00000000-0005-0000-0000-0000A2260000}"/>
    <cellStyle name="Normal 52 4 5" xfId="9886" xr:uid="{00000000-0005-0000-0000-0000A3260000}"/>
    <cellStyle name="Normal 52 4 6" xfId="9887" xr:uid="{00000000-0005-0000-0000-0000A4260000}"/>
    <cellStyle name="Normal 52 4 7" xfId="9888" xr:uid="{00000000-0005-0000-0000-0000A5260000}"/>
    <cellStyle name="Normal 52 4 8" xfId="9889" xr:uid="{00000000-0005-0000-0000-0000A6260000}"/>
    <cellStyle name="Normal 52 4 9" xfId="9890" xr:uid="{00000000-0005-0000-0000-0000A7260000}"/>
    <cellStyle name="Normal 52 5" xfId="9891" xr:uid="{00000000-0005-0000-0000-0000A8260000}"/>
    <cellStyle name="Normal 52 5 10" xfId="9892" xr:uid="{00000000-0005-0000-0000-0000A9260000}"/>
    <cellStyle name="Normal 52 5 11" xfId="9893" xr:uid="{00000000-0005-0000-0000-0000AA260000}"/>
    <cellStyle name="Normal 52 5 12" xfId="9894" xr:uid="{00000000-0005-0000-0000-0000AB260000}"/>
    <cellStyle name="Normal 52 5 13" xfId="9895" xr:uid="{00000000-0005-0000-0000-0000AC260000}"/>
    <cellStyle name="Normal 52 5 2" xfId="9896" xr:uid="{00000000-0005-0000-0000-0000AD260000}"/>
    <cellStyle name="Normal 52 5 2 10" xfId="9897" xr:uid="{00000000-0005-0000-0000-0000AE260000}"/>
    <cellStyle name="Normal 52 5 2 11" xfId="9898" xr:uid="{00000000-0005-0000-0000-0000AF260000}"/>
    <cellStyle name="Normal 52 5 2 2" xfId="9899" xr:uid="{00000000-0005-0000-0000-0000B0260000}"/>
    <cellStyle name="Normal 52 5 2 3" xfId="9900" xr:uid="{00000000-0005-0000-0000-0000B1260000}"/>
    <cellStyle name="Normal 52 5 2 4" xfId="9901" xr:uid="{00000000-0005-0000-0000-0000B2260000}"/>
    <cellStyle name="Normal 52 5 2 5" xfId="9902" xr:uid="{00000000-0005-0000-0000-0000B3260000}"/>
    <cellStyle name="Normal 52 5 2 6" xfId="9903" xr:uid="{00000000-0005-0000-0000-0000B4260000}"/>
    <cellStyle name="Normal 52 5 2 7" xfId="9904" xr:uid="{00000000-0005-0000-0000-0000B5260000}"/>
    <cellStyle name="Normal 52 5 2 8" xfId="9905" xr:uid="{00000000-0005-0000-0000-0000B6260000}"/>
    <cellStyle name="Normal 52 5 2 9" xfId="9906" xr:uid="{00000000-0005-0000-0000-0000B7260000}"/>
    <cellStyle name="Normal 52 5 3" xfId="9907" xr:uid="{00000000-0005-0000-0000-0000B8260000}"/>
    <cellStyle name="Normal 52 5 4" xfId="9908" xr:uid="{00000000-0005-0000-0000-0000B9260000}"/>
    <cellStyle name="Normal 52 5 5" xfId="9909" xr:uid="{00000000-0005-0000-0000-0000BA260000}"/>
    <cellStyle name="Normal 52 5 6" xfId="9910" xr:uid="{00000000-0005-0000-0000-0000BB260000}"/>
    <cellStyle name="Normal 52 5 7" xfId="9911" xr:uid="{00000000-0005-0000-0000-0000BC260000}"/>
    <cellStyle name="Normal 52 5 8" xfId="9912" xr:uid="{00000000-0005-0000-0000-0000BD260000}"/>
    <cellStyle name="Normal 52 5 9" xfId="9913" xr:uid="{00000000-0005-0000-0000-0000BE260000}"/>
    <cellStyle name="Normal 52 6" xfId="9914" xr:uid="{00000000-0005-0000-0000-0000BF260000}"/>
    <cellStyle name="Normal 52 6 10" xfId="9915" xr:uid="{00000000-0005-0000-0000-0000C0260000}"/>
    <cellStyle name="Normal 52 6 11" xfId="9916" xr:uid="{00000000-0005-0000-0000-0000C1260000}"/>
    <cellStyle name="Normal 52 6 12" xfId="9917" xr:uid="{00000000-0005-0000-0000-0000C2260000}"/>
    <cellStyle name="Normal 52 6 13" xfId="9918" xr:uid="{00000000-0005-0000-0000-0000C3260000}"/>
    <cellStyle name="Normal 52 6 2" xfId="9919" xr:uid="{00000000-0005-0000-0000-0000C4260000}"/>
    <cellStyle name="Normal 52 6 2 10" xfId="9920" xr:uid="{00000000-0005-0000-0000-0000C5260000}"/>
    <cellStyle name="Normal 52 6 2 11" xfId="9921" xr:uid="{00000000-0005-0000-0000-0000C6260000}"/>
    <cellStyle name="Normal 52 6 2 2" xfId="9922" xr:uid="{00000000-0005-0000-0000-0000C7260000}"/>
    <cellStyle name="Normal 52 6 2 3" xfId="9923" xr:uid="{00000000-0005-0000-0000-0000C8260000}"/>
    <cellStyle name="Normal 52 6 2 4" xfId="9924" xr:uid="{00000000-0005-0000-0000-0000C9260000}"/>
    <cellStyle name="Normal 52 6 2 5" xfId="9925" xr:uid="{00000000-0005-0000-0000-0000CA260000}"/>
    <cellStyle name="Normal 52 6 2 6" xfId="9926" xr:uid="{00000000-0005-0000-0000-0000CB260000}"/>
    <cellStyle name="Normal 52 6 2 7" xfId="9927" xr:uid="{00000000-0005-0000-0000-0000CC260000}"/>
    <cellStyle name="Normal 52 6 2 8" xfId="9928" xr:uid="{00000000-0005-0000-0000-0000CD260000}"/>
    <cellStyle name="Normal 52 6 2 9" xfId="9929" xr:uid="{00000000-0005-0000-0000-0000CE260000}"/>
    <cellStyle name="Normal 52 6 3" xfId="9930" xr:uid="{00000000-0005-0000-0000-0000CF260000}"/>
    <cellStyle name="Normal 52 6 4" xfId="9931" xr:uid="{00000000-0005-0000-0000-0000D0260000}"/>
    <cellStyle name="Normal 52 6 5" xfId="9932" xr:uid="{00000000-0005-0000-0000-0000D1260000}"/>
    <cellStyle name="Normal 52 6 6" xfId="9933" xr:uid="{00000000-0005-0000-0000-0000D2260000}"/>
    <cellStyle name="Normal 52 6 7" xfId="9934" xr:uid="{00000000-0005-0000-0000-0000D3260000}"/>
    <cellStyle name="Normal 52 6 8" xfId="9935" xr:uid="{00000000-0005-0000-0000-0000D4260000}"/>
    <cellStyle name="Normal 52 6 9" xfId="9936" xr:uid="{00000000-0005-0000-0000-0000D5260000}"/>
    <cellStyle name="Normal 52 7" xfId="9937" xr:uid="{00000000-0005-0000-0000-0000D6260000}"/>
    <cellStyle name="Normal 52 7 10" xfId="9938" xr:uid="{00000000-0005-0000-0000-0000D7260000}"/>
    <cellStyle name="Normal 52 7 11" xfId="9939" xr:uid="{00000000-0005-0000-0000-0000D8260000}"/>
    <cellStyle name="Normal 52 7 12" xfId="9940" xr:uid="{00000000-0005-0000-0000-0000D9260000}"/>
    <cellStyle name="Normal 52 7 13" xfId="9941" xr:uid="{00000000-0005-0000-0000-0000DA260000}"/>
    <cellStyle name="Normal 52 7 2" xfId="9942" xr:uid="{00000000-0005-0000-0000-0000DB260000}"/>
    <cellStyle name="Normal 52 7 2 10" xfId="9943" xr:uid="{00000000-0005-0000-0000-0000DC260000}"/>
    <cellStyle name="Normal 52 7 2 11" xfId="9944" xr:uid="{00000000-0005-0000-0000-0000DD260000}"/>
    <cellStyle name="Normal 52 7 2 2" xfId="9945" xr:uid="{00000000-0005-0000-0000-0000DE260000}"/>
    <cellStyle name="Normal 52 7 2 3" xfId="9946" xr:uid="{00000000-0005-0000-0000-0000DF260000}"/>
    <cellStyle name="Normal 52 7 2 4" xfId="9947" xr:uid="{00000000-0005-0000-0000-0000E0260000}"/>
    <cellStyle name="Normal 52 7 2 5" xfId="9948" xr:uid="{00000000-0005-0000-0000-0000E1260000}"/>
    <cellStyle name="Normal 52 7 2 6" xfId="9949" xr:uid="{00000000-0005-0000-0000-0000E2260000}"/>
    <cellStyle name="Normal 52 7 2 7" xfId="9950" xr:uid="{00000000-0005-0000-0000-0000E3260000}"/>
    <cellStyle name="Normal 52 7 2 8" xfId="9951" xr:uid="{00000000-0005-0000-0000-0000E4260000}"/>
    <cellStyle name="Normal 52 7 2 9" xfId="9952" xr:uid="{00000000-0005-0000-0000-0000E5260000}"/>
    <cellStyle name="Normal 52 7 3" xfId="9953" xr:uid="{00000000-0005-0000-0000-0000E6260000}"/>
    <cellStyle name="Normal 52 7 4" xfId="9954" xr:uid="{00000000-0005-0000-0000-0000E7260000}"/>
    <cellStyle name="Normal 52 7 5" xfId="9955" xr:uid="{00000000-0005-0000-0000-0000E8260000}"/>
    <cellStyle name="Normal 52 7 6" xfId="9956" xr:uid="{00000000-0005-0000-0000-0000E9260000}"/>
    <cellStyle name="Normal 52 7 7" xfId="9957" xr:uid="{00000000-0005-0000-0000-0000EA260000}"/>
    <cellStyle name="Normal 52 7 8" xfId="9958" xr:uid="{00000000-0005-0000-0000-0000EB260000}"/>
    <cellStyle name="Normal 52 7 9" xfId="9959" xr:uid="{00000000-0005-0000-0000-0000EC260000}"/>
    <cellStyle name="Normal 52 8" xfId="9960" xr:uid="{00000000-0005-0000-0000-0000ED260000}"/>
    <cellStyle name="Normal 52 8 10" xfId="9961" xr:uid="{00000000-0005-0000-0000-0000EE260000}"/>
    <cellStyle name="Normal 52 8 11" xfId="9962" xr:uid="{00000000-0005-0000-0000-0000EF260000}"/>
    <cellStyle name="Normal 52 8 12" xfId="9963" xr:uid="{00000000-0005-0000-0000-0000F0260000}"/>
    <cellStyle name="Normal 52 8 13" xfId="9964" xr:uid="{00000000-0005-0000-0000-0000F1260000}"/>
    <cellStyle name="Normal 52 8 2" xfId="9965" xr:uid="{00000000-0005-0000-0000-0000F2260000}"/>
    <cellStyle name="Normal 52 8 2 10" xfId="9966" xr:uid="{00000000-0005-0000-0000-0000F3260000}"/>
    <cellStyle name="Normal 52 8 2 11" xfId="9967" xr:uid="{00000000-0005-0000-0000-0000F4260000}"/>
    <cellStyle name="Normal 52 8 2 2" xfId="9968" xr:uid="{00000000-0005-0000-0000-0000F5260000}"/>
    <cellStyle name="Normal 52 8 2 3" xfId="9969" xr:uid="{00000000-0005-0000-0000-0000F6260000}"/>
    <cellStyle name="Normal 52 8 2 4" xfId="9970" xr:uid="{00000000-0005-0000-0000-0000F7260000}"/>
    <cellStyle name="Normal 52 8 2 5" xfId="9971" xr:uid="{00000000-0005-0000-0000-0000F8260000}"/>
    <cellStyle name="Normal 52 8 2 6" xfId="9972" xr:uid="{00000000-0005-0000-0000-0000F9260000}"/>
    <cellStyle name="Normal 52 8 2 7" xfId="9973" xr:uid="{00000000-0005-0000-0000-0000FA260000}"/>
    <cellStyle name="Normal 52 8 2 8" xfId="9974" xr:uid="{00000000-0005-0000-0000-0000FB260000}"/>
    <cellStyle name="Normal 52 8 2 9" xfId="9975" xr:uid="{00000000-0005-0000-0000-0000FC260000}"/>
    <cellStyle name="Normal 52 8 3" xfId="9976" xr:uid="{00000000-0005-0000-0000-0000FD260000}"/>
    <cellStyle name="Normal 52 8 4" xfId="9977" xr:uid="{00000000-0005-0000-0000-0000FE260000}"/>
    <cellStyle name="Normal 52 8 5" xfId="9978" xr:uid="{00000000-0005-0000-0000-0000FF260000}"/>
    <cellStyle name="Normal 52 8 6" xfId="9979" xr:uid="{00000000-0005-0000-0000-000000270000}"/>
    <cellStyle name="Normal 52 8 7" xfId="9980" xr:uid="{00000000-0005-0000-0000-000001270000}"/>
    <cellStyle name="Normal 52 8 8" xfId="9981" xr:uid="{00000000-0005-0000-0000-000002270000}"/>
    <cellStyle name="Normal 52 8 9" xfId="9982" xr:uid="{00000000-0005-0000-0000-000003270000}"/>
    <cellStyle name="Normal 52 9" xfId="9983" xr:uid="{00000000-0005-0000-0000-000004270000}"/>
    <cellStyle name="Normal 52 9 10" xfId="9984" xr:uid="{00000000-0005-0000-0000-000005270000}"/>
    <cellStyle name="Normal 52 9 11" xfId="9985" xr:uid="{00000000-0005-0000-0000-000006270000}"/>
    <cellStyle name="Normal 52 9 12" xfId="9986" xr:uid="{00000000-0005-0000-0000-000007270000}"/>
    <cellStyle name="Normal 52 9 13" xfId="9987" xr:uid="{00000000-0005-0000-0000-000008270000}"/>
    <cellStyle name="Normal 52 9 2" xfId="9988" xr:uid="{00000000-0005-0000-0000-000009270000}"/>
    <cellStyle name="Normal 52 9 2 10" xfId="9989" xr:uid="{00000000-0005-0000-0000-00000A270000}"/>
    <cellStyle name="Normal 52 9 2 11" xfId="9990" xr:uid="{00000000-0005-0000-0000-00000B270000}"/>
    <cellStyle name="Normal 52 9 2 2" xfId="9991" xr:uid="{00000000-0005-0000-0000-00000C270000}"/>
    <cellStyle name="Normal 52 9 2 3" xfId="9992" xr:uid="{00000000-0005-0000-0000-00000D270000}"/>
    <cellStyle name="Normal 52 9 2 4" xfId="9993" xr:uid="{00000000-0005-0000-0000-00000E270000}"/>
    <cellStyle name="Normal 52 9 2 5" xfId="9994" xr:uid="{00000000-0005-0000-0000-00000F270000}"/>
    <cellStyle name="Normal 52 9 2 6" xfId="9995" xr:uid="{00000000-0005-0000-0000-000010270000}"/>
    <cellStyle name="Normal 52 9 2 7" xfId="9996" xr:uid="{00000000-0005-0000-0000-000011270000}"/>
    <cellStyle name="Normal 52 9 2 8" xfId="9997" xr:uid="{00000000-0005-0000-0000-000012270000}"/>
    <cellStyle name="Normal 52 9 2 9" xfId="9998" xr:uid="{00000000-0005-0000-0000-000013270000}"/>
    <cellStyle name="Normal 52 9 3" xfId="9999" xr:uid="{00000000-0005-0000-0000-000014270000}"/>
    <cellStyle name="Normal 52 9 4" xfId="10000" xr:uid="{00000000-0005-0000-0000-000015270000}"/>
    <cellStyle name="Normal 52 9 5" xfId="10001" xr:uid="{00000000-0005-0000-0000-000016270000}"/>
    <cellStyle name="Normal 52 9 6" xfId="10002" xr:uid="{00000000-0005-0000-0000-000017270000}"/>
    <cellStyle name="Normal 52 9 7" xfId="10003" xr:uid="{00000000-0005-0000-0000-000018270000}"/>
    <cellStyle name="Normal 52 9 8" xfId="10004" xr:uid="{00000000-0005-0000-0000-000019270000}"/>
    <cellStyle name="Normal 52 9 9" xfId="10005" xr:uid="{00000000-0005-0000-0000-00001A270000}"/>
    <cellStyle name="Normal 53" xfId="10006" xr:uid="{00000000-0005-0000-0000-00001B270000}"/>
    <cellStyle name="Normal 53 10" xfId="10007" xr:uid="{00000000-0005-0000-0000-00001C270000}"/>
    <cellStyle name="Normal 53 10 10" xfId="10008" xr:uid="{00000000-0005-0000-0000-00001D270000}"/>
    <cellStyle name="Normal 53 10 11" xfId="10009" xr:uid="{00000000-0005-0000-0000-00001E270000}"/>
    <cellStyle name="Normal 53 10 12" xfId="10010" xr:uid="{00000000-0005-0000-0000-00001F270000}"/>
    <cellStyle name="Normal 53 10 13" xfId="10011" xr:uid="{00000000-0005-0000-0000-000020270000}"/>
    <cellStyle name="Normal 53 10 2" xfId="10012" xr:uid="{00000000-0005-0000-0000-000021270000}"/>
    <cellStyle name="Normal 53 10 2 10" xfId="10013" xr:uid="{00000000-0005-0000-0000-000022270000}"/>
    <cellStyle name="Normal 53 10 2 11" xfId="10014" xr:uid="{00000000-0005-0000-0000-000023270000}"/>
    <cellStyle name="Normal 53 10 2 2" xfId="10015" xr:uid="{00000000-0005-0000-0000-000024270000}"/>
    <cellStyle name="Normal 53 10 2 3" xfId="10016" xr:uid="{00000000-0005-0000-0000-000025270000}"/>
    <cellStyle name="Normal 53 10 2 4" xfId="10017" xr:uid="{00000000-0005-0000-0000-000026270000}"/>
    <cellStyle name="Normal 53 10 2 5" xfId="10018" xr:uid="{00000000-0005-0000-0000-000027270000}"/>
    <cellStyle name="Normal 53 10 2 6" xfId="10019" xr:uid="{00000000-0005-0000-0000-000028270000}"/>
    <cellStyle name="Normal 53 10 2 7" xfId="10020" xr:uid="{00000000-0005-0000-0000-000029270000}"/>
    <cellStyle name="Normal 53 10 2 8" xfId="10021" xr:uid="{00000000-0005-0000-0000-00002A270000}"/>
    <cellStyle name="Normal 53 10 2 9" xfId="10022" xr:uid="{00000000-0005-0000-0000-00002B270000}"/>
    <cellStyle name="Normal 53 10 3" xfId="10023" xr:uid="{00000000-0005-0000-0000-00002C270000}"/>
    <cellStyle name="Normal 53 10 4" xfId="10024" xr:uid="{00000000-0005-0000-0000-00002D270000}"/>
    <cellStyle name="Normal 53 10 5" xfId="10025" xr:uid="{00000000-0005-0000-0000-00002E270000}"/>
    <cellStyle name="Normal 53 10 6" xfId="10026" xr:uid="{00000000-0005-0000-0000-00002F270000}"/>
    <cellStyle name="Normal 53 10 7" xfId="10027" xr:uid="{00000000-0005-0000-0000-000030270000}"/>
    <cellStyle name="Normal 53 10 8" xfId="10028" xr:uid="{00000000-0005-0000-0000-000031270000}"/>
    <cellStyle name="Normal 53 10 9" xfId="10029" xr:uid="{00000000-0005-0000-0000-000032270000}"/>
    <cellStyle name="Normal 53 11" xfId="10030" xr:uid="{00000000-0005-0000-0000-000033270000}"/>
    <cellStyle name="Normal 53 11 10" xfId="10031" xr:uid="{00000000-0005-0000-0000-000034270000}"/>
    <cellStyle name="Normal 53 11 11" xfId="10032" xr:uid="{00000000-0005-0000-0000-000035270000}"/>
    <cellStyle name="Normal 53 11 12" xfId="10033" xr:uid="{00000000-0005-0000-0000-000036270000}"/>
    <cellStyle name="Normal 53 11 13" xfId="10034" xr:uid="{00000000-0005-0000-0000-000037270000}"/>
    <cellStyle name="Normal 53 11 2" xfId="10035" xr:uid="{00000000-0005-0000-0000-000038270000}"/>
    <cellStyle name="Normal 53 11 2 10" xfId="10036" xr:uid="{00000000-0005-0000-0000-000039270000}"/>
    <cellStyle name="Normal 53 11 2 11" xfId="10037" xr:uid="{00000000-0005-0000-0000-00003A270000}"/>
    <cellStyle name="Normal 53 11 2 2" xfId="10038" xr:uid="{00000000-0005-0000-0000-00003B270000}"/>
    <cellStyle name="Normal 53 11 2 3" xfId="10039" xr:uid="{00000000-0005-0000-0000-00003C270000}"/>
    <cellStyle name="Normal 53 11 2 4" xfId="10040" xr:uid="{00000000-0005-0000-0000-00003D270000}"/>
    <cellStyle name="Normal 53 11 2 5" xfId="10041" xr:uid="{00000000-0005-0000-0000-00003E270000}"/>
    <cellStyle name="Normal 53 11 2 6" xfId="10042" xr:uid="{00000000-0005-0000-0000-00003F270000}"/>
    <cellStyle name="Normal 53 11 2 7" xfId="10043" xr:uid="{00000000-0005-0000-0000-000040270000}"/>
    <cellStyle name="Normal 53 11 2 8" xfId="10044" xr:uid="{00000000-0005-0000-0000-000041270000}"/>
    <cellStyle name="Normal 53 11 2 9" xfId="10045" xr:uid="{00000000-0005-0000-0000-000042270000}"/>
    <cellStyle name="Normal 53 11 3" xfId="10046" xr:uid="{00000000-0005-0000-0000-000043270000}"/>
    <cellStyle name="Normal 53 11 4" xfId="10047" xr:uid="{00000000-0005-0000-0000-000044270000}"/>
    <cellStyle name="Normal 53 11 5" xfId="10048" xr:uid="{00000000-0005-0000-0000-000045270000}"/>
    <cellStyle name="Normal 53 11 6" xfId="10049" xr:uid="{00000000-0005-0000-0000-000046270000}"/>
    <cellStyle name="Normal 53 11 7" xfId="10050" xr:uid="{00000000-0005-0000-0000-000047270000}"/>
    <cellStyle name="Normal 53 11 8" xfId="10051" xr:uid="{00000000-0005-0000-0000-000048270000}"/>
    <cellStyle name="Normal 53 11 9" xfId="10052" xr:uid="{00000000-0005-0000-0000-000049270000}"/>
    <cellStyle name="Normal 53 12" xfId="10053" xr:uid="{00000000-0005-0000-0000-00004A270000}"/>
    <cellStyle name="Normal 53 12 10" xfId="10054" xr:uid="{00000000-0005-0000-0000-00004B270000}"/>
    <cellStyle name="Normal 53 12 11" xfId="10055" xr:uid="{00000000-0005-0000-0000-00004C270000}"/>
    <cellStyle name="Normal 53 12 12" xfId="10056" xr:uid="{00000000-0005-0000-0000-00004D270000}"/>
    <cellStyle name="Normal 53 12 13" xfId="10057" xr:uid="{00000000-0005-0000-0000-00004E270000}"/>
    <cellStyle name="Normal 53 12 2" xfId="10058" xr:uid="{00000000-0005-0000-0000-00004F270000}"/>
    <cellStyle name="Normal 53 12 2 10" xfId="10059" xr:uid="{00000000-0005-0000-0000-000050270000}"/>
    <cellStyle name="Normal 53 12 2 11" xfId="10060" xr:uid="{00000000-0005-0000-0000-000051270000}"/>
    <cellStyle name="Normal 53 12 2 2" xfId="10061" xr:uid="{00000000-0005-0000-0000-000052270000}"/>
    <cellStyle name="Normal 53 12 2 3" xfId="10062" xr:uid="{00000000-0005-0000-0000-000053270000}"/>
    <cellStyle name="Normal 53 12 2 4" xfId="10063" xr:uid="{00000000-0005-0000-0000-000054270000}"/>
    <cellStyle name="Normal 53 12 2 5" xfId="10064" xr:uid="{00000000-0005-0000-0000-000055270000}"/>
    <cellStyle name="Normal 53 12 2 6" xfId="10065" xr:uid="{00000000-0005-0000-0000-000056270000}"/>
    <cellStyle name="Normal 53 12 2 7" xfId="10066" xr:uid="{00000000-0005-0000-0000-000057270000}"/>
    <cellStyle name="Normal 53 12 2 8" xfId="10067" xr:uid="{00000000-0005-0000-0000-000058270000}"/>
    <cellStyle name="Normal 53 12 2 9" xfId="10068" xr:uid="{00000000-0005-0000-0000-000059270000}"/>
    <cellStyle name="Normal 53 12 3" xfId="10069" xr:uid="{00000000-0005-0000-0000-00005A270000}"/>
    <cellStyle name="Normal 53 12 4" xfId="10070" xr:uid="{00000000-0005-0000-0000-00005B270000}"/>
    <cellStyle name="Normal 53 12 5" xfId="10071" xr:uid="{00000000-0005-0000-0000-00005C270000}"/>
    <cellStyle name="Normal 53 12 6" xfId="10072" xr:uid="{00000000-0005-0000-0000-00005D270000}"/>
    <cellStyle name="Normal 53 12 7" xfId="10073" xr:uid="{00000000-0005-0000-0000-00005E270000}"/>
    <cellStyle name="Normal 53 12 8" xfId="10074" xr:uid="{00000000-0005-0000-0000-00005F270000}"/>
    <cellStyle name="Normal 53 12 9" xfId="10075" xr:uid="{00000000-0005-0000-0000-000060270000}"/>
    <cellStyle name="Normal 53 13" xfId="10076" xr:uid="{00000000-0005-0000-0000-000061270000}"/>
    <cellStyle name="Normal 53 13 10" xfId="10077" xr:uid="{00000000-0005-0000-0000-000062270000}"/>
    <cellStyle name="Normal 53 13 11" xfId="10078" xr:uid="{00000000-0005-0000-0000-000063270000}"/>
    <cellStyle name="Normal 53 13 12" xfId="10079" xr:uid="{00000000-0005-0000-0000-000064270000}"/>
    <cellStyle name="Normal 53 13 13" xfId="10080" xr:uid="{00000000-0005-0000-0000-000065270000}"/>
    <cellStyle name="Normal 53 13 2" xfId="10081" xr:uid="{00000000-0005-0000-0000-000066270000}"/>
    <cellStyle name="Normal 53 13 2 10" xfId="10082" xr:uid="{00000000-0005-0000-0000-000067270000}"/>
    <cellStyle name="Normal 53 13 2 11" xfId="10083" xr:uid="{00000000-0005-0000-0000-000068270000}"/>
    <cellStyle name="Normal 53 13 2 2" xfId="10084" xr:uid="{00000000-0005-0000-0000-000069270000}"/>
    <cellStyle name="Normal 53 13 2 3" xfId="10085" xr:uid="{00000000-0005-0000-0000-00006A270000}"/>
    <cellStyle name="Normal 53 13 2 4" xfId="10086" xr:uid="{00000000-0005-0000-0000-00006B270000}"/>
    <cellStyle name="Normal 53 13 2 5" xfId="10087" xr:uid="{00000000-0005-0000-0000-00006C270000}"/>
    <cellStyle name="Normal 53 13 2 6" xfId="10088" xr:uid="{00000000-0005-0000-0000-00006D270000}"/>
    <cellStyle name="Normal 53 13 2 7" xfId="10089" xr:uid="{00000000-0005-0000-0000-00006E270000}"/>
    <cellStyle name="Normal 53 13 2 8" xfId="10090" xr:uid="{00000000-0005-0000-0000-00006F270000}"/>
    <cellStyle name="Normal 53 13 2 9" xfId="10091" xr:uid="{00000000-0005-0000-0000-000070270000}"/>
    <cellStyle name="Normal 53 13 3" xfId="10092" xr:uid="{00000000-0005-0000-0000-000071270000}"/>
    <cellStyle name="Normal 53 13 4" xfId="10093" xr:uid="{00000000-0005-0000-0000-000072270000}"/>
    <cellStyle name="Normal 53 13 5" xfId="10094" xr:uid="{00000000-0005-0000-0000-000073270000}"/>
    <cellStyle name="Normal 53 13 6" xfId="10095" xr:uid="{00000000-0005-0000-0000-000074270000}"/>
    <cellStyle name="Normal 53 13 7" xfId="10096" xr:uid="{00000000-0005-0000-0000-000075270000}"/>
    <cellStyle name="Normal 53 13 8" xfId="10097" xr:uid="{00000000-0005-0000-0000-000076270000}"/>
    <cellStyle name="Normal 53 13 9" xfId="10098" xr:uid="{00000000-0005-0000-0000-000077270000}"/>
    <cellStyle name="Normal 53 14" xfId="10099" xr:uid="{00000000-0005-0000-0000-000078270000}"/>
    <cellStyle name="Normal 53 14 10" xfId="10100" xr:uid="{00000000-0005-0000-0000-000079270000}"/>
    <cellStyle name="Normal 53 14 11" xfId="10101" xr:uid="{00000000-0005-0000-0000-00007A270000}"/>
    <cellStyle name="Normal 53 14 2" xfId="10102" xr:uid="{00000000-0005-0000-0000-00007B270000}"/>
    <cellStyle name="Normal 53 14 3" xfId="10103" xr:uid="{00000000-0005-0000-0000-00007C270000}"/>
    <cellStyle name="Normal 53 14 4" xfId="10104" xr:uid="{00000000-0005-0000-0000-00007D270000}"/>
    <cellStyle name="Normal 53 14 5" xfId="10105" xr:uid="{00000000-0005-0000-0000-00007E270000}"/>
    <cellStyle name="Normal 53 14 6" xfId="10106" xr:uid="{00000000-0005-0000-0000-00007F270000}"/>
    <cellStyle name="Normal 53 14 7" xfId="10107" xr:uid="{00000000-0005-0000-0000-000080270000}"/>
    <cellStyle name="Normal 53 14 8" xfId="10108" xr:uid="{00000000-0005-0000-0000-000081270000}"/>
    <cellStyle name="Normal 53 14 9" xfId="10109" xr:uid="{00000000-0005-0000-0000-000082270000}"/>
    <cellStyle name="Normal 53 15" xfId="10110" xr:uid="{00000000-0005-0000-0000-000083270000}"/>
    <cellStyle name="Normal 53 16" xfId="10111" xr:uid="{00000000-0005-0000-0000-000084270000}"/>
    <cellStyle name="Normal 53 17" xfId="10112" xr:uid="{00000000-0005-0000-0000-000085270000}"/>
    <cellStyle name="Normal 53 18" xfId="10113" xr:uid="{00000000-0005-0000-0000-000086270000}"/>
    <cellStyle name="Normal 53 19" xfId="10114" xr:uid="{00000000-0005-0000-0000-000087270000}"/>
    <cellStyle name="Normal 53 2" xfId="10115" xr:uid="{00000000-0005-0000-0000-000088270000}"/>
    <cellStyle name="Normal 53 2 10" xfId="10116" xr:uid="{00000000-0005-0000-0000-000089270000}"/>
    <cellStyle name="Normal 53 2 11" xfId="10117" xr:uid="{00000000-0005-0000-0000-00008A270000}"/>
    <cellStyle name="Normal 53 2 12" xfId="10118" xr:uid="{00000000-0005-0000-0000-00008B270000}"/>
    <cellStyle name="Normal 53 2 13" xfId="10119" xr:uid="{00000000-0005-0000-0000-00008C270000}"/>
    <cellStyle name="Normal 53 2 2" xfId="10120" xr:uid="{00000000-0005-0000-0000-00008D270000}"/>
    <cellStyle name="Normal 53 2 2 10" xfId="10121" xr:uid="{00000000-0005-0000-0000-00008E270000}"/>
    <cellStyle name="Normal 53 2 2 11" xfId="10122" xr:uid="{00000000-0005-0000-0000-00008F270000}"/>
    <cellStyle name="Normal 53 2 2 2" xfId="10123" xr:uid="{00000000-0005-0000-0000-000090270000}"/>
    <cellStyle name="Normal 53 2 2 3" xfId="10124" xr:uid="{00000000-0005-0000-0000-000091270000}"/>
    <cellStyle name="Normal 53 2 2 4" xfId="10125" xr:uid="{00000000-0005-0000-0000-000092270000}"/>
    <cellStyle name="Normal 53 2 2 5" xfId="10126" xr:uid="{00000000-0005-0000-0000-000093270000}"/>
    <cellStyle name="Normal 53 2 2 6" xfId="10127" xr:uid="{00000000-0005-0000-0000-000094270000}"/>
    <cellStyle name="Normal 53 2 2 7" xfId="10128" xr:uid="{00000000-0005-0000-0000-000095270000}"/>
    <cellStyle name="Normal 53 2 2 8" xfId="10129" xr:uid="{00000000-0005-0000-0000-000096270000}"/>
    <cellStyle name="Normal 53 2 2 9" xfId="10130" xr:uid="{00000000-0005-0000-0000-000097270000}"/>
    <cellStyle name="Normal 53 2 3" xfId="10131" xr:uid="{00000000-0005-0000-0000-000098270000}"/>
    <cellStyle name="Normal 53 2 4" xfId="10132" xr:uid="{00000000-0005-0000-0000-000099270000}"/>
    <cellStyle name="Normal 53 2 5" xfId="10133" xr:uid="{00000000-0005-0000-0000-00009A270000}"/>
    <cellStyle name="Normal 53 2 6" xfId="10134" xr:uid="{00000000-0005-0000-0000-00009B270000}"/>
    <cellStyle name="Normal 53 2 7" xfId="10135" xr:uid="{00000000-0005-0000-0000-00009C270000}"/>
    <cellStyle name="Normal 53 2 8" xfId="10136" xr:uid="{00000000-0005-0000-0000-00009D270000}"/>
    <cellStyle name="Normal 53 2 9" xfId="10137" xr:uid="{00000000-0005-0000-0000-00009E270000}"/>
    <cellStyle name="Normal 53 20" xfId="10138" xr:uid="{00000000-0005-0000-0000-00009F270000}"/>
    <cellStyle name="Normal 53 21" xfId="10139" xr:uid="{00000000-0005-0000-0000-0000A0270000}"/>
    <cellStyle name="Normal 53 22" xfId="10140" xr:uid="{00000000-0005-0000-0000-0000A1270000}"/>
    <cellStyle name="Normal 53 23" xfId="10141" xr:uid="{00000000-0005-0000-0000-0000A2270000}"/>
    <cellStyle name="Normal 53 24" xfId="10142" xr:uid="{00000000-0005-0000-0000-0000A3270000}"/>
    <cellStyle name="Normal 53 25" xfId="10143" xr:uid="{00000000-0005-0000-0000-0000A4270000}"/>
    <cellStyle name="Normal 53 3" xfId="10144" xr:uid="{00000000-0005-0000-0000-0000A5270000}"/>
    <cellStyle name="Normal 53 3 10" xfId="10145" xr:uid="{00000000-0005-0000-0000-0000A6270000}"/>
    <cellStyle name="Normal 53 3 11" xfId="10146" xr:uid="{00000000-0005-0000-0000-0000A7270000}"/>
    <cellStyle name="Normal 53 3 12" xfId="10147" xr:uid="{00000000-0005-0000-0000-0000A8270000}"/>
    <cellStyle name="Normal 53 3 13" xfId="10148" xr:uid="{00000000-0005-0000-0000-0000A9270000}"/>
    <cellStyle name="Normal 53 3 2" xfId="10149" xr:uid="{00000000-0005-0000-0000-0000AA270000}"/>
    <cellStyle name="Normal 53 3 2 10" xfId="10150" xr:uid="{00000000-0005-0000-0000-0000AB270000}"/>
    <cellStyle name="Normal 53 3 2 11" xfId="10151" xr:uid="{00000000-0005-0000-0000-0000AC270000}"/>
    <cellStyle name="Normal 53 3 2 2" xfId="10152" xr:uid="{00000000-0005-0000-0000-0000AD270000}"/>
    <cellStyle name="Normal 53 3 2 3" xfId="10153" xr:uid="{00000000-0005-0000-0000-0000AE270000}"/>
    <cellStyle name="Normal 53 3 2 4" xfId="10154" xr:uid="{00000000-0005-0000-0000-0000AF270000}"/>
    <cellStyle name="Normal 53 3 2 5" xfId="10155" xr:uid="{00000000-0005-0000-0000-0000B0270000}"/>
    <cellStyle name="Normal 53 3 2 6" xfId="10156" xr:uid="{00000000-0005-0000-0000-0000B1270000}"/>
    <cellStyle name="Normal 53 3 2 7" xfId="10157" xr:uid="{00000000-0005-0000-0000-0000B2270000}"/>
    <cellStyle name="Normal 53 3 2 8" xfId="10158" xr:uid="{00000000-0005-0000-0000-0000B3270000}"/>
    <cellStyle name="Normal 53 3 2 9" xfId="10159" xr:uid="{00000000-0005-0000-0000-0000B4270000}"/>
    <cellStyle name="Normal 53 3 3" xfId="10160" xr:uid="{00000000-0005-0000-0000-0000B5270000}"/>
    <cellStyle name="Normal 53 3 4" xfId="10161" xr:uid="{00000000-0005-0000-0000-0000B6270000}"/>
    <cellStyle name="Normal 53 3 5" xfId="10162" xr:uid="{00000000-0005-0000-0000-0000B7270000}"/>
    <cellStyle name="Normal 53 3 6" xfId="10163" xr:uid="{00000000-0005-0000-0000-0000B8270000}"/>
    <cellStyle name="Normal 53 3 7" xfId="10164" xr:uid="{00000000-0005-0000-0000-0000B9270000}"/>
    <cellStyle name="Normal 53 3 8" xfId="10165" xr:uid="{00000000-0005-0000-0000-0000BA270000}"/>
    <cellStyle name="Normal 53 3 9" xfId="10166" xr:uid="{00000000-0005-0000-0000-0000BB270000}"/>
    <cellStyle name="Normal 53 4" xfId="10167" xr:uid="{00000000-0005-0000-0000-0000BC270000}"/>
    <cellStyle name="Normal 53 4 10" xfId="10168" xr:uid="{00000000-0005-0000-0000-0000BD270000}"/>
    <cellStyle name="Normal 53 4 11" xfId="10169" xr:uid="{00000000-0005-0000-0000-0000BE270000}"/>
    <cellStyle name="Normal 53 4 12" xfId="10170" xr:uid="{00000000-0005-0000-0000-0000BF270000}"/>
    <cellStyle name="Normal 53 4 13" xfId="10171" xr:uid="{00000000-0005-0000-0000-0000C0270000}"/>
    <cellStyle name="Normal 53 4 2" xfId="10172" xr:uid="{00000000-0005-0000-0000-0000C1270000}"/>
    <cellStyle name="Normal 53 4 2 10" xfId="10173" xr:uid="{00000000-0005-0000-0000-0000C2270000}"/>
    <cellStyle name="Normal 53 4 2 11" xfId="10174" xr:uid="{00000000-0005-0000-0000-0000C3270000}"/>
    <cellStyle name="Normal 53 4 2 2" xfId="10175" xr:uid="{00000000-0005-0000-0000-0000C4270000}"/>
    <cellStyle name="Normal 53 4 2 3" xfId="10176" xr:uid="{00000000-0005-0000-0000-0000C5270000}"/>
    <cellStyle name="Normal 53 4 2 4" xfId="10177" xr:uid="{00000000-0005-0000-0000-0000C6270000}"/>
    <cellStyle name="Normal 53 4 2 5" xfId="10178" xr:uid="{00000000-0005-0000-0000-0000C7270000}"/>
    <cellStyle name="Normal 53 4 2 6" xfId="10179" xr:uid="{00000000-0005-0000-0000-0000C8270000}"/>
    <cellStyle name="Normal 53 4 2 7" xfId="10180" xr:uid="{00000000-0005-0000-0000-0000C9270000}"/>
    <cellStyle name="Normal 53 4 2 8" xfId="10181" xr:uid="{00000000-0005-0000-0000-0000CA270000}"/>
    <cellStyle name="Normal 53 4 2 9" xfId="10182" xr:uid="{00000000-0005-0000-0000-0000CB270000}"/>
    <cellStyle name="Normal 53 4 3" xfId="10183" xr:uid="{00000000-0005-0000-0000-0000CC270000}"/>
    <cellStyle name="Normal 53 4 4" xfId="10184" xr:uid="{00000000-0005-0000-0000-0000CD270000}"/>
    <cellStyle name="Normal 53 4 5" xfId="10185" xr:uid="{00000000-0005-0000-0000-0000CE270000}"/>
    <cellStyle name="Normal 53 4 6" xfId="10186" xr:uid="{00000000-0005-0000-0000-0000CF270000}"/>
    <cellStyle name="Normal 53 4 7" xfId="10187" xr:uid="{00000000-0005-0000-0000-0000D0270000}"/>
    <cellStyle name="Normal 53 4 8" xfId="10188" xr:uid="{00000000-0005-0000-0000-0000D1270000}"/>
    <cellStyle name="Normal 53 4 9" xfId="10189" xr:uid="{00000000-0005-0000-0000-0000D2270000}"/>
    <cellStyle name="Normal 53 5" xfId="10190" xr:uid="{00000000-0005-0000-0000-0000D3270000}"/>
    <cellStyle name="Normal 53 5 10" xfId="10191" xr:uid="{00000000-0005-0000-0000-0000D4270000}"/>
    <cellStyle name="Normal 53 5 11" xfId="10192" xr:uid="{00000000-0005-0000-0000-0000D5270000}"/>
    <cellStyle name="Normal 53 5 12" xfId="10193" xr:uid="{00000000-0005-0000-0000-0000D6270000}"/>
    <cellStyle name="Normal 53 5 13" xfId="10194" xr:uid="{00000000-0005-0000-0000-0000D7270000}"/>
    <cellStyle name="Normal 53 5 2" xfId="10195" xr:uid="{00000000-0005-0000-0000-0000D8270000}"/>
    <cellStyle name="Normal 53 5 2 10" xfId="10196" xr:uid="{00000000-0005-0000-0000-0000D9270000}"/>
    <cellStyle name="Normal 53 5 2 11" xfId="10197" xr:uid="{00000000-0005-0000-0000-0000DA270000}"/>
    <cellStyle name="Normal 53 5 2 2" xfId="10198" xr:uid="{00000000-0005-0000-0000-0000DB270000}"/>
    <cellStyle name="Normal 53 5 2 3" xfId="10199" xr:uid="{00000000-0005-0000-0000-0000DC270000}"/>
    <cellStyle name="Normal 53 5 2 4" xfId="10200" xr:uid="{00000000-0005-0000-0000-0000DD270000}"/>
    <cellStyle name="Normal 53 5 2 5" xfId="10201" xr:uid="{00000000-0005-0000-0000-0000DE270000}"/>
    <cellStyle name="Normal 53 5 2 6" xfId="10202" xr:uid="{00000000-0005-0000-0000-0000DF270000}"/>
    <cellStyle name="Normal 53 5 2 7" xfId="10203" xr:uid="{00000000-0005-0000-0000-0000E0270000}"/>
    <cellStyle name="Normal 53 5 2 8" xfId="10204" xr:uid="{00000000-0005-0000-0000-0000E1270000}"/>
    <cellStyle name="Normal 53 5 2 9" xfId="10205" xr:uid="{00000000-0005-0000-0000-0000E2270000}"/>
    <cellStyle name="Normal 53 5 3" xfId="10206" xr:uid="{00000000-0005-0000-0000-0000E3270000}"/>
    <cellStyle name="Normal 53 5 4" xfId="10207" xr:uid="{00000000-0005-0000-0000-0000E4270000}"/>
    <cellStyle name="Normal 53 5 5" xfId="10208" xr:uid="{00000000-0005-0000-0000-0000E5270000}"/>
    <cellStyle name="Normal 53 5 6" xfId="10209" xr:uid="{00000000-0005-0000-0000-0000E6270000}"/>
    <cellStyle name="Normal 53 5 7" xfId="10210" xr:uid="{00000000-0005-0000-0000-0000E7270000}"/>
    <cellStyle name="Normal 53 5 8" xfId="10211" xr:uid="{00000000-0005-0000-0000-0000E8270000}"/>
    <cellStyle name="Normal 53 5 9" xfId="10212" xr:uid="{00000000-0005-0000-0000-0000E9270000}"/>
    <cellStyle name="Normal 53 6" xfId="10213" xr:uid="{00000000-0005-0000-0000-0000EA270000}"/>
    <cellStyle name="Normal 53 6 10" xfId="10214" xr:uid="{00000000-0005-0000-0000-0000EB270000}"/>
    <cellStyle name="Normal 53 6 11" xfId="10215" xr:uid="{00000000-0005-0000-0000-0000EC270000}"/>
    <cellStyle name="Normal 53 6 12" xfId="10216" xr:uid="{00000000-0005-0000-0000-0000ED270000}"/>
    <cellStyle name="Normal 53 6 13" xfId="10217" xr:uid="{00000000-0005-0000-0000-0000EE270000}"/>
    <cellStyle name="Normal 53 6 2" xfId="10218" xr:uid="{00000000-0005-0000-0000-0000EF270000}"/>
    <cellStyle name="Normal 53 6 2 10" xfId="10219" xr:uid="{00000000-0005-0000-0000-0000F0270000}"/>
    <cellStyle name="Normal 53 6 2 11" xfId="10220" xr:uid="{00000000-0005-0000-0000-0000F1270000}"/>
    <cellStyle name="Normal 53 6 2 2" xfId="10221" xr:uid="{00000000-0005-0000-0000-0000F2270000}"/>
    <cellStyle name="Normal 53 6 2 3" xfId="10222" xr:uid="{00000000-0005-0000-0000-0000F3270000}"/>
    <cellStyle name="Normal 53 6 2 4" xfId="10223" xr:uid="{00000000-0005-0000-0000-0000F4270000}"/>
    <cellStyle name="Normal 53 6 2 5" xfId="10224" xr:uid="{00000000-0005-0000-0000-0000F5270000}"/>
    <cellStyle name="Normal 53 6 2 6" xfId="10225" xr:uid="{00000000-0005-0000-0000-0000F6270000}"/>
    <cellStyle name="Normal 53 6 2 7" xfId="10226" xr:uid="{00000000-0005-0000-0000-0000F7270000}"/>
    <cellStyle name="Normal 53 6 2 8" xfId="10227" xr:uid="{00000000-0005-0000-0000-0000F8270000}"/>
    <cellStyle name="Normal 53 6 2 9" xfId="10228" xr:uid="{00000000-0005-0000-0000-0000F9270000}"/>
    <cellStyle name="Normal 53 6 3" xfId="10229" xr:uid="{00000000-0005-0000-0000-0000FA270000}"/>
    <cellStyle name="Normal 53 6 4" xfId="10230" xr:uid="{00000000-0005-0000-0000-0000FB270000}"/>
    <cellStyle name="Normal 53 6 5" xfId="10231" xr:uid="{00000000-0005-0000-0000-0000FC270000}"/>
    <cellStyle name="Normal 53 6 6" xfId="10232" xr:uid="{00000000-0005-0000-0000-0000FD270000}"/>
    <cellStyle name="Normal 53 6 7" xfId="10233" xr:uid="{00000000-0005-0000-0000-0000FE270000}"/>
    <cellStyle name="Normal 53 6 8" xfId="10234" xr:uid="{00000000-0005-0000-0000-0000FF270000}"/>
    <cellStyle name="Normal 53 6 9" xfId="10235" xr:uid="{00000000-0005-0000-0000-000000280000}"/>
    <cellStyle name="Normal 53 7" xfId="10236" xr:uid="{00000000-0005-0000-0000-000001280000}"/>
    <cellStyle name="Normal 53 7 10" xfId="10237" xr:uid="{00000000-0005-0000-0000-000002280000}"/>
    <cellStyle name="Normal 53 7 11" xfId="10238" xr:uid="{00000000-0005-0000-0000-000003280000}"/>
    <cellStyle name="Normal 53 7 12" xfId="10239" xr:uid="{00000000-0005-0000-0000-000004280000}"/>
    <cellStyle name="Normal 53 7 13" xfId="10240" xr:uid="{00000000-0005-0000-0000-000005280000}"/>
    <cellStyle name="Normal 53 7 2" xfId="10241" xr:uid="{00000000-0005-0000-0000-000006280000}"/>
    <cellStyle name="Normal 53 7 2 10" xfId="10242" xr:uid="{00000000-0005-0000-0000-000007280000}"/>
    <cellStyle name="Normal 53 7 2 11" xfId="10243" xr:uid="{00000000-0005-0000-0000-000008280000}"/>
    <cellStyle name="Normal 53 7 2 2" xfId="10244" xr:uid="{00000000-0005-0000-0000-000009280000}"/>
    <cellStyle name="Normal 53 7 2 3" xfId="10245" xr:uid="{00000000-0005-0000-0000-00000A280000}"/>
    <cellStyle name="Normal 53 7 2 4" xfId="10246" xr:uid="{00000000-0005-0000-0000-00000B280000}"/>
    <cellStyle name="Normal 53 7 2 5" xfId="10247" xr:uid="{00000000-0005-0000-0000-00000C280000}"/>
    <cellStyle name="Normal 53 7 2 6" xfId="10248" xr:uid="{00000000-0005-0000-0000-00000D280000}"/>
    <cellStyle name="Normal 53 7 2 7" xfId="10249" xr:uid="{00000000-0005-0000-0000-00000E280000}"/>
    <cellStyle name="Normal 53 7 2 8" xfId="10250" xr:uid="{00000000-0005-0000-0000-00000F280000}"/>
    <cellStyle name="Normal 53 7 2 9" xfId="10251" xr:uid="{00000000-0005-0000-0000-000010280000}"/>
    <cellStyle name="Normal 53 7 3" xfId="10252" xr:uid="{00000000-0005-0000-0000-000011280000}"/>
    <cellStyle name="Normal 53 7 4" xfId="10253" xr:uid="{00000000-0005-0000-0000-000012280000}"/>
    <cellStyle name="Normal 53 7 5" xfId="10254" xr:uid="{00000000-0005-0000-0000-000013280000}"/>
    <cellStyle name="Normal 53 7 6" xfId="10255" xr:uid="{00000000-0005-0000-0000-000014280000}"/>
    <cellStyle name="Normal 53 7 7" xfId="10256" xr:uid="{00000000-0005-0000-0000-000015280000}"/>
    <cellStyle name="Normal 53 7 8" xfId="10257" xr:uid="{00000000-0005-0000-0000-000016280000}"/>
    <cellStyle name="Normal 53 7 9" xfId="10258" xr:uid="{00000000-0005-0000-0000-000017280000}"/>
    <cellStyle name="Normal 53 8" xfId="10259" xr:uid="{00000000-0005-0000-0000-000018280000}"/>
    <cellStyle name="Normal 53 8 10" xfId="10260" xr:uid="{00000000-0005-0000-0000-000019280000}"/>
    <cellStyle name="Normal 53 8 11" xfId="10261" xr:uid="{00000000-0005-0000-0000-00001A280000}"/>
    <cellStyle name="Normal 53 8 12" xfId="10262" xr:uid="{00000000-0005-0000-0000-00001B280000}"/>
    <cellStyle name="Normal 53 8 13" xfId="10263" xr:uid="{00000000-0005-0000-0000-00001C280000}"/>
    <cellStyle name="Normal 53 8 2" xfId="10264" xr:uid="{00000000-0005-0000-0000-00001D280000}"/>
    <cellStyle name="Normal 53 8 2 10" xfId="10265" xr:uid="{00000000-0005-0000-0000-00001E280000}"/>
    <cellStyle name="Normal 53 8 2 11" xfId="10266" xr:uid="{00000000-0005-0000-0000-00001F280000}"/>
    <cellStyle name="Normal 53 8 2 2" xfId="10267" xr:uid="{00000000-0005-0000-0000-000020280000}"/>
    <cellStyle name="Normal 53 8 2 3" xfId="10268" xr:uid="{00000000-0005-0000-0000-000021280000}"/>
    <cellStyle name="Normal 53 8 2 4" xfId="10269" xr:uid="{00000000-0005-0000-0000-000022280000}"/>
    <cellStyle name="Normal 53 8 2 5" xfId="10270" xr:uid="{00000000-0005-0000-0000-000023280000}"/>
    <cellStyle name="Normal 53 8 2 6" xfId="10271" xr:uid="{00000000-0005-0000-0000-000024280000}"/>
    <cellStyle name="Normal 53 8 2 7" xfId="10272" xr:uid="{00000000-0005-0000-0000-000025280000}"/>
    <cellStyle name="Normal 53 8 2 8" xfId="10273" xr:uid="{00000000-0005-0000-0000-000026280000}"/>
    <cellStyle name="Normal 53 8 2 9" xfId="10274" xr:uid="{00000000-0005-0000-0000-000027280000}"/>
    <cellStyle name="Normal 53 8 3" xfId="10275" xr:uid="{00000000-0005-0000-0000-000028280000}"/>
    <cellStyle name="Normal 53 8 4" xfId="10276" xr:uid="{00000000-0005-0000-0000-000029280000}"/>
    <cellStyle name="Normal 53 8 5" xfId="10277" xr:uid="{00000000-0005-0000-0000-00002A280000}"/>
    <cellStyle name="Normal 53 8 6" xfId="10278" xr:uid="{00000000-0005-0000-0000-00002B280000}"/>
    <cellStyle name="Normal 53 8 7" xfId="10279" xr:uid="{00000000-0005-0000-0000-00002C280000}"/>
    <cellStyle name="Normal 53 8 8" xfId="10280" xr:uid="{00000000-0005-0000-0000-00002D280000}"/>
    <cellStyle name="Normal 53 8 9" xfId="10281" xr:uid="{00000000-0005-0000-0000-00002E280000}"/>
    <cellStyle name="Normal 53 9" xfId="10282" xr:uid="{00000000-0005-0000-0000-00002F280000}"/>
    <cellStyle name="Normal 53 9 10" xfId="10283" xr:uid="{00000000-0005-0000-0000-000030280000}"/>
    <cellStyle name="Normal 53 9 11" xfId="10284" xr:uid="{00000000-0005-0000-0000-000031280000}"/>
    <cellStyle name="Normal 53 9 12" xfId="10285" xr:uid="{00000000-0005-0000-0000-000032280000}"/>
    <cellStyle name="Normal 53 9 13" xfId="10286" xr:uid="{00000000-0005-0000-0000-000033280000}"/>
    <cellStyle name="Normal 53 9 2" xfId="10287" xr:uid="{00000000-0005-0000-0000-000034280000}"/>
    <cellStyle name="Normal 53 9 2 10" xfId="10288" xr:uid="{00000000-0005-0000-0000-000035280000}"/>
    <cellStyle name="Normal 53 9 2 11" xfId="10289" xr:uid="{00000000-0005-0000-0000-000036280000}"/>
    <cellStyle name="Normal 53 9 2 2" xfId="10290" xr:uid="{00000000-0005-0000-0000-000037280000}"/>
    <cellStyle name="Normal 53 9 2 3" xfId="10291" xr:uid="{00000000-0005-0000-0000-000038280000}"/>
    <cellStyle name="Normal 53 9 2 4" xfId="10292" xr:uid="{00000000-0005-0000-0000-000039280000}"/>
    <cellStyle name="Normal 53 9 2 5" xfId="10293" xr:uid="{00000000-0005-0000-0000-00003A280000}"/>
    <cellStyle name="Normal 53 9 2 6" xfId="10294" xr:uid="{00000000-0005-0000-0000-00003B280000}"/>
    <cellStyle name="Normal 53 9 2 7" xfId="10295" xr:uid="{00000000-0005-0000-0000-00003C280000}"/>
    <cellStyle name="Normal 53 9 2 8" xfId="10296" xr:uid="{00000000-0005-0000-0000-00003D280000}"/>
    <cellStyle name="Normal 53 9 2 9" xfId="10297" xr:uid="{00000000-0005-0000-0000-00003E280000}"/>
    <cellStyle name="Normal 53 9 3" xfId="10298" xr:uid="{00000000-0005-0000-0000-00003F280000}"/>
    <cellStyle name="Normal 53 9 4" xfId="10299" xr:uid="{00000000-0005-0000-0000-000040280000}"/>
    <cellStyle name="Normal 53 9 5" xfId="10300" xr:uid="{00000000-0005-0000-0000-000041280000}"/>
    <cellStyle name="Normal 53 9 6" xfId="10301" xr:uid="{00000000-0005-0000-0000-000042280000}"/>
    <cellStyle name="Normal 53 9 7" xfId="10302" xr:uid="{00000000-0005-0000-0000-000043280000}"/>
    <cellStyle name="Normal 53 9 8" xfId="10303" xr:uid="{00000000-0005-0000-0000-000044280000}"/>
    <cellStyle name="Normal 53 9 9" xfId="10304" xr:uid="{00000000-0005-0000-0000-000045280000}"/>
    <cellStyle name="Normal 54" xfId="10305" xr:uid="{00000000-0005-0000-0000-000046280000}"/>
    <cellStyle name="Normal 54 10" xfId="10306" xr:uid="{00000000-0005-0000-0000-000047280000}"/>
    <cellStyle name="Normal 54 10 10" xfId="10307" xr:uid="{00000000-0005-0000-0000-000048280000}"/>
    <cellStyle name="Normal 54 10 11" xfId="10308" xr:uid="{00000000-0005-0000-0000-000049280000}"/>
    <cellStyle name="Normal 54 10 12" xfId="10309" xr:uid="{00000000-0005-0000-0000-00004A280000}"/>
    <cellStyle name="Normal 54 10 13" xfId="10310" xr:uid="{00000000-0005-0000-0000-00004B280000}"/>
    <cellStyle name="Normal 54 10 2" xfId="10311" xr:uid="{00000000-0005-0000-0000-00004C280000}"/>
    <cellStyle name="Normal 54 10 2 10" xfId="10312" xr:uid="{00000000-0005-0000-0000-00004D280000}"/>
    <cellStyle name="Normal 54 10 2 11" xfId="10313" xr:uid="{00000000-0005-0000-0000-00004E280000}"/>
    <cellStyle name="Normal 54 10 2 2" xfId="10314" xr:uid="{00000000-0005-0000-0000-00004F280000}"/>
    <cellStyle name="Normal 54 10 2 3" xfId="10315" xr:uid="{00000000-0005-0000-0000-000050280000}"/>
    <cellStyle name="Normal 54 10 2 4" xfId="10316" xr:uid="{00000000-0005-0000-0000-000051280000}"/>
    <cellStyle name="Normal 54 10 2 5" xfId="10317" xr:uid="{00000000-0005-0000-0000-000052280000}"/>
    <cellStyle name="Normal 54 10 2 6" xfId="10318" xr:uid="{00000000-0005-0000-0000-000053280000}"/>
    <cellStyle name="Normal 54 10 2 7" xfId="10319" xr:uid="{00000000-0005-0000-0000-000054280000}"/>
    <cellStyle name="Normal 54 10 2 8" xfId="10320" xr:uid="{00000000-0005-0000-0000-000055280000}"/>
    <cellStyle name="Normal 54 10 2 9" xfId="10321" xr:uid="{00000000-0005-0000-0000-000056280000}"/>
    <cellStyle name="Normal 54 10 3" xfId="10322" xr:uid="{00000000-0005-0000-0000-000057280000}"/>
    <cellStyle name="Normal 54 10 4" xfId="10323" xr:uid="{00000000-0005-0000-0000-000058280000}"/>
    <cellStyle name="Normal 54 10 5" xfId="10324" xr:uid="{00000000-0005-0000-0000-000059280000}"/>
    <cellStyle name="Normal 54 10 6" xfId="10325" xr:uid="{00000000-0005-0000-0000-00005A280000}"/>
    <cellStyle name="Normal 54 10 7" xfId="10326" xr:uid="{00000000-0005-0000-0000-00005B280000}"/>
    <cellStyle name="Normal 54 10 8" xfId="10327" xr:uid="{00000000-0005-0000-0000-00005C280000}"/>
    <cellStyle name="Normal 54 10 9" xfId="10328" xr:uid="{00000000-0005-0000-0000-00005D280000}"/>
    <cellStyle name="Normal 54 11" xfId="10329" xr:uid="{00000000-0005-0000-0000-00005E280000}"/>
    <cellStyle name="Normal 54 11 10" xfId="10330" xr:uid="{00000000-0005-0000-0000-00005F280000}"/>
    <cellStyle name="Normal 54 11 11" xfId="10331" xr:uid="{00000000-0005-0000-0000-000060280000}"/>
    <cellStyle name="Normal 54 11 12" xfId="10332" xr:uid="{00000000-0005-0000-0000-000061280000}"/>
    <cellStyle name="Normal 54 11 13" xfId="10333" xr:uid="{00000000-0005-0000-0000-000062280000}"/>
    <cellStyle name="Normal 54 11 2" xfId="10334" xr:uid="{00000000-0005-0000-0000-000063280000}"/>
    <cellStyle name="Normal 54 11 2 10" xfId="10335" xr:uid="{00000000-0005-0000-0000-000064280000}"/>
    <cellStyle name="Normal 54 11 2 11" xfId="10336" xr:uid="{00000000-0005-0000-0000-000065280000}"/>
    <cellStyle name="Normal 54 11 2 2" xfId="10337" xr:uid="{00000000-0005-0000-0000-000066280000}"/>
    <cellStyle name="Normal 54 11 2 3" xfId="10338" xr:uid="{00000000-0005-0000-0000-000067280000}"/>
    <cellStyle name="Normal 54 11 2 4" xfId="10339" xr:uid="{00000000-0005-0000-0000-000068280000}"/>
    <cellStyle name="Normal 54 11 2 5" xfId="10340" xr:uid="{00000000-0005-0000-0000-000069280000}"/>
    <cellStyle name="Normal 54 11 2 6" xfId="10341" xr:uid="{00000000-0005-0000-0000-00006A280000}"/>
    <cellStyle name="Normal 54 11 2 7" xfId="10342" xr:uid="{00000000-0005-0000-0000-00006B280000}"/>
    <cellStyle name="Normal 54 11 2 8" xfId="10343" xr:uid="{00000000-0005-0000-0000-00006C280000}"/>
    <cellStyle name="Normal 54 11 2 9" xfId="10344" xr:uid="{00000000-0005-0000-0000-00006D280000}"/>
    <cellStyle name="Normal 54 11 3" xfId="10345" xr:uid="{00000000-0005-0000-0000-00006E280000}"/>
    <cellStyle name="Normal 54 11 4" xfId="10346" xr:uid="{00000000-0005-0000-0000-00006F280000}"/>
    <cellStyle name="Normal 54 11 5" xfId="10347" xr:uid="{00000000-0005-0000-0000-000070280000}"/>
    <cellStyle name="Normal 54 11 6" xfId="10348" xr:uid="{00000000-0005-0000-0000-000071280000}"/>
    <cellStyle name="Normal 54 11 7" xfId="10349" xr:uid="{00000000-0005-0000-0000-000072280000}"/>
    <cellStyle name="Normal 54 11 8" xfId="10350" xr:uid="{00000000-0005-0000-0000-000073280000}"/>
    <cellStyle name="Normal 54 11 9" xfId="10351" xr:uid="{00000000-0005-0000-0000-000074280000}"/>
    <cellStyle name="Normal 54 12" xfId="10352" xr:uid="{00000000-0005-0000-0000-000075280000}"/>
    <cellStyle name="Normal 54 12 10" xfId="10353" xr:uid="{00000000-0005-0000-0000-000076280000}"/>
    <cellStyle name="Normal 54 12 11" xfId="10354" xr:uid="{00000000-0005-0000-0000-000077280000}"/>
    <cellStyle name="Normal 54 12 12" xfId="10355" xr:uid="{00000000-0005-0000-0000-000078280000}"/>
    <cellStyle name="Normal 54 12 13" xfId="10356" xr:uid="{00000000-0005-0000-0000-000079280000}"/>
    <cellStyle name="Normal 54 12 2" xfId="10357" xr:uid="{00000000-0005-0000-0000-00007A280000}"/>
    <cellStyle name="Normal 54 12 2 10" xfId="10358" xr:uid="{00000000-0005-0000-0000-00007B280000}"/>
    <cellStyle name="Normal 54 12 2 11" xfId="10359" xr:uid="{00000000-0005-0000-0000-00007C280000}"/>
    <cellStyle name="Normal 54 12 2 2" xfId="10360" xr:uid="{00000000-0005-0000-0000-00007D280000}"/>
    <cellStyle name="Normal 54 12 2 3" xfId="10361" xr:uid="{00000000-0005-0000-0000-00007E280000}"/>
    <cellStyle name="Normal 54 12 2 4" xfId="10362" xr:uid="{00000000-0005-0000-0000-00007F280000}"/>
    <cellStyle name="Normal 54 12 2 5" xfId="10363" xr:uid="{00000000-0005-0000-0000-000080280000}"/>
    <cellStyle name="Normal 54 12 2 6" xfId="10364" xr:uid="{00000000-0005-0000-0000-000081280000}"/>
    <cellStyle name="Normal 54 12 2 7" xfId="10365" xr:uid="{00000000-0005-0000-0000-000082280000}"/>
    <cellStyle name="Normal 54 12 2 8" xfId="10366" xr:uid="{00000000-0005-0000-0000-000083280000}"/>
    <cellStyle name="Normal 54 12 2 9" xfId="10367" xr:uid="{00000000-0005-0000-0000-000084280000}"/>
    <cellStyle name="Normal 54 12 3" xfId="10368" xr:uid="{00000000-0005-0000-0000-000085280000}"/>
    <cellStyle name="Normal 54 12 4" xfId="10369" xr:uid="{00000000-0005-0000-0000-000086280000}"/>
    <cellStyle name="Normal 54 12 5" xfId="10370" xr:uid="{00000000-0005-0000-0000-000087280000}"/>
    <cellStyle name="Normal 54 12 6" xfId="10371" xr:uid="{00000000-0005-0000-0000-000088280000}"/>
    <cellStyle name="Normal 54 12 7" xfId="10372" xr:uid="{00000000-0005-0000-0000-000089280000}"/>
    <cellStyle name="Normal 54 12 8" xfId="10373" xr:uid="{00000000-0005-0000-0000-00008A280000}"/>
    <cellStyle name="Normal 54 12 9" xfId="10374" xr:uid="{00000000-0005-0000-0000-00008B280000}"/>
    <cellStyle name="Normal 54 13" xfId="10375" xr:uid="{00000000-0005-0000-0000-00008C280000}"/>
    <cellStyle name="Normal 54 13 10" xfId="10376" xr:uid="{00000000-0005-0000-0000-00008D280000}"/>
    <cellStyle name="Normal 54 13 11" xfId="10377" xr:uid="{00000000-0005-0000-0000-00008E280000}"/>
    <cellStyle name="Normal 54 13 12" xfId="10378" xr:uid="{00000000-0005-0000-0000-00008F280000}"/>
    <cellStyle name="Normal 54 13 13" xfId="10379" xr:uid="{00000000-0005-0000-0000-000090280000}"/>
    <cellStyle name="Normal 54 13 2" xfId="10380" xr:uid="{00000000-0005-0000-0000-000091280000}"/>
    <cellStyle name="Normal 54 13 2 10" xfId="10381" xr:uid="{00000000-0005-0000-0000-000092280000}"/>
    <cellStyle name="Normal 54 13 2 11" xfId="10382" xr:uid="{00000000-0005-0000-0000-000093280000}"/>
    <cellStyle name="Normal 54 13 2 2" xfId="10383" xr:uid="{00000000-0005-0000-0000-000094280000}"/>
    <cellStyle name="Normal 54 13 2 3" xfId="10384" xr:uid="{00000000-0005-0000-0000-000095280000}"/>
    <cellStyle name="Normal 54 13 2 4" xfId="10385" xr:uid="{00000000-0005-0000-0000-000096280000}"/>
    <cellStyle name="Normal 54 13 2 5" xfId="10386" xr:uid="{00000000-0005-0000-0000-000097280000}"/>
    <cellStyle name="Normal 54 13 2 6" xfId="10387" xr:uid="{00000000-0005-0000-0000-000098280000}"/>
    <cellStyle name="Normal 54 13 2 7" xfId="10388" xr:uid="{00000000-0005-0000-0000-000099280000}"/>
    <cellStyle name="Normal 54 13 2 8" xfId="10389" xr:uid="{00000000-0005-0000-0000-00009A280000}"/>
    <cellStyle name="Normal 54 13 2 9" xfId="10390" xr:uid="{00000000-0005-0000-0000-00009B280000}"/>
    <cellStyle name="Normal 54 13 3" xfId="10391" xr:uid="{00000000-0005-0000-0000-00009C280000}"/>
    <cellStyle name="Normal 54 13 4" xfId="10392" xr:uid="{00000000-0005-0000-0000-00009D280000}"/>
    <cellStyle name="Normal 54 13 5" xfId="10393" xr:uid="{00000000-0005-0000-0000-00009E280000}"/>
    <cellStyle name="Normal 54 13 6" xfId="10394" xr:uid="{00000000-0005-0000-0000-00009F280000}"/>
    <cellStyle name="Normal 54 13 7" xfId="10395" xr:uid="{00000000-0005-0000-0000-0000A0280000}"/>
    <cellStyle name="Normal 54 13 8" xfId="10396" xr:uid="{00000000-0005-0000-0000-0000A1280000}"/>
    <cellStyle name="Normal 54 13 9" xfId="10397" xr:uid="{00000000-0005-0000-0000-0000A2280000}"/>
    <cellStyle name="Normal 54 14" xfId="10398" xr:uid="{00000000-0005-0000-0000-0000A3280000}"/>
    <cellStyle name="Normal 54 14 10" xfId="10399" xr:uid="{00000000-0005-0000-0000-0000A4280000}"/>
    <cellStyle name="Normal 54 14 11" xfId="10400" xr:uid="{00000000-0005-0000-0000-0000A5280000}"/>
    <cellStyle name="Normal 54 14 2" xfId="10401" xr:uid="{00000000-0005-0000-0000-0000A6280000}"/>
    <cellStyle name="Normal 54 14 3" xfId="10402" xr:uid="{00000000-0005-0000-0000-0000A7280000}"/>
    <cellStyle name="Normal 54 14 4" xfId="10403" xr:uid="{00000000-0005-0000-0000-0000A8280000}"/>
    <cellStyle name="Normal 54 14 5" xfId="10404" xr:uid="{00000000-0005-0000-0000-0000A9280000}"/>
    <cellStyle name="Normal 54 14 6" xfId="10405" xr:uid="{00000000-0005-0000-0000-0000AA280000}"/>
    <cellStyle name="Normal 54 14 7" xfId="10406" xr:uid="{00000000-0005-0000-0000-0000AB280000}"/>
    <cellStyle name="Normal 54 14 8" xfId="10407" xr:uid="{00000000-0005-0000-0000-0000AC280000}"/>
    <cellStyle name="Normal 54 14 9" xfId="10408" xr:uid="{00000000-0005-0000-0000-0000AD280000}"/>
    <cellStyle name="Normal 54 15" xfId="10409" xr:uid="{00000000-0005-0000-0000-0000AE280000}"/>
    <cellStyle name="Normal 54 16" xfId="10410" xr:uid="{00000000-0005-0000-0000-0000AF280000}"/>
    <cellStyle name="Normal 54 17" xfId="10411" xr:uid="{00000000-0005-0000-0000-0000B0280000}"/>
    <cellStyle name="Normal 54 18" xfId="10412" xr:uid="{00000000-0005-0000-0000-0000B1280000}"/>
    <cellStyle name="Normal 54 19" xfId="10413" xr:uid="{00000000-0005-0000-0000-0000B2280000}"/>
    <cellStyle name="Normal 54 2" xfId="10414" xr:uid="{00000000-0005-0000-0000-0000B3280000}"/>
    <cellStyle name="Normal 54 2 10" xfId="10415" xr:uid="{00000000-0005-0000-0000-0000B4280000}"/>
    <cellStyle name="Normal 54 2 11" xfId="10416" xr:uid="{00000000-0005-0000-0000-0000B5280000}"/>
    <cellStyle name="Normal 54 2 12" xfId="10417" xr:uid="{00000000-0005-0000-0000-0000B6280000}"/>
    <cellStyle name="Normal 54 2 13" xfId="10418" xr:uid="{00000000-0005-0000-0000-0000B7280000}"/>
    <cellStyle name="Normal 54 2 2" xfId="10419" xr:uid="{00000000-0005-0000-0000-0000B8280000}"/>
    <cellStyle name="Normal 54 2 2 10" xfId="10420" xr:uid="{00000000-0005-0000-0000-0000B9280000}"/>
    <cellStyle name="Normal 54 2 2 11" xfId="10421" xr:uid="{00000000-0005-0000-0000-0000BA280000}"/>
    <cellStyle name="Normal 54 2 2 2" xfId="10422" xr:uid="{00000000-0005-0000-0000-0000BB280000}"/>
    <cellStyle name="Normal 54 2 2 3" xfId="10423" xr:uid="{00000000-0005-0000-0000-0000BC280000}"/>
    <cellStyle name="Normal 54 2 2 4" xfId="10424" xr:uid="{00000000-0005-0000-0000-0000BD280000}"/>
    <cellStyle name="Normal 54 2 2 5" xfId="10425" xr:uid="{00000000-0005-0000-0000-0000BE280000}"/>
    <cellStyle name="Normal 54 2 2 6" xfId="10426" xr:uid="{00000000-0005-0000-0000-0000BF280000}"/>
    <cellStyle name="Normal 54 2 2 7" xfId="10427" xr:uid="{00000000-0005-0000-0000-0000C0280000}"/>
    <cellStyle name="Normal 54 2 2 8" xfId="10428" xr:uid="{00000000-0005-0000-0000-0000C1280000}"/>
    <cellStyle name="Normal 54 2 2 9" xfId="10429" xr:uid="{00000000-0005-0000-0000-0000C2280000}"/>
    <cellStyle name="Normal 54 2 3" xfId="10430" xr:uid="{00000000-0005-0000-0000-0000C3280000}"/>
    <cellStyle name="Normal 54 2 4" xfId="10431" xr:uid="{00000000-0005-0000-0000-0000C4280000}"/>
    <cellStyle name="Normal 54 2 5" xfId="10432" xr:uid="{00000000-0005-0000-0000-0000C5280000}"/>
    <cellStyle name="Normal 54 2 6" xfId="10433" xr:uid="{00000000-0005-0000-0000-0000C6280000}"/>
    <cellStyle name="Normal 54 2 7" xfId="10434" xr:uid="{00000000-0005-0000-0000-0000C7280000}"/>
    <cellStyle name="Normal 54 2 8" xfId="10435" xr:uid="{00000000-0005-0000-0000-0000C8280000}"/>
    <cellStyle name="Normal 54 2 9" xfId="10436" xr:uid="{00000000-0005-0000-0000-0000C9280000}"/>
    <cellStyle name="Normal 54 20" xfId="10437" xr:uid="{00000000-0005-0000-0000-0000CA280000}"/>
    <cellStyle name="Normal 54 21" xfId="10438" xr:uid="{00000000-0005-0000-0000-0000CB280000}"/>
    <cellStyle name="Normal 54 22" xfId="10439" xr:uid="{00000000-0005-0000-0000-0000CC280000}"/>
    <cellStyle name="Normal 54 23" xfId="10440" xr:uid="{00000000-0005-0000-0000-0000CD280000}"/>
    <cellStyle name="Normal 54 24" xfId="10441" xr:uid="{00000000-0005-0000-0000-0000CE280000}"/>
    <cellStyle name="Normal 54 25" xfId="10442" xr:uid="{00000000-0005-0000-0000-0000CF280000}"/>
    <cellStyle name="Normal 54 3" xfId="10443" xr:uid="{00000000-0005-0000-0000-0000D0280000}"/>
    <cellStyle name="Normal 54 3 10" xfId="10444" xr:uid="{00000000-0005-0000-0000-0000D1280000}"/>
    <cellStyle name="Normal 54 3 11" xfId="10445" xr:uid="{00000000-0005-0000-0000-0000D2280000}"/>
    <cellStyle name="Normal 54 3 12" xfId="10446" xr:uid="{00000000-0005-0000-0000-0000D3280000}"/>
    <cellStyle name="Normal 54 3 13" xfId="10447" xr:uid="{00000000-0005-0000-0000-0000D4280000}"/>
    <cellStyle name="Normal 54 3 2" xfId="10448" xr:uid="{00000000-0005-0000-0000-0000D5280000}"/>
    <cellStyle name="Normal 54 3 2 10" xfId="10449" xr:uid="{00000000-0005-0000-0000-0000D6280000}"/>
    <cellStyle name="Normal 54 3 2 11" xfId="10450" xr:uid="{00000000-0005-0000-0000-0000D7280000}"/>
    <cellStyle name="Normal 54 3 2 2" xfId="10451" xr:uid="{00000000-0005-0000-0000-0000D8280000}"/>
    <cellStyle name="Normal 54 3 2 3" xfId="10452" xr:uid="{00000000-0005-0000-0000-0000D9280000}"/>
    <cellStyle name="Normal 54 3 2 4" xfId="10453" xr:uid="{00000000-0005-0000-0000-0000DA280000}"/>
    <cellStyle name="Normal 54 3 2 5" xfId="10454" xr:uid="{00000000-0005-0000-0000-0000DB280000}"/>
    <cellStyle name="Normal 54 3 2 6" xfId="10455" xr:uid="{00000000-0005-0000-0000-0000DC280000}"/>
    <cellStyle name="Normal 54 3 2 7" xfId="10456" xr:uid="{00000000-0005-0000-0000-0000DD280000}"/>
    <cellStyle name="Normal 54 3 2 8" xfId="10457" xr:uid="{00000000-0005-0000-0000-0000DE280000}"/>
    <cellStyle name="Normal 54 3 2 9" xfId="10458" xr:uid="{00000000-0005-0000-0000-0000DF280000}"/>
    <cellStyle name="Normal 54 3 3" xfId="10459" xr:uid="{00000000-0005-0000-0000-0000E0280000}"/>
    <cellStyle name="Normal 54 3 4" xfId="10460" xr:uid="{00000000-0005-0000-0000-0000E1280000}"/>
    <cellStyle name="Normal 54 3 5" xfId="10461" xr:uid="{00000000-0005-0000-0000-0000E2280000}"/>
    <cellStyle name="Normal 54 3 6" xfId="10462" xr:uid="{00000000-0005-0000-0000-0000E3280000}"/>
    <cellStyle name="Normal 54 3 7" xfId="10463" xr:uid="{00000000-0005-0000-0000-0000E4280000}"/>
    <cellStyle name="Normal 54 3 8" xfId="10464" xr:uid="{00000000-0005-0000-0000-0000E5280000}"/>
    <cellStyle name="Normal 54 3 9" xfId="10465" xr:uid="{00000000-0005-0000-0000-0000E6280000}"/>
    <cellStyle name="Normal 54 4" xfId="10466" xr:uid="{00000000-0005-0000-0000-0000E7280000}"/>
    <cellStyle name="Normal 54 4 10" xfId="10467" xr:uid="{00000000-0005-0000-0000-0000E8280000}"/>
    <cellStyle name="Normal 54 4 11" xfId="10468" xr:uid="{00000000-0005-0000-0000-0000E9280000}"/>
    <cellStyle name="Normal 54 4 12" xfId="10469" xr:uid="{00000000-0005-0000-0000-0000EA280000}"/>
    <cellStyle name="Normal 54 4 13" xfId="10470" xr:uid="{00000000-0005-0000-0000-0000EB280000}"/>
    <cellStyle name="Normal 54 4 2" xfId="10471" xr:uid="{00000000-0005-0000-0000-0000EC280000}"/>
    <cellStyle name="Normal 54 4 2 10" xfId="10472" xr:uid="{00000000-0005-0000-0000-0000ED280000}"/>
    <cellStyle name="Normal 54 4 2 11" xfId="10473" xr:uid="{00000000-0005-0000-0000-0000EE280000}"/>
    <cellStyle name="Normal 54 4 2 2" xfId="10474" xr:uid="{00000000-0005-0000-0000-0000EF280000}"/>
    <cellStyle name="Normal 54 4 2 3" xfId="10475" xr:uid="{00000000-0005-0000-0000-0000F0280000}"/>
    <cellStyle name="Normal 54 4 2 4" xfId="10476" xr:uid="{00000000-0005-0000-0000-0000F1280000}"/>
    <cellStyle name="Normal 54 4 2 5" xfId="10477" xr:uid="{00000000-0005-0000-0000-0000F2280000}"/>
    <cellStyle name="Normal 54 4 2 6" xfId="10478" xr:uid="{00000000-0005-0000-0000-0000F3280000}"/>
    <cellStyle name="Normal 54 4 2 7" xfId="10479" xr:uid="{00000000-0005-0000-0000-0000F4280000}"/>
    <cellStyle name="Normal 54 4 2 8" xfId="10480" xr:uid="{00000000-0005-0000-0000-0000F5280000}"/>
    <cellStyle name="Normal 54 4 2 9" xfId="10481" xr:uid="{00000000-0005-0000-0000-0000F6280000}"/>
    <cellStyle name="Normal 54 4 3" xfId="10482" xr:uid="{00000000-0005-0000-0000-0000F7280000}"/>
    <cellStyle name="Normal 54 4 4" xfId="10483" xr:uid="{00000000-0005-0000-0000-0000F8280000}"/>
    <cellStyle name="Normal 54 4 5" xfId="10484" xr:uid="{00000000-0005-0000-0000-0000F9280000}"/>
    <cellStyle name="Normal 54 4 6" xfId="10485" xr:uid="{00000000-0005-0000-0000-0000FA280000}"/>
    <cellStyle name="Normal 54 4 7" xfId="10486" xr:uid="{00000000-0005-0000-0000-0000FB280000}"/>
    <cellStyle name="Normal 54 4 8" xfId="10487" xr:uid="{00000000-0005-0000-0000-0000FC280000}"/>
    <cellStyle name="Normal 54 4 9" xfId="10488" xr:uid="{00000000-0005-0000-0000-0000FD280000}"/>
    <cellStyle name="Normal 54 5" xfId="10489" xr:uid="{00000000-0005-0000-0000-0000FE280000}"/>
    <cellStyle name="Normal 54 5 10" xfId="10490" xr:uid="{00000000-0005-0000-0000-0000FF280000}"/>
    <cellStyle name="Normal 54 5 11" xfId="10491" xr:uid="{00000000-0005-0000-0000-000000290000}"/>
    <cellStyle name="Normal 54 5 12" xfId="10492" xr:uid="{00000000-0005-0000-0000-000001290000}"/>
    <cellStyle name="Normal 54 5 13" xfId="10493" xr:uid="{00000000-0005-0000-0000-000002290000}"/>
    <cellStyle name="Normal 54 5 2" xfId="10494" xr:uid="{00000000-0005-0000-0000-000003290000}"/>
    <cellStyle name="Normal 54 5 2 10" xfId="10495" xr:uid="{00000000-0005-0000-0000-000004290000}"/>
    <cellStyle name="Normal 54 5 2 11" xfId="10496" xr:uid="{00000000-0005-0000-0000-000005290000}"/>
    <cellStyle name="Normal 54 5 2 2" xfId="10497" xr:uid="{00000000-0005-0000-0000-000006290000}"/>
    <cellStyle name="Normal 54 5 2 3" xfId="10498" xr:uid="{00000000-0005-0000-0000-000007290000}"/>
    <cellStyle name="Normal 54 5 2 4" xfId="10499" xr:uid="{00000000-0005-0000-0000-000008290000}"/>
    <cellStyle name="Normal 54 5 2 5" xfId="10500" xr:uid="{00000000-0005-0000-0000-000009290000}"/>
    <cellStyle name="Normal 54 5 2 6" xfId="10501" xr:uid="{00000000-0005-0000-0000-00000A290000}"/>
    <cellStyle name="Normal 54 5 2 7" xfId="10502" xr:uid="{00000000-0005-0000-0000-00000B290000}"/>
    <cellStyle name="Normal 54 5 2 8" xfId="10503" xr:uid="{00000000-0005-0000-0000-00000C290000}"/>
    <cellStyle name="Normal 54 5 2 9" xfId="10504" xr:uid="{00000000-0005-0000-0000-00000D290000}"/>
    <cellStyle name="Normal 54 5 3" xfId="10505" xr:uid="{00000000-0005-0000-0000-00000E290000}"/>
    <cellStyle name="Normal 54 5 4" xfId="10506" xr:uid="{00000000-0005-0000-0000-00000F290000}"/>
    <cellStyle name="Normal 54 5 5" xfId="10507" xr:uid="{00000000-0005-0000-0000-000010290000}"/>
    <cellStyle name="Normal 54 5 6" xfId="10508" xr:uid="{00000000-0005-0000-0000-000011290000}"/>
    <cellStyle name="Normal 54 5 7" xfId="10509" xr:uid="{00000000-0005-0000-0000-000012290000}"/>
    <cellStyle name="Normal 54 5 8" xfId="10510" xr:uid="{00000000-0005-0000-0000-000013290000}"/>
    <cellStyle name="Normal 54 5 9" xfId="10511" xr:uid="{00000000-0005-0000-0000-000014290000}"/>
    <cellStyle name="Normal 54 6" xfId="10512" xr:uid="{00000000-0005-0000-0000-000015290000}"/>
    <cellStyle name="Normal 54 6 10" xfId="10513" xr:uid="{00000000-0005-0000-0000-000016290000}"/>
    <cellStyle name="Normal 54 6 11" xfId="10514" xr:uid="{00000000-0005-0000-0000-000017290000}"/>
    <cellStyle name="Normal 54 6 12" xfId="10515" xr:uid="{00000000-0005-0000-0000-000018290000}"/>
    <cellStyle name="Normal 54 6 13" xfId="10516" xr:uid="{00000000-0005-0000-0000-000019290000}"/>
    <cellStyle name="Normal 54 6 2" xfId="10517" xr:uid="{00000000-0005-0000-0000-00001A290000}"/>
    <cellStyle name="Normal 54 6 2 10" xfId="10518" xr:uid="{00000000-0005-0000-0000-00001B290000}"/>
    <cellStyle name="Normal 54 6 2 11" xfId="10519" xr:uid="{00000000-0005-0000-0000-00001C290000}"/>
    <cellStyle name="Normal 54 6 2 2" xfId="10520" xr:uid="{00000000-0005-0000-0000-00001D290000}"/>
    <cellStyle name="Normal 54 6 2 3" xfId="10521" xr:uid="{00000000-0005-0000-0000-00001E290000}"/>
    <cellStyle name="Normal 54 6 2 4" xfId="10522" xr:uid="{00000000-0005-0000-0000-00001F290000}"/>
    <cellStyle name="Normal 54 6 2 5" xfId="10523" xr:uid="{00000000-0005-0000-0000-000020290000}"/>
    <cellStyle name="Normal 54 6 2 6" xfId="10524" xr:uid="{00000000-0005-0000-0000-000021290000}"/>
    <cellStyle name="Normal 54 6 2 7" xfId="10525" xr:uid="{00000000-0005-0000-0000-000022290000}"/>
    <cellStyle name="Normal 54 6 2 8" xfId="10526" xr:uid="{00000000-0005-0000-0000-000023290000}"/>
    <cellStyle name="Normal 54 6 2 9" xfId="10527" xr:uid="{00000000-0005-0000-0000-000024290000}"/>
    <cellStyle name="Normal 54 6 3" xfId="10528" xr:uid="{00000000-0005-0000-0000-000025290000}"/>
    <cellStyle name="Normal 54 6 4" xfId="10529" xr:uid="{00000000-0005-0000-0000-000026290000}"/>
    <cellStyle name="Normal 54 6 5" xfId="10530" xr:uid="{00000000-0005-0000-0000-000027290000}"/>
    <cellStyle name="Normal 54 6 6" xfId="10531" xr:uid="{00000000-0005-0000-0000-000028290000}"/>
    <cellStyle name="Normal 54 6 7" xfId="10532" xr:uid="{00000000-0005-0000-0000-000029290000}"/>
    <cellStyle name="Normal 54 6 8" xfId="10533" xr:uid="{00000000-0005-0000-0000-00002A290000}"/>
    <cellStyle name="Normal 54 6 9" xfId="10534" xr:uid="{00000000-0005-0000-0000-00002B290000}"/>
    <cellStyle name="Normal 54 7" xfId="10535" xr:uid="{00000000-0005-0000-0000-00002C290000}"/>
    <cellStyle name="Normal 54 7 10" xfId="10536" xr:uid="{00000000-0005-0000-0000-00002D290000}"/>
    <cellStyle name="Normal 54 7 11" xfId="10537" xr:uid="{00000000-0005-0000-0000-00002E290000}"/>
    <cellStyle name="Normal 54 7 12" xfId="10538" xr:uid="{00000000-0005-0000-0000-00002F290000}"/>
    <cellStyle name="Normal 54 7 13" xfId="10539" xr:uid="{00000000-0005-0000-0000-000030290000}"/>
    <cellStyle name="Normal 54 7 2" xfId="10540" xr:uid="{00000000-0005-0000-0000-000031290000}"/>
    <cellStyle name="Normal 54 7 2 10" xfId="10541" xr:uid="{00000000-0005-0000-0000-000032290000}"/>
    <cellStyle name="Normal 54 7 2 11" xfId="10542" xr:uid="{00000000-0005-0000-0000-000033290000}"/>
    <cellStyle name="Normal 54 7 2 2" xfId="10543" xr:uid="{00000000-0005-0000-0000-000034290000}"/>
    <cellStyle name="Normal 54 7 2 3" xfId="10544" xr:uid="{00000000-0005-0000-0000-000035290000}"/>
    <cellStyle name="Normal 54 7 2 4" xfId="10545" xr:uid="{00000000-0005-0000-0000-000036290000}"/>
    <cellStyle name="Normal 54 7 2 5" xfId="10546" xr:uid="{00000000-0005-0000-0000-000037290000}"/>
    <cellStyle name="Normal 54 7 2 6" xfId="10547" xr:uid="{00000000-0005-0000-0000-000038290000}"/>
    <cellStyle name="Normal 54 7 2 7" xfId="10548" xr:uid="{00000000-0005-0000-0000-000039290000}"/>
    <cellStyle name="Normal 54 7 2 8" xfId="10549" xr:uid="{00000000-0005-0000-0000-00003A290000}"/>
    <cellStyle name="Normal 54 7 2 9" xfId="10550" xr:uid="{00000000-0005-0000-0000-00003B290000}"/>
    <cellStyle name="Normal 54 7 3" xfId="10551" xr:uid="{00000000-0005-0000-0000-00003C290000}"/>
    <cellStyle name="Normal 54 7 4" xfId="10552" xr:uid="{00000000-0005-0000-0000-00003D290000}"/>
    <cellStyle name="Normal 54 7 5" xfId="10553" xr:uid="{00000000-0005-0000-0000-00003E290000}"/>
    <cellStyle name="Normal 54 7 6" xfId="10554" xr:uid="{00000000-0005-0000-0000-00003F290000}"/>
    <cellStyle name="Normal 54 7 7" xfId="10555" xr:uid="{00000000-0005-0000-0000-000040290000}"/>
    <cellStyle name="Normal 54 7 8" xfId="10556" xr:uid="{00000000-0005-0000-0000-000041290000}"/>
    <cellStyle name="Normal 54 7 9" xfId="10557" xr:uid="{00000000-0005-0000-0000-000042290000}"/>
    <cellStyle name="Normal 54 8" xfId="10558" xr:uid="{00000000-0005-0000-0000-000043290000}"/>
    <cellStyle name="Normal 54 8 10" xfId="10559" xr:uid="{00000000-0005-0000-0000-000044290000}"/>
    <cellStyle name="Normal 54 8 11" xfId="10560" xr:uid="{00000000-0005-0000-0000-000045290000}"/>
    <cellStyle name="Normal 54 8 12" xfId="10561" xr:uid="{00000000-0005-0000-0000-000046290000}"/>
    <cellStyle name="Normal 54 8 13" xfId="10562" xr:uid="{00000000-0005-0000-0000-000047290000}"/>
    <cellStyle name="Normal 54 8 2" xfId="10563" xr:uid="{00000000-0005-0000-0000-000048290000}"/>
    <cellStyle name="Normal 54 8 2 10" xfId="10564" xr:uid="{00000000-0005-0000-0000-000049290000}"/>
    <cellStyle name="Normal 54 8 2 11" xfId="10565" xr:uid="{00000000-0005-0000-0000-00004A290000}"/>
    <cellStyle name="Normal 54 8 2 2" xfId="10566" xr:uid="{00000000-0005-0000-0000-00004B290000}"/>
    <cellStyle name="Normal 54 8 2 3" xfId="10567" xr:uid="{00000000-0005-0000-0000-00004C290000}"/>
    <cellStyle name="Normal 54 8 2 4" xfId="10568" xr:uid="{00000000-0005-0000-0000-00004D290000}"/>
    <cellStyle name="Normal 54 8 2 5" xfId="10569" xr:uid="{00000000-0005-0000-0000-00004E290000}"/>
    <cellStyle name="Normal 54 8 2 6" xfId="10570" xr:uid="{00000000-0005-0000-0000-00004F290000}"/>
    <cellStyle name="Normal 54 8 2 7" xfId="10571" xr:uid="{00000000-0005-0000-0000-000050290000}"/>
    <cellStyle name="Normal 54 8 2 8" xfId="10572" xr:uid="{00000000-0005-0000-0000-000051290000}"/>
    <cellStyle name="Normal 54 8 2 9" xfId="10573" xr:uid="{00000000-0005-0000-0000-000052290000}"/>
    <cellStyle name="Normal 54 8 3" xfId="10574" xr:uid="{00000000-0005-0000-0000-000053290000}"/>
    <cellStyle name="Normal 54 8 4" xfId="10575" xr:uid="{00000000-0005-0000-0000-000054290000}"/>
    <cellStyle name="Normal 54 8 5" xfId="10576" xr:uid="{00000000-0005-0000-0000-000055290000}"/>
    <cellStyle name="Normal 54 8 6" xfId="10577" xr:uid="{00000000-0005-0000-0000-000056290000}"/>
    <cellStyle name="Normal 54 8 7" xfId="10578" xr:uid="{00000000-0005-0000-0000-000057290000}"/>
    <cellStyle name="Normal 54 8 8" xfId="10579" xr:uid="{00000000-0005-0000-0000-000058290000}"/>
    <cellStyle name="Normal 54 8 9" xfId="10580" xr:uid="{00000000-0005-0000-0000-000059290000}"/>
    <cellStyle name="Normal 54 9" xfId="10581" xr:uid="{00000000-0005-0000-0000-00005A290000}"/>
    <cellStyle name="Normal 54 9 10" xfId="10582" xr:uid="{00000000-0005-0000-0000-00005B290000}"/>
    <cellStyle name="Normal 54 9 11" xfId="10583" xr:uid="{00000000-0005-0000-0000-00005C290000}"/>
    <cellStyle name="Normal 54 9 12" xfId="10584" xr:uid="{00000000-0005-0000-0000-00005D290000}"/>
    <cellStyle name="Normal 54 9 13" xfId="10585" xr:uid="{00000000-0005-0000-0000-00005E290000}"/>
    <cellStyle name="Normal 54 9 2" xfId="10586" xr:uid="{00000000-0005-0000-0000-00005F290000}"/>
    <cellStyle name="Normal 54 9 2 10" xfId="10587" xr:uid="{00000000-0005-0000-0000-000060290000}"/>
    <cellStyle name="Normal 54 9 2 11" xfId="10588" xr:uid="{00000000-0005-0000-0000-000061290000}"/>
    <cellStyle name="Normal 54 9 2 2" xfId="10589" xr:uid="{00000000-0005-0000-0000-000062290000}"/>
    <cellStyle name="Normal 54 9 2 3" xfId="10590" xr:uid="{00000000-0005-0000-0000-000063290000}"/>
    <cellStyle name="Normal 54 9 2 4" xfId="10591" xr:uid="{00000000-0005-0000-0000-000064290000}"/>
    <cellStyle name="Normal 54 9 2 5" xfId="10592" xr:uid="{00000000-0005-0000-0000-000065290000}"/>
    <cellStyle name="Normal 54 9 2 6" xfId="10593" xr:uid="{00000000-0005-0000-0000-000066290000}"/>
    <cellStyle name="Normal 54 9 2 7" xfId="10594" xr:uid="{00000000-0005-0000-0000-000067290000}"/>
    <cellStyle name="Normal 54 9 2 8" xfId="10595" xr:uid="{00000000-0005-0000-0000-000068290000}"/>
    <cellStyle name="Normal 54 9 2 9" xfId="10596" xr:uid="{00000000-0005-0000-0000-000069290000}"/>
    <cellStyle name="Normal 54 9 3" xfId="10597" xr:uid="{00000000-0005-0000-0000-00006A290000}"/>
    <cellStyle name="Normal 54 9 4" xfId="10598" xr:uid="{00000000-0005-0000-0000-00006B290000}"/>
    <cellStyle name="Normal 54 9 5" xfId="10599" xr:uid="{00000000-0005-0000-0000-00006C290000}"/>
    <cellStyle name="Normal 54 9 6" xfId="10600" xr:uid="{00000000-0005-0000-0000-00006D290000}"/>
    <cellStyle name="Normal 54 9 7" xfId="10601" xr:uid="{00000000-0005-0000-0000-00006E290000}"/>
    <cellStyle name="Normal 54 9 8" xfId="10602" xr:uid="{00000000-0005-0000-0000-00006F290000}"/>
    <cellStyle name="Normal 54 9 9" xfId="10603" xr:uid="{00000000-0005-0000-0000-000070290000}"/>
    <cellStyle name="Normal 55" xfId="10604" xr:uid="{00000000-0005-0000-0000-000071290000}"/>
    <cellStyle name="Normal 55 10" xfId="10605" xr:uid="{00000000-0005-0000-0000-000072290000}"/>
    <cellStyle name="Normal 55 10 10" xfId="10606" xr:uid="{00000000-0005-0000-0000-000073290000}"/>
    <cellStyle name="Normal 55 10 11" xfId="10607" xr:uid="{00000000-0005-0000-0000-000074290000}"/>
    <cellStyle name="Normal 55 10 12" xfId="10608" xr:uid="{00000000-0005-0000-0000-000075290000}"/>
    <cellStyle name="Normal 55 10 13" xfId="10609" xr:uid="{00000000-0005-0000-0000-000076290000}"/>
    <cellStyle name="Normal 55 10 2" xfId="10610" xr:uid="{00000000-0005-0000-0000-000077290000}"/>
    <cellStyle name="Normal 55 10 2 10" xfId="10611" xr:uid="{00000000-0005-0000-0000-000078290000}"/>
    <cellStyle name="Normal 55 10 2 11" xfId="10612" xr:uid="{00000000-0005-0000-0000-000079290000}"/>
    <cellStyle name="Normal 55 10 2 2" xfId="10613" xr:uid="{00000000-0005-0000-0000-00007A290000}"/>
    <cellStyle name="Normal 55 10 2 3" xfId="10614" xr:uid="{00000000-0005-0000-0000-00007B290000}"/>
    <cellStyle name="Normal 55 10 2 4" xfId="10615" xr:uid="{00000000-0005-0000-0000-00007C290000}"/>
    <cellStyle name="Normal 55 10 2 5" xfId="10616" xr:uid="{00000000-0005-0000-0000-00007D290000}"/>
    <cellStyle name="Normal 55 10 2 6" xfId="10617" xr:uid="{00000000-0005-0000-0000-00007E290000}"/>
    <cellStyle name="Normal 55 10 2 7" xfId="10618" xr:uid="{00000000-0005-0000-0000-00007F290000}"/>
    <cellStyle name="Normal 55 10 2 8" xfId="10619" xr:uid="{00000000-0005-0000-0000-000080290000}"/>
    <cellStyle name="Normal 55 10 2 9" xfId="10620" xr:uid="{00000000-0005-0000-0000-000081290000}"/>
    <cellStyle name="Normal 55 10 3" xfId="10621" xr:uid="{00000000-0005-0000-0000-000082290000}"/>
    <cellStyle name="Normal 55 10 4" xfId="10622" xr:uid="{00000000-0005-0000-0000-000083290000}"/>
    <cellStyle name="Normal 55 10 5" xfId="10623" xr:uid="{00000000-0005-0000-0000-000084290000}"/>
    <cellStyle name="Normal 55 10 6" xfId="10624" xr:uid="{00000000-0005-0000-0000-000085290000}"/>
    <cellStyle name="Normal 55 10 7" xfId="10625" xr:uid="{00000000-0005-0000-0000-000086290000}"/>
    <cellStyle name="Normal 55 10 8" xfId="10626" xr:uid="{00000000-0005-0000-0000-000087290000}"/>
    <cellStyle name="Normal 55 10 9" xfId="10627" xr:uid="{00000000-0005-0000-0000-000088290000}"/>
    <cellStyle name="Normal 55 11" xfId="10628" xr:uid="{00000000-0005-0000-0000-000089290000}"/>
    <cellStyle name="Normal 55 11 10" xfId="10629" xr:uid="{00000000-0005-0000-0000-00008A290000}"/>
    <cellStyle name="Normal 55 11 11" xfId="10630" xr:uid="{00000000-0005-0000-0000-00008B290000}"/>
    <cellStyle name="Normal 55 11 12" xfId="10631" xr:uid="{00000000-0005-0000-0000-00008C290000}"/>
    <cellStyle name="Normal 55 11 13" xfId="10632" xr:uid="{00000000-0005-0000-0000-00008D290000}"/>
    <cellStyle name="Normal 55 11 2" xfId="10633" xr:uid="{00000000-0005-0000-0000-00008E290000}"/>
    <cellStyle name="Normal 55 11 2 10" xfId="10634" xr:uid="{00000000-0005-0000-0000-00008F290000}"/>
    <cellStyle name="Normal 55 11 2 11" xfId="10635" xr:uid="{00000000-0005-0000-0000-000090290000}"/>
    <cellStyle name="Normal 55 11 2 2" xfId="10636" xr:uid="{00000000-0005-0000-0000-000091290000}"/>
    <cellStyle name="Normal 55 11 2 3" xfId="10637" xr:uid="{00000000-0005-0000-0000-000092290000}"/>
    <cellStyle name="Normal 55 11 2 4" xfId="10638" xr:uid="{00000000-0005-0000-0000-000093290000}"/>
    <cellStyle name="Normal 55 11 2 5" xfId="10639" xr:uid="{00000000-0005-0000-0000-000094290000}"/>
    <cellStyle name="Normal 55 11 2 6" xfId="10640" xr:uid="{00000000-0005-0000-0000-000095290000}"/>
    <cellStyle name="Normal 55 11 2 7" xfId="10641" xr:uid="{00000000-0005-0000-0000-000096290000}"/>
    <cellStyle name="Normal 55 11 2 8" xfId="10642" xr:uid="{00000000-0005-0000-0000-000097290000}"/>
    <cellStyle name="Normal 55 11 2 9" xfId="10643" xr:uid="{00000000-0005-0000-0000-000098290000}"/>
    <cellStyle name="Normal 55 11 3" xfId="10644" xr:uid="{00000000-0005-0000-0000-000099290000}"/>
    <cellStyle name="Normal 55 11 4" xfId="10645" xr:uid="{00000000-0005-0000-0000-00009A290000}"/>
    <cellStyle name="Normal 55 11 5" xfId="10646" xr:uid="{00000000-0005-0000-0000-00009B290000}"/>
    <cellStyle name="Normal 55 11 6" xfId="10647" xr:uid="{00000000-0005-0000-0000-00009C290000}"/>
    <cellStyle name="Normal 55 11 7" xfId="10648" xr:uid="{00000000-0005-0000-0000-00009D290000}"/>
    <cellStyle name="Normal 55 11 8" xfId="10649" xr:uid="{00000000-0005-0000-0000-00009E290000}"/>
    <cellStyle name="Normal 55 11 9" xfId="10650" xr:uid="{00000000-0005-0000-0000-00009F290000}"/>
    <cellStyle name="Normal 55 12" xfId="10651" xr:uid="{00000000-0005-0000-0000-0000A0290000}"/>
    <cellStyle name="Normal 55 12 10" xfId="10652" xr:uid="{00000000-0005-0000-0000-0000A1290000}"/>
    <cellStyle name="Normal 55 12 11" xfId="10653" xr:uid="{00000000-0005-0000-0000-0000A2290000}"/>
    <cellStyle name="Normal 55 12 12" xfId="10654" xr:uid="{00000000-0005-0000-0000-0000A3290000}"/>
    <cellStyle name="Normal 55 12 13" xfId="10655" xr:uid="{00000000-0005-0000-0000-0000A4290000}"/>
    <cellStyle name="Normal 55 12 2" xfId="10656" xr:uid="{00000000-0005-0000-0000-0000A5290000}"/>
    <cellStyle name="Normal 55 12 2 10" xfId="10657" xr:uid="{00000000-0005-0000-0000-0000A6290000}"/>
    <cellStyle name="Normal 55 12 2 11" xfId="10658" xr:uid="{00000000-0005-0000-0000-0000A7290000}"/>
    <cellStyle name="Normal 55 12 2 2" xfId="10659" xr:uid="{00000000-0005-0000-0000-0000A8290000}"/>
    <cellStyle name="Normal 55 12 2 3" xfId="10660" xr:uid="{00000000-0005-0000-0000-0000A9290000}"/>
    <cellStyle name="Normal 55 12 2 4" xfId="10661" xr:uid="{00000000-0005-0000-0000-0000AA290000}"/>
    <cellStyle name="Normal 55 12 2 5" xfId="10662" xr:uid="{00000000-0005-0000-0000-0000AB290000}"/>
    <cellStyle name="Normal 55 12 2 6" xfId="10663" xr:uid="{00000000-0005-0000-0000-0000AC290000}"/>
    <cellStyle name="Normal 55 12 2 7" xfId="10664" xr:uid="{00000000-0005-0000-0000-0000AD290000}"/>
    <cellStyle name="Normal 55 12 2 8" xfId="10665" xr:uid="{00000000-0005-0000-0000-0000AE290000}"/>
    <cellStyle name="Normal 55 12 2 9" xfId="10666" xr:uid="{00000000-0005-0000-0000-0000AF290000}"/>
    <cellStyle name="Normal 55 12 3" xfId="10667" xr:uid="{00000000-0005-0000-0000-0000B0290000}"/>
    <cellStyle name="Normal 55 12 4" xfId="10668" xr:uid="{00000000-0005-0000-0000-0000B1290000}"/>
    <cellStyle name="Normal 55 12 5" xfId="10669" xr:uid="{00000000-0005-0000-0000-0000B2290000}"/>
    <cellStyle name="Normal 55 12 6" xfId="10670" xr:uid="{00000000-0005-0000-0000-0000B3290000}"/>
    <cellStyle name="Normal 55 12 7" xfId="10671" xr:uid="{00000000-0005-0000-0000-0000B4290000}"/>
    <cellStyle name="Normal 55 12 8" xfId="10672" xr:uid="{00000000-0005-0000-0000-0000B5290000}"/>
    <cellStyle name="Normal 55 12 9" xfId="10673" xr:uid="{00000000-0005-0000-0000-0000B6290000}"/>
    <cellStyle name="Normal 55 13" xfId="10674" xr:uid="{00000000-0005-0000-0000-0000B7290000}"/>
    <cellStyle name="Normal 55 13 10" xfId="10675" xr:uid="{00000000-0005-0000-0000-0000B8290000}"/>
    <cellStyle name="Normal 55 13 11" xfId="10676" xr:uid="{00000000-0005-0000-0000-0000B9290000}"/>
    <cellStyle name="Normal 55 13 12" xfId="10677" xr:uid="{00000000-0005-0000-0000-0000BA290000}"/>
    <cellStyle name="Normal 55 13 13" xfId="10678" xr:uid="{00000000-0005-0000-0000-0000BB290000}"/>
    <cellStyle name="Normal 55 13 2" xfId="10679" xr:uid="{00000000-0005-0000-0000-0000BC290000}"/>
    <cellStyle name="Normal 55 13 2 10" xfId="10680" xr:uid="{00000000-0005-0000-0000-0000BD290000}"/>
    <cellStyle name="Normal 55 13 2 11" xfId="10681" xr:uid="{00000000-0005-0000-0000-0000BE290000}"/>
    <cellStyle name="Normal 55 13 2 2" xfId="10682" xr:uid="{00000000-0005-0000-0000-0000BF290000}"/>
    <cellStyle name="Normal 55 13 2 3" xfId="10683" xr:uid="{00000000-0005-0000-0000-0000C0290000}"/>
    <cellStyle name="Normal 55 13 2 4" xfId="10684" xr:uid="{00000000-0005-0000-0000-0000C1290000}"/>
    <cellStyle name="Normal 55 13 2 5" xfId="10685" xr:uid="{00000000-0005-0000-0000-0000C2290000}"/>
    <cellStyle name="Normal 55 13 2 6" xfId="10686" xr:uid="{00000000-0005-0000-0000-0000C3290000}"/>
    <cellStyle name="Normal 55 13 2 7" xfId="10687" xr:uid="{00000000-0005-0000-0000-0000C4290000}"/>
    <cellStyle name="Normal 55 13 2 8" xfId="10688" xr:uid="{00000000-0005-0000-0000-0000C5290000}"/>
    <cellStyle name="Normal 55 13 2 9" xfId="10689" xr:uid="{00000000-0005-0000-0000-0000C6290000}"/>
    <cellStyle name="Normal 55 13 3" xfId="10690" xr:uid="{00000000-0005-0000-0000-0000C7290000}"/>
    <cellStyle name="Normal 55 13 4" xfId="10691" xr:uid="{00000000-0005-0000-0000-0000C8290000}"/>
    <cellStyle name="Normal 55 13 5" xfId="10692" xr:uid="{00000000-0005-0000-0000-0000C9290000}"/>
    <cellStyle name="Normal 55 13 6" xfId="10693" xr:uid="{00000000-0005-0000-0000-0000CA290000}"/>
    <cellStyle name="Normal 55 13 7" xfId="10694" xr:uid="{00000000-0005-0000-0000-0000CB290000}"/>
    <cellStyle name="Normal 55 13 8" xfId="10695" xr:uid="{00000000-0005-0000-0000-0000CC290000}"/>
    <cellStyle name="Normal 55 13 9" xfId="10696" xr:uid="{00000000-0005-0000-0000-0000CD290000}"/>
    <cellStyle name="Normal 55 14" xfId="10697" xr:uid="{00000000-0005-0000-0000-0000CE290000}"/>
    <cellStyle name="Normal 55 14 10" xfId="10698" xr:uid="{00000000-0005-0000-0000-0000CF290000}"/>
    <cellStyle name="Normal 55 14 11" xfId="10699" xr:uid="{00000000-0005-0000-0000-0000D0290000}"/>
    <cellStyle name="Normal 55 14 2" xfId="10700" xr:uid="{00000000-0005-0000-0000-0000D1290000}"/>
    <cellStyle name="Normal 55 14 3" xfId="10701" xr:uid="{00000000-0005-0000-0000-0000D2290000}"/>
    <cellStyle name="Normal 55 14 4" xfId="10702" xr:uid="{00000000-0005-0000-0000-0000D3290000}"/>
    <cellStyle name="Normal 55 14 5" xfId="10703" xr:uid="{00000000-0005-0000-0000-0000D4290000}"/>
    <cellStyle name="Normal 55 14 6" xfId="10704" xr:uid="{00000000-0005-0000-0000-0000D5290000}"/>
    <cellStyle name="Normal 55 14 7" xfId="10705" xr:uid="{00000000-0005-0000-0000-0000D6290000}"/>
    <cellStyle name="Normal 55 14 8" xfId="10706" xr:uid="{00000000-0005-0000-0000-0000D7290000}"/>
    <cellStyle name="Normal 55 14 9" xfId="10707" xr:uid="{00000000-0005-0000-0000-0000D8290000}"/>
    <cellStyle name="Normal 55 15" xfId="10708" xr:uid="{00000000-0005-0000-0000-0000D9290000}"/>
    <cellStyle name="Normal 55 16" xfId="10709" xr:uid="{00000000-0005-0000-0000-0000DA290000}"/>
    <cellStyle name="Normal 55 17" xfId="10710" xr:uid="{00000000-0005-0000-0000-0000DB290000}"/>
    <cellStyle name="Normal 55 18" xfId="10711" xr:uid="{00000000-0005-0000-0000-0000DC290000}"/>
    <cellStyle name="Normal 55 19" xfId="10712" xr:uid="{00000000-0005-0000-0000-0000DD290000}"/>
    <cellStyle name="Normal 55 2" xfId="10713" xr:uid="{00000000-0005-0000-0000-0000DE290000}"/>
    <cellStyle name="Normal 55 2 10" xfId="10714" xr:uid="{00000000-0005-0000-0000-0000DF290000}"/>
    <cellStyle name="Normal 55 2 11" xfId="10715" xr:uid="{00000000-0005-0000-0000-0000E0290000}"/>
    <cellStyle name="Normal 55 2 12" xfId="10716" xr:uid="{00000000-0005-0000-0000-0000E1290000}"/>
    <cellStyle name="Normal 55 2 13" xfId="10717" xr:uid="{00000000-0005-0000-0000-0000E2290000}"/>
    <cellStyle name="Normal 55 2 2" xfId="10718" xr:uid="{00000000-0005-0000-0000-0000E3290000}"/>
    <cellStyle name="Normal 55 2 2 10" xfId="10719" xr:uid="{00000000-0005-0000-0000-0000E4290000}"/>
    <cellStyle name="Normal 55 2 2 11" xfId="10720" xr:uid="{00000000-0005-0000-0000-0000E5290000}"/>
    <cellStyle name="Normal 55 2 2 2" xfId="10721" xr:uid="{00000000-0005-0000-0000-0000E6290000}"/>
    <cellStyle name="Normal 55 2 2 3" xfId="10722" xr:uid="{00000000-0005-0000-0000-0000E7290000}"/>
    <cellStyle name="Normal 55 2 2 4" xfId="10723" xr:uid="{00000000-0005-0000-0000-0000E8290000}"/>
    <cellStyle name="Normal 55 2 2 5" xfId="10724" xr:uid="{00000000-0005-0000-0000-0000E9290000}"/>
    <cellStyle name="Normal 55 2 2 6" xfId="10725" xr:uid="{00000000-0005-0000-0000-0000EA290000}"/>
    <cellStyle name="Normal 55 2 2 7" xfId="10726" xr:uid="{00000000-0005-0000-0000-0000EB290000}"/>
    <cellStyle name="Normal 55 2 2 8" xfId="10727" xr:uid="{00000000-0005-0000-0000-0000EC290000}"/>
    <cellStyle name="Normal 55 2 2 9" xfId="10728" xr:uid="{00000000-0005-0000-0000-0000ED290000}"/>
    <cellStyle name="Normal 55 2 3" xfId="10729" xr:uid="{00000000-0005-0000-0000-0000EE290000}"/>
    <cellStyle name="Normal 55 2 4" xfId="10730" xr:uid="{00000000-0005-0000-0000-0000EF290000}"/>
    <cellStyle name="Normal 55 2 5" xfId="10731" xr:uid="{00000000-0005-0000-0000-0000F0290000}"/>
    <cellStyle name="Normal 55 2 6" xfId="10732" xr:uid="{00000000-0005-0000-0000-0000F1290000}"/>
    <cellStyle name="Normal 55 2 7" xfId="10733" xr:uid="{00000000-0005-0000-0000-0000F2290000}"/>
    <cellStyle name="Normal 55 2 8" xfId="10734" xr:uid="{00000000-0005-0000-0000-0000F3290000}"/>
    <cellStyle name="Normal 55 2 9" xfId="10735" xr:uid="{00000000-0005-0000-0000-0000F4290000}"/>
    <cellStyle name="Normal 55 20" xfId="10736" xr:uid="{00000000-0005-0000-0000-0000F5290000}"/>
    <cellStyle name="Normal 55 21" xfId="10737" xr:uid="{00000000-0005-0000-0000-0000F6290000}"/>
    <cellStyle name="Normal 55 22" xfId="10738" xr:uid="{00000000-0005-0000-0000-0000F7290000}"/>
    <cellStyle name="Normal 55 23" xfId="10739" xr:uid="{00000000-0005-0000-0000-0000F8290000}"/>
    <cellStyle name="Normal 55 24" xfId="10740" xr:uid="{00000000-0005-0000-0000-0000F9290000}"/>
    <cellStyle name="Normal 55 25" xfId="10741" xr:uid="{00000000-0005-0000-0000-0000FA290000}"/>
    <cellStyle name="Normal 55 3" xfId="10742" xr:uid="{00000000-0005-0000-0000-0000FB290000}"/>
    <cellStyle name="Normal 55 3 10" xfId="10743" xr:uid="{00000000-0005-0000-0000-0000FC290000}"/>
    <cellStyle name="Normal 55 3 11" xfId="10744" xr:uid="{00000000-0005-0000-0000-0000FD290000}"/>
    <cellStyle name="Normal 55 3 12" xfId="10745" xr:uid="{00000000-0005-0000-0000-0000FE290000}"/>
    <cellStyle name="Normal 55 3 13" xfId="10746" xr:uid="{00000000-0005-0000-0000-0000FF290000}"/>
    <cellStyle name="Normal 55 3 2" xfId="10747" xr:uid="{00000000-0005-0000-0000-0000002A0000}"/>
    <cellStyle name="Normal 55 3 2 10" xfId="10748" xr:uid="{00000000-0005-0000-0000-0000012A0000}"/>
    <cellStyle name="Normal 55 3 2 11" xfId="10749" xr:uid="{00000000-0005-0000-0000-0000022A0000}"/>
    <cellStyle name="Normal 55 3 2 2" xfId="10750" xr:uid="{00000000-0005-0000-0000-0000032A0000}"/>
    <cellStyle name="Normal 55 3 2 3" xfId="10751" xr:uid="{00000000-0005-0000-0000-0000042A0000}"/>
    <cellStyle name="Normal 55 3 2 4" xfId="10752" xr:uid="{00000000-0005-0000-0000-0000052A0000}"/>
    <cellStyle name="Normal 55 3 2 5" xfId="10753" xr:uid="{00000000-0005-0000-0000-0000062A0000}"/>
    <cellStyle name="Normal 55 3 2 6" xfId="10754" xr:uid="{00000000-0005-0000-0000-0000072A0000}"/>
    <cellStyle name="Normal 55 3 2 7" xfId="10755" xr:uid="{00000000-0005-0000-0000-0000082A0000}"/>
    <cellStyle name="Normal 55 3 2 8" xfId="10756" xr:uid="{00000000-0005-0000-0000-0000092A0000}"/>
    <cellStyle name="Normal 55 3 2 9" xfId="10757" xr:uid="{00000000-0005-0000-0000-00000A2A0000}"/>
    <cellStyle name="Normal 55 3 3" xfId="10758" xr:uid="{00000000-0005-0000-0000-00000B2A0000}"/>
    <cellStyle name="Normal 55 3 4" xfId="10759" xr:uid="{00000000-0005-0000-0000-00000C2A0000}"/>
    <cellStyle name="Normal 55 3 5" xfId="10760" xr:uid="{00000000-0005-0000-0000-00000D2A0000}"/>
    <cellStyle name="Normal 55 3 6" xfId="10761" xr:uid="{00000000-0005-0000-0000-00000E2A0000}"/>
    <cellStyle name="Normal 55 3 7" xfId="10762" xr:uid="{00000000-0005-0000-0000-00000F2A0000}"/>
    <cellStyle name="Normal 55 3 8" xfId="10763" xr:uid="{00000000-0005-0000-0000-0000102A0000}"/>
    <cellStyle name="Normal 55 3 9" xfId="10764" xr:uid="{00000000-0005-0000-0000-0000112A0000}"/>
    <cellStyle name="Normal 55 4" xfId="10765" xr:uid="{00000000-0005-0000-0000-0000122A0000}"/>
    <cellStyle name="Normal 55 4 10" xfId="10766" xr:uid="{00000000-0005-0000-0000-0000132A0000}"/>
    <cellStyle name="Normal 55 4 11" xfId="10767" xr:uid="{00000000-0005-0000-0000-0000142A0000}"/>
    <cellStyle name="Normal 55 4 12" xfId="10768" xr:uid="{00000000-0005-0000-0000-0000152A0000}"/>
    <cellStyle name="Normal 55 4 13" xfId="10769" xr:uid="{00000000-0005-0000-0000-0000162A0000}"/>
    <cellStyle name="Normal 55 4 2" xfId="10770" xr:uid="{00000000-0005-0000-0000-0000172A0000}"/>
    <cellStyle name="Normal 55 4 2 10" xfId="10771" xr:uid="{00000000-0005-0000-0000-0000182A0000}"/>
    <cellStyle name="Normal 55 4 2 11" xfId="10772" xr:uid="{00000000-0005-0000-0000-0000192A0000}"/>
    <cellStyle name="Normal 55 4 2 2" xfId="10773" xr:uid="{00000000-0005-0000-0000-00001A2A0000}"/>
    <cellStyle name="Normal 55 4 2 3" xfId="10774" xr:uid="{00000000-0005-0000-0000-00001B2A0000}"/>
    <cellStyle name="Normal 55 4 2 4" xfId="10775" xr:uid="{00000000-0005-0000-0000-00001C2A0000}"/>
    <cellStyle name="Normal 55 4 2 5" xfId="10776" xr:uid="{00000000-0005-0000-0000-00001D2A0000}"/>
    <cellStyle name="Normal 55 4 2 6" xfId="10777" xr:uid="{00000000-0005-0000-0000-00001E2A0000}"/>
    <cellStyle name="Normal 55 4 2 7" xfId="10778" xr:uid="{00000000-0005-0000-0000-00001F2A0000}"/>
    <cellStyle name="Normal 55 4 2 8" xfId="10779" xr:uid="{00000000-0005-0000-0000-0000202A0000}"/>
    <cellStyle name="Normal 55 4 2 9" xfId="10780" xr:uid="{00000000-0005-0000-0000-0000212A0000}"/>
    <cellStyle name="Normal 55 4 3" xfId="10781" xr:uid="{00000000-0005-0000-0000-0000222A0000}"/>
    <cellStyle name="Normal 55 4 4" xfId="10782" xr:uid="{00000000-0005-0000-0000-0000232A0000}"/>
    <cellStyle name="Normal 55 4 5" xfId="10783" xr:uid="{00000000-0005-0000-0000-0000242A0000}"/>
    <cellStyle name="Normal 55 4 6" xfId="10784" xr:uid="{00000000-0005-0000-0000-0000252A0000}"/>
    <cellStyle name="Normal 55 4 7" xfId="10785" xr:uid="{00000000-0005-0000-0000-0000262A0000}"/>
    <cellStyle name="Normal 55 4 8" xfId="10786" xr:uid="{00000000-0005-0000-0000-0000272A0000}"/>
    <cellStyle name="Normal 55 4 9" xfId="10787" xr:uid="{00000000-0005-0000-0000-0000282A0000}"/>
    <cellStyle name="Normal 55 5" xfId="10788" xr:uid="{00000000-0005-0000-0000-0000292A0000}"/>
    <cellStyle name="Normal 55 5 10" xfId="10789" xr:uid="{00000000-0005-0000-0000-00002A2A0000}"/>
    <cellStyle name="Normal 55 5 11" xfId="10790" xr:uid="{00000000-0005-0000-0000-00002B2A0000}"/>
    <cellStyle name="Normal 55 5 12" xfId="10791" xr:uid="{00000000-0005-0000-0000-00002C2A0000}"/>
    <cellStyle name="Normal 55 5 13" xfId="10792" xr:uid="{00000000-0005-0000-0000-00002D2A0000}"/>
    <cellStyle name="Normal 55 5 2" xfId="10793" xr:uid="{00000000-0005-0000-0000-00002E2A0000}"/>
    <cellStyle name="Normal 55 5 2 10" xfId="10794" xr:uid="{00000000-0005-0000-0000-00002F2A0000}"/>
    <cellStyle name="Normal 55 5 2 11" xfId="10795" xr:uid="{00000000-0005-0000-0000-0000302A0000}"/>
    <cellStyle name="Normal 55 5 2 2" xfId="10796" xr:uid="{00000000-0005-0000-0000-0000312A0000}"/>
    <cellStyle name="Normal 55 5 2 3" xfId="10797" xr:uid="{00000000-0005-0000-0000-0000322A0000}"/>
    <cellStyle name="Normal 55 5 2 4" xfId="10798" xr:uid="{00000000-0005-0000-0000-0000332A0000}"/>
    <cellStyle name="Normal 55 5 2 5" xfId="10799" xr:uid="{00000000-0005-0000-0000-0000342A0000}"/>
    <cellStyle name="Normal 55 5 2 6" xfId="10800" xr:uid="{00000000-0005-0000-0000-0000352A0000}"/>
    <cellStyle name="Normal 55 5 2 7" xfId="10801" xr:uid="{00000000-0005-0000-0000-0000362A0000}"/>
    <cellStyle name="Normal 55 5 2 8" xfId="10802" xr:uid="{00000000-0005-0000-0000-0000372A0000}"/>
    <cellStyle name="Normal 55 5 2 9" xfId="10803" xr:uid="{00000000-0005-0000-0000-0000382A0000}"/>
    <cellStyle name="Normal 55 5 3" xfId="10804" xr:uid="{00000000-0005-0000-0000-0000392A0000}"/>
    <cellStyle name="Normal 55 5 4" xfId="10805" xr:uid="{00000000-0005-0000-0000-00003A2A0000}"/>
    <cellStyle name="Normal 55 5 5" xfId="10806" xr:uid="{00000000-0005-0000-0000-00003B2A0000}"/>
    <cellStyle name="Normal 55 5 6" xfId="10807" xr:uid="{00000000-0005-0000-0000-00003C2A0000}"/>
    <cellStyle name="Normal 55 5 7" xfId="10808" xr:uid="{00000000-0005-0000-0000-00003D2A0000}"/>
    <cellStyle name="Normal 55 5 8" xfId="10809" xr:uid="{00000000-0005-0000-0000-00003E2A0000}"/>
    <cellStyle name="Normal 55 5 9" xfId="10810" xr:uid="{00000000-0005-0000-0000-00003F2A0000}"/>
    <cellStyle name="Normal 55 6" xfId="10811" xr:uid="{00000000-0005-0000-0000-0000402A0000}"/>
    <cellStyle name="Normal 55 6 10" xfId="10812" xr:uid="{00000000-0005-0000-0000-0000412A0000}"/>
    <cellStyle name="Normal 55 6 11" xfId="10813" xr:uid="{00000000-0005-0000-0000-0000422A0000}"/>
    <cellStyle name="Normal 55 6 12" xfId="10814" xr:uid="{00000000-0005-0000-0000-0000432A0000}"/>
    <cellStyle name="Normal 55 6 13" xfId="10815" xr:uid="{00000000-0005-0000-0000-0000442A0000}"/>
    <cellStyle name="Normal 55 6 2" xfId="10816" xr:uid="{00000000-0005-0000-0000-0000452A0000}"/>
    <cellStyle name="Normal 55 6 2 10" xfId="10817" xr:uid="{00000000-0005-0000-0000-0000462A0000}"/>
    <cellStyle name="Normal 55 6 2 11" xfId="10818" xr:uid="{00000000-0005-0000-0000-0000472A0000}"/>
    <cellStyle name="Normal 55 6 2 2" xfId="10819" xr:uid="{00000000-0005-0000-0000-0000482A0000}"/>
    <cellStyle name="Normal 55 6 2 3" xfId="10820" xr:uid="{00000000-0005-0000-0000-0000492A0000}"/>
    <cellStyle name="Normal 55 6 2 4" xfId="10821" xr:uid="{00000000-0005-0000-0000-00004A2A0000}"/>
    <cellStyle name="Normal 55 6 2 5" xfId="10822" xr:uid="{00000000-0005-0000-0000-00004B2A0000}"/>
    <cellStyle name="Normal 55 6 2 6" xfId="10823" xr:uid="{00000000-0005-0000-0000-00004C2A0000}"/>
    <cellStyle name="Normal 55 6 2 7" xfId="10824" xr:uid="{00000000-0005-0000-0000-00004D2A0000}"/>
    <cellStyle name="Normal 55 6 2 8" xfId="10825" xr:uid="{00000000-0005-0000-0000-00004E2A0000}"/>
    <cellStyle name="Normal 55 6 2 9" xfId="10826" xr:uid="{00000000-0005-0000-0000-00004F2A0000}"/>
    <cellStyle name="Normal 55 6 3" xfId="10827" xr:uid="{00000000-0005-0000-0000-0000502A0000}"/>
    <cellStyle name="Normal 55 6 4" xfId="10828" xr:uid="{00000000-0005-0000-0000-0000512A0000}"/>
    <cellStyle name="Normal 55 6 5" xfId="10829" xr:uid="{00000000-0005-0000-0000-0000522A0000}"/>
    <cellStyle name="Normal 55 6 6" xfId="10830" xr:uid="{00000000-0005-0000-0000-0000532A0000}"/>
    <cellStyle name="Normal 55 6 7" xfId="10831" xr:uid="{00000000-0005-0000-0000-0000542A0000}"/>
    <cellStyle name="Normal 55 6 8" xfId="10832" xr:uid="{00000000-0005-0000-0000-0000552A0000}"/>
    <cellStyle name="Normal 55 6 9" xfId="10833" xr:uid="{00000000-0005-0000-0000-0000562A0000}"/>
    <cellStyle name="Normal 55 7" xfId="10834" xr:uid="{00000000-0005-0000-0000-0000572A0000}"/>
    <cellStyle name="Normal 55 7 10" xfId="10835" xr:uid="{00000000-0005-0000-0000-0000582A0000}"/>
    <cellStyle name="Normal 55 7 11" xfId="10836" xr:uid="{00000000-0005-0000-0000-0000592A0000}"/>
    <cellStyle name="Normal 55 7 12" xfId="10837" xr:uid="{00000000-0005-0000-0000-00005A2A0000}"/>
    <cellStyle name="Normal 55 7 13" xfId="10838" xr:uid="{00000000-0005-0000-0000-00005B2A0000}"/>
    <cellStyle name="Normal 55 7 2" xfId="10839" xr:uid="{00000000-0005-0000-0000-00005C2A0000}"/>
    <cellStyle name="Normal 55 7 2 10" xfId="10840" xr:uid="{00000000-0005-0000-0000-00005D2A0000}"/>
    <cellStyle name="Normal 55 7 2 11" xfId="10841" xr:uid="{00000000-0005-0000-0000-00005E2A0000}"/>
    <cellStyle name="Normal 55 7 2 2" xfId="10842" xr:uid="{00000000-0005-0000-0000-00005F2A0000}"/>
    <cellStyle name="Normal 55 7 2 3" xfId="10843" xr:uid="{00000000-0005-0000-0000-0000602A0000}"/>
    <cellStyle name="Normal 55 7 2 4" xfId="10844" xr:uid="{00000000-0005-0000-0000-0000612A0000}"/>
    <cellStyle name="Normal 55 7 2 5" xfId="10845" xr:uid="{00000000-0005-0000-0000-0000622A0000}"/>
    <cellStyle name="Normal 55 7 2 6" xfId="10846" xr:uid="{00000000-0005-0000-0000-0000632A0000}"/>
    <cellStyle name="Normal 55 7 2 7" xfId="10847" xr:uid="{00000000-0005-0000-0000-0000642A0000}"/>
    <cellStyle name="Normal 55 7 2 8" xfId="10848" xr:uid="{00000000-0005-0000-0000-0000652A0000}"/>
    <cellStyle name="Normal 55 7 2 9" xfId="10849" xr:uid="{00000000-0005-0000-0000-0000662A0000}"/>
    <cellStyle name="Normal 55 7 3" xfId="10850" xr:uid="{00000000-0005-0000-0000-0000672A0000}"/>
    <cellStyle name="Normal 55 7 4" xfId="10851" xr:uid="{00000000-0005-0000-0000-0000682A0000}"/>
    <cellStyle name="Normal 55 7 5" xfId="10852" xr:uid="{00000000-0005-0000-0000-0000692A0000}"/>
    <cellStyle name="Normal 55 7 6" xfId="10853" xr:uid="{00000000-0005-0000-0000-00006A2A0000}"/>
    <cellStyle name="Normal 55 7 7" xfId="10854" xr:uid="{00000000-0005-0000-0000-00006B2A0000}"/>
    <cellStyle name="Normal 55 7 8" xfId="10855" xr:uid="{00000000-0005-0000-0000-00006C2A0000}"/>
    <cellStyle name="Normal 55 7 9" xfId="10856" xr:uid="{00000000-0005-0000-0000-00006D2A0000}"/>
    <cellStyle name="Normal 55 8" xfId="10857" xr:uid="{00000000-0005-0000-0000-00006E2A0000}"/>
    <cellStyle name="Normal 55 8 10" xfId="10858" xr:uid="{00000000-0005-0000-0000-00006F2A0000}"/>
    <cellStyle name="Normal 55 8 11" xfId="10859" xr:uid="{00000000-0005-0000-0000-0000702A0000}"/>
    <cellStyle name="Normal 55 8 12" xfId="10860" xr:uid="{00000000-0005-0000-0000-0000712A0000}"/>
    <cellStyle name="Normal 55 8 13" xfId="10861" xr:uid="{00000000-0005-0000-0000-0000722A0000}"/>
    <cellStyle name="Normal 55 8 2" xfId="10862" xr:uid="{00000000-0005-0000-0000-0000732A0000}"/>
    <cellStyle name="Normal 55 8 2 10" xfId="10863" xr:uid="{00000000-0005-0000-0000-0000742A0000}"/>
    <cellStyle name="Normal 55 8 2 11" xfId="10864" xr:uid="{00000000-0005-0000-0000-0000752A0000}"/>
    <cellStyle name="Normal 55 8 2 2" xfId="10865" xr:uid="{00000000-0005-0000-0000-0000762A0000}"/>
    <cellStyle name="Normal 55 8 2 3" xfId="10866" xr:uid="{00000000-0005-0000-0000-0000772A0000}"/>
    <cellStyle name="Normal 55 8 2 4" xfId="10867" xr:uid="{00000000-0005-0000-0000-0000782A0000}"/>
    <cellStyle name="Normal 55 8 2 5" xfId="10868" xr:uid="{00000000-0005-0000-0000-0000792A0000}"/>
    <cellStyle name="Normal 55 8 2 6" xfId="10869" xr:uid="{00000000-0005-0000-0000-00007A2A0000}"/>
    <cellStyle name="Normal 55 8 2 7" xfId="10870" xr:uid="{00000000-0005-0000-0000-00007B2A0000}"/>
    <cellStyle name="Normal 55 8 2 8" xfId="10871" xr:uid="{00000000-0005-0000-0000-00007C2A0000}"/>
    <cellStyle name="Normal 55 8 2 9" xfId="10872" xr:uid="{00000000-0005-0000-0000-00007D2A0000}"/>
    <cellStyle name="Normal 55 8 3" xfId="10873" xr:uid="{00000000-0005-0000-0000-00007E2A0000}"/>
    <cellStyle name="Normal 55 8 4" xfId="10874" xr:uid="{00000000-0005-0000-0000-00007F2A0000}"/>
    <cellStyle name="Normal 55 8 5" xfId="10875" xr:uid="{00000000-0005-0000-0000-0000802A0000}"/>
    <cellStyle name="Normal 55 8 6" xfId="10876" xr:uid="{00000000-0005-0000-0000-0000812A0000}"/>
    <cellStyle name="Normal 55 8 7" xfId="10877" xr:uid="{00000000-0005-0000-0000-0000822A0000}"/>
    <cellStyle name="Normal 55 8 8" xfId="10878" xr:uid="{00000000-0005-0000-0000-0000832A0000}"/>
    <cellStyle name="Normal 55 8 9" xfId="10879" xr:uid="{00000000-0005-0000-0000-0000842A0000}"/>
    <cellStyle name="Normal 55 9" xfId="10880" xr:uid="{00000000-0005-0000-0000-0000852A0000}"/>
    <cellStyle name="Normal 55 9 10" xfId="10881" xr:uid="{00000000-0005-0000-0000-0000862A0000}"/>
    <cellStyle name="Normal 55 9 11" xfId="10882" xr:uid="{00000000-0005-0000-0000-0000872A0000}"/>
    <cellStyle name="Normal 55 9 12" xfId="10883" xr:uid="{00000000-0005-0000-0000-0000882A0000}"/>
    <cellStyle name="Normal 55 9 13" xfId="10884" xr:uid="{00000000-0005-0000-0000-0000892A0000}"/>
    <cellStyle name="Normal 55 9 2" xfId="10885" xr:uid="{00000000-0005-0000-0000-00008A2A0000}"/>
    <cellStyle name="Normal 55 9 2 10" xfId="10886" xr:uid="{00000000-0005-0000-0000-00008B2A0000}"/>
    <cellStyle name="Normal 55 9 2 11" xfId="10887" xr:uid="{00000000-0005-0000-0000-00008C2A0000}"/>
    <cellStyle name="Normal 55 9 2 2" xfId="10888" xr:uid="{00000000-0005-0000-0000-00008D2A0000}"/>
    <cellStyle name="Normal 55 9 2 3" xfId="10889" xr:uid="{00000000-0005-0000-0000-00008E2A0000}"/>
    <cellStyle name="Normal 55 9 2 4" xfId="10890" xr:uid="{00000000-0005-0000-0000-00008F2A0000}"/>
    <cellStyle name="Normal 55 9 2 5" xfId="10891" xr:uid="{00000000-0005-0000-0000-0000902A0000}"/>
    <cellStyle name="Normal 55 9 2 6" xfId="10892" xr:uid="{00000000-0005-0000-0000-0000912A0000}"/>
    <cellStyle name="Normal 55 9 2 7" xfId="10893" xr:uid="{00000000-0005-0000-0000-0000922A0000}"/>
    <cellStyle name="Normal 55 9 2 8" xfId="10894" xr:uid="{00000000-0005-0000-0000-0000932A0000}"/>
    <cellStyle name="Normal 55 9 2 9" xfId="10895" xr:uid="{00000000-0005-0000-0000-0000942A0000}"/>
    <cellStyle name="Normal 55 9 3" xfId="10896" xr:uid="{00000000-0005-0000-0000-0000952A0000}"/>
    <cellStyle name="Normal 55 9 4" xfId="10897" xr:uid="{00000000-0005-0000-0000-0000962A0000}"/>
    <cellStyle name="Normal 55 9 5" xfId="10898" xr:uid="{00000000-0005-0000-0000-0000972A0000}"/>
    <cellStyle name="Normal 55 9 6" xfId="10899" xr:uid="{00000000-0005-0000-0000-0000982A0000}"/>
    <cellStyle name="Normal 55 9 7" xfId="10900" xr:uid="{00000000-0005-0000-0000-0000992A0000}"/>
    <cellStyle name="Normal 55 9 8" xfId="10901" xr:uid="{00000000-0005-0000-0000-00009A2A0000}"/>
    <cellStyle name="Normal 55 9 9" xfId="10902" xr:uid="{00000000-0005-0000-0000-00009B2A0000}"/>
    <cellStyle name="Normal 56" xfId="10903" xr:uid="{00000000-0005-0000-0000-00009C2A0000}"/>
    <cellStyle name="Normal 56 10" xfId="10904" xr:uid="{00000000-0005-0000-0000-00009D2A0000}"/>
    <cellStyle name="Normal 56 10 10" xfId="10905" xr:uid="{00000000-0005-0000-0000-00009E2A0000}"/>
    <cellStyle name="Normal 56 10 11" xfId="10906" xr:uid="{00000000-0005-0000-0000-00009F2A0000}"/>
    <cellStyle name="Normal 56 10 12" xfId="10907" xr:uid="{00000000-0005-0000-0000-0000A02A0000}"/>
    <cellStyle name="Normal 56 10 13" xfId="10908" xr:uid="{00000000-0005-0000-0000-0000A12A0000}"/>
    <cellStyle name="Normal 56 10 2" xfId="10909" xr:uid="{00000000-0005-0000-0000-0000A22A0000}"/>
    <cellStyle name="Normal 56 10 2 10" xfId="10910" xr:uid="{00000000-0005-0000-0000-0000A32A0000}"/>
    <cellStyle name="Normal 56 10 2 11" xfId="10911" xr:uid="{00000000-0005-0000-0000-0000A42A0000}"/>
    <cellStyle name="Normal 56 10 2 2" xfId="10912" xr:uid="{00000000-0005-0000-0000-0000A52A0000}"/>
    <cellStyle name="Normal 56 10 2 3" xfId="10913" xr:uid="{00000000-0005-0000-0000-0000A62A0000}"/>
    <cellStyle name="Normal 56 10 2 4" xfId="10914" xr:uid="{00000000-0005-0000-0000-0000A72A0000}"/>
    <cellStyle name="Normal 56 10 2 5" xfId="10915" xr:uid="{00000000-0005-0000-0000-0000A82A0000}"/>
    <cellStyle name="Normal 56 10 2 6" xfId="10916" xr:uid="{00000000-0005-0000-0000-0000A92A0000}"/>
    <cellStyle name="Normal 56 10 2 7" xfId="10917" xr:uid="{00000000-0005-0000-0000-0000AA2A0000}"/>
    <cellStyle name="Normal 56 10 2 8" xfId="10918" xr:uid="{00000000-0005-0000-0000-0000AB2A0000}"/>
    <cellStyle name="Normal 56 10 2 9" xfId="10919" xr:uid="{00000000-0005-0000-0000-0000AC2A0000}"/>
    <cellStyle name="Normal 56 10 3" xfId="10920" xr:uid="{00000000-0005-0000-0000-0000AD2A0000}"/>
    <cellStyle name="Normal 56 10 4" xfId="10921" xr:uid="{00000000-0005-0000-0000-0000AE2A0000}"/>
    <cellStyle name="Normal 56 10 5" xfId="10922" xr:uid="{00000000-0005-0000-0000-0000AF2A0000}"/>
    <cellStyle name="Normal 56 10 6" xfId="10923" xr:uid="{00000000-0005-0000-0000-0000B02A0000}"/>
    <cellStyle name="Normal 56 10 7" xfId="10924" xr:uid="{00000000-0005-0000-0000-0000B12A0000}"/>
    <cellStyle name="Normal 56 10 8" xfId="10925" xr:uid="{00000000-0005-0000-0000-0000B22A0000}"/>
    <cellStyle name="Normal 56 10 9" xfId="10926" xr:uid="{00000000-0005-0000-0000-0000B32A0000}"/>
    <cellStyle name="Normal 56 11" xfId="10927" xr:uid="{00000000-0005-0000-0000-0000B42A0000}"/>
    <cellStyle name="Normal 56 11 10" xfId="10928" xr:uid="{00000000-0005-0000-0000-0000B52A0000}"/>
    <cellStyle name="Normal 56 11 11" xfId="10929" xr:uid="{00000000-0005-0000-0000-0000B62A0000}"/>
    <cellStyle name="Normal 56 11 12" xfId="10930" xr:uid="{00000000-0005-0000-0000-0000B72A0000}"/>
    <cellStyle name="Normal 56 11 13" xfId="10931" xr:uid="{00000000-0005-0000-0000-0000B82A0000}"/>
    <cellStyle name="Normal 56 11 2" xfId="10932" xr:uid="{00000000-0005-0000-0000-0000B92A0000}"/>
    <cellStyle name="Normal 56 11 2 10" xfId="10933" xr:uid="{00000000-0005-0000-0000-0000BA2A0000}"/>
    <cellStyle name="Normal 56 11 2 11" xfId="10934" xr:uid="{00000000-0005-0000-0000-0000BB2A0000}"/>
    <cellStyle name="Normal 56 11 2 2" xfId="10935" xr:uid="{00000000-0005-0000-0000-0000BC2A0000}"/>
    <cellStyle name="Normal 56 11 2 3" xfId="10936" xr:uid="{00000000-0005-0000-0000-0000BD2A0000}"/>
    <cellStyle name="Normal 56 11 2 4" xfId="10937" xr:uid="{00000000-0005-0000-0000-0000BE2A0000}"/>
    <cellStyle name="Normal 56 11 2 5" xfId="10938" xr:uid="{00000000-0005-0000-0000-0000BF2A0000}"/>
    <cellStyle name="Normal 56 11 2 6" xfId="10939" xr:uid="{00000000-0005-0000-0000-0000C02A0000}"/>
    <cellStyle name="Normal 56 11 2 7" xfId="10940" xr:uid="{00000000-0005-0000-0000-0000C12A0000}"/>
    <cellStyle name="Normal 56 11 2 8" xfId="10941" xr:uid="{00000000-0005-0000-0000-0000C22A0000}"/>
    <cellStyle name="Normal 56 11 2 9" xfId="10942" xr:uid="{00000000-0005-0000-0000-0000C32A0000}"/>
    <cellStyle name="Normal 56 11 3" xfId="10943" xr:uid="{00000000-0005-0000-0000-0000C42A0000}"/>
    <cellStyle name="Normal 56 11 4" xfId="10944" xr:uid="{00000000-0005-0000-0000-0000C52A0000}"/>
    <cellStyle name="Normal 56 11 5" xfId="10945" xr:uid="{00000000-0005-0000-0000-0000C62A0000}"/>
    <cellStyle name="Normal 56 11 6" xfId="10946" xr:uid="{00000000-0005-0000-0000-0000C72A0000}"/>
    <cellStyle name="Normal 56 11 7" xfId="10947" xr:uid="{00000000-0005-0000-0000-0000C82A0000}"/>
    <cellStyle name="Normal 56 11 8" xfId="10948" xr:uid="{00000000-0005-0000-0000-0000C92A0000}"/>
    <cellStyle name="Normal 56 11 9" xfId="10949" xr:uid="{00000000-0005-0000-0000-0000CA2A0000}"/>
    <cellStyle name="Normal 56 12" xfId="10950" xr:uid="{00000000-0005-0000-0000-0000CB2A0000}"/>
    <cellStyle name="Normal 56 12 10" xfId="10951" xr:uid="{00000000-0005-0000-0000-0000CC2A0000}"/>
    <cellStyle name="Normal 56 12 11" xfId="10952" xr:uid="{00000000-0005-0000-0000-0000CD2A0000}"/>
    <cellStyle name="Normal 56 12 12" xfId="10953" xr:uid="{00000000-0005-0000-0000-0000CE2A0000}"/>
    <cellStyle name="Normal 56 12 13" xfId="10954" xr:uid="{00000000-0005-0000-0000-0000CF2A0000}"/>
    <cellStyle name="Normal 56 12 2" xfId="10955" xr:uid="{00000000-0005-0000-0000-0000D02A0000}"/>
    <cellStyle name="Normal 56 12 2 10" xfId="10956" xr:uid="{00000000-0005-0000-0000-0000D12A0000}"/>
    <cellStyle name="Normal 56 12 2 11" xfId="10957" xr:uid="{00000000-0005-0000-0000-0000D22A0000}"/>
    <cellStyle name="Normal 56 12 2 2" xfId="10958" xr:uid="{00000000-0005-0000-0000-0000D32A0000}"/>
    <cellStyle name="Normal 56 12 2 3" xfId="10959" xr:uid="{00000000-0005-0000-0000-0000D42A0000}"/>
    <cellStyle name="Normal 56 12 2 4" xfId="10960" xr:uid="{00000000-0005-0000-0000-0000D52A0000}"/>
    <cellStyle name="Normal 56 12 2 5" xfId="10961" xr:uid="{00000000-0005-0000-0000-0000D62A0000}"/>
    <cellStyle name="Normal 56 12 2 6" xfId="10962" xr:uid="{00000000-0005-0000-0000-0000D72A0000}"/>
    <cellStyle name="Normal 56 12 2 7" xfId="10963" xr:uid="{00000000-0005-0000-0000-0000D82A0000}"/>
    <cellStyle name="Normal 56 12 2 8" xfId="10964" xr:uid="{00000000-0005-0000-0000-0000D92A0000}"/>
    <cellStyle name="Normal 56 12 2 9" xfId="10965" xr:uid="{00000000-0005-0000-0000-0000DA2A0000}"/>
    <cellStyle name="Normal 56 12 3" xfId="10966" xr:uid="{00000000-0005-0000-0000-0000DB2A0000}"/>
    <cellStyle name="Normal 56 12 4" xfId="10967" xr:uid="{00000000-0005-0000-0000-0000DC2A0000}"/>
    <cellStyle name="Normal 56 12 5" xfId="10968" xr:uid="{00000000-0005-0000-0000-0000DD2A0000}"/>
    <cellStyle name="Normal 56 12 6" xfId="10969" xr:uid="{00000000-0005-0000-0000-0000DE2A0000}"/>
    <cellStyle name="Normal 56 12 7" xfId="10970" xr:uid="{00000000-0005-0000-0000-0000DF2A0000}"/>
    <cellStyle name="Normal 56 12 8" xfId="10971" xr:uid="{00000000-0005-0000-0000-0000E02A0000}"/>
    <cellStyle name="Normal 56 12 9" xfId="10972" xr:uid="{00000000-0005-0000-0000-0000E12A0000}"/>
    <cellStyle name="Normal 56 13" xfId="10973" xr:uid="{00000000-0005-0000-0000-0000E22A0000}"/>
    <cellStyle name="Normal 56 13 10" xfId="10974" xr:uid="{00000000-0005-0000-0000-0000E32A0000}"/>
    <cellStyle name="Normal 56 13 11" xfId="10975" xr:uid="{00000000-0005-0000-0000-0000E42A0000}"/>
    <cellStyle name="Normal 56 13 12" xfId="10976" xr:uid="{00000000-0005-0000-0000-0000E52A0000}"/>
    <cellStyle name="Normal 56 13 13" xfId="10977" xr:uid="{00000000-0005-0000-0000-0000E62A0000}"/>
    <cellStyle name="Normal 56 13 2" xfId="10978" xr:uid="{00000000-0005-0000-0000-0000E72A0000}"/>
    <cellStyle name="Normal 56 13 2 10" xfId="10979" xr:uid="{00000000-0005-0000-0000-0000E82A0000}"/>
    <cellStyle name="Normal 56 13 2 11" xfId="10980" xr:uid="{00000000-0005-0000-0000-0000E92A0000}"/>
    <cellStyle name="Normal 56 13 2 2" xfId="10981" xr:uid="{00000000-0005-0000-0000-0000EA2A0000}"/>
    <cellStyle name="Normal 56 13 2 3" xfId="10982" xr:uid="{00000000-0005-0000-0000-0000EB2A0000}"/>
    <cellStyle name="Normal 56 13 2 4" xfId="10983" xr:uid="{00000000-0005-0000-0000-0000EC2A0000}"/>
    <cellStyle name="Normal 56 13 2 5" xfId="10984" xr:uid="{00000000-0005-0000-0000-0000ED2A0000}"/>
    <cellStyle name="Normal 56 13 2 6" xfId="10985" xr:uid="{00000000-0005-0000-0000-0000EE2A0000}"/>
    <cellStyle name="Normal 56 13 2 7" xfId="10986" xr:uid="{00000000-0005-0000-0000-0000EF2A0000}"/>
    <cellStyle name="Normal 56 13 2 8" xfId="10987" xr:uid="{00000000-0005-0000-0000-0000F02A0000}"/>
    <cellStyle name="Normal 56 13 2 9" xfId="10988" xr:uid="{00000000-0005-0000-0000-0000F12A0000}"/>
    <cellStyle name="Normal 56 13 3" xfId="10989" xr:uid="{00000000-0005-0000-0000-0000F22A0000}"/>
    <cellStyle name="Normal 56 13 4" xfId="10990" xr:uid="{00000000-0005-0000-0000-0000F32A0000}"/>
    <cellStyle name="Normal 56 13 5" xfId="10991" xr:uid="{00000000-0005-0000-0000-0000F42A0000}"/>
    <cellStyle name="Normal 56 13 6" xfId="10992" xr:uid="{00000000-0005-0000-0000-0000F52A0000}"/>
    <cellStyle name="Normal 56 13 7" xfId="10993" xr:uid="{00000000-0005-0000-0000-0000F62A0000}"/>
    <cellStyle name="Normal 56 13 8" xfId="10994" xr:uid="{00000000-0005-0000-0000-0000F72A0000}"/>
    <cellStyle name="Normal 56 13 9" xfId="10995" xr:uid="{00000000-0005-0000-0000-0000F82A0000}"/>
    <cellStyle name="Normal 56 14" xfId="10996" xr:uid="{00000000-0005-0000-0000-0000F92A0000}"/>
    <cellStyle name="Normal 56 14 10" xfId="10997" xr:uid="{00000000-0005-0000-0000-0000FA2A0000}"/>
    <cellStyle name="Normal 56 14 11" xfId="10998" xr:uid="{00000000-0005-0000-0000-0000FB2A0000}"/>
    <cellStyle name="Normal 56 14 2" xfId="10999" xr:uid="{00000000-0005-0000-0000-0000FC2A0000}"/>
    <cellStyle name="Normal 56 14 3" xfId="11000" xr:uid="{00000000-0005-0000-0000-0000FD2A0000}"/>
    <cellStyle name="Normal 56 14 4" xfId="11001" xr:uid="{00000000-0005-0000-0000-0000FE2A0000}"/>
    <cellStyle name="Normal 56 14 5" xfId="11002" xr:uid="{00000000-0005-0000-0000-0000FF2A0000}"/>
    <cellStyle name="Normal 56 14 6" xfId="11003" xr:uid="{00000000-0005-0000-0000-0000002B0000}"/>
    <cellStyle name="Normal 56 14 7" xfId="11004" xr:uid="{00000000-0005-0000-0000-0000012B0000}"/>
    <cellStyle name="Normal 56 14 8" xfId="11005" xr:uid="{00000000-0005-0000-0000-0000022B0000}"/>
    <cellStyle name="Normal 56 14 9" xfId="11006" xr:uid="{00000000-0005-0000-0000-0000032B0000}"/>
    <cellStyle name="Normal 56 15" xfId="11007" xr:uid="{00000000-0005-0000-0000-0000042B0000}"/>
    <cellStyle name="Normal 56 16" xfId="11008" xr:uid="{00000000-0005-0000-0000-0000052B0000}"/>
    <cellStyle name="Normal 56 17" xfId="11009" xr:uid="{00000000-0005-0000-0000-0000062B0000}"/>
    <cellStyle name="Normal 56 18" xfId="11010" xr:uid="{00000000-0005-0000-0000-0000072B0000}"/>
    <cellStyle name="Normal 56 19" xfId="11011" xr:uid="{00000000-0005-0000-0000-0000082B0000}"/>
    <cellStyle name="Normal 56 2" xfId="11012" xr:uid="{00000000-0005-0000-0000-0000092B0000}"/>
    <cellStyle name="Normal 56 2 10" xfId="11013" xr:uid="{00000000-0005-0000-0000-00000A2B0000}"/>
    <cellStyle name="Normal 56 2 11" xfId="11014" xr:uid="{00000000-0005-0000-0000-00000B2B0000}"/>
    <cellStyle name="Normal 56 2 12" xfId="11015" xr:uid="{00000000-0005-0000-0000-00000C2B0000}"/>
    <cellStyle name="Normal 56 2 13" xfId="11016" xr:uid="{00000000-0005-0000-0000-00000D2B0000}"/>
    <cellStyle name="Normal 56 2 2" xfId="11017" xr:uid="{00000000-0005-0000-0000-00000E2B0000}"/>
    <cellStyle name="Normal 56 2 2 10" xfId="11018" xr:uid="{00000000-0005-0000-0000-00000F2B0000}"/>
    <cellStyle name="Normal 56 2 2 11" xfId="11019" xr:uid="{00000000-0005-0000-0000-0000102B0000}"/>
    <cellStyle name="Normal 56 2 2 2" xfId="11020" xr:uid="{00000000-0005-0000-0000-0000112B0000}"/>
    <cellStyle name="Normal 56 2 2 3" xfId="11021" xr:uid="{00000000-0005-0000-0000-0000122B0000}"/>
    <cellStyle name="Normal 56 2 2 4" xfId="11022" xr:uid="{00000000-0005-0000-0000-0000132B0000}"/>
    <cellStyle name="Normal 56 2 2 5" xfId="11023" xr:uid="{00000000-0005-0000-0000-0000142B0000}"/>
    <cellStyle name="Normal 56 2 2 6" xfId="11024" xr:uid="{00000000-0005-0000-0000-0000152B0000}"/>
    <cellStyle name="Normal 56 2 2 7" xfId="11025" xr:uid="{00000000-0005-0000-0000-0000162B0000}"/>
    <cellStyle name="Normal 56 2 2 8" xfId="11026" xr:uid="{00000000-0005-0000-0000-0000172B0000}"/>
    <cellStyle name="Normal 56 2 2 9" xfId="11027" xr:uid="{00000000-0005-0000-0000-0000182B0000}"/>
    <cellStyle name="Normal 56 2 3" xfId="11028" xr:uid="{00000000-0005-0000-0000-0000192B0000}"/>
    <cellStyle name="Normal 56 2 4" xfId="11029" xr:uid="{00000000-0005-0000-0000-00001A2B0000}"/>
    <cellStyle name="Normal 56 2 5" xfId="11030" xr:uid="{00000000-0005-0000-0000-00001B2B0000}"/>
    <cellStyle name="Normal 56 2 6" xfId="11031" xr:uid="{00000000-0005-0000-0000-00001C2B0000}"/>
    <cellStyle name="Normal 56 2 7" xfId="11032" xr:uid="{00000000-0005-0000-0000-00001D2B0000}"/>
    <cellStyle name="Normal 56 2 8" xfId="11033" xr:uid="{00000000-0005-0000-0000-00001E2B0000}"/>
    <cellStyle name="Normal 56 2 9" xfId="11034" xr:uid="{00000000-0005-0000-0000-00001F2B0000}"/>
    <cellStyle name="Normal 56 20" xfId="11035" xr:uid="{00000000-0005-0000-0000-0000202B0000}"/>
    <cellStyle name="Normal 56 21" xfId="11036" xr:uid="{00000000-0005-0000-0000-0000212B0000}"/>
    <cellStyle name="Normal 56 22" xfId="11037" xr:uid="{00000000-0005-0000-0000-0000222B0000}"/>
    <cellStyle name="Normal 56 23" xfId="11038" xr:uid="{00000000-0005-0000-0000-0000232B0000}"/>
    <cellStyle name="Normal 56 24" xfId="11039" xr:uid="{00000000-0005-0000-0000-0000242B0000}"/>
    <cellStyle name="Normal 56 25" xfId="11040" xr:uid="{00000000-0005-0000-0000-0000252B0000}"/>
    <cellStyle name="Normal 56 3" xfId="11041" xr:uid="{00000000-0005-0000-0000-0000262B0000}"/>
    <cellStyle name="Normal 56 3 10" xfId="11042" xr:uid="{00000000-0005-0000-0000-0000272B0000}"/>
    <cellStyle name="Normal 56 3 11" xfId="11043" xr:uid="{00000000-0005-0000-0000-0000282B0000}"/>
    <cellStyle name="Normal 56 3 12" xfId="11044" xr:uid="{00000000-0005-0000-0000-0000292B0000}"/>
    <cellStyle name="Normal 56 3 13" xfId="11045" xr:uid="{00000000-0005-0000-0000-00002A2B0000}"/>
    <cellStyle name="Normal 56 3 2" xfId="11046" xr:uid="{00000000-0005-0000-0000-00002B2B0000}"/>
    <cellStyle name="Normal 56 3 2 10" xfId="11047" xr:uid="{00000000-0005-0000-0000-00002C2B0000}"/>
    <cellStyle name="Normal 56 3 2 11" xfId="11048" xr:uid="{00000000-0005-0000-0000-00002D2B0000}"/>
    <cellStyle name="Normal 56 3 2 2" xfId="11049" xr:uid="{00000000-0005-0000-0000-00002E2B0000}"/>
    <cellStyle name="Normal 56 3 2 3" xfId="11050" xr:uid="{00000000-0005-0000-0000-00002F2B0000}"/>
    <cellStyle name="Normal 56 3 2 4" xfId="11051" xr:uid="{00000000-0005-0000-0000-0000302B0000}"/>
    <cellStyle name="Normal 56 3 2 5" xfId="11052" xr:uid="{00000000-0005-0000-0000-0000312B0000}"/>
    <cellStyle name="Normal 56 3 2 6" xfId="11053" xr:uid="{00000000-0005-0000-0000-0000322B0000}"/>
    <cellStyle name="Normal 56 3 2 7" xfId="11054" xr:uid="{00000000-0005-0000-0000-0000332B0000}"/>
    <cellStyle name="Normal 56 3 2 8" xfId="11055" xr:uid="{00000000-0005-0000-0000-0000342B0000}"/>
    <cellStyle name="Normal 56 3 2 9" xfId="11056" xr:uid="{00000000-0005-0000-0000-0000352B0000}"/>
    <cellStyle name="Normal 56 3 3" xfId="11057" xr:uid="{00000000-0005-0000-0000-0000362B0000}"/>
    <cellStyle name="Normal 56 3 4" xfId="11058" xr:uid="{00000000-0005-0000-0000-0000372B0000}"/>
    <cellStyle name="Normal 56 3 5" xfId="11059" xr:uid="{00000000-0005-0000-0000-0000382B0000}"/>
    <cellStyle name="Normal 56 3 6" xfId="11060" xr:uid="{00000000-0005-0000-0000-0000392B0000}"/>
    <cellStyle name="Normal 56 3 7" xfId="11061" xr:uid="{00000000-0005-0000-0000-00003A2B0000}"/>
    <cellStyle name="Normal 56 3 8" xfId="11062" xr:uid="{00000000-0005-0000-0000-00003B2B0000}"/>
    <cellStyle name="Normal 56 3 9" xfId="11063" xr:uid="{00000000-0005-0000-0000-00003C2B0000}"/>
    <cellStyle name="Normal 56 4" xfId="11064" xr:uid="{00000000-0005-0000-0000-00003D2B0000}"/>
    <cellStyle name="Normal 56 4 10" xfId="11065" xr:uid="{00000000-0005-0000-0000-00003E2B0000}"/>
    <cellStyle name="Normal 56 4 11" xfId="11066" xr:uid="{00000000-0005-0000-0000-00003F2B0000}"/>
    <cellStyle name="Normal 56 4 12" xfId="11067" xr:uid="{00000000-0005-0000-0000-0000402B0000}"/>
    <cellStyle name="Normal 56 4 13" xfId="11068" xr:uid="{00000000-0005-0000-0000-0000412B0000}"/>
    <cellStyle name="Normal 56 4 2" xfId="11069" xr:uid="{00000000-0005-0000-0000-0000422B0000}"/>
    <cellStyle name="Normal 56 4 2 10" xfId="11070" xr:uid="{00000000-0005-0000-0000-0000432B0000}"/>
    <cellStyle name="Normal 56 4 2 11" xfId="11071" xr:uid="{00000000-0005-0000-0000-0000442B0000}"/>
    <cellStyle name="Normal 56 4 2 2" xfId="11072" xr:uid="{00000000-0005-0000-0000-0000452B0000}"/>
    <cellStyle name="Normal 56 4 2 3" xfId="11073" xr:uid="{00000000-0005-0000-0000-0000462B0000}"/>
    <cellStyle name="Normal 56 4 2 4" xfId="11074" xr:uid="{00000000-0005-0000-0000-0000472B0000}"/>
    <cellStyle name="Normal 56 4 2 5" xfId="11075" xr:uid="{00000000-0005-0000-0000-0000482B0000}"/>
    <cellStyle name="Normal 56 4 2 6" xfId="11076" xr:uid="{00000000-0005-0000-0000-0000492B0000}"/>
    <cellStyle name="Normal 56 4 2 7" xfId="11077" xr:uid="{00000000-0005-0000-0000-00004A2B0000}"/>
    <cellStyle name="Normal 56 4 2 8" xfId="11078" xr:uid="{00000000-0005-0000-0000-00004B2B0000}"/>
    <cellStyle name="Normal 56 4 2 9" xfId="11079" xr:uid="{00000000-0005-0000-0000-00004C2B0000}"/>
    <cellStyle name="Normal 56 4 3" xfId="11080" xr:uid="{00000000-0005-0000-0000-00004D2B0000}"/>
    <cellStyle name="Normal 56 4 4" xfId="11081" xr:uid="{00000000-0005-0000-0000-00004E2B0000}"/>
    <cellStyle name="Normal 56 4 5" xfId="11082" xr:uid="{00000000-0005-0000-0000-00004F2B0000}"/>
    <cellStyle name="Normal 56 4 6" xfId="11083" xr:uid="{00000000-0005-0000-0000-0000502B0000}"/>
    <cellStyle name="Normal 56 4 7" xfId="11084" xr:uid="{00000000-0005-0000-0000-0000512B0000}"/>
    <cellStyle name="Normal 56 4 8" xfId="11085" xr:uid="{00000000-0005-0000-0000-0000522B0000}"/>
    <cellStyle name="Normal 56 4 9" xfId="11086" xr:uid="{00000000-0005-0000-0000-0000532B0000}"/>
    <cellStyle name="Normal 56 5" xfId="11087" xr:uid="{00000000-0005-0000-0000-0000542B0000}"/>
    <cellStyle name="Normal 56 5 10" xfId="11088" xr:uid="{00000000-0005-0000-0000-0000552B0000}"/>
    <cellStyle name="Normal 56 5 11" xfId="11089" xr:uid="{00000000-0005-0000-0000-0000562B0000}"/>
    <cellStyle name="Normal 56 5 12" xfId="11090" xr:uid="{00000000-0005-0000-0000-0000572B0000}"/>
    <cellStyle name="Normal 56 5 13" xfId="11091" xr:uid="{00000000-0005-0000-0000-0000582B0000}"/>
    <cellStyle name="Normal 56 5 2" xfId="11092" xr:uid="{00000000-0005-0000-0000-0000592B0000}"/>
    <cellStyle name="Normal 56 5 2 10" xfId="11093" xr:uid="{00000000-0005-0000-0000-00005A2B0000}"/>
    <cellStyle name="Normal 56 5 2 11" xfId="11094" xr:uid="{00000000-0005-0000-0000-00005B2B0000}"/>
    <cellStyle name="Normal 56 5 2 2" xfId="11095" xr:uid="{00000000-0005-0000-0000-00005C2B0000}"/>
    <cellStyle name="Normal 56 5 2 3" xfId="11096" xr:uid="{00000000-0005-0000-0000-00005D2B0000}"/>
    <cellStyle name="Normal 56 5 2 4" xfId="11097" xr:uid="{00000000-0005-0000-0000-00005E2B0000}"/>
    <cellStyle name="Normal 56 5 2 5" xfId="11098" xr:uid="{00000000-0005-0000-0000-00005F2B0000}"/>
    <cellStyle name="Normal 56 5 2 6" xfId="11099" xr:uid="{00000000-0005-0000-0000-0000602B0000}"/>
    <cellStyle name="Normal 56 5 2 7" xfId="11100" xr:uid="{00000000-0005-0000-0000-0000612B0000}"/>
    <cellStyle name="Normal 56 5 2 8" xfId="11101" xr:uid="{00000000-0005-0000-0000-0000622B0000}"/>
    <cellStyle name="Normal 56 5 2 9" xfId="11102" xr:uid="{00000000-0005-0000-0000-0000632B0000}"/>
    <cellStyle name="Normal 56 5 3" xfId="11103" xr:uid="{00000000-0005-0000-0000-0000642B0000}"/>
    <cellStyle name="Normal 56 5 4" xfId="11104" xr:uid="{00000000-0005-0000-0000-0000652B0000}"/>
    <cellStyle name="Normal 56 5 5" xfId="11105" xr:uid="{00000000-0005-0000-0000-0000662B0000}"/>
    <cellStyle name="Normal 56 5 6" xfId="11106" xr:uid="{00000000-0005-0000-0000-0000672B0000}"/>
    <cellStyle name="Normal 56 5 7" xfId="11107" xr:uid="{00000000-0005-0000-0000-0000682B0000}"/>
    <cellStyle name="Normal 56 5 8" xfId="11108" xr:uid="{00000000-0005-0000-0000-0000692B0000}"/>
    <cellStyle name="Normal 56 5 9" xfId="11109" xr:uid="{00000000-0005-0000-0000-00006A2B0000}"/>
    <cellStyle name="Normal 56 6" xfId="11110" xr:uid="{00000000-0005-0000-0000-00006B2B0000}"/>
    <cellStyle name="Normal 56 6 10" xfId="11111" xr:uid="{00000000-0005-0000-0000-00006C2B0000}"/>
    <cellStyle name="Normal 56 6 11" xfId="11112" xr:uid="{00000000-0005-0000-0000-00006D2B0000}"/>
    <cellStyle name="Normal 56 6 12" xfId="11113" xr:uid="{00000000-0005-0000-0000-00006E2B0000}"/>
    <cellStyle name="Normal 56 6 13" xfId="11114" xr:uid="{00000000-0005-0000-0000-00006F2B0000}"/>
    <cellStyle name="Normal 56 6 2" xfId="11115" xr:uid="{00000000-0005-0000-0000-0000702B0000}"/>
    <cellStyle name="Normal 56 6 2 10" xfId="11116" xr:uid="{00000000-0005-0000-0000-0000712B0000}"/>
    <cellStyle name="Normal 56 6 2 11" xfId="11117" xr:uid="{00000000-0005-0000-0000-0000722B0000}"/>
    <cellStyle name="Normal 56 6 2 2" xfId="11118" xr:uid="{00000000-0005-0000-0000-0000732B0000}"/>
    <cellStyle name="Normal 56 6 2 3" xfId="11119" xr:uid="{00000000-0005-0000-0000-0000742B0000}"/>
    <cellStyle name="Normal 56 6 2 4" xfId="11120" xr:uid="{00000000-0005-0000-0000-0000752B0000}"/>
    <cellStyle name="Normal 56 6 2 5" xfId="11121" xr:uid="{00000000-0005-0000-0000-0000762B0000}"/>
    <cellStyle name="Normal 56 6 2 6" xfId="11122" xr:uid="{00000000-0005-0000-0000-0000772B0000}"/>
    <cellStyle name="Normal 56 6 2 7" xfId="11123" xr:uid="{00000000-0005-0000-0000-0000782B0000}"/>
    <cellStyle name="Normal 56 6 2 8" xfId="11124" xr:uid="{00000000-0005-0000-0000-0000792B0000}"/>
    <cellStyle name="Normal 56 6 2 9" xfId="11125" xr:uid="{00000000-0005-0000-0000-00007A2B0000}"/>
    <cellStyle name="Normal 56 6 3" xfId="11126" xr:uid="{00000000-0005-0000-0000-00007B2B0000}"/>
    <cellStyle name="Normal 56 6 4" xfId="11127" xr:uid="{00000000-0005-0000-0000-00007C2B0000}"/>
    <cellStyle name="Normal 56 6 5" xfId="11128" xr:uid="{00000000-0005-0000-0000-00007D2B0000}"/>
    <cellStyle name="Normal 56 6 6" xfId="11129" xr:uid="{00000000-0005-0000-0000-00007E2B0000}"/>
    <cellStyle name="Normal 56 6 7" xfId="11130" xr:uid="{00000000-0005-0000-0000-00007F2B0000}"/>
    <cellStyle name="Normal 56 6 8" xfId="11131" xr:uid="{00000000-0005-0000-0000-0000802B0000}"/>
    <cellStyle name="Normal 56 6 9" xfId="11132" xr:uid="{00000000-0005-0000-0000-0000812B0000}"/>
    <cellStyle name="Normal 56 7" xfId="11133" xr:uid="{00000000-0005-0000-0000-0000822B0000}"/>
    <cellStyle name="Normal 56 7 10" xfId="11134" xr:uid="{00000000-0005-0000-0000-0000832B0000}"/>
    <cellStyle name="Normal 56 7 11" xfId="11135" xr:uid="{00000000-0005-0000-0000-0000842B0000}"/>
    <cellStyle name="Normal 56 7 12" xfId="11136" xr:uid="{00000000-0005-0000-0000-0000852B0000}"/>
    <cellStyle name="Normal 56 7 13" xfId="11137" xr:uid="{00000000-0005-0000-0000-0000862B0000}"/>
    <cellStyle name="Normal 56 7 2" xfId="11138" xr:uid="{00000000-0005-0000-0000-0000872B0000}"/>
    <cellStyle name="Normal 56 7 2 10" xfId="11139" xr:uid="{00000000-0005-0000-0000-0000882B0000}"/>
    <cellStyle name="Normal 56 7 2 11" xfId="11140" xr:uid="{00000000-0005-0000-0000-0000892B0000}"/>
    <cellStyle name="Normal 56 7 2 2" xfId="11141" xr:uid="{00000000-0005-0000-0000-00008A2B0000}"/>
    <cellStyle name="Normal 56 7 2 3" xfId="11142" xr:uid="{00000000-0005-0000-0000-00008B2B0000}"/>
    <cellStyle name="Normal 56 7 2 4" xfId="11143" xr:uid="{00000000-0005-0000-0000-00008C2B0000}"/>
    <cellStyle name="Normal 56 7 2 5" xfId="11144" xr:uid="{00000000-0005-0000-0000-00008D2B0000}"/>
    <cellStyle name="Normal 56 7 2 6" xfId="11145" xr:uid="{00000000-0005-0000-0000-00008E2B0000}"/>
    <cellStyle name="Normal 56 7 2 7" xfId="11146" xr:uid="{00000000-0005-0000-0000-00008F2B0000}"/>
    <cellStyle name="Normal 56 7 2 8" xfId="11147" xr:uid="{00000000-0005-0000-0000-0000902B0000}"/>
    <cellStyle name="Normal 56 7 2 9" xfId="11148" xr:uid="{00000000-0005-0000-0000-0000912B0000}"/>
    <cellStyle name="Normal 56 7 3" xfId="11149" xr:uid="{00000000-0005-0000-0000-0000922B0000}"/>
    <cellStyle name="Normal 56 7 4" xfId="11150" xr:uid="{00000000-0005-0000-0000-0000932B0000}"/>
    <cellStyle name="Normal 56 7 5" xfId="11151" xr:uid="{00000000-0005-0000-0000-0000942B0000}"/>
    <cellStyle name="Normal 56 7 6" xfId="11152" xr:uid="{00000000-0005-0000-0000-0000952B0000}"/>
    <cellStyle name="Normal 56 7 7" xfId="11153" xr:uid="{00000000-0005-0000-0000-0000962B0000}"/>
    <cellStyle name="Normal 56 7 8" xfId="11154" xr:uid="{00000000-0005-0000-0000-0000972B0000}"/>
    <cellStyle name="Normal 56 7 9" xfId="11155" xr:uid="{00000000-0005-0000-0000-0000982B0000}"/>
    <cellStyle name="Normal 56 8" xfId="11156" xr:uid="{00000000-0005-0000-0000-0000992B0000}"/>
    <cellStyle name="Normal 56 8 10" xfId="11157" xr:uid="{00000000-0005-0000-0000-00009A2B0000}"/>
    <cellStyle name="Normal 56 8 11" xfId="11158" xr:uid="{00000000-0005-0000-0000-00009B2B0000}"/>
    <cellStyle name="Normal 56 8 12" xfId="11159" xr:uid="{00000000-0005-0000-0000-00009C2B0000}"/>
    <cellStyle name="Normal 56 8 13" xfId="11160" xr:uid="{00000000-0005-0000-0000-00009D2B0000}"/>
    <cellStyle name="Normal 56 8 2" xfId="11161" xr:uid="{00000000-0005-0000-0000-00009E2B0000}"/>
    <cellStyle name="Normal 56 8 2 10" xfId="11162" xr:uid="{00000000-0005-0000-0000-00009F2B0000}"/>
    <cellStyle name="Normal 56 8 2 11" xfId="11163" xr:uid="{00000000-0005-0000-0000-0000A02B0000}"/>
    <cellStyle name="Normal 56 8 2 2" xfId="11164" xr:uid="{00000000-0005-0000-0000-0000A12B0000}"/>
    <cellStyle name="Normal 56 8 2 3" xfId="11165" xr:uid="{00000000-0005-0000-0000-0000A22B0000}"/>
    <cellStyle name="Normal 56 8 2 4" xfId="11166" xr:uid="{00000000-0005-0000-0000-0000A32B0000}"/>
    <cellStyle name="Normal 56 8 2 5" xfId="11167" xr:uid="{00000000-0005-0000-0000-0000A42B0000}"/>
    <cellStyle name="Normal 56 8 2 6" xfId="11168" xr:uid="{00000000-0005-0000-0000-0000A52B0000}"/>
    <cellStyle name="Normal 56 8 2 7" xfId="11169" xr:uid="{00000000-0005-0000-0000-0000A62B0000}"/>
    <cellStyle name="Normal 56 8 2 8" xfId="11170" xr:uid="{00000000-0005-0000-0000-0000A72B0000}"/>
    <cellStyle name="Normal 56 8 2 9" xfId="11171" xr:uid="{00000000-0005-0000-0000-0000A82B0000}"/>
    <cellStyle name="Normal 56 8 3" xfId="11172" xr:uid="{00000000-0005-0000-0000-0000A92B0000}"/>
    <cellStyle name="Normal 56 8 4" xfId="11173" xr:uid="{00000000-0005-0000-0000-0000AA2B0000}"/>
    <cellStyle name="Normal 56 8 5" xfId="11174" xr:uid="{00000000-0005-0000-0000-0000AB2B0000}"/>
    <cellStyle name="Normal 56 8 6" xfId="11175" xr:uid="{00000000-0005-0000-0000-0000AC2B0000}"/>
    <cellStyle name="Normal 56 8 7" xfId="11176" xr:uid="{00000000-0005-0000-0000-0000AD2B0000}"/>
    <cellStyle name="Normal 56 8 8" xfId="11177" xr:uid="{00000000-0005-0000-0000-0000AE2B0000}"/>
    <cellStyle name="Normal 56 8 9" xfId="11178" xr:uid="{00000000-0005-0000-0000-0000AF2B0000}"/>
    <cellStyle name="Normal 56 9" xfId="11179" xr:uid="{00000000-0005-0000-0000-0000B02B0000}"/>
    <cellStyle name="Normal 56 9 10" xfId="11180" xr:uid="{00000000-0005-0000-0000-0000B12B0000}"/>
    <cellStyle name="Normal 56 9 11" xfId="11181" xr:uid="{00000000-0005-0000-0000-0000B22B0000}"/>
    <cellStyle name="Normal 56 9 12" xfId="11182" xr:uid="{00000000-0005-0000-0000-0000B32B0000}"/>
    <cellStyle name="Normal 56 9 13" xfId="11183" xr:uid="{00000000-0005-0000-0000-0000B42B0000}"/>
    <cellStyle name="Normal 56 9 2" xfId="11184" xr:uid="{00000000-0005-0000-0000-0000B52B0000}"/>
    <cellStyle name="Normal 56 9 2 10" xfId="11185" xr:uid="{00000000-0005-0000-0000-0000B62B0000}"/>
    <cellStyle name="Normal 56 9 2 11" xfId="11186" xr:uid="{00000000-0005-0000-0000-0000B72B0000}"/>
    <cellStyle name="Normal 56 9 2 2" xfId="11187" xr:uid="{00000000-0005-0000-0000-0000B82B0000}"/>
    <cellStyle name="Normal 56 9 2 3" xfId="11188" xr:uid="{00000000-0005-0000-0000-0000B92B0000}"/>
    <cellStyle name="Normal 56 9 2 4" xfId="11189" xr:uid="{00000000-0005-0000-0000-0000BA2B0000}"/>
    <cellStyle name="Normal 56 9 2 5" xfId="11190" xr:uid="{00000000-0005-0000-0000-0000BB2B0000}"/>
    <cellStyle name="Normal 56 9 2 6" xfId="11191" xr:uid="{00000000-0005-0000-0000-0000BC2B0000}"/>
    <cellStyle name="Normal 56 9 2 7" xfId="11192" xr:uid="{00000000-0005-0000-0000-0000BD2B0000}"/>
    <cellStyle name="Normal 56 9 2 8" xfId="11193" xr:uid="{00000000-0005-0000-0000-0000BE2B0000}"/>
    <cellStyle name="Normal 56 9 2 9" xfId="11194" xr:uid="{00000000-0005-0000-0000-0000BF2B0000}"/>
    <cellStyle name="Normal 56 9 3" xfId="11195" xr:uid="{00000000-0005-0000-0000-0000C02B0000}"/>
    <cellStyle name="Normal 56 9 4" xfId="11196" xr:uid="{00000000-0005-0000-0000-0000C12B0000}"/>
    <cellStyle name="Normal 56 9 5" xfId="11197" xr:uid="{00000000-0005-0000-0000-0000C22B0000}"/>
    <cellStyle name="Normal 56 9 6" xfId="11198" xr:uid="{00000000-0005-0000-0000-0000C32B0000}"/>
    <cellStyle name="Normal 56 9 7" xfId="11199" xr:uid="{00000000-0005-0000-0000-0000C42B0000}"/>
    <cellStyle name="Normal 56 9 8" xfId="11200" xr:uid="{00000000-0005-0000-0000-0000C52B0000}"/>
    <cellStyle name="Normal 56 9 9" xfId="11201" xr:uid="{00000000-0005-0000-0000-0000C62B0000}"/>
    <cellStyle name="Normal 57" xfId="11202" xr:uid="{00000000-0005-0000-0000-0000C72B0000}"/>
    <cellStyle name="Normal 57 10" xfId="11203" xr:uid="{00000000-0005-0000-0000-0000C82B0000}"/>
    <cellStyle name="Normal 57 10 10" xfId="11204" xr:uid="{00000000-0005-0000-0000-0000C92B0000}"/>
    <cellStyle name="Normal 57 10 11" xfId="11205" xr:uid="{00000000-0005-0000-0000-0000CA2B0000}"/>
    <cellStyle name="Normal 57 10 12" xfId="11206" xr:uid="{00000000-0005-0000-0000-0000CB2B0000}"/>
    <cellStyle name="Normal 57 10 13" xfId="11207" xr:uid="{00000000-0005-0000-0000-0000CC2B0000}"/>
    <cellStyle name="Normal 57 10 2" xfId="11208" xr:uid="{00000000-0005-0000-0000-0000CD2B0000}"/>
    <cellStyle name="Normal 57 10 2 10" xfId="11209" xr:uid="{00000000-0005-0000-0000-0000CE2B0000}"/>
    <cellStyle name="Normal 57 10 2 11" xfId="11210" xr:uid="{00000000-0005-0000-0000-0000CF2B0000}"/>
    <cellStyle name="Normal 57 10 2 2" xfId="11211" xr:uid="{00000000-0005-0000-0000-0000D02B0000}"/>
    <cellStyle name="Normal 57 10 2 3" xfId="11212" xr:uid="{00000000-0005-0000-0000-0000D12B0000}"/>
    <cellStyle name="Normal 57 10 2 4" xfId="11213" xr:uid="{00000000-0005-0000-0000-0000D22B0000}"/>
    <cellStyle name="Normal 57 10 2 5" xfId="11214" xr:uid="{00000000-0005-0000-0000-0000D32B0000}"/>
    <cellStyle name="Normal 57 10 2 6" xfId="11215" xr:uid="{00000000-0005-0000-0000-0000D42B0000}"/>
    <cellStyle name="Normal 57 10 2 7" xfId="11216" xr:uid="{00000000-0005-0000-0000-0000D52B0000}"/>
    <cellStyle name="Normal 57 10 2 8" xfId="11217" xr:uid="{00000000-0005-0000-0000-0000D62B0000}"/>
    <cellStyle name="Normal 57 10 2 9" xfId="11218" xr:uid="{00000000-0005-0000-0000-0000D72B0000}"/>
    <cellStyle name="Normal 57 10 3" xfId="11219" xr:uid="{00000000-0005-0000-0000-0000D82B0000}"/>
    <cellStyle name="Normal 57 10 4" xfId="11220" xr:uid="{00000000-0005-0000-0000-0000D92B0000}"/>
    <cellStyle name="Normal 57 10 5" xfId="11221" xr:uid="{00000000-0005-0000-0000-0000DA2B0000}"/>
    <cellStyle name="Normal 57 10 6" xfId="11222" xr:uid="{00000000-0005-0000-0000-0000DB2B0000}"/>
    <cellStyle name="Normal 57 10 7" xfId="11223" xr:uid="{00000000-0005-0000-0000-0000DC2B0000}"/>
    <cellStyle name="Normal 57 10 8" xfId="11224" xr:uid="{00000000-0005-0000-0000-0000DD2B0000}"/>
    <cellStyle name="Normal 57 10 9" xfId="11225" xr:uid="{00000000-0005-0000-0000-0000DE2B0000}"/>
    <cellStyle name="Normal 57 11" xfId="11226" xr:uid="{00000000-0005-0000-0000-0000DF2B0000}"/>
    <cellStyle name="Normal 57 11 10" xfId="11227" xr:uid="{00000000-0005-0000-0000-0000E02B0000}"/>
    <cellStyle name="Normal 57 11 11" xfId="11228" xr:uid="{00000000-0005-0000-0000-0000E12B0000}"/>
    <cellStyle name="Normal 57 11 12" xfId="11229" xr:uid="{00000000-0005-0000-0000-0000E22B0000}"/>
    <cellStyle name="Normal 57 11 13" xfId="11230" xr:uid="{00000000-0005-0000-0000-0000E32B0000}"/>
    <cellStyle name="Normal 57 11 2" xfId="11231" xr:uid="{00000000-0005-0000-0000-0000E42B0000}"/>
    <cellStyle name="Normal 57 11 2 10" xfId="11232" xr:uid="{00000000-0005-0000-0000-0000E52B0000}"/>
    <cellStyle name="Normal 57 11 2 11" xfId="11233" xr:uid="{00000000-0005-0000-0000-0000E62B0000}"/>
    <cellStyle name="Normal 57 11 2 2" xfId="11234" xr:uid="{00000000-0005-0000-0000-0000E72B0000}"/>
    <cellStyle name="Normal 57 11 2 3" xfId="11235" xr:uid="{00000000-0005-0000-0000-0000E82B0000}"/>
    <cellStyle name="Normal 57 11 2 4" xfId="11236" xr:uid="{00000000-0005-0000-0000-0000E92B0000}"/>
    <cellStyle name="Normal 57 11 2 5" xfId="11237" xr:uid="{00000000-0005-0000-0000-0000EA2B0000}"/>
    <cellStyle name="Normal 57 11 2 6" xfId="11238" xr:uid="{00000000-0005-0000-0000-0000EB2B0000}"/>
    <cellStyle name="Normal 57 11 2 7" xfId="11239" xr:uid="{00000000-0005-0000-0000-0000EC2B0000}"/>
    <cellStyle name="Normal 57 11 2 8" xfId="11240" xr:uid="{00000000-0005-0000-0000-0000ED2B0000}"/>
    <cellStyle name="Normal 57 11 2 9" xfId="11241" xr:uid="{00000000-0005-0000-0000-0000EE2B0000}"/>
    <cellStyle name="Normal 57 11 3" xfId="11242" xr:uid="{00000000-0005-0000-0000-0000EF2B0000}"/>
    <cellStyle name="Normal 57 11 4" xfId="11243" xr:uid="{00000000-0005-0000-0000-0000F02B0000}"/>
    <cellStyle name="Normal 57 11 5" xfId="11244" xr:uid="{00000000-0005-0000-0000-0000F12B0000}"/>
    <cellStyle name="Normal 57 11 6" xfId="11245" xr:uid="{00000000-0005-0000-0000-0000F22B0000}"/>
    <cellStyle name="Normal 57 11 7" xfId="11246" xr:uid="{00000000-0005-0000-0000-0000F32B0000}"/>
    <cellStyle name="Normal 57 11 8" xfId="11247" xr:uid="{00000000-0005-0000-0000-0000F42B0000}"/>
    <cellStyle name="Normal 57 11 9" xfId="11248" xr:uid="{00000000-0005-0000-0000-0000F52B0000}"/>
    <cellStyle name="Normal 57 12" xfId="11249" xr:uid="{00000000-0005-0000-0000-0000F62B0000}"/>
    <cellStyle name="Normal 57 12 10" xfId="11250" xr:uid="{00000000-0005-0000-0000-0000F72B0000}"/>
    <cellStyle name="Normal 57 12 11" xfId="11251" xr:uid="{00000000-0005-0000-0000-0000F82B0000}"/>
    <cellStyle name="Normal 57 12 12" xfId="11252" xr:uid="{00000000-0005-0000-0000-0000F92B0000}"/>
    <cellStyle name="Normal 57 12 13" xfId="11253" xr:uid="{00000000-0005-0000-0000-0000FA2B0000}"/>
    <cellStyle name="Normal 57 12 2" xfId="11254" xr:uid="{00000000-0005-0000-0000-0000FB2B0000}"/>
    <cellStyle name="Normal 57 12 2 10" xfId="11255" xr:uid="{00000000-0005-0000-0000-0000FC2B0000}"/>
    <cellStyle name="Normal 57 12 2 11" xfId="11256" xr:uid="{00000000-0005-0000-0000-0000FD2B0000}"/>
    <cellStyle name="Normal 57 12 2 2" xfId="11257" xr:uid="{00000000-0005-0000-0000-0000FE2B0000}"/>
    <cellStyle name="Normal 57 12 2 3" xfId="11258" xr:uid="{00000000-0005-0000-0000-0000FF2B0000}"/>
    <cellStyle name="Normal 57 12 2 4" xfId="11259" xr:uid="{00000000-0005-0000-0000-0000002C0000}"/>
    <cellStyle name="Normal 57 12 2 5" xfId="11260" xr:uid="{00000000-0005-0000-0000-0000012C0000}"/>
    <cellStyle name="Normal 57 12 2 6" xfId="11261" xr:uid="{00000000-0005-0000-0000-0000022C0000}"/>
    <cellStyle name="Normal 57 12 2 7" xfId="11262" xr:uid="{00000000-0005-0000-0000-0000032C0000}"/>
    <cellStyle name="Normal 57 12 2 8" xfId="11263" xr:uid="{00000000-0005-0000-0000-0000042C0000}"/>
    <cellStyle name="Normal 57 12 2 9" xfId="11264" xr:uid="{00000000-0005-0000-0000-0000052C0000}"/>
    <cellStyle name="Normal 57 12 3" xfId="11265" xr:uid="{00000000-0005-0000-0000-0000062C0000}"/>
    <cellStyle name="Normal 57 12 4" xfId="11266" xr:uid="{00000000-0005-0000-0000-0000072C0000}"/>
    <cellStyle name="Normal 57 12 5" xfId="11267" xr:uid="{00000000-0005-0000-0000-0000082C0000}"/>
    <cellStyle name="Normal 57 12 6" xfId="11268" xr:uid="{00000000-0005-0000-0000-0000092C0000}"/>
    <cellStyle name="Normal 57 12 7" xfId="11269" xr:uid="{00000000-0005-0000-0000-00000A2C0000}"/>
    <cellStyle name="Normal 57 12 8" xfId="11270" xr:uid="{00000000-0005-0000-0000-00000B2C0000}"/>
    <cellStyle name="Normal 57 12 9" xfId="11271" xr:uid="{00000000-0005-0000-0000-00000C2C0000}"/>
    <cellStyle name="Normal 57 13" xfId="11272" xr:uid="{00000000-0005-0000-0000-00000D2C0000}"/>
    <cellStyle name="Normal 57 13 10" xfId="11273" xr:uid="{00000000-0005-0000-0000-00000E2C0000}"/>
    <cellStyle name="Normal 57 13 11" xfId="11274" xr:uid="{00000000-0005-0000-0000-00000F2C0000}"/>
    <cellStyle name="Normal 57 13 12" xfId="11275" xr:uid="{00000000-0005-0000-0000-0000102C0000}"/>
    <cellStyle name="Normal 57 13 13" xfId="11276" xr:uid="{00000000-0005-0000-0000-0000112C0000}"/>
    <cellStyle name="Normal 57 13 2" xfId="11277" xr:uid="{00000000-0005-0000-0000-0000122C0000}"/>
    <cellStyle name="Normal 57 13 2 10" xfId="11278" xr:uid="{00000000-0005-0000-0000-0000132C0000}"/>
    <cellStyle name="Normal 57 13 2 11" xfId="11279" xr:uid="{00000000-0005-0000-0000-0000142C0000}"/>
    <cellStyle name="Normal 57 13 2 2" xfId="11280" xr:uid="{00000000-0005-0000-0000-0000152C0000}"/>
    <cellStyle name="Normal 57 13 2 3" xfId="11281" xr:uid="{00000000-0005-0000-0000-0000162C0000}"/>
    <cellStyle name="Normal 57 13 2 4" xfId="11282" xr:uid="{00000000-0005-0000-0000-0000172C0000}"/>
    <cellStyle name="Normal 57 13 2 5" xfId="11283" xr:uid="{00000000-0005-0000-0000-0000182C0000}"/>
    <cellStyle name="Normal 57 13 2 6" xfId="11284" xr:uid="{00000000-0005-0000-0000-0000192C0000}"/>
    <cellStyle name="Normal 57 13 2 7" xfId="11285" xr:uid="{00000000-0005-0000-0000-00001A2C0000}"/>
    <cellStyle name="Normal 57 13 2 8" xfId="11286" xr:uid="{00000000-0005-0000-0000-00001B2C0000}"/>
    <cellStyle name="Normal 57 13 2 9" xfId="11287" xr:uid="{00000000-0005-0000-0000-00001C2C0000}"/>
    <cellStyle name="Normal 57 13 3" xfId="11288" xr:uid="{00000000-0005-0000-0000-00001D2C0000}"/>
    <cellStyle name="Normal 57 13 4" xfId="11289" xr:uid="{00000000-0005-0000-0000-00001E2C0000}"/>
    <cellStyle name="Normal 57 13 5" xfId="11290" xr:uid="{00000000-0005-0000-0000-00001F2C0000}"/>
    <cellStyle name="Normal 57 13 6" xfId="11291" xr:uid="{00000000-0005-0000-0000-0000202C0000}"/>
    <cellStyle name="Normal 57 13 7" xfId="11292" xr:uid="{00000000-0005-0000-0000-0000212C0000}"/>
    <cellStyle name="Normal 57 13 8" xfId="11293" xr:uid="{00000000-0005-0000-0000-0000222C0000}"/>
    <cellStyle name="Normal 57 13 9" xfId="11294" xr:uid="{00000000-0005-0000-0000-0000232C0000}"/>
    <cellStyle name="Normal 57 14" xfId="11295" xr:uid="{00000000-0005-0000-0000-0000242C0000}"/>
    <cellStyle name="Normal 57 14 10" xfId="11296" xr:uid="{00000000-0005-0000-0000-0000252C0000}"/>
    <cellStyle name="Normal 57 14 11" xfId="11297" xr:uid="{00000000-0005-0000-0000-0000262C0000}"/>
    <cellStyle name="Normal 57 14 2" xfId="11298" xr:uid="{00000000-0005-0000-0000-0000272C0000}"/>
    <cellStyle name="Normal 57 14 3" xfId="11299" xr:uid="{00000000-0005-0000-0000-0000282C0000}"/>
    <cellStyle name="Normal 57 14 4" xfId="11300" xr:uid="{00000000-0005-0000-0000-0000292C0000}"/>
    <cellStyle name="Normal 57 14 5" xfId="11301" xr:uid="{00000000-0005-0000-0000-00002A2C0000}"/>
    <cellStyle name="Normal 57 14 6" xfId="11302" xr:uid="{00000000-0005-0000-0000-00002B2C0000}"/>
    <cellStyle name="Normal 57 14 7" xfId="11303" xr:uid="{00000000-0005-0000-0000-00002C2C0000}"/>
    <cellStyle name="Normal 57 14 8" xfId="11304" xr:uid="{00000000-0005-0000-0000-00002D2C0000}"/>
    <cellStyle name="Normal 57 14 9" xfId="11305" xr:uid="{00000000-0005-0000-0000-00002E2C0000}"/>
    <cellStyle name="Normal 57 15" xfId="11306" xr:uid="{00000000-0005-0000-0000-00002F2C0000}"/>
    <cellStyle name="Normal 57 16" xfId="11307" xr:uid="{00000000-0005-0000-0000-0000302C0000}"/>
    <cellStyle name="Normal 57 17" xfId="11308" xr:uid="{00000000-0005-0000-0000-0000312C0000}"/>
    <cellStyle name="Normal 57 18" xfId="11309" xr:uid="{00000000-0005-0000-0000-0000322C0000}"/>
    <cellStyle name="Normal 57 19" xfId="11310" xr:uid="{00000000-0005-0000-0000-0000332C0000}"/>
    <cellStyle name="Normal 57 2" xfId="11311" xr:uid="{00000000-0005-0000-0000-0000342C0000}"/>
    <cellStyle name="Normal 57 2 10" xfId="11312" xr:uid="{00000000-0005-0000-0000-0000352C0000}"/>
    <cellStyle name="Normal 57 2 11" xfId="11313" xr:uid="{00000000-0005-0000-0000-0000362C0000}"/>
    <cellStyle name="Normal 57 2 12" xfId="11314" xr:uid="{00000000-0005-0000-0000-0000372C0000}"/>
    <cellStyle name="Normal 57 2 13" xfId="11315" xr:uid="{00000000-0005-0000-0000-0000382C0000}"/>
    <cellStyle name="Normal 57 2 2" xfId="11316" xr:uid="{00000000-0005-0000-0000-0000392C0000}"/>
    <cellStyle name="Normal 57 2 2 10" xfId="11317" xr:uid="{00000000-0005-0000-0000-00003A2C0000}"/>
    <cellStyle name="Normal 57 2 2 11" xfId="11318" xr:uid="{00000000-0005-0000-0000-00003B2C0000}"/>
    <cellStyle name="Normal 57 2 2 2" xfId="11319" xr:uid="{00000000-0005-0000-0000-00003C2C0000}"/>
    <cellStyle name="Normal 57 2 2 3" xfId="11320" xr:uid="{00000000-0005-0000-0000-00003D2C0000}"/>
    <cellStyle name="Normal 57 2 2 4" xfId="11321" xr:uid="{00000000-0005-0000-0000-00003E2C0000}"/>
    <cellStyle name="Normal 57 2 2 5" xfId="11322" xr:uid="{00000000-0005-0000-0000-00003F2C0000}"/>
    <cellStyle name="Normal 57 2 2 6" xfId="11323" xr:uid="{00000000-0005-0000-0000-0000402C0000}"/>
    <cellStyle name="Normal 57 2 2 7" xfId="11324" xr:uid="{00000000-0005-0000-0000-0000412C0000}"/>
    <cellStyle name="Normal 57 2 2 8" xfId="11325" xr:uid="{00000000-0005-0000-0000-0000422C0000}"/>
    <cellStyle name="Normal 57 2 2 9" xfId="11326" xr:uid="{00000000-0005-0000-0000-0000432C0000}"/>
    <cellStyle name="Normal 57 2 3" xfId="11327" xr:uid="{00000000-0005-0000-0000-0000442C0000}"/>
    <cellStyle name="Normal 57 2 4" xfId="11328" xr:uid="{00000000-0005-0000-0000-0000452C0000}"/>
    <cellStyle name="Normal 57 2 5" xfId="11329" xr:uid="{00000000-0005-0000-0000-0000462C0000}"/>
    <cellStyle name="Normal 57 2 6" xfId="11330" xr:uid="{00000000-0005-0000-0000-0000472C0000}"/>
    <cellStyle name="Normal 57 2 7" xfId="11331" xr:uid="{00000000-0005-0000-0000-0000482C0000}"/>
    <cellStyle name="Normal 57 2 8" xfId="11332" xr:uid="{00000000-0005-0000-0000-0000492C0000}"/>
    <cellStyle name="Normal 57 2 9" xfId="11333" xr:uid="{00000000-0005-0000-0000-00004A2C0000}"/>
    <cellStyle name="Normal 57 20" xfId="11334" xr:uid="{00000000-0005-0000-0000-00004B2C0000}"/>
    <cellStyle name="Normal 57 21" xfId="11335" xr:uid="{00000000-0005-0000-0000-00004C2C0000}"/>
    <cellStyle name="Normal 57 22" xfId="11336" xr:uid="{00000000-0005-0000-0000-00004D2C0000}"/>
    <cellStyle name="Normal 57 23" xfId="11337" xr:uid="{00000000-0005-0000-0000-00004E2C0000}"/>
    <cellStyle name="Normal 57 24" xfId="11338" xr:uid="{00000000-0005-0000-0000-00004F2C0000}"/>
    <cellStyle name="Normal 57 25" xfId="11339" xr:uid="{00000000-0005-0000-0000-0000502C0000}"/>
    <cellStyle name="Normal 57 3" xfId="11340" xr:uid="{00000000-0005-0000-0000-0000512C0000}"/>
    <cellStyle name="Normal 57 3 10" xfId="11341" xr:uid="{00000000-0005-0000-0000-0000522C0000}"/>
    <cellStyle name="Normal 57 3 11" xfId="11342" xr:uid="{00000000-0005-0000-0000-0000532C0000}"/>
    <cellStyle name="Normal 57 3 12" xfId="11343" xr:uid="{00000000-0005-0000-0000-0000542C0000}"/>
    <cellStyle name="Normal 57 3 13" xfId="11344" xr:uid="{00000000-0005-0000-0000-0000552C0000}"/>
    <cellStyle name="Normal 57 3 2" xfId="11345" xr:uid="{00000000-0005-0000-0000-0000562C0000}"/>
    <cellStyle name="Normal 57 3 2 10" xfId="11346" xr:uid="{00000000-0005-0000-0000-0000572C0000}"/>
    <cellStyle name="Normal 57 3 2 11" xfId="11347" xr:uid="{00000000-0005-0000-0000-0000582C0000}"/>
    <cellStyle name="Normal 57 3 2 2" xfId="11348" xr:uid="{00000000-0005-0000-0000-0000592C0000}"/>
    <cellStyle name="Normal 57 3 2 3" xfId="11349" xr:uid="{00000000-0005-0000-0000-00005A2C0000}"/>
    <cellStyle name="Normal 57 3 2 4" xfId="11350" xr:uid="{00000000-0005-0000-0000-00005B2C0000}"/>
    <cellStyle name="Normal 57 3 2 5" xfId="11351" xr:uid="{00000000-0005-0000-0000-00005C2C0000}"/>
    <cellStyle name="Normal 57 3 2 6" xfId="11352" xr:uid="{00000000-0005-0000-0000-00005D2C0000}"/>
    <cellStyle name="Normal 57 3 2 7" xfId="11353" xr:uid="{00000000-0005-0000-0000-00005E2C0000}"/>
    <cellStyle name="Normal 57 3 2 8" xfId="11354" xr:uid="{00000000-0005-0000-0000-00005F2C0000}"/>
    <cellStyle name="Normal 57 3 2 9" xfId="11355" xr:uid="{00000000-0005-0000-0000-0000602C0000}"/>
    <cellStyle name="Normal 57 3 3" xfId="11356" xr:uid="{00000000-0005-0000-0000-0000612C0000}"/>
    <cellStyle name="Normal 57 3 4" xfId="11357" xr:uid="{00000000-0005-0000-0000-0000622C0000}"/>
    <cellStyle name="Normal 57 3 5" xfId="11358" xr:uid="{00000000-0005-0000-0000-0000632C0000}"/>
    <cellStyle name="Normal 57 3 6" xfId="11359" xr:uid="{00000000-0005-0000-0000-0000642C0000}"/>
    <cellStyle name="Normal 57 3 7" xfId="11360" xr:uid="{00000000-0005-0000-0000-0000652C0000}"/>
    <cellStyle name="Normal 57 3 8" xfId="11361" xr:uid="{00000000-0005-0000-0000-0000662C0000}"/>
    <cellStyle name="Normal 57 3 9" xfId="11362" xr:uid="{00000000-0005-0000-0000-0000672C0000}"/>
    <cellStyle name="Normal 57 4" xfId="11363" xr:uid="{00000000-0005-0000-0000-0000682C0000}"/>
    <cellStyle name="Normal 57 4 10" xfId="11364" xr:uid="{00000000-0005-0000-0000-0000692C0000}"/>
    <cellStyle name="Normal 57 4 11" xfId="11365" xr:uid="{00000000-0005-0000-0000-00006A2C0000}"/>
    <cellStyle name="Normal 57 4 12" xfId="11366" xr:uid="{00000000-0005-0000-0000-00006B2C0000}"/>
    <cellStyle name="Normal 57 4 13" xfId="11367" xr:uid="{00000000-0005-0000-0000-00006C2C0000}"/>
    <cellStyle name="Normal 57 4 2" xfId="11368" xr:uid="{00000000-0005-0000-0000-00006D2C0000}"/>
    <cellStyle name="Normal 57 4 2 10" xfId="11369" xr:uid="{00000000-0005-0000-0000-00006E2C0000}"/>
    <cellStyle name="Normal 57 4 2 11" xfId="11370" xr:uid="{00000000-0005-0000-0000-00006F2C0000}"/>
    <cellStyle name="Normal 57 4 2 2" xfId="11371" xr:uid="{00000000-0005-0000-0000-0000702C0000}"/>
    <cellStyle name="Normal 57 4 2 3" xfId="11372" xr:uid="{00000000-0005-0000-0000-0000712C0000}"/>
    <cellStyle name="Normal 57 4 2 4" xfId="11373" xr:uid="{00000000-0005-0000-0000-0000722C0000}"/>
    <cellStyle name="Normal 57 4 2 5" xfId="11374" xr:uid="{00000000-0005-0000-0000-0000732C0000}"/>
    <cellStyle name="Normal 57 4 2 6" xfId="11375" xr:uid="{00000000-0005-0000-0000-0000742C0000}"/>
    <cellStyle name="Normal 57 4 2 7" xfId="11376" xr:uid="{00000000-0005-0000-0000-0000752C0000}"/>
    <cellStyle name="Normal 57 4 2 8" xfId="11377" xr:uid="{00000000-0005-0000-0000-0000762C0000}"/>
    <cellStyle name="Normal 57 4 2 9" xfId="11378" xr:uid="{00000000-0005-0000-0000-0000772C0000}"/>
    <cellStyle name="Normal 57 4 3" xfId="11379" xr:uid="{00000000-0005-0000-0000-0000782C0000}"/>
    <cellStyle name="Normal 57 4 4" xfId="11380" xr:uid="{00000000-0005-0000-0000-0000792C0000}"/>
    <cellStyle name="Normal 57 4 5" xfId="11381" xr:uid="{00000000-0005-0000-0000-00007A2C0000}"/>
    <cellStyle name="Normal 57 4 6" xfId="11382" xr:uid="{00000000-0005-0000-0000-00007B2C0000}"/>
    <cellStyle name="Normal 57 4 7" xfId="11383" xr:uid="{00000000-0005-0000-0000-00007C2C0000}"/>
    <cellStyle name="Normal 57 4 8" xfId="11384" xr:uid="{00000000-0005-0000-0000-00007D2C0000}"/>
    <cellStyle name="Normal 57 4 9" xfId="11385" xr:uid="{00000000-0005-0000-0000-00007E2C0000}"/>
    <cellStyle name="Normal 57 5" xfId="11386" xr:uid="{00000000-0005-0000-0000-00007F2C0000}"/>
    <cellStyle name="Normal 57 5 10" xfId="11387" xr:uid="{00000000-0005-0000-0000-0000802C0000}"/>
    <cellStyle name="Normal 57 5 11" xfId="11388" xr:uid="{00000000-0005-0000-0000-0000812C0000}"/>
    <cellStyle name="Normal 57 5 12" xfId="11389" xr:uid="{00000000-0005-0000-0000-0000822C0000}"/>
    <cellStyle name="Normal 57 5 13" xfId="11390" xr:uid="{00000000-0005-0000-0000-0000832C0000}"/>
    <cellStyle name="Normal 57 5 2" xfId="11391" xr:uid="{00000000-0005-0000-0000-0000842C0000}"/>
    <cellStyle name="Normal 57 5 2 10" xfId="11392" xr:uid="{00000000-0005-0000-0000-0000852C0000}"/>
    <cellStyle name="Normal 57 5 2 11" xfId="11393" xr:uid="{00000000-0005-0000-0000-0000862C0000}"/>
    <cellStyle name="Normal 57 5 2 2" xfId="11394" xr:uid="{00000000-0005-0000-0000-0000872C0000}"/>
    <cellStyle name="Normal 57 5 2 3" xfId="11395" xr:uid="{00000000-0005-0000-0000-0000882C0000}"/>
    <cellStyle name="Normal 57 5 2 4" xfId="11396" xr:uid="{00000000-0005-0000-0000-0000892C0000}"/>
    <cellStyle name="Normal 57 5 2 5" xfId="11397" xr:uid="{00000000-0005-0000-0000-00008A2C0000}"/>
    <cellStyle name="Normal 57 5 2 6" xfId="11398" xr:uid="{00000000-0005-0000-0000-00008B2C0000}"/>
    <cellStyle name="Normal 57 5 2 7" xfId="11399" xr:uid="{00000000-0005-0000-0000-00008C2C0000}"/>
    <cellStyle name="Normal 57 5 2 8" xfId="11400" xr:uid="{00000000-0005-0000-0000-00008D2C0000}"/>
    <cellStyle name="Normal 57 5 2 9" xfId="11401" xr:uid="{00000000-0005-0000-0000-00008E2C0000}"/>
    <cellStyle name="Normal 57 5 3" xfId="11402" xr:uid="{00000000-0005-0000-0000-00008F2C0000}"/>
    <cellStyle name="Normal 57 5 4" xfId="11403" xr:uid="{00000000-0005-0000-0000-0000902C0000}"/>
    <cellStyle name="Normal 57 5 5" xfId="11404" xr:uid="{00000000-0005-0000-0000-0000912C0000}"/>
    <cellStyle name="Normal 57 5 6" xfId="11405" xr:uid="{00000000-0005-0000-0000-0000922C0000}"/>
    <cellStyle name="Normal 57 5 7" xfId="11406" xr:uid="{00000000-0005-0000-0000-0000932C0000}"/>
    <cellStyle name="Normal 57 5 8" xfId="11407" xr:uid="{00000000-0005-0000-0000-0000942C0000}"/>
    <cellStyle name="Normal 57 5 9" xfId="11408" xr:uid="{00000000-0005-0000-0000-0000952C0000}"/>
    <cellStyle name="Normal 57 6" xfId="11409" xr:uid="{00000000-0005-0000-0000-0000962C0000}"/>
    <cellStyle name="Normal 57 6 10" xfId="11410" xr:uid="{00000000-0005-0000-0000-0000972C0000}"/>
    <cellStyle name="Normal 57 6 11" xfId="11411" xr:uid="{00000000-0005-0000-0000-0000982C0000}"/>
    <cellStyle name="Normal 57 6 12" xfId="11412" xr:uid="{00000000-0005-0000-0000-0000992C0000}"/>
    <cellStyle name="Normal 57 6 13" xfId="11413" xr:uid="{00000000-0005-0000-0000-00009A2C0000}"/>
    <cellStyle name="Normal 57 6 2" xfId="11414" xr:uid="{00000000-0005-0000-0000-00009B2C0000}"/>
    <cellStyle name="Normal 57 6 2 10" xfId="11415" xr:uid="{00000000-0005-0000-0000-00009C2C0000}"/>
    <cellStyle name="Normal 57 6 2 11" xfId="11416" xr:uid="{00000000-0005-0000-0000-00009D2C0000}"/>
    <cellStyle name="Normal 57 6 2 2" xfId="11417" xr:uid="{00000000-0005-0000-0000-00009E2C0000}"/>
    <cellStyle name="Normal 57 6 2 3" xfId="11418" xr:uid="{00000000-0005-0000-0000-00009F2C0000}"/>
    <cellStyle name="Normal 57 6 2 4" xfId="11419" xr:uid="{00000000-0005-0000-0000-0000A02C0000}"/>
    <cellStyle name="Normal 57 6 2 5" xfId="11420" xr:uid="{00000000-0005-0000-0000-0000A12C0000}"/>
    <cellStyle name="Normal 57 6 2 6" xfId="11421" xr:uid="{00000000-0005-0000-0000-0000A22C0000}"/>
    <cellStyle name="Normal 57 6 2 7" xfId="11422" xr:uid="{00000000-0005-0000-0000-0000A32C0000}"/>
    <cellStyle name="Normal 57 6 2 8" xfId="11423" xr:uid="{00000000-0005-0000-0000-0000A42C0000}"/>
    <cellStyle name="Normal 57 6 2 9" xfId="11424" xr:uid="{00000000-0005-0000-0000-0000A52C0000}"/>
    <cellStyle name="Normal 57 6 3" xfId="11425" xr:uid="{00000000-0005-0000-0000-0000A62C0000}"/>
    <cellStyle name="Normal 57 6 4" xfId="11426" xr:uid="{00000000-0005-0000-0000-0000A72C0000}"/>
    <cellStyle name="Normal 57 6 5" xfId="11427" xr:uid="{00000000-0005-0000-0000-0000A82C0000}"/>
    <cellStyle name="Normal 57 6 6" xfId="11428" xr:uid="{00000000-0005-0000-0000-0000A92C0000}"/>
    <cellStyle name="Normal 57 6 7" xfId="11429" xr:uid="{00000000-0005-0000-0000-0000AA2C0000}"/>
    <cellStyle name="Normal 57 6 8" xfId="11430" xr:uid="{00000000-0005-0000-0000-0000AB2C0000}"/>
    <cellStyle name="Normal 57 6 9" xfId="11431" xr:uid="{00000000-0005-0000-0000-0000AC2C0000}"/>
    <cellStyle name="Normal 57 7" xfId="11432" xr:uid="{00000000-0005-0000-0000-0000AD2C0000}"/>
    <cellStyle name="Normal 57 7 10" xfId="11433" xr:uid="{00000000-0005-0000-0000-0000AE2C0000}"/>
    <cellStyle name="Normal 57 7 11" xfId="11434" xr:uid="{00000000-0005-0000-0000-0000AF2C0000}"/>
    <cellStyle name="Normal 57 7 12" xfId="11435" xr:uid="{00000000-0005-0000-0000-0000B02C0000}"/>
    <cellStyle name="Normal 57 7 13" xfId="11436" xr:uid="{00000000-0005-0000-0000-0000B12C0000}"/>
    <cellStyle name="Normal 57 7 2" xfId="11437" xr:uid="{00000000-0005-0000-0000-0000B22C0000}"/>
    <cellStyle name="Normal 57 7 2 10" xfId="11438" xr:uid="{00000000-0005-0000-0000-0000B32C0000}"/>
    <cellStyle name="Normal 57 7 2 11" xfId="11439" xr:uid="{00000000-0005-0000-0000-0000B42C0000}"/>
    <cellStyle name="Normal 57 7 2 2" xfId="11440" xr:uid="{00000000-0005-0000-0000-0000B52C0000}"/>
    <cellStyle name="Normal 57 7 2 3" xfId="11441" xr:uid="{00000000-0005-0000-0000-0000B62C0000}"/>
    <cellStyle name="Normal 57 7 2 4" xfId="11442" xr:uid="{00000000-0005-0000-0000-0000B72C0000}"/>
    <cellStyle name="Normal 57 7 2 5" xfId="11443" xr:uid="{00000000-0005-0000-0000-0000B82C0000}"/>
    <cellStyle name="Normal 57 7 2 6" xfId="11444" xr:uid="{00000000-0005-0000-0000-0000B92C0000}"/>
    <cellStyle name="Normal 57 7 2 7" xfId="11445" xr:uid="{00000000-0005-0000-0000-0000BA2C0000}"/>
    <cellStyle name="Normal 57 7 2 8" xfId="11446" xr:uid="{00000000-0005-0000-0000-0000BB2C0000}"/>
    <cellStyle name="Normal 57 7 2 9" xfId="11447" xr:uid="{00000000-0005-0000-0000-0000BC2C0000}"/>
    <cellStyle name="Normal 57 7 3" xfId="11448" xr:uid="{00000000-0005-0000-0000-0000BD2C0000}"/>
    <cellStyle name="Normal 57 7 4" xfId="11449" xr:uid="{00000000-0005-0000-0000-0000BE2C0000}"/>
    <cellStyle name="Normal 57 7 5" xfId="11450" xr:uid="{00000000-0005-0000-0000-0000BF2C0000}"/>
    <cellStyle name="Normal 57 7 6" xfId="11451" xr:uid="{00000000-0005-0000-0000-0000C02C0000}"/>
    <cellStyle name="Normal 57 7 7" xfId="11452" xr:uid="{00000000-0005-0000-0000-0000C12C0000}"/>
    <cellStyle name="Normal 57 7 8" xfId="11453" xr:uid="{00000000-0005-0000-0000-0000C22C0000}"/>
    <cellStyle name="Normal 57 7 9" xfId="11454" xr:uid="{00000000-0005-0000-0000-0000C32C0000}"/>
    <cellStyle name="Normal 57 8" xfId="11455" xr:uid="{00000000-0005-0000-0000-0000C42C0000}"/>
    <cellStyle name="Normal 57 8 10" xfId="11456" xr:uid="{00000000-0005-0000-0000-0000C52C0000}"/>
    <cellStyle name="Normal 57 8 11" xfId="11457" xr:uid="{00000000-0005-0000-0000-0000C62C0000}"/>
    <cellStyle name="Normal 57 8 12" xfId="11458" xr:uid="{00000000-0005-0000-0000-0000C72C0000}"/>
    <cellStyle name="Normal 57 8 13" xfId="11459" xr:uid="{00000000-0005-0000-0000-0000C82C0000}"/>
    <cellStyle name="Normal 57 8 2" xfId="11460" xr:uid="{00000000-0005-0000-0000-0000C92C0000}"/>
    <cellStyle name="Normal 57 8 2 10" xfId="11461" xr:uid="{00000000-0005-0000-0000-0000CA2C0000}"/>
    <cellStyle name="Normal 57 8 2 11" xfId="11462" xr:uid="{00000000-0005-0000-0000-0000CB2C0000}"/>
    <cellStyle name="Normal 57 8 2 2" xfId="11463" xr:uid="{00000000-0005-0000-0000-0000CC2C0000}"/>
    <cellStyle name="Normal 57 8 2 3" xfId="11464" xr:uid="{00000000-0005-0000-0000-0000CD2C0000}"/>
    <cellStyle name="Normal 57 8 2 4" xfId="11465" xr:uid="{00000000-0005-0000-0000-0000CE2C0000}"/>
    <cellStyle name="Normal 57 8 2 5" xfId="11466" xr:uid="{00000000-0005-0000-0000-0000CF2C0000}"/>
    <cellStyle name="Normal 57 8 2 6" xfId="11467" xr:uid="{00000000-0005-0000-0000-0000D02C0000}"/>
    <cellStyle name="Normal 57 8 2 7" xfId="11468" xr:uid="{00000000-0005-0000-0000-0000D12C0000}"/>
    <cellStyle name="Normal 57 8 2 8" xfId="11469" xr:uid="{00000000-0005-0000-0000-0000D22C0000}"/>
    <cellStyle name="Normal 57 8 2 9" xfId="11470" xr:uid="{00000000-0005-0000-0000-0000D32C0000}"/>
    <cellStyle name="Normal 57 8 3" xfId="11471" xr:uid="{00000000-0005-0000-0000-0000D42C0000}"/>
    <cellStyle name="Normal 57 8 4" xfId="11472" xr:uid="{00000000-0005-0000-0000-0000D52C0000}"/>
    <cellStyle name="Normal 57 8 5" xfId="11473" xr:uid="{00000000-0005-0000-0000-0000D62C0000}"/>
    <cellStyle name="Normal 57 8 6" xfId="11474" xr:uid="{00000000-0005-0000-0000-0000D72C0000}"/>
    <cellStyle name="Normal 57 8 7" xfId="11475" xr:uid="{00000000-0005-0000-0000-0000D82C0000}"/>
    <cellStyle name="Normal 57 8 8" xfId="11476" xr:uid="{00000000-0005-0000-0000-0000D92C0000}"/>
    <cellStyle name="Normal 57 8 9" xfId="11477" xr:uid="{00000000-0005-0000-0000-0000DA2C0000}"/>
    <cellStyle name="Normal 57 9" xfId="11478" xr:uid="{00000000-0005-0000-0000-0000DB2C0000}"/>
    <cellStyle name="Normal 57 9 10" xfId="11479" xr:uid="{00000000-0005-0000-0000-0000DC2C0000}"/>
    <cellStyle name="Normal 57 9 11" xfId="11480" xr:uid="{00000000-0005-0000-0000-0000DD2C0000}"/>
    <cellStyle name="Normal 57 9 12" xfId="11481" xr:uid="{00000000-0005-0000-0000-0000DE2C0000}"/>
    <cellStyle name="Normal 57 9 13" xfId="11482" xr:uid="{00000000-0005-0000-0000-0000DF2C0000}"/>
    <cellStyle name="Normal 57 9 2" xfId="11483" xr:uid="{00000000-0005-0000-0000-0000E02C0000}"/>
    <cellStyle name="Normal 57 9 2 10" xfId="11484" xr:uid="{00000000-0005-0000-0000-0000E12C0000}"/>
    <cellStyle name="Normal 57 9 2 11" xfId="11485" xr:uid="{00000000-0005-0000-0000-0000E22C0000}"/>
    <cellStyle name="Normal 57 9 2 2" xfId="11486" xr:uid="{00000000-0005-0000-0000-0000E32C0000}"/>
    <cellStyle name="Normal 57 9 2 3" xfId="11487" xr:uid="{00000000-0005-0000-0000-0000E42C0000}"/>
    <cellStyle name="Normal 57 9 2 4" xfId="11488" xr:uid="{00000000-0005-0000-0000-0000E52C0000}"/>
    <cellStyle name="Normal 57 9 2 5" xfId="11489" xr:uid="{00000000-0005-0000-0000-0000E62C0000}"/>
    <cellStyle name="Normal 57 9 2 6" xfId="11490" xr:uid="{00000000-0005-0000-0000-0000E72C0000}"/>
    <cellStyle name="Normal 57 9 2 7" xfId="11491" xr:uid="{00000000-0005-0000-0000-0000E82C0000}"/>
    <cellStyle name="Normal 57 9 2 8" xfId="11492" xr:uid="{00000000-0005-0000-0000-0000E92C0000}"/>
    <cellStyle name="Normal 57 9 2 9" xfId="11493" xr:uid="{00000000-0005-0000-0000-0000EA2C0000}"/>
    <cellStyle name="Normal 57 9 3" xfId="11494" xr:uid="{00000000-0005-0000-0000-0000EB2C0000}"/>
    <cellStyle name="Normal 57 9 4" xfId="11495" xr:uid="{00000000-0005-0000-0000-0000EC2C0000}"/>
    <cellStyle name="Normal 57 9 5" xfId="11496" xr:uid="{00000000-0005-0000-0000-0000ED2C0000}"/>
    <cellStyle name="Normal 57 9 6" xfId="11497" xr:uid="{00000000-0005-0000-0000-0000EE2C0000}"/>
    <cellStyle name="Normal 57 9 7" xfId="11498" xr:uid="{00000000-0005-0000-0000-0000EF2C0000}"/>
    <cellStyle name="Normal 57 9 8" xfId="11499" xr:uid="{00000000-0005-0000-0000-0000F02C0000}"/>
    <cellStyle name="Normal 57 9 9" xfId="11500" xr:uid="{00000000-0005-0000-0000-0000F12C0000}"/>
    <cellStyle name="Normal 58" xfId="11501" xr:uid="{00000000-0005-0000-0000-0000F22C0000}"/>
    <cellStyle name="Normal 58 10" xfId="11502" xr:uid="{00000000-0005-0000-0000-0000F32C0000}"/>
    <cellStyle name="Normal 58 10 10" xfId="11503" xr:uid="{00000000-0005-0000-0000-0000F42C0000}"/>
    <cellStyle name="Normal 58 10 11" xfId="11504" xr:uid="{00000000-0005-0000-0000-0000F52C0000}"/>
    <cellStyle name="Normal 58 10 12" xfId="11505" xr:uid="{00000000-0005-0000-0000-0000F62C0000}"/>
    <cellStyle name="Normal 58 10 13" xfId="11506" xr:uid="{00000000-0005-0000-0000-0000F72C0000}"/>
    <cellStyle name="Normal 58 10 2" xfId="11507" xr:uid="{00000000-0005-0000-0000-0000F82C0000}"/>
    <cellStyle name="Normal 58 10 2 10" xfId="11508" xr:uid="{00000000-0005-0000-0000-0000F92C0000}"/>
    <cellStyle name="Normal 58 10 2 11" xfId="11509" xr:uid="{00000000-0005-0000-0000-0000FA2C0000}"/>
    <cellStyle name="Normal 58 10 2 2" xfId="11510" xr:uid="{00000000-0005-0000-0000-0000FB2C0000}"/>
    <cellStyle name="Normal 58 10 2 3" xfId="11511" xr:uid="{00000000-0005-0000-0000-0000FC2C0000}"/>
    <cellStyle name="Normal 58 10 2 4" xfId="11512" xr:uid="{00000000-0005-0000-0000-0000FD2C0000}"/>
    <cellStyle name="Normal 58 10 2 5" xfId="11513" xr:uid="{00000000-0005-0000-0000-0000FE2C0000}"/>
    <cellStyle name="Normal 58 10 2 6" xfId="11514" xr:uid="{00000000-0005-0000-0000-0000FF2C0000}"/>
    <cellStyle name="Normal 58 10 2 7" xfId="11515" xr:uid="{00000000-0005-0000-0000-0000002D0000}"/>
    <cellStyle name="Normal 58 10 2 8" xfId="11516" xr:uid="{00000000-0005-0000-0000-0000012D0000}"/>
    <cellStyle name="Normal 58 10 2 9" xfId="11517" xr:uid="{00000000-0005-0000-0000-0000022D0000}"/>
    <cellStyle name="Normal 58 10 3" xfId="11518" xr:uid="{00000000-0005-0000-0000-0000032D0000}"/>
    <cellStyle name="Normal 58 10 4" xfId="11519" xr:uid="{00000000-0005-0000-0000-0000042D0000}"/>
    <cellStyle name="Normal 58 10 5" xfId="11520" xr:uid="{00000000-0005-0000-0000-0000052D0000}"/>
    <cellStyle name="Normal 58 10 6" xfId="11521" xr:uid="{00000000-0005-0000-0000-0000062D0000}"/>
    <cellStyle name="Normal 58 10 7" xfId="11522" xr:uid="{00000000-0005-0000-0000-0000072D0000}"/>
    <cellStyle name="Normal 58 10 8" xfId="11523" xr:uid="{00000000-0005-0000-0000-0000082D0000}"/>
    <cellStyle name="Normal 58 10 9" xfId="11524" xr:uid="{00000000-0005-0000-0000-0000092D0000}"/>
    <cellStyle name="Normal 58 11" xfId="11525" xr:uid="{00000000-0005-0000-0000-00000A2D0000}"/>
    <cellStyle name="Normal 58 11 10" xfId="11526" xr:uid="{00000000-0005-0000-0000-00000B2D0000}"/>
    <cellStyle name="Normal 58 11 11" xfId="11527" xr:uid="{00000000-0005-0000-0000-00000C2D0000}"/>
    <cellStyle name="Normal 58 11 12" xfId="11528" xr:uid="{00000000-0005-0000-0000-00000D2D0000}"/>
    <cellStyle name="Normal 58 11 13" xfId="11529" xr:uid="{00000000-0005-0000-0000-00000E2D0000}"/>
    <cellStyle name="Normal 58 11 2" xfId="11530" xr:uid="{00000000-0005-0000-0000-00000F2D0000}"/>
    <cellStyle name="Normal 58 11 2 10" xfId="11531" xr:uid="{00000000-0005-0000-0000-0000102D0000}"/>
    <cellStyle name="Normal 58 11 2 11" xfId="11532" xr:uid="{00000000-0005-0000-0000-0000112D0000}"/>
    <cellStyle name="Normal 58 11 2 2" xfId="11533" xr:uid="{00000000-0005-0000-0000-0000122D0000}"/>
    <cellStyle name="Normal 58 11 2 3" xfId="11534" xr:uid="{00000000-0005-0000-0000-0000132D0000}"/>
    <cellStyle name="Normal 58 11 2 4" xfId="11535" xr:uid="{00000000-0005-0000-0000-0000142D0000}"/>
    <cellStyle name="Normal 58 11 2 5" xfId="11536" xr:uid="{00000000-0005-0000-0000-0000152D0000}"/>
    <cellStyle name="Normal 58 11 2 6" xfId="11537" xr:uid="{00000000-0005-0000-0000-0000162D0000}"/>
    <cellStyle name="Normal 58 11 2 7" xfId="11538" xr:uid="{00000000-0005-0000-0000-0000172D0000}"/>
    <cellStyle name="Normal 58 11 2 8" xfId="11539" xr:uid="{00000000-0005-0000-0000-0000182D0000}"/>
    <cellStyle name="Normal 58 11 2 9" xfId="11540" xr:uid="{00000000-0005-0000-0000-0000192D0000}"/>
    <cellStyle name="Normal 58 11 3" xfId="11541" xr:uid="{00000000-0005-0000-0000-00001A2D0000}"/>
    <cellStyle name="Normal 58 11 4" xfId="11542" xr:uid="{00000000-0005-0000-0000-00001B2D0000}"/>
    <cellStyle name="Normal 58 11 5" xfId="11543" xr:uid="{00000000-0005-0000-0000-00001C2D0000}"/>
    <cellStyle name="Normal 58 11 6" xfId="11544" xr:uid="{00000000-0005-0000-0000-00001D2D0000}"/>
    <cellStyle name="Normal 58 11 7" xfId="11545" xr:uid="{00000000-0005-0000-0000-00001E2D0000}"/>
    <cellStyle name="Normal 58 11 8" xfId="11546" xr:uid="{00000000-0005-0000-0000-00001F2D0000}"/>
    <cellStyle name="Normal 58 11 9" xfId="11547" xr:uid="{00000000-0005-0000-0000-0000202D0000}"/>
    <cellStyle name="Normal 58 12" xfId="11548" xr:uid="{00000000-0005-0000-0000-0000212D0000}"/>
    <cellStyle name="Normal 58 12 10" xfId="11549" xr:uid="{00000000-0005-0000-0000-0000222D0000}"/>
    <cellStyle name="Normal 58 12 11" xfId="11550" xr:uid="{00000000-0005-0000-0000-0000232D0000}"/>
    <cellStyle name="Normal 58 12 12" xfId="11551" xr:uid="{00000000-0005-0000-0000-0000242D0000}"/>
    <cellStyle name="Normal 58 12 13" xfId="11552" xr:uid="{00000000-0005-0000-0000-0000252D0000}"/>
    <cellStyle name="Normal 58 12 2" xfId="11553" xr:uid="{00000000-0005-0000-0000-0000262D0000}"/>
    <cellStyle name="Normal 58 12 2 10" xfId="11554" xr:uid="{00000000-0005-0000-0000-0000272D0000}"/>
    <cellStyle name="Normal 58 12 2 11" xfId="11555" xr:uid="{00000000-0005-0000-0000-0000282D0000}"/>
    <cellStyle name="Normal 58 12 2 2" xfId="11556" xr:uid="{00000000-0005-0000-0000-0000292D0000}"/>
    <cellStyle name="Normal 58 12 2 3" xfId="11557" xr:uid="{00000000-0005-0000-0000-00002A2D0000}"/>
    <cellStyle name="Normal 58 12 2 4" xfId="11558" xr:uid="{00000000-0005-0000-0000-00002B2D0000}"/>
    <cellStyle name="Normal 58 12 2 5" xfId="11559" xr:uid="{00000000-0005-0000-0000-00002C2D0000}"/>
    <cellStyle name="Normal 58 12 2 6" xfId="11560" xr:uid="{00000000-0005-0000-0000-00002D2D0000}"/>
    <cellStyle name="Normal 58 12 2 7" xfId="11561" xr:uid="{00000000-0005-0000-0000-00002E2D0000}"/>
    <cellStyle name="Normal 58 12 2 8" xfId="11562" xr:uid="{00000000-0005-0000-0000-00002F2D0000}"/>
    <cellStyle name="Normal 58 12 2 9" xfId="11563" xr:uid="{00000000-0005-0000-0000-0000302D0000}"/>
    <cellStyle name="Normal 58 12 3" xfId="11564" xr:uid="{00000000-0005-0000-0000-0000312D0000}"/>
    <cellStyle name="Normal 58 12 4" xfId="11565" xr:uid="{00000000-0005-0000-0000-0000322D0000}"/>
    <cellStyle name="Normal 58 12 5" xfId="11566" xr:uid="{00000000-0005-0000-0000-0000332D0000}"/>
    <cellStyle name="Normal 58 12 6" xfId="11567" xr:uid="{00000000-0005-0000-0000-0000342D0000}"/>
    <cellStyle name="Normal 58 12 7" xfId="11568" xr:uid="{00000000-0005-0000-0000-0000352D0000}"/>
    <cellStyle name="Normal 58 12 8" xfId="11569" xr:uid="{00000000-0005-0000-0000-0000362D0000}"/>
    <cellStyle name="Normal 58 12 9" xfId="11570" xr:uid="{00000000-0005-0000-0000-0000372D0000}"/>
    <cellStyle name="Normal 58 13" xfId="11571" xr:uid="{00000000-0005-0000-0000-0000382D0000}"/>
    <cellStyle name="Normal 58 13 10" xfId="11572" xr:uid="{00000000-0005-0000-0000-0000392D0000}"/>
    <cellStyle name="Normal 58 13 11" xfId="11573" xr:uid="{00000000-0005-0000-0000-00003A2D0000}"/>
    <cellStyle name="Normal 58 13 12" xfId="11574" xr:uid="{00000000-0005-0000-0000-00003B2D0000}"/>
    <cellStyle name="Normal 58 13 13" xfId="11575" xr:uid="{00000000-0005-0000-0000-00003C2D0000}"/>
    <cellStyle name="Normal 58 13 2" xfId="11576" xr:uid="{00000000-0005-0000-0000-00003D2D0000}"/>
    <cellStyle name="Normal 58 13 2 10" xfId="11577" xr:uid="{00000000-0005-0000-0000-00003E2D0000}"/>
    <cellStyle name="Normal 58 13 2 11" xfId="11578" xr:uid="{00000000-0005-0000-0000-00003F2D0000}"/>
    <cellStyle name="Normal 58 13 2 2" xfId="11579" xr:uid="{00000000-0005-0000-0000-0000402D0000}"/>
    <cellStyle name="Normal 58 13 2 3" xfId="11580" xr:uid="{00000000-0005-0000-0000-0000412D0000}"/>
    <cellStyle name="Normal 58 13 2 4" xfId="11581" xr:uid="{00000000-0005-0000-0000-0000422D0000}"/>
    <cellStyle name="Normal 58 13 2 5" xfId="11582" xr:uid="{00000000-0005-0000-0000-0000432D0000}"/>
    <cellStyle name="Normal 58 13 2 6" xfId="11583" xr:uid="{00000000-0005-0000-0000-0000442D0000}"/>
    <cellStyle name="Normal 58 13 2 7" xfId="11584" xr:uid="{00000000-0005-0000-0000-0000452D0000}"/>
    <cellStyle name="Normal 58 13 2 8" xfId="11585" xr:uid="{00000000-0005-0000-0000-0000462D0000}"/>
    <cellStyle name="Normal 58 13 2 9" xfId="11586" xr:uid="{00000000-0005-0000-0000-0000472D0000}"/>
    <cellStyle name="Normal 58 13 3" xfId="11587" xr:uid="{00000000-0005-0000-0000-0000482D0000}"/>
    <cellStyle name="Normal 58 13 4" xfId="11588" xr:uid="{00000000-0005-0000-0000-0000492D0000}"/>
    <cellStyle name="Normal 58 13 5" xfId="11589" xr:uid="{00000000-0005-0000-0000-00004A2D0000}"/>
    <cellStyle name="Normal 58 13 6" xfId="11590" xr:uid="{00000000-0005-0000-0000-00004B2D0000}"/>
    <cellStyle name="Normal 58 13 7" xfId="11591" xr:uid="{00000000-0005-0000-0000-00004C2D0000}"/>
    <cellStyle name="Normal 58 13 8" xfId="11592" xr:uid="{00000000-0005-0000-0000-00004D2D0000}"/>
    <cellStyle name="Normal 58 13 9" xfId="11593" xr:uid="{00000000-0005-0000-0000-00004E2D0000}"/>
    <cellStyle name="Normal 58 14" xfId="11594" xr:uid="{00000000-0005-0000-0000-00004F2D0000}"/>
    <cellStyle name="Normal 58 14 10" xfId="11595" xr:uid="{00000000-0005-0000-0000-0000502D0000}"/>
    <cellStyle name="Normal 58 14 11" xfId="11596" xr:uid="{00000000-0005-0000-0000-0000512D0000}"/>
    <cellStyle name="Normal 58 14 2" xfId="11597" xr:uid="{00000000-0005-0000-0000-0000522D0000}"/>
    <cellStyle name="Normal 58 14 3" xfId="11598" xr:uid="{00000000-0005-0000-0000-0000532D0000}"/>
    <cellStyle name="Normal 58 14 4" xfId="11599" xr:uid="{00000000-0005-0000-0000-0000542D0000}"/>
    <cellStyle name="Normal 58 14 5" xfId="11600" xr:uid="{00000000-0005-0000-0000-0000552D0000}"/>
    <cellStyle name="Normal 58 14 6" xfId="11601" xr:uid="{00000000-0005-0000-0000-0000562D0000}"/>
    <cellStyle name="Normal 58 14 7" xfId="11602" xr:uid="{00000000-0005-0000-0000-0000572D0000}"/>
    <cellStyle name="Normal 58 14 8" xfId="11603" xr:uid="{00000000-0005-0000-0000-0000582D0000}"/>
    <cellStyle name="Normal 58 14 9" xfId="11604" xr:uid="{00000000-0005-0000-0000-0000592D0000}"/>
    <cellStyle name="Normal 58 15" xfId="11605" xr:uid="{00000000-0005-0000-0000-00005A2D0000}"/>
    <cellStyle name="Normal 58 16" xfId="11606" xr:uid="{00000000-0005-0000-0000-00005B2D0000}"/>
    <cellStyle name="Normal 58 17" xfId="11607" xr:uid="{00000000-0005-0000-0000-00005C2D0000}"/>
    <cellStyle name="Normal 58 18" xfId="11608" xr:uid="{00000000-0005-0000-0000-00005D2D0000}"/>
    <cellStyle name="Normal 58 19" xfId="11609" xr:uid="{00000000-0005-0000-0000-00005E2D0000}"/>
    <cellStyle name="Normal 58 2" xfId="11610" xr:uid="{00000000-0005-0000-0000-00005F2D0000}"/>
    <cellStyle name="Normal 58 2 10" xfId="11611" xr:uid="{00000000-0005-0000-0000-0000602D0000}"/>
    <cellStyle name="Normal 58 2 11" xfId="11612" xr:uid="{00000000-0005-0000-0000-0000612D0000}"/>
    <cellStyle name="Normal 58 2 12" xfId="11613" xr:uid="{00000000-0005-0000-0000-0000622D0000}"/>
    <cellStyle name="Normal 58 2 13" xfId="11614" xr:uid="{00000000-0005-0000-0000-0000632D0000}"/>
    <cellStyle name="Normal 58 2 2" xfId="11615" xr:uid="{00000000-0005-0000-0000-0000642D0000}"/>
    <cellStyle name="Normal 58 2 2 10" xfId="11616" xr:uid="{00000000-0005-0000-0000-0000652D0000}"/>
    <cellStyle name="Normal 58 2 2 11" xfId="11617" xr:uid="{00000000-0005-0000-0000-0000662D0000}"/>
    <cellStyle name="Normal 58 2 2 2" xfId="11618" xr:uid="{00000000-0005-0000-0000-0000672D0000}"/>
    <cellStyle name="Normal 58 2 2 3" xfId="11619" xr:uid="{00000000-0005-0000-0000-0000682D0000}"/>
    <cellStyle name="Normal 58 2 2 4" xfId="11620" xr:uid="{00000000-0005-0000-0000-0000692D0000}"/>
    <cellStyle name="Normal 58 2 2 5" xfId="11621" xr:uid="{00000000-0005-0000-0000-00006A2D0000}"/>
    <cellStyle name="Normal 58 2 2 6" xfId="11622" xr:uid="{00000000-0005-0000-0000-00006B2D0000}"/>
    <cellStyle name="Normal 58 2 2 7" xfId="11623" xr:uid="{00000000-0005-0000-0000-00006C2D0000}"/>
    <cellStyle name="Normal 58 2 2 8" xfId="11624" xr:uid="{00000000-0005-0000-0000-00006D2D0000}"/>
    <cellStyle name="Normal 58 2 2 9" xfId="11625" xr:uid="{00000000-0005-0000-0000-00006E2D0000}"/>
    <cellStyle name="Normal 58 2 3" xfId="11626" xr:uid="{00000000-0005-0000-0000-00006F2D0000}"/>
    <cellStyle name="Normal 58 2 4" xfId="11627" xr:uid="{00000000-0005-0000-0000-0000702D0000}"/>
    <cellStyle name="Normal 58 2 5" xfId="11628" xr:uid="{00000000-0005-0000-0000-0000712D0000}"/>
    <cellStyle name="Normal 58 2 6" xfId="11629" xr:uid="{00000000-0005-0000-0000-0000722D0000}"/>
    <cellStyle name="Normal 58 2 7" xfId="11630" xr:uid="{00000000-0005-0000-0000-0000732D0000}"/>
    <cellStyle name="Normal 58 2 8" xfId="11631" xr:uid="{00000000-0005-0000-0000-0000742D0000}"/>
    <cellStyle name="Normal 58 2 9" xfId="11632" xr:uid="{00000000-0005-0000-0000-0000752D0000}"/>
    <cellStyle name="Normal 58 20" xfId="11633" xr:uid="{00000000-0005-0000-0000-0000762D0000}"/>
    <cellStyle name="Normal 58 21" xfId="11634" xr:uid="{00000000-0005-0000-0000-0000772D0000}"/>
    <cellStyle name="Normal 58 22" xfId="11635" xr:uid="{00000000-0005-0000-0000-0000782D0000}"/>
    <cellStyle name="Normal 58 23" xfId="11636" xr:uid="{00000000-0005-0000-0000-0000792D0000}"/>
    <cellStyle name="Normal 58 24" xfId="11637" xr:uid="{00000000-0005-0000-0000-00007A2D0000}"/>
    <cellStyle name="Normal 58 25" xfId="11638" xr:uid="{00000000-0005-0000-0000-00007B2D0000}"/>
    <cellStyle name="Normal 58 3" xfId="11639" xr:uid="{00000000-0005-0000-0000-00007C2D0000}"/>
    <cellStyle name="Normal 58 3 10" xfId="11640" xr:uid="{00000000-0005-0000-0000-00007D2D0000}"/>
    <cellStyle name="Normal 58 3 11" xfId="11641" xr:uid="{00000000-0005-0000-0000-00007E2D0000}"/>
    <cellStyle name="Normal 58 3 12" xfId="11642" xr:uid="{00000000-0005-0000-0000-00007F2D0000}"/>
    <cellStyle name="Normal 58 3 13" xfId="11643" xr:uid="{00000000-0005-0000-0000-0000802D0000}"/>
    <cellStyle name="Normal 58 3 2" xfId="11644" xr:uid="{00000000-0005-0000-0000-0000812D0000}"/>
    <cellStyle name="Normal 58 3 2 10" xfId="11645" xr:uid="{00000000-0005-0000-0000-0000822D0000}"/>
    <cellStyle name="Normal 58 3 2 11" xfId="11646" xr:uid="{00000000-0005-0000-0000-0000832D0000}"/>
    <cellStyle name="Normal 58 3 2 2" xfId="11647" xr:uid="{00000000-0005-0000-0000-0000842D0000}"/>
    <cellStyle name="Normal 58 3 2 3" xfId="11648" xr:uid="{00000000-0005-0000-0000-0000852D0000}"/>
    <cellStyle name="Normal 58 3 2 4" xfId="11649" xr:uid="{00000000-0005-0000-0000-0000862D0000}"/>
    <cellStyle name="Normal 58 3 2 5" xfId="11650" xr:uid="{00000000-0005-0000-0000-0000872D0000}"/>
    <cellStyle name="Normal 58 3 2 6" xfId="11651" xr:uid="{00000000-0005-0000-0000-0000882D0000}"/>
    <cellStyle name="Normal 58 3 2 7" xfId="11652" xr:uid="{00000000-0005-0000-0000-0000892D0000}"/>
    <cellStyle name="Normal 58 3 2 8" xfId="11653" xr:uid="{00000000-0005-0000-0000-00008A2D0000}"/>
    <cellStyle name="Normal 58 3 2 9" xfId="11654" xr:uid="{00000000-0005-0000-0000-00008B2D0000}"/>
    <cellStyle name="Normal 58 3 3" xfId="11655" xr:uid="{00000000-0005-0000-0000-00008C2D0000}"/>
    <cellStyle name="Normal 58 3 4" xfId="11656" xr:uid="{00000000-0005-0000-0000-00008D2D0000}"/>
    <cellStyle name="Normal 58 3 5" xfId="11657" xr:uid="{00000000-0005-0000-0000-00008E2D0000}"/>
    <cellStyle name="Normal 58 3 6" xfId="11658" xr:uid="{00000000-0005-0000-0000-00008F2D0000}"/>
    <cellStyle name="Normal 58 3 7" xfId="11659" xr:uid="{00000000-0005-0000-0000-0000902D0000}"/>
    <cellStyle name="Normal 58 3 8" xfId="11660" xr:uid="{00000000-0005-0000-0000-0000912D0000}"/>
    <cellStyle name="Normal 58 3 9" xfId="11661" xr:uid="{00000000-0005-0000-0000-0000922D0000}"/>
    <cellStyle name="Normal 58 4" xfId="11662" xr:uid="{00000000-0005-0000-0000-0000932D0000}"/>
    <cellStyle name="Normal 58 4 10" xfId="11663" xr:uid="{00000000-0005-0000-0000-0000942D0000}"/>
    <cellStyle name="Normal 58 4 11" xfId="11664" xr:uid="{00000000-0005-0000-0000-0000952D0000}"/>
    <cellStyle name="Normal 58 4 12" xfId="11665" xr:uid="{00000000-0005-0000-0000-0000962D0000}"/>
    <cellStyle name="Normal 58 4 13" xfId="11666" xr:uid="{00000000-0005-0000-0000-0000972D0000}"/>
    <cellStyle name="Normal 58 4 2" xfId="11667" xr:uid="{00000000-0005-0000-0000-0000982D0000}"/>
    <cellStyle name="Normal 58 4 2 10" xfId="11668" xr:uid="{00000000-0005-0000-0000-0000992D0000}"/>
    <cellStyle name="Normal 58 4 2 11" xfId="11669" xr:uid="{00000000-0005-0000-0000-00009A2D0000}"/>
    <cellStyle name="Normal 58 4 2 2" xfId="11670" xr:uid="{00000000-0005-0000-0000-00009B2D0000}"/>
    <cellStyle name="Normal 58 4 2 3" xfId="11671" xr:uid="{00000000-0005-0000-0000-00009C2D0000}"/>
    <cellStyle name="Normal 58 4 2 4" xfId="11672" xr:uid="{00000000-0005-0000-0000-00009D2D0000}"/>
    <cellStyle name="Normal 58 4 2 5" xfId="11673" xr:uid="{00000000-0005-0000-0000-00009E2D0000}"/>
    <cellStyle name="Normal 58 4 2 6" xfId="11674" xr:uid="{00000000-0005-0000-0000-00009F2D0000}"/>
    <cellStyle name="Normal 58 4 2 7" xfId="11675" xr:uid="{00000000-0005-0000-0000-0000A02D0000}"/>
    <cellStyle name="Normal 58 4 2 8" xfId="11676" xr:uid="{00000000-0005-0000-0000-0000A12D0000}"/>
    <cellStyle name="Normal 58 4 2 9" xfId="11677" xr:uid="{00000000-0005-0000-0000-0000A22D0000}"/>
    <cellStyle name="Normal 58 4 3" xfId="11678" xr:uid="{00000000-0005-0000-0000-0000A32D0000}"/>
    <cellStyle name="Normal 58 4 4" xfId="11679" xr:uid="{00000000-0005-0000-0000-0000A42D0000}"/>
    <cellStyle name="Normal 58 4 5" xfId="11680" xr:uid="{00000000-0005-0000-0000-0000A52D0000}"/>
    <cellStyle name="Normal 58 4 6" xfId="11681" xr:uid="{00000000-0005-0000-0000-0000A62D0000}"/>
    <cellStyle name="Normal 58 4 7" xfId="11682" xr:uid="{00000000-0005-0000-0000-0000A72D0000}"/>
    <cellStyle name="Normal 58 4 8" xfId="11683" xr:uid="{00000000-0005-0000-0000-0000A82D0000}"/>
    <cellStyle name="Normal 58 4 9" xfId="11684" xr:uid="{00000000-0005-0000-0000-0000A92D0000}"/>
    <cellStyle name="Normal 58 5" xfId="11685" xr:uid="{00000000-0005-0000-0000-0000AA2D0000}"/>
    <cellStyle name="Normal 58 5 10" xfId="11686" xr:uid="{00000000-0005-0000-0000-0000AB2D0000}"/>
    <cellStyle name="Normal 58 5 11" xfId="11687" xr:uid="{00000000-0005-0000-0000-0000AC2D0000}"/>
    <cellStyle name="Normal 58 5 12" xfId="11688" xr:uid="{00000000-0005-0000-0000-0000AD2D0000}"/>
    <cellStyle name="Normal 58 5 13" xfId="11689" xr:uid="{00000000-0005-0000-0000-0000AE2D0000}"/>
    <cellStyle name="Normal 58 5 2" xfId="11690" xr:uid="{00000000-0005-0000-0000-0000AF2D0000}"/>
    <cellStyle name="Normal 58 5 2 10" xfId="11691" xr:uid="{00000000-0005-0000-0000-0000B02D0000}"/>
    <cellStyle name="Normal 58 5 2 11" xfId="11692" xr:uid="{00000000-0005-0000-0000-0000B12D0000}"/>
    <cellStyle name="Normal 58 5 2 2" xfId="11693" xr:uid="{00000000-0005-0000-0000-0000B22D0000}"/>
    <cellStyle name="Normal 58 5 2 3" xfId="11694" xr:uid="{00000000-0005-0000-0000-0000B32D0000}"/>
    <cellStyle name="Normal 58 5 2 4" xfId="11695" xr:uid="{00000000-0005-0000-0000-0000B42D0000}"/>
    <cellStyle name="Normal 58 5 2 5" xfId="11696" xr:uid="{00000000-0005-0000-0000-0000B52D0000}"/>
    <cellStyle name="Normal 58 5 2 6" xfId="11697" xr:uid="{00000000-0005-0000-0000-0000B62D0000}"/>
    <cellStyle name="Normal 58 5 2 7" xfId="11698" xr:uid="{00000000-0005-0000-0000-0000B72D0000}"/>
    <cellStyle name="Normal 58 5 2 8" xfId="11699" xr:uid="{00000000-0005-0000-0000-0000B82D0000}"/>
    <cellStyle name="Normal 58 5 2 9" xfId="11700" xr:uid="{00000000-0005-0000-0000-0000B92D0000}"/>
    <cellStyle name="Normal 58 5 3" xfId="11701" xr:uid="{00000000-0005-0000-0000-0000BA2D0000}"/>
    <cellStyle name="Normal 58 5 4" xfId="11702" xr:uid="{00000000-0005-0000-0000-0000BB2D0000}"/>
    <cellStyle name="Normal 58 5 5" xfId="11703" xr:uid="{00000000-0005-0000-0000-0000BC2D0000}"/>
    <cellStyle name="Normal 58 5 6" xfId="11704" xr:uid="{00000000-0005-0000-0000-0000BD2D0000}"/>
    <cellStyle name="Normal 58 5 7" xfId="11705" xr:uid="{00000000-0005-0000-0000-0000BE2D0000}"/>
    <cellStyle name="Normal 58 5 8" xfId="11706" xr:uid="{00000000-0005-0000-0000-0000BF2D0000}"/>
    <cellStyle name="Normal 58 5 9" xfId="11707" xr:uid="{00000000-0005-0000-0000-0000C02D0000}"/>
    <cellStyle name="Normal 58 6" xfId="11708" xr:uid="{00000000-0005-0000-0000-0000C12D0000}"/>
    <cellStyle name="Normal 58 6 10" xfId="11709" xr:uid="{00000000-0005-0000-0000-0000C22D0000}"/>
    <cellStyle name="Normal 58 6 11" xfId="11710" xr:uid="{00000000-0005-0000-0000-0000C32D0000}"/>
    <cellStyle name="Normal 58 6 12" xfId="11711" xr:uid="{00000000-0005-0000-0000-0000C42D0000}"/>
    <cellStyle name="Normal 58 6 13" xfId="11712" xr:uid="{00000000-0005-0000-0000-0000C52D0000}"/>
    <cellStyle name="Normal 58 6 2" xfId="11713" xr:uid="{00000000-0005-0000-0000-0000C62D0000}"/>
    <cellStyle name="Normal 58 6 2 10" xfId="11714" xr:uid="{00000000-0005-0000-0000-0000C72D0000}"/>
    <cellStyle name="Normal 58 6 2 11" xfId="11715" xr:uid="{00000000-0005-0000-0000-0000C82D0000}"/>
    <cellStyle name="Normal 58 6 2 2" xfId="11716" xr:uid="{00000000-0005-0000-0000-0000C92D0000}"/>
    <cellStyle name="Normal 58 6 2 3" xfId="11717" xr:uid="{00000000-0005-0000-0000-0000CA2D0000}"/>
    <cellStyle name="Normal 58 6 2 4" xfId="11718" xr:uid="{00000000-0005-0000-0000-0000CB2D0000}"/>
    <cellStyle name="Normal 58 6 2 5" xfId="11719" xr:uid="{00000000-0005-0000-0000-0000CC2D0000}"/>
    <cellStyle name="Normal 58 6 2 6" xfId="11720" xr:uid="{00000000-0005-0000-0000-0000CD2D0000}"/>
    <cellStyle name="Normal 58 6 2 7" xfId="11721" xr:uid="{00000000-0005-0000-0000-0000CE2D0000}"/>
    <cellStyle name="Normal 58 6 2 8" xfId="11722" xr:uid="{00000000-0005-0000-0000-0000CF2D0000}"/>
    <cellStyle name="Normal 58 6 2 9" xfId="11723" xr:uid="{00000000-0005-0000-0000-0000D02D0000}"/>
    <cellStyle name="Normal 58 6 3" xfId="11724" xr:uid="{00000000-0005-0000-0000-0000D12D0000}"/>
    <cellStyle name="Normal 58 6 4" xfId="11725" xr:uid="{00000000-0005-0000-0000-0000D22D0000}"/>
    <cellStyle name="Normal 58 6 5" xfId="11726" xr:uid="{00000000-0005-0000-0000-0000D32D0000}"/>
    <cellStyle name="Normal 58 6 6" xfId="11727" xr:uid="{00000000-0005-0000-0000-0000D42D0000}"/>
    <cellStyle name="Normal 58 6 7" xfId="11728" xr:uid="{00000000-0005-0000-0000-0000D52D0000}"/>
    <cellStyle name="Normal 58 6 8" xfId="11729" xr:uid="{00000000-0005-0000-0000-0000D62D0000}"/>
    <cellStyle name="Normal 58 6 9" xfId="11730" xr:uid="{00000000-0005-0000-0000-0000D72D0000}"/>
    <cellStyle name="Normal 58 7" xfId="11731" xr:uid="{00000000-0005-0000-0000-0000D82D0000}"/>
    <cellStyle name="Normal 58 7 10" xfId="11732" xr:uid="{00000000-0005-0000-0000-0000D92D0000}"/>
    <cellStyle name="Normal 58 7 11" xfId="11733" xr:uid="{00000000-0005-0000-0000-0000DA2D0000}"/>
    <cellStyle name="Normal 58 7 12" xfId="11734" xr:uid="{00000000-0005-0000-0000-0000DB2D0000}"/>
    <cellStyle name="Normal 58 7 13" xfId="11735" xr:uid="{00000000-0005-0000-0000-0000DC2D0000}"/>
    <cellStyle name="Normal 58 7 2" xfId="11736" xr:uid="{00000000-0005-0000-0000-0000DD2D0000}"/>
    <cellStyle name="Normal 58 7 2 10" xfId="11737" xr:uid="{00000000-0005-0000-0000-0000DE2D0000}"/>
    <cellStyle name="Normal 58 7 2 11" xfId="11738" xr:uid="{00000000-0005-0000-0000-0000DF2D0000}"/>
    <cellStyle name="Normal 58 7 2 2" xfId="11739" xr:uid="{00000000-0005-0000-0000-0000E02D0000}"/>
    <cellStyle name="Normal 58 7 2 3" xfId="11740" xr:uid="{00000000-0005-0000-0000-0000E12D0000}"/>
    <cellStyle name="Normal 58 7 2 4" xfId="11741" xr:uid="{00000000-0005-0000-0000-0000E22D0000}"/>
    <cellStyle name="Normal 58 7 2 5" xfId="11742" xr:uid="{00000000-0005-0000-0000-0000E32D0000}"/>
    <cellStyle name="Normal 58 7 2 6" xfId="11743" xr:uid="{00000000-0005-0000-0000-0000E42D0000}"/>
    <cellStyle name="Normal 58 7 2 7" xfId="11744" xr:uid="{00000000-0005-0000-0000-0000E52D0000}"/>
    <cellStyle name="Normal 58 7 2 8" xfId="11745" xr:uid="{00000000-0005-0000-0000-0000E62D0000}"/>
    <cellStyle name="Normal 58 7 2 9" xfId="11746" xr:uid="{00000000-0005-0000-0000-0000E72D0000}"/>
    <cellStyle name="Normal 58 7 3" xfId="11747" xr:uid="{00000000-0005-0000-0000-0000E82D0000}"/>
    <cellStyle name="Normal 58 7 4" xfId="11748" xr:uid="{00000000-0005-0000-0000-0000E92D0000}"/>
    <cellStyle name="Normal 58 7 5" xfId="11749" xr:uid="{00000000-0005-0000-0000-0000EA2D0000}"/>
    <cellStyle name="Normal 58 7 6" xfId="11750" xr:uid="{00000000-0005-0000-0000-0000EB2D0000}"/>
    <cellStyle name="Normal 58 7 7" xfId="11751" xr:uid="{00000000-0005-0000-0000-0000EC2D0000}"/>
    <cellStyle name="Normal 58 7 8" xfId="11752" xr:uid="{00000000-0005-0000-0000-0000ED2D0000}"/>
    <cellStyle name="Normal 58 7 9" xfId="11753" xr:uid="{00000000-0005-0000-0000-0000EE2D0000}"/>
    <cellStyle name="Normal 58 8" xfId="11754" xr:uid="{00000000-0005-0000-0000-0000EF2D0000}"/>
    <cellStyle name="Normal 58 8 10" xfId="11755" xr:uid="{00000000-0005-0000-0000-0000F02D0000}"/>
    <cellStyle name="Normal 58 8 11" xfId="11756" xr:uid="{00000000-0005-0000-0000-0000F12D0000}"/>
    <cellStyle name="Normal 58 8 12" xfId="11757" xr:uid="{00000000-0005-0000-0000-0000F22D0000}"/>
    <cellStyle name="Normal 58 8 13" xfId="11758" xr:uid="{00000000-0005-0000-0000-0000F32D0000}"/>
    <cellStyle name="Normal 58 8 2" xfId="11759" xr:uid="{00000000-0005-0000-0000-0000F42D0000}"/>
    <cellStyle name="Normal 58 8 2 10" xfId="11760" xr:uid="{00000000-0005-0000-0000-0000F52D0000}"/>
    <cellStyle name="Normal 58 8 2 11" xfId="11761" xr:uid="{00000000-0005-0000-0000-0000F62D0000}"/>
    <cellStyle name="Normal 58 8 2 2" xfId="11762" xr:uid="{00000000-0005-0000-0000-0000F72D0000}"/>
    <cellStyle name="Normal 58 8 2 3" xfId="11763" xr:uid="{00000000-0005-0000-0000-0000F82D0000}"/>
    <cellStyle name="Normal 58 8 2 4" xfId="11764" xr:uid="{00000000-0005-0000-0000-0000F92D0000}"/>
    <cellStyle name="Normal 58 8 2 5" xfId="11765" xr:uid="{00000000-0005-0000-0000-0000FA2D0000}"/>
    <cellStyle name="Normal 58 8 2 6" xfId="11766" xr:uid="{00000000-0005-0000-0000-0000FB2D0000}"/>
    <cellStyle name="Normal 58 8 2 7" xfId="11767" xr:uid="{00000000-0005-0000-0000-0000FC2D0000}"/>
    <cellStyle name="Normal 58 8 2 8" xfId="11768" xr:uid="{00000000-0005-0000-0000-0000FD2D0000}"/>
    <cellStyle name="Normal 58 8 2 9" xfId="11769" xr:uid="{00000000-0005-0000-0000-0000FE2D0000}"/>
    <cellStyle name="Normal 58 8 3" xfId="11770" xr:uid="{00000000-0005-0000-0000-0000FF2D0000}"/>
    <cellStyle name="Normal 58 8 4" xfId="11771" xr:uid="{00000000-0005-0000-0000-0000002E0000}"/>
    <cellStyle name="Normal 58 8 5" xfId="11772" xr:uid="{00000000-0005-0000-0000-0000012E0000}"/>
    <cellStyle name="Normal 58 8 6" xfId="11773" xr:uid="{00000000-0005-0000-0000-0000022E0000}"/>
    <cellStyle name="Normal 58 8 7" xfId="11774" xr:uid="{00000000-0005-0000-0000-0000032E0000}"/>
    <cellStyle name="Normal 58 8 8" xfId="11775" xr:uid="{00000000-0005-0000-0000-0000042E0000}"/>
    <cellStyle name="Normal 58 8 9" xfId="11776" xr:uid="{00000000-0005-0000-0000-0000052E0000}"/>
    <cellStyle name="Normal 58 9" xfId="11777" xr:uid="{00000000-0005-0000-0000-0000062E0000}"/>
    <cellStyle name="Normal 58 9 10" xfId="11778" xr:uid="{00000000-0005-0000-0000-0000072E0000}"/>
    <cellStyle name="Normal 58 9 11" xfId="11779" xr:uid="{00000000-0005-0000-0000-0000082E0000}"/>
    <cellStyle name="Normal 58 9 12" xfId="11780" xr:uid="{00000000-0005-0000-0000-0000092E0000}"/>
    <cellStyle name="Normal 58 9 13" xfId="11781" xr:uid="{00000000-0005-0000-0000-00000A2E0000}"/>
    <cellStyle name="Normal 58 9 2" xfId="11782" xr:uid="{00000000-0005-0000-0000-00000B2E0000}"/>
    <cellStyle name="Normal 58 9 2 10" xfId="11783" xr:uid="{00000000-0005-0000-0000-00000C2E0000}"/>
    <cellStyle name="Normal 58 9 2 11" xfId="11784" xr:uid="{00000000-0005-0000-0000-00000D2E0000}"/>
    <cellStyle name="Normal 58 9 2 2" xfId="11785" xr:uid="{00000000-0005-0000-0000-00000E2E0000}"/>
    <cellStyle name="Normal 58 9 2 3" xfId="11786" xr:uid="{00000000-0005-0000-0000-00000F2E0000}"/>
    <cellStyle name="Normal 58 9 2 4" xfId="11787" xr:uid="{00000000-0005-0000-0000-0000102E0000}"/>
    <cellStyle name="Normal 58 9 2 5" xfId="11788" xr:uid="{00000000-0005-0000-0000-0000112E0000}"/>
    <cellStyle name="Normal 58 9 2 6" xfId="11789" xr:uid="{00000000-0005-0000-0000-0000122E0000}"/>
    <cellStyle name="Normal 58 9 2 7" xfId="11790" xr:uid="{00000000-0005-0000-0000-0000132E0000}"/>
    <cellStyle name="Normal 58 9 2 8" xfId="11791" xr:uid="{00000000-0005-0000-0000-0000142E0000}"/>
    <cellStyle name="Normal 58 9 2 9" xfId="11792" xr:uid="{00000000-0005-0000-0000-0000152E0000}"/>
    <cellStyle name="Normal 58 9 3" xfId="11793" xr:uid="{00000000-0005-0000-0000-0000162E0000}"/>
    <cellStyle name="Normal 58 9 4" xfId="11794" xr:uid="{00000000-0005-0000-0000-0000172E0000}"/>
    <cellStyle name="Normal 58 9 5" xfId="11795" xr:uid="{00000000-0005-0000-0000-0000182E0000}"/>
    <cellStyle name="Normal 58 9 6" xfId="11796" xr:uid="{00000000-0005-0000-0000-0000192E0000}"/>
    <cellStyle name="Normal 58 9 7" xfId="11797" xr:uid="{00000000-0005-0000-0000-00001A2E0000}"/>
    <cellStyle name="Normal 58 9 8" xfId="11798" xr:uid="{00000000-0005-0000-0000-00001B2E0000}"/>
    <cellStyle name="Normal 58 9 9" xfId="11799" xr:uid="{00000000-0005-0000-0000-00001C2E0000}"/>
    <cellStyle name="Normal 59" xfId="11800" xr:uid="{00000000-0005-0000-0000-00001D2E0000}"/>
    <cellStyle name="Normal 59 10" xfId="11801" xr:uid="{00000000-0005-0000-0000-00001E2E0000}"/>
    <cellStyle name="Normal 59 10 10" xfId="11802" xr:uid="{00000000-0005-0000-0000-00001F2E0000}"/>
    <cellStyle name="Normal 59 10 11" xfId="11803" xr:uid="{00000000-0005-0000-0000-0000202E0000}"/>
    <cellStyle name="Normal 59 10 12" xfId="11804" xr:uid="{00000000-0005-0000-0000-0000212E0000}"/>
    <cellStyle name="Normal 59 10 13" xfId="11805" xr:uid="{00000000-0005-0000-0000-0000222E0000}"/>
    <cellStyle name="Normal 59 10 2" xfId="11806" xr:uid="{00000000-0005-0000-0000-0000232E0000}"/>
    <cellStyle name="Normal 59 10 2 10" xfId="11807" xr:uid="{00000000-0005-0000-0000-0000242E0000}"/>
    <cellStyle name="Normal 59 10 2 11" xfId="11808" xr:uid="{00000000-0005-0000-0000-0000252E0000}"/>
    <cellStyle name="Normal 59 10 2 2" xfId="11809" xr:uid="{00000000-0005-0000-0000-0000262E0000}"/>
    <cellStyle name="Normal 59 10 2 3" xfId="11810" xr:uid="{00000000-0005-0000-0000-0000272E0000}"/>
    <cellStyle name="Normal 59 10 2 4" xfId="11811" xr:uid="{00000000-0005-0000-0000-0000282E0000}"/>
    <cellStyle name="Normal 59 10 2 5" xfId="11812" xr:uid="{00000000-0005-0000-0000-0000292E0000}"/>
    <cellStyle name="Normal 59 10 2 6" xfId="11813" xr:uid="{00000000-0005-0000-0000-00002A2E0000}"/>
    <cellStyle name="Normal 59 10 2 7" xfId="11814" xr:uid="{00000000-0005-0000-0000-00002B2E0000}"/>
    <cellStyle name="Normal 59 10 2 8" xfId="11815" xr:uid="{00000000-0005-0000-0000-00002C2E0000}"/>
    <cellStyle name="Normal 59 10 2 9" xfId="11816" xr:uid="{00000000-0005-0000-0000-00002D2E0000}"/>
    <cellStyle name="Normal 59 10 3" xfId="11817" xr:uid="{00000000-0005-0000-0000-00002E2E0000}"/>
    <cellStyle name="Normal 59 10 4" xfId="11818" xr:uid="{00000000-0005-0000-0000-00002F2E0000}"/>
    <cellStyle name="Normal 59 10 5" xfId="11819" xr:uid="{00000000-0005-0000-0000-0000302E0000}"/>
    <cellStyle name="Normal 59 10 6" xfId="11820" xr:uid="{00000000-0005-0000-0000-0000312E0000}"/>
    <cellStyle name="Normal 59 10 7" xfId="11821" xr:uid="{00000000-0005-0000-0000-0000322E0000}"/>
    <cellStyle name="Normal 59 10 8" xfId="11822" xr:uid="{00000000-0005-0000-0000-0000332E0000}"/>
    <cellStyle name="Normal 59 10 9" xfId="11823" xr:uid="{00000000-0005-0000-0000-0000342E0000}"/>
    <cellStyle name="Normal 59 11" xfId="11824" xr:uid="{00000000-0005-0000-0000-0000352E0000}"/>
    <cellStyle name="Normal 59 11 10" xfId="11825" xr:uid="{00000000-0005-0000-0000-0000362E0000}"/>
    <cellStyle name="Normal 59 11 11" xfId="11826" xr:uid="{00000000-0005-0000-0000-0000372E0000}"/>
    <cellStyle name="Normal 59 11 12" xfId="11827" xr:uid="{00000000-0005-0000-0000-0000382E0000}"/>
    <cellStyle name="Normal 59 11 13" xfId="11828" xr:uid="{00000000-0005-0000-0000-0000392E0000}"/>
    <cellStyle name="Normal 59 11 2" xfId="11829" xr:uid="{00000000-0005-0000-0000-00003A2E0000}"/>
    <cellStyle name="Normal 59 11 2 10" xfId="11830" xr:uid="{00000000-0005-0000-0000-00003B2E0000}"/>
    <cellStyle name="Normal 59 11 2 11" xfId="11831" xr:uid="{00000000-0005-0000-0000-00003C2E0000}"/>
    <cellStyle name="Normal 59 11 2 2" xfId="11832" xr:uid="{00000000-0005-0000-0000-00003D2E0000}"/>
    <cellStyle name="Normal 59 11 2 3" xfId="11833" xr:uid="{00000000-0005-0000-0000-00003E2E0000}"/>
    <cellStyle name="Normal 59 11 2 4" xfId="11834" xr:uid="{00000000-0005-0000-0000-00003F2E0000}"/>
    <cellStyle name="Normal 59 11 2 5" xfId="11835" xr:uid="{00000000-0005-0000-0000-0000402E0000}"/>
    <cellStyle name="Normal 59 11 2 6" xfId="11836" xr:uid="{00000000-0005-0000-0000-0000412E0000}"/>
    <cellStyle name="Normal 59 11 2 7" xfId="11837" xr:uid="{00000000-0005-0000-0000-0000422E0000}"/>
    <cellStyle name="Normal 59 11 2 8" xfId="11838" xr:uid="{00000000-0005-0000-0000-0000432E0000}"/>
    <cellStyle name="Normal 59 11 2 9" xfId="11839" xr:uid="{00000000-0005-0000-0000-0000442E0000}"/>
    <cellStyle name="Normal 59 11 3" xfId="11840" xr:uid="{00000000-0005-0000-0000-0000452E0000}"/>
    <cellStyle name="Normal 59 11 4" xfId="11841" xr:uid="{00000000-0005-0000-0000-0000462E0000}"/>
    <cellStyle name="Normal 59 11 5" xfId="11842" xr:uid="{00000000-0005-0000-0000-0000472E0000}"/>
    <cellStyle name="Normal 59 11 6" xfId="11843" xr:uid="{00000000-0005-0000-0000-0000482E0000}"/>
    <cellStyle name="Normal 59 11 7" xfId="11844" xr:uid="{00000000-0005-0000-0000-0000492E0000}"/>
    <cellStyle name="Normal 59 11 8" xfId="11845" xr:uid="{00000000-0005-0000-0000-00004A2E0000}"/>
    <cellStyle name="Normal 59 11 9" xfId="11846" xr:uid="{00000000-0005-0000-0000-00004B2E0000}"/>
    <cellStyle name="Normal 59 12" xfId="11847" xr:uid="{00000000-0005-0000-0000-00004C2E0000}"/>
    <cellStyle name="Normal 59 12 10" xfId="11848" xr:uid="{00000000-0005-0000-0000-00004D2E0000}"/>
    <cellStyle name="Normal 59 12 11" xfId="11849" xr:uid="{00000000-0005-0000-0000-00004E2E0000}"/>
    <cellStyle name="Normal 59 12 12" xfId="11850" xr:uid="{00000000-0005-0000-0000-00004F2E0000}"/>
    <cellStyle name="Normal 59 12 13" xfId="11851" xr:uid="{00000000-0005-0000-0000-0000502E0000}"/>
    <cellStyle name="Normal 59 12 2" xfId="11852" xr:uid="{00000000-0005-0000-0000-0000512E0000}"/>
    <cellStyle name="Normal 59 12 2 10" xfId="11853" xr:uid="{00000000-0005-0000-0000-0000522E0000}"/>
    <cellStyle name="Normal 59 12 2 11" xfId="11854" xr:uid="{00000000-0005-0000-0000-0000532E0000}"/>
    <cellStyle name="Normal 59 12 2 2" xfId="11855" xr:uid="{00000000-0005-0000-0000-0000542E0000}"/>
    <cellStyle name="Normal 59 12 2 3" xfId="11856" xr:uid="{00000000-0005-0000-0000-0000552E0000}"/>
    <cellStyle name="Normal 59 12 2 4" xfId="11857" xr:uid="{00000000-0005-0000-0000-0000562E0000}"/>
    <cellStyle name="Normal 59 12 2 5" xfId="11858" xr:uid="{00000000-0005-0000-0000-0000572E0000}"/>
    <cellStyle name="Normal 59 12 2 6" xfId="11859" xr:uid="{00000000-0005-0000-0000-0000582E0000}"/>
    <cellStyle name="Normal 59 12 2 7" xfId="11860" xr:uid="{00000000-0005-0000-0000-0000592E0000}"/>
    <cellStyle name="Normal 59 12 2 8" xfId="11861" xr:uid="{00000000-0005-0000-0000-00005A2E0000}"/>
    <cellStyle name="Normal 59 12 2 9" xfId="11862" xr:uid="{00000000-0005-0000-0000-00005B2E0000}"/>
    <cellStyle name="Normal 59 12 3" xfId="11863" xr:uid="{00000000-0005-0000-0000-00005C2E0000}"/>
    <cellStyle name="Normal 59 12 4" xfId="11864" xr:uid="{00000000-0005-0000-0000-00005D2E0000}"/>
    <cellStyle name="Normal 59 12 5" xfId="11865" xr:uid="{00000000-0005-0000-0000-00005E2E0000}"/>
    <cellStyle name="Normal 59 12 6" xfId="11866" xr:uid="{00000000-0005-0000-0000-00005F2E0000}"/>
    <cellStyle name="Normal 59 12 7" xfId="11867" xr:uid="{00000000-0005-0000-0000-0000602E0000}"/>
    <cellStyle name="Normal 59 12 8" xfId="11868" xr:uid="{00000000-0005-0000-0000-0000612E0000}"/>
    <cellStyle name="Normal 59 12 9" xfId="11869" xr:uid="{00000000-0005-0000-0000-0000622E0000}"/>
    <cellStyle name="Normal 59 13" xfId="11870" xr:uid="{00000000-0005-0000-0000-0000632E0000}"/>
    <cellStyle name="Normal 59 13 10" xfId="11871" xr:uid="{00000000-0005-0000-0000-0000642E0000}"/>
    <cellStyle name="Normal 59 13 11" xfId="11872" xr:uid="{00000000-0005-0000-0000-0000652E0000}"/>
    <cellStyle name="Normal 59 13 12" xfId="11873" xr:uid="{00000000-0005-0000-0000-0000662E0000}"/>
    <cellStyle name="Normal 59 13 13" xfId="11874" xr:uid="{00000000-0005-0000-0000-0000672E0000}"/>
    <cellStyle name="Normal 59 13 2" xfId="11875" xr:uid="{00000000-0005-0000-0000-0000682E0000}"/>
    <cellStyle name="Normal 59 13 2 10" xfId="11876" xr:uid="{00000000-0005-0000-0000-0000692E0000}"/>
    <cellStyle name="Normal 59 13 2 11" xfId="11877" xr:uid="{00000000-0005-0000-0000-00006A2E0000}"/>
    <cellStyle name="Normal 59 13 2 2" xfId="11878" xr:uid="{00000000-0005-0000-0000-00006B2E0000}"/>
    <cellStyle name="Normal 59 13 2 3" xfId="11879" xr:uid="{00000000-0005-0000-0000-00006C2E0000}"/>
    <cellStyle name="Normal 59 13 2 4" xfId="11880" xr:uid="{00000000-0005-0000-0000-00006D2E0000}"/>
    <cellStyle name="Normal 59 13 2 5" xfId="11881" xr:uid="{00000000-0005-0000-0000-00006E2E0000}"/>
    <cellStyle name="Normal 59 13 2 6" xfId="11882" xr:uid="{00000000-0005-0000-0000-00006F2E0000}"/>
    <cellStyle name="Normal 59 13 2 7" xfId="11883" xr:uid="{00000000-0005-0000-0000-0000702E0000}"/>
    <cellStyle name="Normal 59 13 2 8" xfId="11884" xr:uid="{00000000-0005-0000-0000-0000712E0000}"/>
    <cellStyle name="Normal 59 13 2 9" xfId="11885" xr:uid="{00000000-0005-0000-0000-0000722E0000}"/>
    <cellStyle name="Normal 59 13 3" xfId="11886" xr:uid="{00000000-0005-0000-0000-0000732E0000}"/>
    <cellStyle name="Normal 59 13 4" xfId="11887" xr:uid="{00000000-0005-0000-0000-0000742E0000}"/>
    <cellStyle name="Normal 59 13 5" xfId="11888" xr:uid="{00000000-0005-0000-0000-0000752E0000}"/>
    <cellStyle name="Normal 59 13 6" xfId="11889" xr:uid="{00000000-0005-0000-0000-0000762E0000}"/>
    <cellStyle name="Normal 59 13 7" xfId="11890" xr:uid="{00000000-0005-0000-0000-0000772E0000}"/>
    <cellStyle name="Normal 59 13 8" xfId="11891" xr:uid="{00000000-0005-0000-0000-0000782E0000}"/>
    <cellStyle name="Normal 59 13 9" xfId="11892" xr:uid="{00000000-0005-0000-0000-0000792E0000}"/>
    <cellStyle name="Normal 59 14" xfId="11893" xr:uid="{00000000-0005-0000-0000-00007A2E0000}"/>
    <cellStyle name="Normal 59 14 10" xfId="11894" xr:uid="{00000000-0005-0000-0000-00007B2E0000}"/>
    <cellStyle name="Normal 59 14 11" xfId="11895" xr:uid="{00000000-0005-0000-0000-00007C2E0000}"/>
    <cellStyle name="Normal 59 14 2" xfId="11896" xr:uid="{00000000-0005-0000-0000-00007D2E0000}"/>
    <cellStyle name="Normal 59 14 3" xfId="11897" xr:uid="{00000000-0005-0000-0000-00007E2E0000}"/>
    <cellStyle name="Normal 59 14 4" xfId="11898" xr:uid="{00000000-0005-0000-0000-00007F2E0000}"/>
    <cellStyle name="Normal 59 14 5" xfId="11899" xr:uid="{00000000-0005-0000-0000-0000802E0000}"/>
    <cellStyle name="Normal 59 14 6" xfId="11900" xr:uid="{00000000-0005-0000-0000-0000812E0000}"/>
    <cellStyle name="Normal 59 14 7" xfId="11901" xr:uid="{00000000-0005-0000-0000-0000822E0000}"/>
    <cellStyle name="Normal 59 14 8" xfId="11902" xr:uid="{00000000-0005-0000-0000-0000832E0000}"/>
    <cellStyle name="Normal 59 14 9" xfId="11903" xr:uid="{00000000-0005-0000-0000-0000842E0000}"/>
    <cellStyle name="Normal 59 15" xfId="11904" xr:uid="{00000000-0005-0000-0000-0000852E0000}"/>
    <cellStyle name="Normal 59 16" xfId="11905" xr:uid="{00000000-0005-0000-0000-0000862E0000}"/>
    <cellStyle name="Normal 59 17" xfId="11906" xr:uid="{00000000-0005-0000-0000-0000872E0000}"/>
    <cellStyle name="Normal 59 18" xfId="11907" xr:uid="{00000000-0005-0000-0000-0000882E0000}"/>
    <cellStyle name="Normal 59 19" xfId="11908" xr:uid="{00000000-0005-0000-0000-0000892E0000}"/>
    <cellStyle name="Normal 59 2" xfId="11909" xr:uid="{00000000-0005-0000-0000-00008A2E0000}"/>
    <cellStyle name="Normal 59 2 10" xfId="11910" xr:uid="{00000000-0005-0000-0000-00008B2E0000}"/>
    <cellStyle name="Normal 59 2 11" xfId="11911" xr:uid="{00000000-0005-0000-0000-00008C2E0000}"/>
    <cellStyle name="Normal 59 2 12" xfId="11912" xr:uid="{00000000-0005-0000-0000-00008D2E0000}"/>
    <cellStyle name="Normal 59 2 13" xfId="11913" xr:uid="{00000000-0005-0000-0000-00008E2E0000}"/>
    <cellStyle name="Normal 59 2 2" xfId="11914" xr:uid="{00000000-0005-0000-0000-00008F2E0000}"/>
    <cellStyle name="Normal 59 2 2 10" xfId="11915" xr:uid="{00000000-0005-0000-0000-0000902E0000}"/>
    <cellStyle name="Normal 59 2 2 11" xfId="11916" xr:uid="{00000000-0005-0000-0000-0000912E0000}"/>
    <cellStyle name="Normal 59 2 2 2" xfId="11917" xr:uid="{00000000-0005-0000-0000-0000922E0000}"/>
    <cellStyle name="Normal 59 2 2 3" xfId="11918" xr:uid="{00000000-0005-0000-0000-0000932E0000}"/>
    <cellStyle name="Normal 59 2 2 4" xfId="11919" xr:uid="{00000000-0005-0000-0000-0000942E0000}"/>
    <cellStyle name="Normal 59 2 2 5" xfId="11920" xr:uid="{00000000-0005-0000-0000-0000952E0000}"/>
    <cellStyle name="Normal 59 2 2 6" xfId="11921" xr:uid="{00000000-0005-0000-0000-0000962E0000}"/>
    <cellStyle name="Normal 59 2 2 7" xfId="11922" xr:uid="{00000000-0005-0000-0000-0000972E0000}"/>
    <cellStyle name="Normal 59 2 2 8" xfId="11923" xr:uid="{00000000-0005-0000-0000-0000982E0000}"/>
    <cellStyle name="Normal 59 2 2 9" xfId="11924" xr:uid="{00000000-0005-0000-0000-0000992E0000}"/>
    <cellStyle name="Normal 59 2 3" xfId="11925" xr:uid="{00000000-0005-0000-0000-00009A2E0000}"/>
    <cellStyle name="Normal 59 2 4" xfId="11926" xr:uid="{00000000-0005-0000-0000-00009B2E0000}"/>
    <cellStyle name="Normal 59 2 5" xfId="11927" xr:uid="{00000000-0005-0000-0000-00009C2E0000}"/>
    <cellStyle name="Normal 59 2 6" xfId="11928" xr:uid="{00000000-0005-0000-0000-00009D2E0000}"/>
    <cellStyle name="Normal 59 2 7" xfId="11929" xr:uid="{00000000-0005-0000-0000-00009E2E0000}"/>
    <cellStyle name="Normal 59 2 8" xfId="11930" xr:uid="{00000000-0005-0000-0000-00009F2E0000}"/>
    <cellStyle name="Normal 59 2 9" xfId="11931" xr:uid="{00000000-0005-0000-0000-0000A02E0000}"/>
    <cellStyle name="Normal 59 20" xfId="11932" xr:uid="{00000000-0005-0000-0000-0000A12E0000}"/>
    <cellStyle name="Normal 59 21" xfId="11933" xr:uid="{00000000-0005-0000-0000-0000A22E0000}"/>
    <cellStyle name="Normal 59 22" xfId="11934" xr:uid="{00000000-0005-0000-0000-0000A32E0000}"/>
    <cellStyle name="Normal 59 23" xfId="11935" xr:uid="{00000000-0005-0000-0000-0000A42E0000}"/>
    <cellStyle name="Normal 59 24" xfId="11936" xr:uid="{00000000-0005-0000-0000-0000A52E0000}"/>
    <cellStyle name="Normal 59 25" xfId="11937" xr:uid="{00000000-0005-0000-0000-0000A62E0000}"/>
    <cellStyle name="Normal 59 3" xfId="11938" xr:uid="{00000000-0005-0000-0000-0000A72E0000}"/>
    <cellStyle name="Normal 59 3 10" xfId="11939" xr:uid="{00000000-0005-0000-0000-0000A82E0000}"/>
    <cellStyle name="Normal 59 3 11" xfId="11940" xr:uid="{00000000-0005-0000-0000-0000A92E0000}"/>
    <cellStyle name="Normal 59 3 12" xfId="11941" xr:uid="{00000000-0005-0000-0000-0000AA2E0000}"/>
    <cellStyle name="Normal 59 3 13" xfId="11942" xr:uid="{00000000-0005-0000-0000-0000AB2E0000}"/>
    <cellStyle name="Normal 59 3 2" xfId="11943" xr:uid="{00000000-0005-0000-0000-0000AC2E0000}"/>
    <cellStyle name="Normal 59 3 2 10" xfId="11944" xr:uid="{00000000-0005-0000-0000-0000AD2E0000}"/>
    <cellStyle name="Normal 59 3 2 11" xfId="11945" xr:uid="{00000000-0005-0000-0000-0000AE2E0000}"/>
    <cellStyle name="Normal 59 3 2 2" xfId="11946" xr:uid="{00000000-0005-0000-0000-0000AF2E0000}"/>
    <cellStyle name="Normal 59 3 2 3" xfId="11947" xr:uid="{00000000-0005-0000-0000-0000B02E0000}"/>
    <cellStyle name="Normal 59 3 2 4" xfId="11948" xr:uid="{00000000-0005-0000-0000-0000B12E0000}"/>
    <cellStyle name="Normal 59 3 2 5" xfId="11949" xr:uid="{00000000-0005-0000-0000-0000B22E0000}"/>
    <cellStyle name="Normal 59 3 2 6" xfId="11950" xr:uid="{00000000-0005-0000-0000-0000B32E0000}"/>
    <cellStyle name="Normal 59 3 2 7" xfId="11951" xr:uid="{00000000-0005-0000-0000-0000B42E0000}"/>
    <cellStyle name="Normal 59 3 2 8" xfId="11952" xr:uid="{00000000-0005-0000-0000-0000B52E0000}"/>
    <cellStyle name="Normal 59 3 2 9" xfId="11953" xr:uid="{00000000-0005-0000-0000-0000B62E0000}"/>
    <cellStyle name="Normal 59 3 3" xfId="11954" xr:uid="{00000000-0005-0000-0000-0000B72E0000}"/>
    <cellStyle name="Normal 59 3 4" xfId="11955" xr:uid="{00000000-0005-0000-0000-0000B82E0000}"/>
    <cellStyle name="Normal 59 3 5" xfId="11956" xr:uid="{00000000-0005-0000-0000-0000B92E0000}"/>
    <cellStyle name="Normal 59 3 6" xfId="11957" xr:uid="{00000000-0005-0000-0000-0000BA2E0000}"/>
    <cellStyle name="Normal 59 3 7" xfId="11958" xr:uid="{00000000-0005-0000-0000-0000BB2E0000}"/>
    <cellStyle name="Normal 59 3 8" xfId="11959" xr:uid="{00000000-0005-0000-0000-0000BC2E0000}"/>
    <cellStyle name="Normal 59 3 9" xfId="11960" xr:uid="{00000000-0005-0000-0000-0000BD2E0000}"/>
    <cellStyle name="Normal 59 4" xfId="11961" xr:uid="{00000000-0005-0000-0000-0000BE2E0000}"/>
    <cellStyle name="Normal 59 4 10" xfId="11962" xr:uid="{00000000-0005-0000-0000-0000BF2E0000}"/>
    <cellStyle name="Normal 59 4 11" xfId="11963" xr:uid="{00000000-0005-0000-0000-0000C02E0000}"/>
    <cellStyle name="Normal 59 4 12" xfId="11964" xr:uid="{00000000-0005-0000-0000-0000C12E0000}"/>
    <cellStyle name="Normal 59 4 13" xfId="11965" xr:uid="{00000000-0005-0000-0000-0000C22E0000}"/>
    <cellStyle name="Normal 59 4 2" xfId="11966" xr:uid="{00000000-0005-0000-0000-0000C32E0000}"/>
    <cellStyle name="Normal 59 4 2 10" xfId="11967" xr:uid="{00000000-0005-0000-0000-0000C42E0000}"/>
    <cellStyle name="Normal 59 4 2 11" xfId="11968" xr:uid="{00000000-0005-0000-0000-0000C52E0000}"/>
    <cellStyle name="Normal 59 4 2 2" xfId="11969" xr:uid="{00000000-0005-0000-0000-0000C62E0000}"/>
    <cellStyle name="Normal 59 4 2 3" xfId="11970" xr:uid="{00000000-0005-0000-0000-0000C72E0000}"/>
    <cellStyle name="Normal 59 4 2 4" xfId="11971" xr:uid="{00000000-0005-0000-0000-0000C82E0000}"/>
    <cellStyle name="Normal 59 4 2 5" xfId="11972" xr:uid="{00000000-0005-0000-0000-0000C92E0000}"/>
    <cellStyle name="Normal 59 4 2 6" xfId="11973" xr:uid="{00000000-0005-0000-0000-0000CA2E0000}"/>
    <cellStyle name="Normal 59 4 2 7" xfId="11974" xr:uid="{00000000-0005-0000-0000-0000CB2E0000}"/>
    <cellStyle name="Normal 59 4 2 8" xfId="11975" xr:uid="{00000000-0005-0000-0000-0000CC2E0000}"/>
    <cellStyle name="Normal 59 4 2 9" xfId="11976" xr:uid="{00000000-0005-0000-0000-0000CD2E0000}"/>
    <cellStyle name="Normal 59 4 3" xfId="11977" xr:uid="{00000000-0005-0000-0000-0000CE2E0000}"/>
    <cellStyle name="Normal 59 4 4" xfId="11978" xr:uid="{00000000-0005-0000-0000-0000CF2E0000}"/>
    <cellStyle name="Normal 59 4 5" xfId="11979" xr:uid="{00000000-0005-0000-0000-0000D02E0000}"/>
    <cellStyle name="Normal 59 4 6" xfId="11980" xr:uid="{00000000-0005-0000-0000-0000D12E0000}"/>
    <cellStyle name="Normal 59 4 7" xfId="11981" xr:uid="{00000000-0005-0000-0000-0000D22E0000}"/>
    <cellStyle name="Normal 59 4 8" xfId="11982" xr:uid="{00000000-0005-0000-0000-0000D32E0000}"/>
    <cellStyle name="Normal 59 4 9" xfId="11983" xr:uid="{00000000-0005-0000-0000-0000D42E0000}"/>
    <cellStyle name="Normal 59 5" xfId="11984" xr:uid="{00000000-0005-0000-0000-0000D52E0000}"/>
    <cellStyle name="Normal 59 5 10" xfId="11985" xr:uid="{00000000-0005-0000-0000-0000D62E0000}"/>
    <cellStyle name="Normal 59 5 11" xfId="11986" xr:uid="{00000000-0005-0000-0000-0000D72E0000}"/>
    <cellStyle name="Normal 59 5 12" xfId="11987" xr:uid="{00000000-0005-0000-0000-0000D82E0000}"/>
    <cellStyle name="Normal 59 5 13" xfId="11988" xr:uid="{00000000-0005-0000-0000-0000D92E0000}"/>
    <cellStyle name="Normal 59 5 2" xfId="11989" xr:uid="{00000000-0005-0000-0000-0000DA2E0000}"/>
    <cellStyle name="Normal 59 5 2 10" xfId="11990" xr:uid="{00000000-0005-0000-0000-0000DB2E0000}"/>
    <cellStyle name="Normal 59 5 2 11" xfId="11991" xr:uid="{00000000-0005-0000-0000-0000DC2E0000}"/>
    <cellStyle name="Normal 59 5 2 2" xfId="11992" xr:uid="{00000000-0005-0000-0000-0000DD2E0000}"/>
    <cellStyle name="Normal 59 5 2 3" xfId="11993" xr:uid="{00000000-0005-0000-0000-0000DE2E0000}"/>
    <cellStyle name="Normal 59 5 2 4" xfId="11994" xr:uid="{00000000-0005-0000-0000-0000DF2E0000}"/>
    <cellStyle name="Normal 59 5 2 5" xfId="11995" xr:uid="{00000000-0005-0000-0000-0000E02E0000}"/>
    <cellStyle name="Normal 59 5 2 6" xfId="11996" xr:uid="{00000000-0005-0000-0000-0000E12E0000}"/>
    <cellStyle name="Normal 59 5 2 7" xfId="11997" xr:uid="{00000000-0005-0000-0000-0000E22E0000}"/>
    <cellStyle name="Normal 59 5 2 8" xfId="11998" xr:uid="{00000000-0005-0000-0000-0000E32E0000}"/>
    <cellStyle name="Normal 59 5 2 9" xfId="11999" xr:uid="{00000000-0005-0000-0000-0000E42E0000}"/>
    <cellStyle name="Normal 59 5 3" xfId="12000" xr:uid="{00000000-0005-0000-0000-0000E52E0000}"/>
    <cellStyle name="Normal 59 5 4" xfId="12001" xr:uid="{00000000-0005-0000-0000-0000E62E0000}"/>
    <cellStyle name="Normal 59 5 5" xfId="12002" xr:uid="{00000000-0005-0000-0000-0000E72E0000}"/>
    <cellStyle name="Normal 59 5 6" xfId="12003" xr:uid="{00000000-0005-0000-0000-0000E82E0000}"/>
    <cellStyle name="Normal 59 5 7" xfId="12004" xr:uid="{00000000-0005-0000-0000-0000E92E0000}"/>
    <cellStyle name="Normal 59 5 8" xfId="12005" xr:uid="{00000000-0005-0000-0000-0000EA2E0000}"/>
    <cellStyle name="Normal 59 5 9" xfId="12006" xr:uid="{00000000-0005-0000-0000-0000EB2E0000}"/>
    <cellStyle name="Normal 59 6" xfId="12007" xr:uid="{00000000-0005-0000-0000-0000EC2E0000}"/>
    <cellStyle name="Normal 59 6 10" xfId="12008" xr:uid="{00000000-0005-0000-0000-0000ED2E0000}"/>
    <cellStyle name="Normal 59 6 11" xfId="12009" xr:uid="{00000000-0005-0000-0000-0000EE2E0000}"/>
    <cellStyle name="Normal 59 6 12" xfId="12010" xr:uid="{00000000-0005-0000-0000-0000EF2E0000}"/>
    <cellStyle name="Normal 59 6 13" xfId="12011" xr:uid="{00000000-0005-0000-0000-0000F02E0000}"/>
    <cellStyle name="Normal 59 6 2" xfId="12012" xr:uid="{00000000-0005-0000-0000-0000F12E0000}"/>
    <cellStyle name="Normal 59 6 2 10" xfId="12013" xr:uid="{00000000-0005-0000-0000-0000F22E0000}"/>
    <cellStyle name="Normal 59 6 2 11" xfId="12014" xr:uid="{00000000-0005-0000-0000-0000F32E0000}"/>
    <cellStyle name="Normal 59 6 2 2" xfId="12015" xr:uid="{00000000-0005-0000-0000-0000F42E0000}"/>
    <cellStyle name="Normal 59 6 2 3" xfId="12016" xr:uid="{00000000-0005-0000-0000-0000F52E0000}"/>
    <cellStyle name="Normal 59 6 2 4" xfId="12017" xr:uid="{00000000-0005-0000-0000-0000F62E0000}"/>
    <cellStyle name="Normal 59 6 2 5" xfId="12018" xr:uid="{00000000-0005-0000-0000-0000F72E0000}"/>
    <cellStyle name="Normal 59 6 2 6" xfId="12019" xr:uid="{00000000-0005-0000-0000-0000F82E0000}"/>
    <cellStyle name="Normal 59 6 2 7" xfId="12020" xr:uid="{00000000-0005-0000-0000-0000F92E0000}"/>
    <cellStyle name="Normal 59 6 2 8" xfId="12021" xr:uid="{00000000-0005-0000-0000-0000FA2E0000}"/>
    <cellStyle name="Normal 59 6 2 9" xfId="12022" xr:uid="{00000000-0005-0000-0000-0000FB2E0000}"/>
    <cellStyle name="Normal 59 6 3" xfId="12023" xr:uid="{00000000-0005-0000-0000-0000FC2E0000}"/>
    <cellStyle name="Normal 59 6 4" xfId="12024" xr:uid="{00000000-0005-0000-0000-0000FD2E0000}"/>
    <cellStyle name="Normal 59 6 5" xfId="12025" xr:uid="{00000000-0005-0000-0000-0000FE2E0000}"/>
    <cellStyle name="Normal 59 6 6" xfId="12026" xr:uid="{00000000-0005-0000-0000-0000FF2E0000}"/>
    <cellStyle name="Normal 59 6 7" xfId="12027" xr:uid="{00000000-0005-0000-0000-0000002F0000}"/>
    <cellStyle name="Normal 59 6 8" xfId="12028" xr:uid="{00000000-0005-0000-0000-0000012F0000}"/>
    <cellStyle name="Normal 59 6 9" xfId="12029" xr:uid="{00000000-0005-0000-0000-0000022F0000}"/>
    <cellStyle name="Normal 59 7" xfId="12030" xr:uid="{00000000-0005-0000-0000-0000032F0000}"/>
    <cellStyle name="Normal 59 7 10" xfId="12031" xr:uid="{00000000-0005-0000-0000-0000042F0000}"/>
    <cellStyle name="Normal 59 7 11" xfId="12032" xr:uid="{00000000-0005-0000-0000-0000052F0000}"/>
    <cellStyle name="Normal 59 7 12" xfId="12033" xr:uid="{00000000-0005-0000-0000-0000062F0000}"/>
    <cellStyle name="Normal 59 7 13" xfId="12034" xr:uid="{00000000-0005-0000-0000-0000072F0000}"/>
    <cellStyle name="Normal 59 7 2" xfId="12035" xr:uid="{00000000-0005-0000-0000-0000082F0000}"/>
    <cellStyle name="Normal 59 7 2 10" xfId="12036" xr:uid="{00000000-0005-0000-0000-0000092F0000}"/>
    <cellStyle name="Normal 59 7 2 11" xfId="12037" xr:uid="{00000000-0005-0000-0000-00000A2F0000}"/>
    <cellStyle name="Normal 59 7 2 2" xfId="12038" xr:uid="{00000000-0005-0000-0000-00000B2F0000}"/>
    <cellStyle name="Normal 59 7 2 3" xfId="12039" xr:uid="{00000000-0005-0000-0000-00000C2F0000}"/>
    <cellStyle name="Normal 59 7 2 4" xfId="12040" xr:uid="{00000000-0005-0000-0000-00000D2F0000}"/>
    <cellStyle name="Normal 59 7 2 5" xfId="12041" xr:uid="{00000000-0005-0000-0000-00000E2F0000}"/>
    <cellStyle name="Normal 59 7 2 6" xfId="12042" xr:uid="{00000000-0005-0000-0000-00000F2F0000}"/>
    <cellStyle name="Normal 59 7 2 7" xfId="12043" xr:uid="{00000000-0005-0000-0000-0000102F0000}"/>
    <cellStyle name="Normal 59 7 2 8" xfId="12044" xr:uid="{00000000-0005-0000-0000-0000112F0000}"/>
    <cellStyle name="Normal 59 7 2 9" xfId="12045" xr:uid="{00000000-0005-0000-0000-0000122F0000}"/>
    <cellStyle name="Normal 59 7 3" xfId="12046" xr:uid="{00000000-0005-0000-0000-0000132F0000}"/>
    <cellStyle name="Normal 59 7 4" xfId="12047" xr:uid="{00000000-0005-0000-0000-0000142F0000}"/>
    <cellStyle name="Normal 59 7 5" xfId="12048" xr:uid="{00000000-0005-0000-0000-0000152F0000}"/>
    <cellStyle name="Normal 59 7 6" xfId="12049" xr:uid="{00000000-0005-0000-0000-0000162F0000}"/>
    <cellStyle name="Normal 59 7 7" xfId="12050" xr:uid="{00000000-0005-0000-0000-0000172F0000}"/>
    <cellStyle name="Normal 59 7 8" xfId="12051" xr:uid="{00000000-0005-0000-0000-0000182F0000}"/>
    <cellStyle name="Normal 59 7 9" xfId="12052" xr:uid="{00000000-0005-0000-0000-0000192F0000}"/>
    <cellStyle name="Normal 59 8" xfId="12053" xr:uid="{00000000-0005-0000-0000-00001A2F0000}"/>
    <cellStyle name="Normal 59 8 10" xfId="12054" xr:uid="{00000000-0005-0000-0000-00001B2F0000}"/>
    <cellStyle name="Normal 59 8 11" xfId="12055" xr:uid="{00000000-0005-0000-0000-00001C2F0000}"/>
    <cellStyle name="Normal 59 8 12" xfId="12056" xr:uid="{00000000-0005-0000-0000-00001D2F0000}"/>
    <cellStyle name="Normal 59 8 13" xfId="12057" xr:uid="{00000000-0005-0000-0000-00001E2F0000}"/>
    <cellStyle name="Normal 59 8 2" xfId="12058" xr:uid="{00000000-0005-0000-0000-00001F2F0000}"/>
    <cellStyle name="Normal 59 8 2 10" xfId="12059" xr:uid="{00000000-0005-0000-0000-0000202F0000}"/>
    <cellStyle name="Normal 59 8 2 11" xfId="12060" xr:uid="{00000000-0005-0000-0000-0000212F0000}"/>
    <cellStyle name="Normal 59 8 2 2" xfId="12061" xr:uid="{00000000-0005-0000-0000-0000222F0000}"/>
    <cellStyle name="Normal 59 8 2 3" xfId="12062" xr:uid="{00000000-0005-0000-0000-0000232F0000}"/>
    <cellStyle name="Normal 59 8 2 4" xfId="12063" xr:uid="{00000000-0005-0000-0000-0000242F0000}"/>
    <cellStyle name="Normal 59 8 2 5" xfId="12064" xr:uid="{00000000-0005-0000-0000-0000252F0000}"/>
    <cellStyle name="Normal 59 8 2 6" xfId="12065" xr:uid="{00000000-0005-0000-0000-0000262F0000}"/>
    <cellStyle name="Normal 59 8 2 7" xfId="12066" xr:uid="{00000000-0005-0000-0000-0000272F0000}"/>
    <cellStyle name="Normal 59 8 2 8" xfId="12067" xr:uid="{00000000-0005-0000-0000-0000282F0000}"/>
    <cellStyle name="Normal 59 8 2 9" xfId="12068" xr:uid="{00000000-0005-0000-0000-0000292F0000}"/>
    <cellStyle name="Normal 59 8 3" xfId="12069" xr:uid="{00000000-0005-0000-0000-00002A2F0000}"/>
    <cellStyle name="Normal 59 8 4" xfId="12070" xr:uid="{00000000-0005-0000-0000-00002B2F0000}"/>
    <cellStyle name="Normal 59 8 5" xfId="12071" xr:uid="{00000000-0005-0000-0000-00002C2F0000}"/>
    <cellStyle name="Normal 59 8 6" xfId="12072" xr:uid="{00000000-0005-0000-0000-00002D2F0000}"/>
    <cellStyle name="Normal 59 8 7" xfId="12073" xr:uid="{00000000-0005-0000-0000-00002E2F0000}"/>
    <cellStyle name="Normal 59 8 8" xfId="12074" xr:uid="{00000000-0005-0000-0000-00002F2F0000}"/>
    <cellStyle name="Normal 59 8 9" xfId="12075" xr:uid="{00000000-0005-0000-0000-0000302F0000}"/>
    <cellStyle name="Normal 59 9" xfId="12076" xr:uid="{00000000-0005-0000-0000-0000312F0000}"/>
    <cellStyle name="Normal 59 9 10" xfId="12077" xr:uid="{00000000-0005-0000-0000-0000322F0000}"/>
    <cellStyle name="Normal 59 9 11" xfId="12078" xr:uid="{00000000-0005-0000-0000-0000332F0000}"/>
    <cellStyle name="Normal 59 9 12" xfId="12079" xr:uid="{00000000-0005-0000-0000-0000342F0000}"/>
    <cellStyle name="Normal 59 9 13" xfId="12080" xr:uid="{00000000-0005-0000-0000-0000352F0000}"/>
    <cellStyle name="Normal 59 9 2" xfId="12081" xr:uid="{00000000-0005-0000-0000-0000362F0000}"/>
    <cellStyle name="Normal 59 9 2 10" xfId="12082" xr:uid="{00000000-0005-0000-0000-0000372F0000}"/>
    <cellStyle name="Normal 59 9 2 11" xfId="12083" xr:uid="{00000000-0005-0000-0000-0000382F0000}"/>
    <cellStyle name="Normal 59 9 2 2" xfId="12084" xr:uid="{00000000-0005-0000-0000-0000392F0000}"/>
    <cellStyle name="Normal 59 9 2 3" xfId="12085" xr:uid="{00000000-0005-0000-0000-00003A2F0000}"/>
    <cellStyle name="Normal 59 9 2 4" xfId="12086" xr:uid="{00000000-0005-0000-0000-00003B2F0000}"/>
    <cellStyle name="Normal 59 9 2 5" xfId="12087" xr:uid="{00000000-0005-0000-0000-00003C2F0000}"/>
    <cellStyle name="Normal 59 9 2 6" xfId="12088" xr:uid="{00000000-0005-0000-0000-00003D2F0000}"/>
    <cellStyle name="Normal 59 9 2 7" xfId="12089" xr:uid="{00000000-0005-0000-0000-00003E2F0000}"/>
    <cellStyle name="Normal 59 9 2 8" xfId="12090" xr:uid="{00000000-0005-0000-0000-00003F2F0000}"/>
    <cellStyle name="Normal 59 9 2 9" xfId="12091" xr:uid="{00000000-0005-0000-0000-0000402F0000}"/>
    <cellStyle name="Normal 59 9 3" xfId="12092" xr:uid="{00000000-0005-0000-0000-0000412F0000}"/>
    <cellStyle name="Normal 59 9 4" xfId="12093" xr:uid="{00000000-0005-0000-0000-0000422F0000}"/>
    <cellStyle name="Normal 59 9 5" xfId="12094" xr:uid="{00000000-0005-0000-0000-0000432F0000}"/>
    <cellStyle name="Normal 59 9 6" xfId="12095" xr:uid="{00000000-0005-0000-0000-0000442F0000}"/>
    <cellStyle name="Normal 59 9 7" xfId="12096" xr:uid="{00000000-0005-0000-0000-0000452F0000}"/>
    <cellStyle name="Normal 59 9 8" xfId="12097" xr:uid="{00000000-0005-0000-0000-0000462F0000}"/>
    <cellStyle name="Normal 59 9 9" xfId="12098" xr:uid="{00000000-0005-0000-0000-0000472F0000}"/>
    <cellStyle name="Normal 6" xfId="12099" xr:uid="{00000000-0005-0000-0000-0000482F0000}"/>
    <cellStyle name="Normal 6 2" xfId="12100" xr:uid="{00000000-0005-0000-0000-0000492F0000}"/>
    <cellStyle name="Normal 60" xfId="12101" xr:uid="{00000000-0005-0000-0000-00004A2F0000}"/>
    <cellStyle name="Normal 60 10" xfId="12102" xr:uid="{00000000-0005-0000-0000-00004B2F0000}"/>
    <cellStyle name="Normal 60 10 10" xfId="12103" xr:uid="{00000000-0005-0000-0000-00004C2F0000}"/>
    <cellStyle name="Normal 60 10 11" xfId="12104" xr:uid="{00000000-0005-0000-0000-00004D2F0000}"/>
    <cellStyle name="Normal 60 10 12" xfId="12105" xr:uid="{00000000-0005-0000-0000-00004E2F0000}"/>
    <cellStyle name="Normal 60 10 13" xfId="12106" xr:uid="{00000000-0005-0000-0000-00004F2F0000}"/>
    <cellStyle name="Normal 60 10 2" xfId="12107" xr:uid="{00000000-0005-0000-0000-0000502F0000}"/>
    <cellStyle name="Normal 60 10 2 10" xfId="12108" xr:uid="{00000000-0005-0000-0000-0000512F0000}"/>
    <cellStyle name="Normal 60 10 2 11" xfId="12109" xr:uid="{00000000-0005-0000-0000-0000522F0000}"/>
    <cellStyle name="Normal 60 10 2 2" xfId="12110" xr:uid="{00000000-0005-0000-0000-0000532F0000}"/>
    <cellStyle name="Normal 60 10 2 3" xfId="12111" xr:uid="{00000000-0005-0000-0000-0000542F0000}"/>
    <cellStyle name="Normal 60 10 2 4" xfId="12112" xr:uid="{00000000-0005-0000-0000-0000552F0000}"/>
    <cellStyle name="Normal 60 10 2 5" xfId="12113" xr:uid="{00000000-0005-0000-0000-0000562F0000}"/>
    <cellStyle name="Normal 60 10 2 6" xfId="12114" xr:uid="{00000000-0005-0000-0000-0000572F0000}"/>
    <cellStyle name="Normal 60 10 2 7" xfId="12115" xr:uid="{00000000-0005-0000-0000-0000582F0000}"/>
    <cellStyle name="Normal 60 10 2 8" xfId="12116" xr:uid="{00000000-0005-0000-0000-0000592F0000}"/>
    <cellStyle name="Normal 60 10 2 9" xfId="12117" xr:uid="{00000000-0005-0000-0000-00005A2F0000}"/>
    <cellStyle name="Normal 60 10 3" xfId="12118" xr:uid="{00000000-0005-0000-0000-00005B2F0000}"/>
    <cellStyle name="Normal 60 10 4" xfId="12119" xr:uid="{00000000-0005-0000-0000-00005C2F0000}"/>
    <cellStyle name="Normal 60 10 5" xfId="12120" xr:uid="{00000000-0005-0000-0000-00005D2F0000}"/>
    <cellStyle name="Normal 60 10 6" xfId="12121" xr:uid="{00000000-0005-0000-0000-00005E2F0000}"/>
    <cellStyle name="Normal 60 10 7" xfId="12122" xr:uid="{00000000-0005-0000-0000-00005F2F0000}"/>
    <cellStyle name="Normal 60 10 8" xfId="12123" xr:uid="{00000000-0005-0000-0000-0000602F0000}"/>
    <cellStyle name="Normal 60 10 9" xfId="12124" xr:uid="{00000000-0005-0000-0000-0000612F0000}"/>
    <cellStyle name="Normal 60 11" xfId="12125" xr:uid="{00000000-0005-0000-0000-0000622F0000}"/>
    <cellStyle name="Normal 60 11 10" xfId="12126" xr:uid="{00000000-0005-0000-0000-0000632F0000}"/>
    <cellStyle name="Normal 60 11 11" xfId="12127" xr:uid="{00000000-0005-0000-0000-0000642F0000}"/>
    <cellStyle name="Normal 60 11 12" xfId="12128" xr:uid="{00000000-0005-0000-0000-0000652F0000}"/>
    <cellStyle name="Normal 60 11 13" xfId="12129" xr:uid="{00000000-0005-0000-0000-0000662F0000}"/>
    <cellStyle name="Normal 60 11 2" xfId="12130" xr:uid="{00000000-0005-0000-0000-0000672F0000}"/>
    <cellStyle name="Normal 60 11 2 10" xfId="12131" xr:uid="{00000000-0005-0000-0000-0000682F0000}"/>
    <cellStyle name="Normal 60 11 2 11" xfId="12132" xr:uid="{00000000-0005-0000-0000-0000692F0000}"/>
    <cellStyle name="Normal 60 11 2 2" xfId="12133" xr:uid="{00000000-0005-0000-0000-00006A2F0000}"/>
    <cellStyle name="Normal 60 11 2 3" xfId="12134" xr:uid="{00000000-0005-0000-0000-00006B2F0000}"/>
    <cellStyle name="Normal 60 11 2 4" xfId="12135" xr:uid="{00000000-0005-0000-0000-00006C2F0000}"/>
    <cellStyle name="Normal 60 11 2 5" xfId="12136" xr:uid="{00000000-0005-0000-0000-00006D2F0000}"/>
    <cellStyle name="Normal 60 11 2 6" xfId="12137" xr:uid="{00000000-0005-0000-0000-00006E2F0000}"/>
    <cellStyle name="Normal 60 11 2 7" xfId="12138" xr:uid="{00000000-0005-0000-0000-00006F2F0000}"/>
    <cellStyle name="Normal 60 11 2 8" xfId="12139" xr:uid="{00000000-0005-0000-0000-0000702F0000}"/>
    <cellStyle name="Normal 60 11 2 9" xfId="12140" xr:uid="{00000000-0005-0000-0000-0000712F0000}"/>
    <cellStyle name="Normal 60 11 3" xfId="12141" xr:uid="{00000000-0005-0000-0000-0000722F0000}"/>
    <cellStyle name="Normal 60 11 4" xfId="12142" xr:uid="{00000000-0005-0000-0000-0000732F0000}"/>
    <cellStyle name="Normal 60 11 5" xfId="12143" xr:uid="{00000000-0005-0000-0000-0000742F0000}"/>
    <cellStyle name="Normal 60 11 6" xfId="12144" xr:uid="{00000000-0005-0000-0000-0000752F0000}"/>
    <cellStyle name="Normal 60 11 7" xfId="12145" xr:uid="{00000000-0005-0000-0000-0000762F0000}"/>
    <cellStyle name="Normal 60 11 8" xfId="12146" xr:uid="{00000000-0005-0000-0000-0000772F0000}"/>
    <cellStyle name="Normal 60 11 9" xfId="12147" xr:uid="{00000000-0005-0000-0000-0000782F0000}"/>
    <cellStyle name="Normal 60 12" xfId="12148" xr:uid="{00000000-0005-0000-0000-0000792F0000}"/>
    <cellStyle name="Normal 60 12 10" xfId="12149" xr:uid="{00000000-0005-0000-0000-00007A2F0000}"/>
    <cellStyle name="Normal 60 12 11" xfId="12150" xr:uid="{00000000-0005-0000-0000-00007B2F0000}"/>
    <cellStyle name="Normal 60 12 12" xfId="12151" xr:uid="{00000000-0005-0000-0000-00007C2F0000}"/>
    <cellStyle name="Normal 60 12 13" xfId="12152" xr:uid="{00000000-0005-0000-0000-00007D2F0000}"/>
    <cellStyle name="Normal 60 12 2" xfId="12153" xr:uid="{00000000-0005-0000-0000-00007E2F0000}"/>
    <cellStyle name="Normal 60 12 2 10" xfId="12154" xr:uid="{00000000-0005-0000-0000-00007F2F0000}"/>
    <cellStyle name="Normal 60 12 2 11" xfId="12155" xr:uid="{00000000-0005-0000-0000-0000802F0000}"/>
    <cellStyle name="Normal 60 12 2 2" xfId="12156" xr:uid="{00000000-0005-0000-0000-0000812F0000}"/>
    <cellStyle name="Normal 60 12 2 3" xfId="12157" xr:uid="{00000000-0005-0000-0000-0000822F0000}"/>
    <cellStyle name="Normal 60 12 2 4" xfId="12158" xr:uid="{00000000-0005-0000-0000-0000832F0000}"/>
    <cellStyle name="Normal 60 12 2 5" xfId="12159" xr:uid="{00000000-0005-0000-0000-0000842F0000}"/>
    <cellStyle name="Normal 60 12 2 6" xfId="12160" xr:uid="{00000000-0005-0000-0000-0000852F0000}"/>
    <cellStyle name="Normal 60 12 2 7" xfId="12161" xr:uid="{00000000-0005-0000-0000-0000862F0000}"/>
    <cellStyle name="Normal 60 12 2 8" xfId="12162" xr:uid="{00000000-0005-0000-0000-0000872F0000}"/>
    <cellStyle name="Normal 60 12 2 9" xfId="12163" xr:uid="{00000000-0005-0000-0000-0000882F0000}"/>
    <cellStyle name="Normal 60 12 3" xfId="12164" xr:uid="{00000000-0005-0000-0000-0000892F0000}"/>
    <cellStyle name="Normal 60 12 4" xfId="12165" xr:uid="{00000000-0005-0000-0000-00008A2F0000}"/>
    <cellStyle name="Normal 60 12 5" xfId="12166" xr:uid="{00000000-0005-0000-0000-00008B2F0000}"/>
    <cellStyle name="Normal 60 12 6" xfId="12167" xr:uid="{00000000-0005-0000-0000-00008C2F0000}"/>
    <cellStyle name="Normal 60 12 7" xfId="12168" xr:uid="{00000000-0005-0000-0000-00008D2F0000}"/>
    <cellStyle name="Normal 60 12 8" xfId="12169" xr:uid="{00000000-0005-0000-0000-00008E2F0000}"/>
    <cellStyle name="Normal 60 12 9" xfId="12170" xr:uid="{00000000-0005-0000-0000-00008F2F0000}"/>
    <cellStyle name="Normal 60 13" xfId="12171" xr:uid="{00000000-0005-0000-0000-0000902F0000}"/>
    <cellStyle name="Normal 60 13 10" xfId="12172" xr:uid="{00000000-0005-0000-0000-0000912F0000}"/>
    <cellStyle name="Normal 60 13 11" xfId="12173" xr:uid="{00000000-0005-0000-0000-0000922F0000}"/>
    <cellStyle name="Normal 60 13 12" xfId="12174" xr:uid="{00000000-0005-0000-0000-0000932F0000}"/>
    <cellStyle name="Normal 60 13 13" xfId="12175" xr:uid="{00000000-0005-0000-0000-0000942F0000}"/>
    <cellStyle name="Normal 60 13 2" xfId="12176" xr:uid="{00000000-0005-0000-0000-0000952F0000}"/>
    <cellStyle name="Normal 60 13 2 10" xfId="12177" xr:uid="{00000000-0005-0000-0000-0000962F0000}"/>
    <cellStyle name="Normal 60 13 2 11" xfId="12178" xr:uid="{00000000-0005-0000-0000-0000972F0000}"/>
    <cellStyle name="Normal 60 13 2 2" xfId="12179" xr:uid="{00000000-0005-0000-0000-0000982F0000}"/>
    <cellStyle name="Normal 60 13 2 3" xfId="12180" xr:uid="{00000000-0005-0000-0000-0000992F0000}"/>
    <cellStyle name="Normal 60 13 2 4" xfId="12181" xr:uid="{00000000-0005-0000-0000-00009A2F0000}"/>
    <cellStyle name="Normal 60 13 2 5" xfId="12182" xr:uid="{00000000-0005-0000-0000-00009B2F0000}"/>
    <cellStyle name="Normal 60 13 2 6" xfId="12183" xr:uid="{00000000-0005-0000-0000-00009C2F0000}"/>
    <cellStyle name="Normal 60 13 2 7" xfId="12184" xr:uid="{00000000-0005-0000-0000-00009D2F0000}"/>
    <cellStyle name="Normal 60 13 2 8" xfId="12185" xr:uid="{00000000-0005-0000-0000-00009E2F0000}"/>
    <cellStyle name="Normal 60 13 2 9" xfId="12186" xr:uid="{00000000-0005-0000-0000-00009F2F0000}"/>
    <cellStyle name="Normal 60 13 3" xfId="12187" xr:uid="{00000000-0005-0000-0000-0000A02F0000}"/>
    <cellStyle name="Normal 60 13 4" xfId="12188" xr:uid="{00000000-0005-0000-0000-0000A12F0000}"/>
    <cellStyle name="Normal 60 13 5" xfId="12189" xr:uid="{00000000-0005-0000-0000-0000A22F0000}"/>
    <cellStyle name="Normal 60 13 6" xfId="12190" xr:uid="{00000000-0005-0000-0000-0000A32F0000}"/>
    <cellStyle name="Normal 60 13 7" xfId="12191" xr:uid="{00000000-0005-0000-0000-0000A42F0000}"/>
    <cellStyle name="Normal 60 13 8" xfId="12192" xr:uid="{00000000-0005-0000-0000-0000A52F0000}"/>
    <cellStyle name="Normal 60 13 9" xfId="12193" xr:uid="{00000000-0005-0000-0000-0000A62F0000}"/>
    <cellStyle name="Normal 60 14" xfId="12194" xr:uid="{00000000-0005-0000-0000-0000A72F0000}"/>
    <cellStyle name="Normal 60 14 10" xfId="12195" xr:uid="{00000000-0005-0000-0000-0000A82F0000}"/>
    <cellStyle name="Normal 60 14 11" xfId="12196" xr:uid="{00000000-0005-0000-0000-0000A92F0000}"/>
    <cellStyle name="Normal 60 14 2" xfId="12197" xr:uid="{00000000-0005-0000-0000-0000AA2F0000}"/>
    <cellStyle name="Normal 60 14 3" xfId="12198" xr:uid="{00000000-0005-0000-0000-0000AB2F0000}"/>
    <cellStyle name="Normal 60 14 4" xfId="12199" xr:uid="{00000000-0005-0000-0000-0000AC2F0000}"/>
    <cellStyle name="Normal 60 14 5" xfId="12200" xr:uid="{00000000-0005-0000-0000-0000AD2F0000}"/>
    <cellStyle name="Normal 60 14 6" xfId="12201" xr:uid="{00000000-0005-0000-0000-0000AE2F0000}"/>
    <cellStyle name="Normal 60 14 7" xfId="12202" xr:uid="{00000000-0005-0000-0000-0000AF2F0000}"/>
    <cellStyle name="Normal 60 14 8" xfId="12203" xr:uid="{00000000-0005-0000-0000-0000B02F0000}"/>
    <cellStyle name="Normal 60 14 9" xfId="12204" xr:uid="{00000000-0005-0000-0000-0000B12F0000}"/>
    <cellStyle name="Normal 60 15" xfId="12205" xr:uid="{00000000-0005-0000-0000-0000B22F0000}"/>
    <cellStyle name="Normal 60 16" xfId="12206" xr:uid="{00000000-0005-0000-0000-0000B32F0000}"/>
    <cellStyle name="Normal 60 17" xfId="12207" xr:uid="{00000000-0005-0000-0000-0000B42F0000}"/>
    <cellStyle name="Normal 60 18" xfId="12208" xr:uid="{00000000-0005-0000-0000-0000B52F0000}"/>
    <cellStyle name="Normal 60 19" xfId="12209" xr:uid="{00000000-0005-0000-0000-0000B62F0000}"/>
    <cellStyle name="Normal 60 2" xfId="12210" xr:uid="{00000000-0005-0000-0000-0000B72F0000}"/>
    <cellStyle name="Normal 60 2 10" xfId="12211" xr:uid="{00000000-0005-0000-0000-0000B82F0000}"/>
    <cellStyle name="Normal 60 2 11" xfId="12212" xr:uid="{00000000-0005-0000-0000-0000B92F0000}"/>
    <cellStyle name="Normal 60 2 12" xfId="12213" xr:uid="{00000000-0005-0000-0000-0000BA2F0000}"/>
    <cellStyle name="Normal 60 2 13" xfId="12214" xr:uid="{00000000-0005-0000-0000-0000BB2F0000}"/>
    <cellStyle name="Normal 60 2 2" xfId="12215" xr:uid="{00000000-0005-0000-0000-0000BC2F0000}"/>
    <cellStyle name="Normal 60 2 2 10" xfId="12216" xr:uid="{00000000-0005-0000-0000-0000BD2F0000}"/>
    <cellStyle name="Normal 60 2 2 11" xfId="12217" xr:uid="{00000000-0005-0000-0000-0000BE2F0000}"/>
    <cellStyle name="Normal 60 2 2 2" xfId="12218" xr:uid="{00000000-0005-0000-0000-0000BF2F0000}"/>
    <cellStyle name="Normal 60 2 2 3" xfId="12219" xr:uid="{00000000-0005-0000-0000-0000C02F0000}"/>
    <cellStyle name="Normal 60 2 2 4" xfId="12220" xr:uid="{00000000-0005-0000-0000-0000C12F0000}"/>
    <cellStyle name="Normal 60 2 2 5" xfId="12221" xr:uid="{00000000-0005-0000-0000-0000C22F0000}"/>
    <cellStyle name="Normal 60 2 2 6" xfId="12222" xr:uid="{00000000-0005-0000-0000-0000C32F0000}"/>
    <cellStyle name="Normal 60 2 2 7" xfId="12223" xr:uid="{00000000-0005-0000-0000-0000C42F0000}"/>
    <cellStyle name="Normal 60 2 2 8" xfId="12224" xr:uid="{00000000-0005-0000-0000-0000C52F0000}"/>
    <cellStyle name="Normal 60 2 2 9" xfId="12225" xr:uid="{00000000-0005-0000-0000-0000C62F0000}"/>
    <cellStyle name="Normal 60 2 3" xfId="12226" xr:uid="{00000000-0005-0000-0000-0000C72F0000}"/>
    <cellStyle name="Normal 60 2 4" xfId="12227" xr:uid="{00000000-0005-0000-0000-0000C82F0000}"/>
    <cellStyle name="Normal 60 2 5" xfId="12228" xr:uid="{00000000-0005-0000-0000-0000C92F0000}"/>
    <cellStyle name="Normal 60 2 6" xfId="12229" xr:uid="{00000000-0005-0000-0000-0000CA2F0000}"/>
    <cellStyle name="Normal 60 2 7" xfId="12230" xr:uid="{00000000-0005-0000-0000-0000CB2F0000}"/>
    <cellStyle name="Normal 60 2 8" xfId="12231" xr:uid="{00000000-0005-0000-0000-0000CC2F0000}"/>
    <cellStyle name="Normal 60 2 9" xfId="12232" xr:uid="{00000000-0005-0000-0000-0000CD2F0000}"/>
    <cellStyle name="Normal 60 20" xfId="12233" xr:uid="{00000000-0005-0000-0000-0000CE2F0000}"/>
    <cellStyle name="Normal 60 21" xfId="12234" xr:uid="{00000000-0005-0000-0000-0000CF2F0000}"/>
    <cellStyle name="Normal 60 22" xfId="12235" xr:uid="{00000000-0005-0000-0000-0000D02F0000}"/>
    <cellStyle name="Normal 60 23" xfId="12236" xr:uid="{00000000-0005-0000-0000-0000D12F0000}"/>
    <cellStyle name="Normal 60 24" xfId="12237" xr:uid="{00000000-0005-0000-0000-0000D22F0000}"/>
    <cellStyle name="Normal 60 25" xfId="12238" xr:uid="{00000000-0005-0000-0000-0000D32F0000}"/>
    <cellStyle name="Normal 60 3" xfId="12239" xr:uid="{00000000-0005-0000-0000-0000D42F0000}"/>
    <cellStyle name="Normal 60 3 10" xfId="12240" xr:uid="{00000000-0005-0000-0000-0000D52F0000}"/>
    <cellStyle name="Normal 60 3 11" xfId="12241" xr:uid="{00000000-0005-0000-0000-0000D62F0000}"/>
    <cellStyle name="Normal 60 3 12" xfId="12242" xr:uid="{00000000-0005-0000-0000-0000D72F0000}"/>
    <cellStyle name="Normal 60 3 13" xfId="12243" xr:uid="{00000000-0005-0000-0000-0000D82F0000}"/>
    <cellStyle name="Normal 60 3 2" xfId="12244" xr:uid="{00000000-0005-0000-0000-0000D92F0000}"/>
    <cellStyle name="Normal 60 3 2 10" xfId="12245" xr:uid="{00000000-0005-0000-0000-0000DA2F0000}"/>
    <cellStyle name="Normal 60 3 2 11" xfId="12246" xr:uid="{00000000-0005-0000-0000-0000DB2F0000}"/>
    <cellStyle name="Normal 60 3 2 2" xfId="12247" xr:uid="{00000000-0005-0000-0000-0000DC2F0000}"/>
    <cellStyle name="Normal 60 3 2 3" xfId="12248" xr:uid="{00000000-0005-0000-0000-0000DD2F0000}"/>
    <cellStyle name="Normal 60 3 2 4" xfId="12249" xr:uid="{00000000-0005-0000-0000-0000DE2F0000}"/>
    <cellStyle name="Normal 60 3 2 5" xfId="12250" xr:uid="{00000000-0005-0000-0000-0000DF2F0000}"/>
    <cellStyle name="Normal 60 3 2 6" xfId="12251" xr:uid="{00000000-0005-0000-0000-0000E02F0000}"/>
    <cellStyle name="Normal 60 3 2 7" xfId="12252" xr:uid="{00000000-0005-0000-0000-0000E12F0000}"/>
    <cellStyle name="Normal 60 3 2 8" xfId="12253" xr:uid="{00000000-0005-0000-0000-0000E22F0000}"/>
    <cellStyle name="Normal 60 3 2 9" xfId="12254" xr:uid="{00000000-0005-0000-0000-0000E32F0000}"/>
    <cellStyle name="Normal 60 3 3" xfId="12255" xr:uid="{00000000-0005-0000-0000-0000E42F0000}"/>
    <cellStyle name="Normal 60 3 4" xfId="12256" xr:uid="{00000000-0005-0000-0000-0000E52F0000}"/>
    <cellStyle name="Normal 60 3 5" xfId="12257" xr:uid="{00000000-0005-0000-0000-0000E62F0000}"/>
    <cellStyle name="Normal 60 3 6" xfId="12258" xr:uid="{00000000-0005-0000-0000-0000E72F0000}"/>
    <cellStyle name="Normal 60 3 7" xfId="12259" xr:uid="{00000000-0005-0000-0000-0000E82F0000}"/>
    <cellStyle name="Normal 60 3 8" xfId="12260" xr:uid="{00000000-0005-0000-0000-0000E92F0000}"/>
    <cellStyle name="Normal 60 3 9" xfId="12261" xr:uid="{00000000-0005-0000-0000-0000EA2F0000}"/>
    <cellStyle name="Normal 60 4" xfId="12262" xr:uid="{00000000-0005-0000-0000-0000EB2F0000}"/>
    <cellStyle name="Normal 60 4 10" xfId="12263" xr:uid="{00000000-0005-0000-0000-0000EC2F0000}"/>
    <cellStyle name="Normal 60 4 11" xfId="12264" xr:uid="{00000000-0005-0000-0000-0000ED2F0000}"/>
    <cellStyle name="Normal 60 4 12" xfId="12265" xr:uid="{00000000-0005-0000-0000-0000EE2F0000}"/>
    <cellStyle name="Normal 60 4 13" xfId="12266" xr:uid="{00000000-0005-0000-0000-0000EF2F0000}"/>
    <cellStyle name="Normal 60 4 2" xfId="12267" xr:uid="{00000000-0005-0000-0000-0000F02F0000}"/>
    <cellStyle name="Normal 60 4 2 10" xfId="12268" xr:uid="{00000000-0005-0000-0000-0000F12F0000}"/>
    <cellStyle name="Normal 60 4 2 11" xfId="12269" xr:uid="{00000000-0005-0000-0000-0000F22F0000}"/>
    <cellStyle name="Normal 60 4 2 2" xfId="12270" xr:uid="{00000000-0005-0000-0000-0000F32F0000}"/>
    <cellStyle name="Normal 60 4 2 3" xfId="12271" xr:uid="{00000000-0005-0000-0000-0000F42F0000}"/>
    <cellStyle name="Normal 60 4 2 4" xfId="12272" xr:uid="{00000000-0005-0000-0000-0000F52F0000}"/>
    <cellStyle name="Normal 60 4 2 5" xfId="12273" xr:uid="{00000000-0005-0000-0000-0000F62F0000}"/>
    <cellStyle name="Normal 60 4 2 6" xfId="12274" xr:uid="{00000000-0005-0000-0000-0000F72F0000}"/>
    <cellStyle name="Normal 60 4 2 7" xfId="12275" xr:uid="{00000000-0005-0000-0000-0000F82F0000}"/>
    <cellStyle name="Normal 60 4 2 8" xfId="12276" xr:uid="{00000000-0005-0000-0000-0000F92F0000}"/>
    <cellStyle name="Normal 60 4 2 9" xfId="12277" xr:uid="{00000000-0005-0000-0000-0000FA2F0000}"/>
    <cellStyle name="Normal 60 4 3" xfId="12278" xr:uid="{00000000-0005-0000-0000-0000FB2F0000}"/>
    <cellStyle name="Normal 60 4 4" xfId="12279" xr:uid="{00000000-0005-0000-0000-0000FC2F0000}"/>
    <cellStyle name="Normal 60 4 5" xfId="12280" xr:uid="{00000000-0005-0000-0000-0000FD2F0000}"/>
    <cellStyle name="Normal 60 4 6" xfId="12281" xr:uid="{00000000-0005-0000-0000-0000FE2F0000}"/>
    <cellStyle name="Normal 60 4 7" xfId="12282" xr:uid="{00000000-0005-0000-0000-0000FF2F0000}"/>
    <cellStyle name="Normal 60 4 8" xfId="12283" xr:uid="{00000000-0005-0000-0000-000000300000}"/>
    <cellStyle name="Normal 60 4 9" xfId="12284" xr:uid="{00000000-0005-0000-0000-000001300000}"/>
    <cellStyle name="Normal 60 5" xfId="12285" xr:uid="{00000000-0005-0000-0000-000002300000}"/>
    <cellStyle name="Normal 60 5 10" xfId="12286" xr:uid="{00000000-0005-0000-0000-000003300000}"/>
    <cellStyle name="Normal 60 5 11" xfId="12287" xr:uid="{00000000-0005-0000-0000-000004300000}"/>
    <cellStyle name="Normal 60 5 12" xfId="12288" xr:uid="{00000000-0005-0000-0000-000005300000}"/>
    <cellStyle name="Normal 60 5 13" xfId="12289" xr:uid="{00000000-0005-0000-0000-000006300000}"/>
    <cellStyle name="Normal 60 5 2" xfId="12290" xr:uid="{00000000-0005-0000-0000-000007300000}"/>
    <cellStyle name="Normal 60 5 2 10" xfId="12291" xr:uid="{00000000-0005-0000-0000-000008300000}"/>
    <cellStyle name="Normal 60 5 2 11" xfId="12292" xr:uid="{00000000-0005-0000-0000-000009300000}"/>
    <cellStyle name="Normal 60 5 2 2" xfId="12293" xr:uid="{00000000-0005-0000-0000-00000A300000}"/>
    <cellStyle name="Normal 60 5 2 3" xfId="12294" xr:uid="{00000000-0005-0000-0000-00000B300000}"/>
    <cellStyle name="Normal 60 5 2 4" xfId="12295" xr:uid="{00000000-0005-0000-0000-00000C300000}"/>
    <cellStyle name="Normal 60 5 2 5" xfId="12296" xr:uid="{00000000-0005-0000-0000-00000D300000}"/>
    <cellStyle name="Normal 60 5 2 6" xfId="12297" xr:uid="{00000000-0005-0000-0000-00000E300000}"/>
    <cellStyle name="Normal 60 5 2 7" xfId="12298" xr:uid="{00000000-0005-0000-0000-00000F300000}"/>
    <cellStyle name="Normal 60 5 2 8" xfId="12299" xr:uid="{00000000-0005-0000-0000-000010300000}"/>
    <cellStyle name="Normal 60 5 2 9" xfId="12300" xr:uid="{00000000-0005-0000-0000-000011300000}"/>
    <cellStyle name="Normal 60 5 3" xfId="12301" xr:uid="{00000000-0005-0000-0000-000012300000}"/>
    <cellStyle name="Normal 60 5 4" xfId="12302" xr:uid="{00000000-0005-0000-0000-000013300000}"/>
    <cellStyle name="Normal 60 5 5" xfId="12303" xr:uid="{00000000-0005-0000-0000-000014300000}"/>
    <cellStyle name="Normal 60 5 6" xfId="12304" xr:uid="{00000000-0005-0000-0000-000015300000}"/>
    <cellStyle name="Normal 60 5 7" xfId="12305" xr:uid="{00000000-0005-0000-0000-000016300000}"/>
    <cellStyle name="Normal 60 5 8" xfId="12306" xr:uid="{00000000-0005-0000-0000-000017300000}"/>
    <cellStyle name="Normal 60 5 9" xfId="12307" xr:uid="{00000000-0005-0000-0000-000018300000}"/>
    <cellStyle name="Normal 60 6" xfId="12308" xr:uid="{00000000-0005-0000-0000-000019300000}"/>
    <cellStyle name="Normal 60 6 10" xfId="12309" xr:uid="{00000000-0005-0000-0000-00001A300000}"/>
    <cellStyle name="Normal 60 6 11" xfId="12310" xr:uid="{00000000-0005-0000-0000-00001B300000}"/>
    <cellStyle name="Normal 60 6 12" xfId="12311" xr:uid="{00000000-0005-0000-0000-00001C300000}"/>
    <cellStyle name="Normal 60 6 13" xfId="12312" xr:uid="{00000000-0005-0000-0000-00001D300000}"/>
    <cellStyle name="Normal 60 6 2" xfId="12313" xr:uid="{00000000-0005-0000-0000-00001E300000}"/>
    <cellStyle name="Normal 60 6 2 10" xfId="12314" xr:uid="{00000000-0005-0000-0000-00001F300000}"/>
    <cellStyle name="Normal 60 6 2 11" xfId="12315" xr:uid="{00000000-0005-0000-0000-000020300000}"/>
    <cellStyle name="Normal 60 6 2 2" xfId="12316" xr:uid="{00000000-0005-0000-0000-000021300000}"/>
    <cellStyle name="Normal 60 6 2 3" xfId="12317" xr:uid="{00000000-0005-0000-0000-000022300000}"/>
    <cellStyle name="Normal 60 6 2 4" xfId="12318" xr:uid="{00000000-0005-0000-0000-000023300000}"/>
    <cellStyle name="Normal 60 6 2 5" xfId="12319" xr:uid="{00000000-0005-0000-0000-000024300000}"/>
    <cellStyle name="Normal 60 6 2 6" xfId="12320" xr:uid="{00000000-0005-0000-0000-000025300000}"/>
    <cellStyle name="Normal 60 6 2 7" xfId="12321" xr:uid="{00000000-0005-0000-0000-000026300000}"/>
    <cellStyle name="Normal 60 6 2 8" xfId="12322" xr:uid="{00000000-0005-0000-0000-000027300000}"/>
    <cellStyle name="Normal 60 6 2 9" xfId="12323" xr:uid="{00000000-0005-0000-0000-000028300000}"/>
    <cellStyle name="Normal 60 6 3" xfId="12324" xr:uid="{00000000-0005-0000-0000-000029300000}"/>
    <cellStyle name="Normal 60 6 4" xfId="12325" xr:uid="{00000000-0005-0000-0000-00002A300000}"/>
    <cellStyle name="Normal 60 6 5" xfId="12326" xr:uid="{00000000-0005-0000-0000-00002B300000}"/>
    <cellStyle name="Normal 60 6 6" xfId="12327" xr:uid="{00000000-0005-0000-0000-00002C300000}"/>
    <cellStyle name="Normal 60 6 7" xfId="12328" xr:uid="{00000000-0005-0000-0000-00002D300000}"/>
    <cellStyle name="Normal 60 6 8" xfId="12329" xr:uid="{00000000-0005-0000-0000-00002E300000}"/>
    <cellStyle name="Normal 60 6 9" xfId="12330" xr:uid="{00000000-0005-0000-0000-00002F300000}"/>
    <cellStyle name="Normal 60 7" xfId="12331" xr:uid="{00000000-0005-0000-0000-000030300000}"/>
    <cellStyle name="Normal 60 7 10" xfId="12332" xr:uid="{00000000-0005-0000-0000-000031300000}"/>
    <cellStyle name="Normal 60 7 11" xfId="12333" xr:uid="{00000000-0005-0000-0000-000032300000}"/>
    <cellStyle name="Normal 60 7 12" xfId="12334" xr:uid="{00000000-0005-0000-0000-000033300000}"/>
    <cellStyle name="Normal 60 7 13" xfId="12335" xr:uid="{00000000-0005-0000-0000-000034300000}"/>
    <cellStyle name="Normal 60 7 2" xfId="12336" xr:uid="{00000000-0005-0000-0000-000035300000}"/>
    <cellStyle name="Normal 60 7 2 10" xfId="12337" xr:uid="{00000000-0005-0000-0000-000036300000}"/>
    <cellStyle name="Normal 60 7 2 11" xfId="12338" xr:uid="{00000000-0005-0000-0000-000037300000}"/>
    <cellStyle name="Normal 60 7 2 2" xfId="12339" xr:uid="{00000000-0005-0000-0000-000038300000}"/>
    <cellStyle name="Normal 60 7 2 3" xfId="12340" xr:uid="{00000000-0005-0000-0000-000039300000}"/>
    <cellStyle name="Normal 60 7 2 4" xfId="12341" xr:uid="{00000000-0005-0000-0000-00003A300000}"/>
    <cellStyle name="Normal 60 7 2 5" xfId="12342" xr:uid="{00000000-0005-0000-0000-00003B300000}"/>
    <cellStyle name="Normal 60 7 2 6" xfId="12343" xr:uid="{00000000-0005-0000-0000-00003C300000}"/>
    <cellStyle name="Normal 60 7 2 7" xfId="12344" xr:uid="{00000000-0005-0000-0000-00003D300000}"/>
    <cellStyle name="Normal 60 7 2 8" xfId="12345" xr:uid="{00000000-0005-0000-0000-00003E300000}"/>
    <cellStyle name="Normal 60 7 2 9" xfId="12346" xr:uid="{00000000-0005-0000-0000-00003F300000}"/>
    <cellStyle name="Normal 60 7 3" xfId="12347" xr:uid="{00000000-0005-0000-0000-000040300000}"/>
    <cellStyle name="Normal 60 7 4" xfId="12348" xr:uid="{00000000-0005-0000-0000-000041300000}"/>
    <cellStyle name="Normal 60 7 5" xfId="12349" xr:uid="{00000000-0005-0000-0000-000042300000}"/>
    <cellStyle name="Normal 60 7 6" xfId="12350" xr:uid="{00000000-0005-0000-0000-000043300000}"/>
    <cellStyle name="Normal 60 7 7" xfId="12351" xr:uid="{00000000-0005-0000-0000-000044300000}"/>
    <cellStyle name="Normal 60 7 8" xfId="12352" xr:uid="{00000000-0005-0000-0000-000045300000}"/>
    <cellStyle name="Normal 60 7 9" xfId="12353" xr:uid="{00000000-0005-0000-0000-000046300000}"/>
    <cellStyle name="Normal 60 8" xfId="12354" xr:uid="{00000000-0005-0000-0000-000047300000}"/>
    <cellStyle name="Normal 60 8 10" xfId="12355" xr:uid="{00000000-0005-0000-0000-000048300000}"/>
    <cellStyle name="Normal 60 8 11" xfId="12356" xr:uid="{00000000-0005-0000-0000-000049300000}"/>
    <cellStyle name="Normal 60 8 12" xfId="12357" xr:uid="{00000000-0005-0000-0000-00004A300000}"/>
    <cellStyle name="Normal 60 8 13" xfId="12358" xr:uid="{00000000-0005-0000-0000-00004B300000}"/>
    <cellStyle name="Normal 60 8 2" xfId="12359" xr:uid="{00000000-0005-0000-0000-00004C300000}"/>
    <cellStyle name="Normal 60 8 2 10" xfId="12360" xr:uid="{00000000-0005-0000-0000-00004D300000}"/>
    <cellStyle name="Normal 60 8 2 11" xfId="12361" xr:uid="{00000000-0005-0000-0000-00004E300000}"/>
    <cellStyle name="Normal 60 8 2 2" xfId="12362" xr:uid="{00000000-0005-0000-0000-00004F300000}"/>
    <cellStyle name="Normal 60 8 2 3" xfId="12363" xr:uid="{00000000-0005-0000-0000-000050300000}"/>
    <cellStyle name="Normal 60 8 2 4" xfId="12364" xr:uid="{00000000-0005-0000-0000-000051300000}"/>
    <cellStyle name="Normal 60 8 2 5" xfId="12365" xr:uid="{00000000-0005-0000-0000-000052300000}"/>
    <cellStyle name="Normal 60 8 2 6" xfId="12366" xr:uid="{00000000-0005-0000-0000-000053300000}"/>
    <cellStyle name="Normal 60 8 2 7" xfId="12367" xr:uid="{00000000-0005-0000-0000-000054300000}"/>
    <cellStyle name="Normal 60 8 2 8" xfId="12368" xr:uid="{00000000-0005-0000-0000-000055300000}"/>
    <cellStyle name="Normal 60 8 2 9" xfId="12369" xr:uid="{00000000-0005-0000-0000-000056300000}"/>
    <cellStyle name="Normal 60 8 3" xfId="12370" xr:uid="{00000000-0005-0000-0000-000057300000}"/>
    <cellStyle name="Normal 60 8 4" xfId="12371" xr:uid="{00000000-0005-0000-0000-000058300000}"/>
    <cellStyle name="Normal 60 8 5" xfId="12372" xr:uid="{00000000-0005-0000-0000-000059300000}"/>
    <cellStyle name="Normal 60 8 6" xfId="12373" xr:uid="{00000000-0005-0000-0000-00005A300000}"/>
    <cellStyle name="Normal 60 8 7" xfId="12374" xr:uid="{00000000-0005-0000-0000-00005B300000}"/>
    <cellStyle name="Normal 60 8 8" xfId="12375" xr:uid="{00000000-0005-0000-0000-00005C300000}"/>
    <cellStyle name="Normal 60 8 9" xfId="12376" xr:uid="{00000000-0005-0000-0000-00005D300000}"/>
    <cellStyle name="Normal 60 9" xfId="12377" xr:uid="{00000000-0005-0000-0000-00005E300000}"/>
    <cellStyle name="Normal 60 9 10" xfId="12378" xr:uid="{00000000-0005-0000-0000-00005F300000}"/>
    <cellStyle name="Normal 60 9 11" xfId="12379" xr:uid="{00000000-0005-0000-0000-000060300000}"/>
    <cellStyle name="Normal 60 9 12" xfId="12380" xr:uid="{00000000-0005-0000-0000-000061300000}"/>
    <cellStyle name="Normal 60 9 13" xfId="12381" xr:uid="{00000000-0005-0000-0000-000062300000}"/>
    <cellStyle name="Normal 60 9 2" xfId="12382" xr:uid="{00000000-0005-0000-0000-000063300000}"/>
    <cellStyle name="Normal 60 9 2 10" xfId="12383" xr:uid="{00000000-0005-0000-0000-000064300000}"/>
    <cellStyle name="Normal 60 9 2 11" xfId="12384" xr:uid="{00000000-0005-0000-0000-000065300000}"/>
    <cellStyle name="Normal 60 9 2 2" xfId="12385" xr:uid="{00000000-0005-0000-0000-000066300000}"/>
    <cellStyle name="Normal 60 9 2 3" xfId="12386" xr:uid="{00000000-0005-0000-0000-000067300000}"/>
    <cellStyle name="Normal 60 9 2 4" xfId="12387" xr:uid="{00000000-0005-0000-0000-000068300000}"/>
    <cellStyle name="Normal 60 9 2 5" xfId="12388" xr:uid="{00000000-0005-0000-0000-000069300000}"/>
    <cellStyle name="Normal 60 9 2 6" xfId="12389" xr:uid="{00000000-0005-0000-0000-00006A300000}"/>
    <cellStyle name="Normal 60 9 2 7" xfId="12390" xr:uid="{00000000-0005-0000-0000-00006B300000}"/>
    <cellStyle name="Normal 60 9 2 8" xfId="12391" xr:uid="{00000000-0005-0000-0000-00006C300000}"/>
    <cellStyle name="Normal 60 9 2 9" xfId="12392" xr:uid="{00000000-0005-0000-0000-00006D300000}"/>
    <cellStyle name="Normal 60 9 3" xfId="12393" xr:uid="{00000000-0005-0000-0000-00006E300000}"/>
    <cellStyle name="Normal 60 9 4" xfId="12394" xr:uid="{00000000-0005-0000-0000-00006F300000}"/>
    <cellStyle name="Normal 60 9 5" xfId="12395" xr:uid="{00000000-0005-0000-0000-000070300000}"/>
    <cellStyle name="Normal 60 9 6" xfId="12396" xr:uid="{00000000-0005-0000-0000-000071300000}"/>
    <cellStyle name="Normal 60 9 7" xfId="12397" xr:uid="{00000000-0005-0000-0000-000072300000}"/>
    <cellStyle name="Normal 60 9 8" xfId="12398" xr:uid="{00000000-0005-0000-0000-000073300000}"/>
    <cellStyle name="Normal 60 9 9" xfId="12399" xr:uid="{00000000-0005-0000-0000-000074300000}"/>
    <cellStyle name="Normal 61" xfId="12400" xr:uid="{00000000-0005-0000-0000-000075300000}"/>
    <cellStyle name="Normal 61 10" xfId="12401" xr:uid="{00000000-0005-0000-0000-000076300000}"/>
    <cellStyle name="Normal 61 10 10" xfId="12402" xr:uid="{00000000-0005-0000-0000-000077300000}"/>
    <cellStyle name="Normal 61 10 11" xfId="12403" xr:uid="{00000000-0005-0000-0000-000078300000}"/>
    <cellStyle name="Normal 61 10 12" xfId="12404" xr:uid="{00000000-0005-0000-0000-000079300000}"/>
    <cellStyle name="Normal 61 10 13" xfId="12405" xr:uid="{00000000-0005-0000-0000-00007A300000}"/>
    <cellStyle name="Normal 61 10 2" xfId="12406" xr:uid="{00000000-0005-0000-0000-00007B300000}"/>
    <cellStyle name="Normal 61 10 2 10" xfId="12407" xr:uid="{00000000-0005-0000-0000-00007C300000}"/>
    <cellStyle name="Normal 61 10 2 11" xfId="12408" xr:uid="{00000000-0005-0000-0000-00007D300000}"/>
    <cellStyle name="Normal 61 10 2 2" xfId="12409" xr:uid="{00000000-0005-0000-0000-00007E300000}"/>
    <cellStyle name="Normal 61 10 2 3" xfId="12410" xr:uid="{00000000-0005-0000-0000-00007F300000}"/>
    <cellStyle name="Normal 61 10 2 4" xfId="12411" xr:uid="{00000000-0005-0000-0000-000080300000}"/>
    <cellStyle name="Normal 61 10 2 5" xfId="12412" xr:uid="{00000000-0005-0000-0000-000081300000}"/>
    <cellStyle name="Normal 61 10 2 6" xfId="12413" xr:uid="{00000000-0005-0000-0000-000082300000}"/>
    <cellStyle name="Normal 61 10 2 7" xfId="12414" xr:uid="{00000000-0005-0000-0000-000083300000}"/>
    <cellStyle name="Normal 61 10 2 8" xfId="12415" xr:uid="{00000000-0005-0000-0000-000084300000}"/>
    <cellStyle name="Normal 61 10 2 9" xfId="12416" xr:uid="{00000000-0005-0000-0000-000085300000}"/>
    <cellStyle name="Normal 61 10 3" xfId="12417" xr:uid="{00000000-0005-0000-0000-000086300000}"/>
    <cellStyle name="Normal 61 10 4" xfId="12418" xr:uid="{00000000-0005-0000-0000-000087300000}"/>
    <cellStyle name="Normal 61 10 5" xfId="12419" xr:uid="{00000000-0005-0000-0000-000088300000}"/>
    <cellStyle name="Normal 61 10 6" xfId="12420" xr:uid="{00000000-0005-0000-0000-000089300000}"/>
    <cellStyle name="Normal 61 10 7" xfId="12421" xr:uid="{00000000-0005-0000-0000-00008A300000}"/>
    <cellStyle name="Normal 61 10 8" xfId="12422" xr:uid="{00000000-0005-0000-0000-00008B300000}"/>
    <cellStyle name="Normal 61 10 9" xfId="12423" xr:uid="{00000000-0005-0000-0000-00008C300000}"/>
    <cellStyle name="Normal 61 11" xfId="12424" xr:uid="{00000000-0005-0000-0000-00008D300000}"/>
    <cellStyle name="Normal 61 11 10" xfId="12425" xr:uid="{00000000-0005-0000-0000-00008E300000}"/>
    <cellStyle name="Normal 61 11 11" xfId="12426" xr:uid="{00000000-0005-0000-0000-00008F300000}"/>
    <cellStyle name="Normal 61 11 12" xfId="12427" xr:uid="{00000000-0005-0000-0000-000090300000}"/>
    <cellStyle name="Normal 61 11 13" xfId="12428" xr:uid="{00000000-0005-0000-0000-000091300000}"/>
    <cellStyle name="Normal 61 11 2" xfId="12429" xr:uid="{00000000-0005-0000-0000-000092300000}"/>
    <cellStyle name="Normal 61 11 2 10" xfId="12430" xr:uid="{00000000-0005-0000-0000-000093300000}"/>
    <cellStyle name="Normal 61 11 2 11" xfId="12431" xr:uid="{00000000-0005-0000-0000-000094300000}"/>
    <cellStyle name="Normal 61 11 2 2" xfId="12432" xr:uid="{00000000-0005-0000-0000-000095300000}"/>
    <cellStyle name="Normal 61 11 2 3" xfId="12433" xr:uid="{00000000-0005-0000-0000-000096300000}"/>
    <cellStyle name="Normal 61 11 2 4" xfId="12434" xr:uid="{00000000-0005-0000-0000-000097300000}"/>
    <cellStyle name="Normal 61 11 2 5" xfId="12435" xr:uid="{00000000-0005-0000-0000-000098300000}"/>
    <cellStyle name="Normal 61 11 2 6" xfId="12436" xr:uid="{00000000-0005-0000-0000-000099300000}"/>
    <cellStyle name="Normal 61 11 2 7" xfId="12437" xr:uid="{00000000-0005-0000-0000-00009A300000}"/>
    <cellStyle name="Normal 61 11 2 8" xfId="12438" xr:uid="{00000000-0005-0000-0000-00009B300000}"/>
    <cellStyle name="Normal 61 11 2 9" xfId="12439" xr:uid="{00000000-0005-0000-0000-00009C300000}"/>
    <cellStyle name="Normal 61 11 3" xfId="12440" xr:uid="{00000000-0005-0000-0000-00009D300000}"/>
    <cellStyle name="Normal 61 11 4" xfId="12441" xr:uid="{00000000-0005-0000-0000-00009E300000}"/>
    <cellStyle name="Normal 61 11 5" xfId="12442" xr:uid="{00000000-0005-0000-0000-00009F300000}"/>
    <cellStyle name="Normal 61 11 6" xfId="12443" xr:uid="{00000000-0005-0000-0000-0000A0300000}"/>
    <cellStyle name="Normal 61 11 7" xfId="12444" xr:uid="{00000000-0005-0000-0000-0000A1300000}"/>
    <cellStyle name="Normal 61 11 8" xfId="12445" xr:uid="{00000000-0005-0000-0000-0000A2300000}"/>
    <cellStyle name="Normal 61 11 9" xfId="12446" xr:uid="{00000000-0005-0000-0000-0000A3300000}"/>
    <cellStyle name="Normal 61 12" xfId="12447" xr:uid="{00000000-0005-0000-0000-0000A4300000}"/>
    <cellStyle name="Normal 61 12 10" xfId="12448" xr:uid="{00000000-0005-0000-0000-0000A5300000}"/>
    <cellStyle name="Normal 61 12 11" xfId="12449" xr:uid="{00000000-0005-0000-0000-0000A6300000}"/>
    <cellStyle name="Normal 61 12 12" xfId="12450" xr:uid="{00000000-0005-0000-0000-0000A7300000}"/>
    <cellStyle name="Normal 61 12 13" xfId="12451" xr:uid="{00000000-0005-0000-0000-0000A8300000}"/>
    <cellStyle name="Normal 61 12 2" xfId="12452" xr:uid="{00000000-0005-0000-0000-0000A9300000}"/>
    <cellStyle name="Normal 61 12 2 10" xfId="12453" xr:uid="{00000000-0005-0000-0000-0000AA300000}"/>
    <cellStyle name="Normal 61 12 2 11" xfId="12454" xr:uid="{00000000-0005-0000-0000-0000AB300000}"/>
    <cellStyle name="Normal 61 12 2 2" xfId="12455" xr:uid="{00000000-0005-0000-0000-0000AC300000}"/>
    <cellStyle name="Normal 61 12 2 3" xfId="12456" xr:uid="{00000000-0005-0000-0000-0000AD300000}"/>
    <cellStyle name="Normal 61 12 2 4" xfId="12457" xr:uid="{00000000-0005-0000-0000-0000AE300000}"/>
    <cellStyle name="Normal 61 12 2 5" xfId="12458" xr:uid="{00000000-0005-0000-0000-0000AF300000}"/>
    <cellStyle name="Normal 61 12 2 6" xfId="12459" xr:uid="{00000000-0005-0000-0000-0000B0300000}"/>
    <cellStyle name="Normal 61 12 2 7" xfId="12460" xr:uid="{00000000-0005-0000-0000-0000B1300000}"/>
    <cellStyle name="Normal 61 12 2 8" xfId="12461" xr:uid="{00000000-0005-0000-0000-0000B2300000}"/>
    <cellStyle name="Normal 61 12 2 9" xfId="12462" xr:uid="{00000000-0005-0000-0000-0000B3300000}"/>
    <cellStyle name="Normal 61 12 3" xfId="12463" xr:uid="{00000000-0005-0000-0000-0000B4300000}"/>
    <cellStyle name="Normal 61 12 4" xfId="12464" xr:uid="{00000000-0005-0000-0000-0000B5300000}"/>
    <cellStyle name="Normal 61 12 5" xfId="12465" xr:uid="{00000000-0005-0000-0000-0000B6300000}"/>
    <cellStyle name="Normal 61 12 6" xfId="12466" xr:uid="{00000000-0005-0000-0000-0000B7300000}"/>
    <cellStyle name="Normal 61 12 7" xfId="12467" xr:uid="{00000000-0005-0000-0000-0000B8300000}"/>
    <cellStyle name="Normal 61 12 8" xfId="12468" xr:uid="{00000000-0005-0000-0000-0000B9300000}"/>
    <cellStyle name="Normal 61 12 9" xfId="12469" xr:uid="{00000000-0005-0000-0000-0000BA300000}"/>
    <cellStyle name="Normal 61 13" xfId="12470" xr:uid="{00000000-0005-0000-0000-0000BB300000}"/>
    <cellStyle name="Normal 61 13 10" xfId="12471" xr:uid="{00000000-0005-0000-0000-0000BC300000}"/>
    <cellStyle name="Normal 61 13 11" xfId="12472" xr:uid="{00000000-0005-0000-0000-0000BD300000}"/>
    <cellStyle name="Normal 61 13 12" xfId="12473" xr:uid="{00000000-0005-0000-0000-0000BE300000}"/>
    <cellStyle name="Normal 61 13 13" xfId="12474" xr:uid="{00000000-0005-0000-0000-0000BF300000}"/>
    <cellStyle name="Normal 61 13 2" xfId="12475" xr:uid="{00000000-0005-0000-0000-0000C0300000}"/>
    <cellStyle name="Normal 61 13 2 10" xfId="12476" xr:uid="{00000000-0005-0000-0000-0000C1300000}"/>
    <cellStyle name="Normal 61 13 2 11" xfId="12477" xr:uid="{00000000-0005-0000-0000-0000C2300000}"/>
    <cellStyle name="Normal 61 13 2 2" xfId="12478" xr:uid="{00000000-0005-0000-0000-0000C3300000}"/>
    <cellStyle name="Normal 61 13 2 3" xfId="12479" xr:uid="{00000000-0005-0000-0000-0000C4300000}"/>
    <cellStyle name="Normal 61 13 2 4" xfId="12480" xr:uid="{00000000-0005-0000-0000-0000C5300000}"/>
    <cellStyle name="Normal 61 13 2 5" xfId="12481" xr:uid="{00000000-0005-0000-0000-0000C6300000}"/>
    <cellStyle name="Normal 61 13 2 6" xfId="12482" xr:uid="{00000000-0005-0000-0000-0000C7300000}"/>
    <cellStyle name="Normal 61 13 2 7" xfId="12483" xr:uid="{00000000-0005-0000-0000-0000C8300000}"/>
    <cellStyle name="Normal 61 13 2 8" xfId="12484" xr:uid="{00000000-0005-0000-0000-0000C9300000}"/>
    <cellStyle name="Normal 61 13 2 9" xfId="12485" xr:uid="{00000000-0005-0000-0000-0000CA300000}"/>
    <cellStyle name="Normal 61 13 3" xfId="12486" xr:uid="{00000000-0005-0000-0000-0000CB300000}"/>
    <cellStyle name="Normal 61 13 4" xfId="12487" xr:uid="{00000000-0005-0000-0000-0000CC300000}"/>
    <cellStyle name="Normal 61 13 5" xfId="12488" xr:uid="{00000000-0005-0000-0000-0000CD300000}"/>
    <cellStyle name="Normal 61 13 6" xfId="12489" xr:uid="{00000000-0005-0000-0000-0000CE300000}"/>
    <cellStyle name="Normal 61 13 7" xfId="12490" xr:uid="{00000000-0005-0000-0000-0000CF300000}"/>
    <cellStyle name="Normal 61 13 8" xfId="12491" xr:uid="{00000000-0005-0000-0000-0000D0300000}"/>
    <cellStyle name="Normal 61 13 9" xfId="12492" xr:uid="{00000000-0005-0000-0000-0000D1300000}"/>
    <cellStyle name="Normal 61 14" xfId="12493" xr:uid="{00000000-0005-0000-0000-0000D2300000}"/>
    <cellStyle name="Normal 61 14 10" xfId="12494" xr:uid="{00000000-0005-0000-0000-0000D3300000}"/>
    <cellStyle name="Normal 61 14 11" xfId="12495" xr:uid="{00000000-0005-0000-0000-0000D4300000}"/>
    <cellStyle name="Normal 61 14 2" xfId="12496" xr:uid="{00000000-0005-0000-0000-0000D5300000}"/>
    <cellStyle name="Normal 61 14 3" xfId="12497" xr:uid="{00000000-0005-0000-0000-0000D6300000}"/>
    <cellStyle name="Normal 61 14 4" xfId="12498" xr:uid="{00000000-0005-0000-0000-0000D7300000}"/>
    <cellStyle name="Normal 61 14 5" xfId="12499" xr:uid="{00000000-0005-0000-0000-0000D8300000}"/>
    <cellStyle name="Normal 61 14 6" xfId="12500" xr:uid="{00000000-0005-0000-0000-0000D9300000}"/>
    <cellStyle name="Normal 61 14 7" xfId="12501" xr:uid="{00000000-0005-0000-0000-0000DA300000}"/>
    <cellStyle name="Normal 61 14 8" xfId="12502" xr:uid="{00000000-0005-0000-0000-0000DB300000}"/>
    <cellStyle name="Normal 61 14 9" xfId="12503" xr:uid="{00000000-0005-0000-0000-0000DC300000}"/>
    <cellStyle name="Normal 61 15" xfId="12504" xr:uid="{00000000-0005-0000-0000-0000DD300000}"/>
    <cellStyle name="Normal 61 16" xfId="12505" xr:uid="{00000000-0005-0000-0000-0000DE300000}"/>
    <cellStyle name="Normal 61 17" xfId="12506" xr:uid="{00000000-0005-0000-0000-0000DF300000}"/>
    <cellStyle name="Normal 61 18" xfId="12507" xr:uid="{00000000-0005-0000-0000-0000E0300000}"/>
    <cellStyle name="Normal 61 19" xfId="12508" xr:uid="{00000000-0005-0000-0000-0000E1300000}"/>
    <cellStyle name="Normal 61 2" xfId="12509" xr:uid="{00000000-0005-0000-0000-0000E2300000}"/>
    <cellStyle name="Normal 61 2 10" xfId="12510" xr:uid="{00000000-0005-0000-0000-0000E3300000}"/>
    <cellStyle name="Normal 61 2 11" xfId="12511" xr:uid="{00000000-0005-0000-0000-0000E4300000}"/>
    <cellStyle name="Normal 61 2 12" xfId="12512" xr:uid="{00000000-0005-0000-0000-0000E5300000}"/>
    <cellStyle name="Normal 61 2 13" xfId="12513" xr:uid="{00000000-0005-0000-0000-0000E6300000}"/>
    <cellStyle name="Normal 61 2 2" xfId="12514" xr:uid="{00000000-0005-0000-0000-0000E7300000}"/>
    <cellStyle name="Normal 61 2 2 10" xfId="12515" xr:uid="{00000000-0005-0000-0000-0000E8300000}"/>
    <cellStyle name="Normal 61 2 2 11" xfId="12516" xr:uid="{00000000-0005-0000-0000-0000E9300000}"/>
    <cellStyle name="Normal 61 2 2 2" xfId="12517" xr:uid="{00000000-0005-0000-0000-0000EA300000}"/>
    <cellStyle name="Normal 61 2 2 3" xfId="12518" xr:uid="{00000000-0005-0000-0000-0000EB300000}"/>
    <cellStyle name="Normal 61 2 2 4" xfId="12519" xr:uid="{00000000-0005-0000-0000-0000EC300000}"/>
    <cellStyle name="Normal 61 2 2 5" xfId="12520" xr:uid="{00000000-0005-0000-0000-0000ED300000}"/>
    <cellStyle name="Normal 61 2 2 6" xfId="12521" xr:uid="{00000000-0005-0000-0000-0000EE300000}"/>
    <cellStyle name="Normal 61 2 2 7" xfId="12522" xr:uid="{00000000-0005-0000-0000-0000EF300000}"/>
    <cellStyle name="Normal 61 2 2 8" xfId="12523" xr:uid="{00000000-0005-0000-0000-0000F0300000}"/>
    <cellStyle name="Normal 61 2 2 9" xfId="12524" xr:uid="{00000000-0005-0000-0000-0000F1300000}"/>
    <cellStyle name="Normal 61 2 3" xfId="12525" xr:uid="{00000000-0005-0000-0000-0000F2300000}"/>
    <cellStyle name="Normal 61 2 4" xfId="12526" xr:uid="{00000000-0005-0000-0000-0000F3300000}"/>
    <cellStyle name="Normal 61 2 5" xfId="12527" xr:uid="{00000000-0005-0000-0000-0000F4300000}"/>
    <cellStyle name="Normal 61 2 6" xfId="12528" xr:uid="{00000000-0005-0000-0000-0000F5300000}"/>
    <cellStyle name="Normal 61 2 7" xfId="12529" xr:uid="{00000000-0005-0000-0000-0000F6300000}"/>
    <cellStyle name="Normal 61 2 8" xfId="12530" xr:uid="{00000000-0005-0000-0000-0000F7300000}"/>
    <cellStyle name="Normal 61 2 9" xfId="12531" xr:uid="{00000000-0005-0000-0000-0000F8300000}"/>
    <cellStyle name="Normal 61 20" xfId="12532" xr:uid="{00000000-0005-0000-0000-0000F9300000}"/>
    <cellStyle name="Normal 61 21" xfId="12533" xr:uid="{00000000-0005-0000-0000-0000FA300000}"/>
    <cellStyle name="Normal 61 22" xfId="12534" xr:uid="{00000000-0005-0000-0000-0000FB300000}"/>
    <cellStyle name="Normal 61 23" xfId="12535" xr:uid="{00000000-0005-0000-0000-0000FC300000}"/>
    <cellStyle name="Normal 61 24" xfId="12536" xr:uid="{00000000-0005-0000-0000-0000FD300000}"/>
    <cellStyle name="Normal 61 25" xfId="12537" xr:uid="{00000000-0005-0000-0000-0000FE300000}"/>
    <cellStyle name="Normal 61 3" xfId="12538" xr:uid="{00000000-0005-0000-0000-0000FF300000}"/>
    <cellStyle name="Normal 61 3 10" xfId="12539" xr:uid="{00000000-0005-0000-0000-000000310000}"/>
    <cellStyle name="Normal 61 3 11" xfId="12540" xr:uid="{00000000-0005-0000-0000-000001310000}"/>
    <cellStyle name="Normal 61 3 12" xfId="12541" xr:uid="{00000000-0005-0000-0000-000002310000}"/>
    <cellStyle name="Normal 61 3 13" xfId="12542" xr:uid="{00000000-0005-0000-0000-000003310000}"/>
    <cellStyle name="Normal 61 3 2" xfId="12543" xr:uid="{00000000-0005-0000-0000-000004310000}"/>
    <cellStyle name="Normal 61 3 2 10" xfId="12544" xr:uid="{00000000-0005-0000-0000-000005310000}"/>
    <cellStyle name="Normal 61 3 2 11" xfId="12545" xr:uid="{00000000-0005-0000-0000-000006310000}"/>
    <cellStyle name="Normal 61 3 2 2" xfId="12546" xr:uid="{00000000-0005-0000-0000-000007310000}"/>
    <cellStyle name="Normal 61 3 2 3" xfId="12547" xr:uid="{00000000-0005-0000-0000-000008310000}"/>
    <cellStyle name="Normal 61 3 2 4" xfId="12548" xr:uid="{00000000-0005-0000-0000-000009310000}"/>
    <cellStyle name="Normal 61 3 2 5" xfId="12549" xr:uid="{00000000-0005-0000-0000-00000A310000}"/>
    <cellStyle name="Normal 61 3 2 6" xfId="12550" xr:uid="{00000000-0005-0000-0000-00000B310000}"/>
    <cellStyle name="Normal 61 3 2 7" xfId="12551" xr:uid="{00000000-0005-0000-0000-00000C310000}"/>
    <cellStyle name="Normal 61 3 2 8" xfId="12552" xr:uid="{00000000-0005-0000-0000-00000D310000}"/>
    <cellStyle name="Normal 61 3 2 9" xfId="12553" xr:uid="{00000000-0005-0000-0000-00000E310000}"/>
    <cellStyle name="Normal 61 3 3" xfId="12554" xr:uid="{00000000-0005-0000-0000-00000F310000}"/>
    <cellStyle name="Normal 61 3 4" xfId="12555" xr:uid="{00000000-0005-0000-0000-000010310000}"/>
    <cellStyle name="Normal 61 3 5" xfId="12556" xr:uid="{00000000-0005-0000-0000-000011310000}"/>
    <cellStyle name="Normal 61 3 6" xfId="12557" xr:uid="{00000000-0005-0000-0000-000012310000}"/>
    <cellStyle name="Normal 61 3 7" xfId="12558" xr:uid="{00000000-0005-0000-0000-000013310000}"/>
    <cellStyle name="Normal 61 3 8" xfId="12559" xr:uid="{00000000-0005-0000-0000-000014310000}"/>
    <cellStyle name="Normal 61 3 9" xfId="12560" xr:uid="{00000000-0005-0000-0000-000015310000}"/>
    <cellStyle name="Normal 61 4" xfId="12561" xr:uid="{00000000-0005-0000-0000-000016310000}"/>
    <cellStyle name="Normal 61 4 10" xfId="12562" xr:uid="{00000000-0005-0000-0000-000017310000}"/>
    <cellStyle name="Normal 61 4 11" xfId="12563" xr:uid="{00000000-0005-0000-0000-000018310000}"/>
    <cellStyle name="Normal 61 4 12" xfId="12564" xr:uid="{00000000-0005-0000-0000-000019310000}"/>
    <cellStyle name="Normal 61 4 13" xfId="12565" xr:uid="{00000000-0005-0000-0000-00001A310000}"/>
    <cellStyle name="Normal 61 4 2" xfId="12566" xr:uid="{00000000-0005-0000-0000-00001B310000}"/>
    <cellStyle name="Normal 61 4 2 10" xfId="12567" xr:uid="{00000000-0005-0000-0000-00001C310000}"/>
    <cellStyle name="Normal 61 4 2 11" xfId="12568" xr:uid="{00000000-0005-0000-0000-00001D310000}"/>
    <cellStyle name="Normal 61 4 2 2" xfId="12569" xr:uid="{00000000-0005-0000-0000-00001E310000}"/>
    <cellStyle name="Normal 61 4 2 3" xfId="12570" xr:uid="{00000000-0005-0000-0000-00001F310000}"/>
    <cellStyle name="Normal 61 4 2 4" xfId="12571" xr:uid="{00000000-0005-0000-0000-000020310000}"/>
    <cellStyle name="Normal 61 4 2 5" xfId="12572" xr:uid="{00000000-0005-0000-0000-000021310000}"/>
    <cellStyle name="Normal 61 4 2 6" xfId="12573" xr:uid="{00000000-0005-0000-0000-000022310000}"/>
    <cellStyle name="Normal 61 4 2 7" xfId="12574" xr:uid="{00000000-0005-0000-0000-000023310000}"/>
    <cellStyle name="Normal 61 4 2 8" xfId="12575" xr:uid="{00000000-0005-0000-0000-000024310000}"/>
    <cellStyle name="Normal 61 4 2 9" xfId="12576" xr:uid="{00000000-0005-0000-0000-000025310000}"/>
    <cellStyle name="Normal 61 4 3" xfId="12577" xr:uid="{00000000-0005-0000-0000-000026310000}"/>
    <cellStyle name="Normal 61 4 4" xfId="12578" xr:uid="{00000000-0005-0000-0000-000027310000}"/>
    <cellStyle name="Normal 61 4 5" xfId="12579" xr:uid="{00000000-0005-0000-0000-000028310000}"/>
    <cellStyle name="Normal 61 4 6" xfId="12580" xr:uid="{00000000-0005-0000-0000-000029310000}"/>
    <cellStyle name="Normal 61 4 7" xfId="12581" xr:uid="{00000000-0005-0000-0000-00002A310000}"/>
    <cellStyle name="Normal 61 4 8" xfId="12582" xr:uid="{00000000-0005-0000-0000-00002B310000}"/>
    <cellStyle name="Normal 61 4 9" xfId="12583" xr:uid="{00000000-0005-0000-0000-00002C310000}"/>
    <cellStyle name="Normal 61 5" xfId="12584" xr:uid="{00000000-0005-0000-0000-00002D310000}"/>
    <cellStyle name="Normal 61 5 10" xfId="12585" xr:uid="{00000000-0005-0000-0000-00002E310000}"/>
    <cellStyle name="Normal 61 5 11" xfId="12586" xr:uid="{00000000-0005-0000-0000-00002F310000}"/>
    <cellStyle name="Normal 61 5 12" xfId="12587" xr:uid="{00000000-0005-0000-0000-000030310000}"/>
    <cellStyle name="Normal 61 5 13" xfId="12588" xr:uid="{00000000-0005-0000-0000-000031310000}"/>
    <cellStyle name="Normal 61 5 2" xfId="12589" xr:uid="{00000000-0005-0000-0000-000032310000}"/>
    <cellStyle name="Normal 61 5 2 10" xfId="12590" xr:uid="{00000000-0005-0000-0000-000033310000}"/>
    <cellStyle name="Normal 61 5 2 11" xfId="12591" xr:uid="{00000000-0005-0000-0000-000034310000}"/>
    <cellStyle name="Normal 61 5 2 2" xfId="12592" xr:uid="{00000000-0005-0000-0000-000035310000}"/>
    <cellStyle name="Normal 61 5 2 3" xfId="12593" xr:uid="{00000000-0005-0000-0000-000036310000}"/>
    <cellStyle name="Normal 61 5 2 4" xfId="12594" xr:uid="{00000000-0005-0000-0000-000037310000}"/>
    <cellStyle name="Normal 61 5 2 5" xfId="12595" xr:uid="{00000000-0005-0000-0000-000038310000}"/>
    <cellStyle name="Normal 61 5 2 6" xfId="12596" xr:uid="{00000000-0005-0000-0000-000039310000}"/>
    <cellStyle name="Normal 61 5 2 7" xfId="12597" xr:uid="{00000000-0005-0000-0000-00003A310000}"/>
    <cellStyle name="Normal 61 5 2 8" xfId="12598" xr:uid="{00000000-0005-0000-0000-00003B310000}"/>
    <cellStyle name="Normal 61 5 2 9" xfId="12599" xr:uid="{00000000-0005-0000-0000-00003C310000}"/>
    <cellStyle name="Normal 61 5 3" xfId="12600" xr:uid="{00000000-0005-0000-0000-00003D310000}"/>
    <cellStyle name="Normal 61 5 4" xfId="12601" xr:uid="{00000000-0005-0000-0000-00003E310000}"/>
    <cellStyle name="Normal 61 5 5" xfId="12602" xr:uid="{00000000-0005-0000-0000-00003F310000}"/>
    <cellStyle name="Normal 61 5 6" xfId="12603" xr:uid="{00000000-0005-0000-0000-000040310000}"/>
    <cellStyle name="Normal 61 5 7" xfId="12604" xr:uid="{00000000-0005-0000-0000-000041310000}"/>
    <cellStyle name="Normal 61 5 8" xfId="12605" xr:uid="{00000000-0005-0000-0000-000042310000}"/>
    <cellStyle name="Normal 61 5 9" xfId="12606" xr:uid="{00000000-0005-0000-0000-000043310000}"/>
    <cellStyle name="Normal 61 6" xfId="12607" xr:uid="{00000000-0005-0000-0000-000044310000}"/>
    <cellStyle name="Normal 61 6 10" xfId="12608" xr:uid="{00000000-0005-0000-0000-000045310000}"/>
    <cellStyle name="Normal 61 6 11" xfId="12609" xr:uid="{00000000-0005-0000-0000-000046310000}"/>
    <cellStyle name="Normal 61 6 12" xfId="12610" xr:uid="{00000000-0005-0000-0000-000047310000}"/>
    <cellStyle name="Normal 61 6 13" xfId="12611" xr:uid="{00000000-0005-0000-0000-000048310000}"/>
    <cellStyle name="Normal 61 6 2" xfId="12612" xr:uid="{00000000-0005-0000-0000-000049310000}"/>
    <cellStyle name="Normal 61 6 2 10" xfId="12613" xr:uid="{00000000-0005-0000-0000-00004A310000}"/>
    <cellStyle name="Normal 61 6 2 11" xfId="12614" xr:uid="{00000000-0005-0000-0000-00004B310000}"/>
    <cellStyle name="Normal 61 6 2 2" xfId="12615" xr:uid="{00000000-0005-0000-0000-00004C310000}"/>
    <cellStyle name="Normal 61 6 2 3" xfId="12616" xr:uid="{00000000-0005-0000-0000-00004D310000}"/>
    <cellStyle name="Normal 61 6 2 4" xfId="12617" xr:uid="{00000000-0005-0000-0000-00004E310000}"/>
    <cellStyle name="Normal 61 6 2 5" xfId="12618" xr:uid="{00000000-0005-0000-0000-00004F310000}"/>
    <cellStyle name="Normal 61 6 2 6" xfId="12619" xr:uid="{00000000-0005-0000-0000-000050310000}"/>
    <cellStyle name="Normal 61 6 2 7" xfId="12620" xr:uid="{00000000-0005-0000-0000-000051310000}"/>
    <cellStyle name="Normal 61 6 2 8" xfId="12621" xr:uid="{00000000-0005-0000-0000-000052310000}"/>
    <cellStyle name="Normal 61 6 2 9" xfId="12622" xr:uid="{00000000-0005-0000-0000-000053310000}"/>
    <cellStyle name="Normal 61 6 3" xfId="12623" xr:uid="{00000000-0005-0000-0000-000054310000}"/>
    <cellStyle name="Normal 61 6 4" xfId="12624" xr:uid="{00000000-0005-0000-0000-000055310000}"/>
    <cellStyle name="Normal 61 6 5" xfId="12625" xr:uid="{00000000-0005-0000-0000-000056310000}"/>
    <cellStyle name="Normal 61 6 6" xfId="12626" xr:uid="{00000000-0005-0000-0000-000057310000}"/>
    <cellStyle name="Normal 61 6 7" xfId="12627" xr:uid="{00000000-0005-0000-0000-000058310000}"/>
    <cellStyle name="Normal 61 6 8" xfId="12628" xr:uid="{00000000-0005-0000-0000-000059310000}"/>
    <cellStyle name="Normal 61 6 9" xfId="12629" xr:uid="{00000000-0005-0000-0000-00005A310000}"/>
    <cellStyle name="Normal 61 7" xfId="12630" xr:uid="{00000000-0005-0000-0000-00005B310000}"/>
    <cellStyle name="Normal 61 7 10" xfId="12631" xr:uid="{00000000-0005-0000-0000-00005C310000}"/>
    <cellStyle name="Normal 61 7 11" xfId="12632" xr:uid="{00000000-0005-0000-0000-00005D310000}"/>
    <cellStyle name="Normal 61 7 12" xfId="12633" xr:uid="{00000000-0005-0000-0000-00005E310000}"/>
    <cellStyle name="Normal 61 7 13" xfId="12634" xr:uid="{00000000-0005-0000-0000-00005F310000}"/>
    <cellStyle name="Normal 61 7 2" xfId="12635" xr:uid="{00000000-0005-0000-0000-000060310000}"/>
    <cellStyle name="Normal 61 7 2 10" xfId="12636" xr:uid="{00000000-0005-0000-0000-000061310000}"/>
    <cellStyle name="Normal 61 7 2 11" xfId="12637" xr:uid="{00000000-0005-0000-0000-000062310000}"/>
    <cellStyle name="Normal 61 7 2 2" xfId="12638" xr:uid="{00000000-0005-0000-0000-000063310000}"/>
    <cellStyle name="Normal 61 7 2 3" xfId="12639" xr:uid="{00000000-0005-0000-0000-000064310000}"/>
    <cellStyle name="Normal 61 7 2 4" xfId="12640" xr:uid="{00000000-0005-0000-0000-000065310000}"/>
    <cellStyle name="Normal 61 7 2 5" xfId="12641" xr:uid="{00000000-0005-0000-0000-000066310000}"/>
    <cellStyle name="Normal 61 7 2 6" xfId="12642" xr:uid="{00000000-0005-0000-0000-000067310000}"/>
    <cellStyle name="Normal 61 7 2 7" xfId="12643" xr:uid="{00000000-0005-0000-0000-000068310000}"/>
    <cellStyle name="Normal 61 7 2 8" xfId="12644" xr:uid="{00000000-0005-0000-0000-000069310000}"/>
    <cellStyle name="Normal 61 7 2 9" xfId="12645" xr:uid="{00000000-0005-0000-0000-00006A310000}"/>
    <cellStyle name="Normal 61 7 3" xfId="12646" xr:uid="{00000000-0005-0000-0000-00006B310000}"/>
    <cellStyle name="Normal 61 7 4" xfId="12647" xr:uid="{00000000-0005-0000-0000-00006C310000}"/>
    <cellStyle name="Normal 61 7 5" xfId="12648" xr:uid="{00000000-0005-0000-0000-00006D310000}"/>
    <cellStyle name="Normal 61 7 6" xfId="12649" xr:uid="{00000000-0005-0000-0000-00006E310000}"/>
    <cellStyle name="Normal 61 7 7" xfId="12650" xr:uid="{00000000-0005-0000-0000-00006F310000}"/>
    <cellStyle name="Normal 61 7 8" xfId="12651" xr:uid="{00000000-0005-0000-0000-000070310000}"/>
    <cellStyle name="Normal 61 7 9" xfId="12652" xr:uid="{00000000-0005-0000-0000-000071310000}"/>
    <cellStyle name="Normal 61 8" xfId="12653" xr:uid="{00000000-0005-0000-0000-000072310000}"/>
    <cellStyle name="Normal 61 8 10" xfId="12654" xr:uid="{00000000-0005-0000-0000-000073310000}"/>
    <cellStyle name="Normal 61 8 11" xfId="12655" xr:uid="{00000000-0005-0000-0000-000074310000}"/>
    <cellStyle name="Normal 61 8 12" xfId="12656" xr:uid="{00000000-0005-0000-0000-000075310000}"/>
    <cellStyle name="Normal 61 8 13" xfId="12657" xr:uid="{00000000-0005-0000-0000-000076310000}"/>
    <cellStyle name="Normal 61 8 2" xfId="12658" xr:uid="{00000000-0005-0000-0000-000077310000}"/>
    <cellStyle name="Normal 61 8 2 10" xfId="12659" xr:uid="{00000000-0005-0000-0000-000078310000}"/>
    <cellStyle name="Normal 61 8 2 11" xfId="12660" xr:uid="{00000000-0005-0000-0000-000079310000}"/>
    <cellStyle name="Normal 61 8 2 2" xfId="12661" xr:uid="{00000000-0005-0000-0000-00007A310000}"/>
    <cellStyle name="Normal 61 8 2 3" xfId="12662" xr:uid="{00000000-0005-0000-0000-00007B310000}"/>
    <cellStyle name="Normal 61 8 2 4" xfId="12663" xr:uid="{00000000-0005-0000-0000-00007C310000}"/>
    <cellStyle name="Normal 61 8 2 5" xfId="12664" xr:uid="{00000000-0005-0000-0000-00007D310000}"/>
    <cellStyle name="Normal 61 8 2 6" xfId="12665" xr:uid="{00000000-0005-0000-0000-00007E310000}"/>
    <cellStyle name="Normal 61 8 2 7" xfId="12666" xr:uid="{00000000-0005-0000-0000-00007F310000}"/>
    <cellStyle name="Normal 61 8 2 8" xfId="12667" xr:uid="{00000000-0005-0000-0000-000080310000}"/>
    <cellStyle name="Normal 61 8 2 9" xfId="12668" xr:uid="{00000000-0005-0000-0000-000081310000}"/>
    <cellStyle name="Normal 61 8 3" xfId="12669" xr:uid="{00000000-0005-0000-0000-000082310000}"/>
    <cellStyle name="Normal 61 8 4" xfId="12670" xr:uid="{00000000-0005-0000-0000-000083310000}"/>
    <cellStyle name="Normal 61 8 5" xfId="12671" xr:uid="{00000000-0005-0000-0000-000084310000}"/>
    <cellStyle name="Normal 61 8 6" xfId="12672" xr:uid="{00000000-0005-0000-0000-000085310000}"/>
    <cellStyle name="Normal 61 8 7" xfId="12673" xr:uid="{00000000-0005-0000-0000-000086310000}"/>
    <cellStyle name="Normal 61 8 8" xfId="12674" xr:uid="{00000000-0005-0000-0000-000087310000}"/>
    <cellStyle name="Normal 61 8 9" xfId="12675" xr:uid="{00000000-0005-0000-0000-000088310000}"/>
    <cellStyle name="Normal 61 9" xfId="12676" xr:uid="{00000000-0005-0000-0000-000089310000}"/>
    <cellStyle name="Normal 61 9 10" xfId="12677" xr:uid="{00000000-0005-0000-0000-00008A310000}"/>
    <cellStyle name="Normal 61 9 11" xfId="12678" xr:uid="{00000000-0005-0000-0000-00008B310000}"/>
    <cellStyle name="Normal 61 9 12" xfId="12679" xr:uid="{00000000-0005-0000-0000-00008C310000}"/>
    <cellStyle name="Normal 61 9 13" xfId="12680" xr:uid="{00000000-0005-0000-0000-00008D310000}"/>
    <cellStyle name="Normal 61 9 2" xfId="12681" xr:uid="{00000000-0005-0000-0000-00008E310000}"/>
    <cellStyle name="Normal 61 9 2 10" xfId="12682" xr:uid="{00000000-0005-0000-0000-00008F310000}"/>
    <cellStyle name="Normal 61 9 2 11" xfId="12683" xr:uid="{00000000-0005-0000-0000-000090310000}"/>
    <cellStyle name="Normal 61 9 2 2" xfId="12684" xr:uid="{00000000-0005-0000-0000-000091310000}"/>
    <cellStyle name="Normal 61 9 2 3" xfId="12685" xr:uid="{00000000-0005-0000-0000-000092310000}"/>
    <cellStyle name="Normal 61 9 2 4" xfId="12686" xr:uid="{00000000-0005-0000-0000-000093310000}"/>
    <cellStyle name="Normal 61 9 2 5" xfId="12687" xr:uid="{00000000-0005-0000-0000-000094310000}"/>
    <cellStyle name="Normal 61 9 2 6" xfId="12688" xr:uid="{00000000-0005-0000-0000-000095310000}"/>
    <cellStyle name="Normal 61 9 2 7" xfId="12689" xr:uid="{00000000-0005-0000-0000-000096310000}"/>
    <cellStyle name="Normal 61 9 2 8" xfId="12690" xr:uid="{00000000-0005-0000-0000-000097310000}"/>
    <cellStyle name="Normal 61 9 2 9" xfId="12691" xr:uid="{00000000-0005-0000-0000-000098310000}"/>
    <cellStyle name="Normal 61 9 3" xfId="12692" xr:uid="{00000000-0005-0000-0000-000099310000}"/>
    <cellStyle name="Normal 61 9 4" xfId="12693" xr:uid="{00000000-0005-0000-0000-00009A310000}"/>
    <cellStyle name="Normal 61 9 5" xfId="12694" xr:uid="{00000000-0005-0000-0000-00009B310000}"/>
    <cellStyle name="Normal 61 9 6" xfId="12695" xr:uid="{00000000-0005-0000-0000-00009C310000}"/>
    <cellStyle name="Normal 61 9 7" xfId="12696" xr:uid="{00000000-0005-0000-0000-00009D310000}"/>
    <cellStyle name="Normal 61 9 8" xfId="12697" xr:uid="{00000000-0005-0000-0000-00009E310000}"/>
    <cellStyle name="Normal 61 9 9" xfId="12698" xr:uid="{00000000-0005-0000-0000-00009F310000}"/>
    <cellStyle name="Normal 62" xfId="12699" xr:uid="{00000000-0005-0000-0000-0000A0310000}"/>
    <cellStyle name="Normal 62 10" xfId="12700" xr:uid="{00000000-0005-0000-0000-0000A1310000}"/>
    <cellStyle name="Normal 62 10 10" xfId="12701" xr:uid="{00000000-0005-0000-0000-0000A2310000}"/>
    <cellStyle name="Normal 62 10 11" xfId="12702" xr:uid="{00000000-0005-0000-0000-0000A3310000}"/>
    <cellStyle name="Normal 62 10 12" xfId="12703" xr:uid="{00000000-0005-0000-0000-0000A4310000}"/>
    <cellStyle name="Normal 62 10 13" xfId="12704" xr:uid="{00000000-0005-0000-0000-0000A5310000}"/>
    <cellStyle name="Normal 62 10 2" xfId="12705" xr:uid="{00000000-0005-0000-0000-0000A6310000}"/>
    <cellStyle name="Normal 62 10 2 10" xfId="12706" xr:uid="{00000000-0005-0000-0000-0000A7310000}"/>
    <cellStyle name="Normal 62 10 2 11" xfId="12707" xr:uid="{00000000-0005-0000-0000-0000A8310000}"/>
    <cellStyle name="Normal 62 10 2 2" xfId="12708" xr:uid="{00000000-0005-0000-0000-0000A9310000}"/>
    <cellStyle name="Normal 62 10 2 3" xfId="12709" xr:uid="{00000000-0005-0000-0000-0000AA310000}"/>
    <cellStyle name="Normal 62 10 2 4" xfId="12710" xr:uid="{00000000-0005-0000-0000-0000AB310000}"/>
    <cellStyle name="Normal 62 10 2 5" xfId="12711" xr:uid="{00000000-0005-0000-0000-0000AC310000}"/>
    <cellStyle name="Normal 62 10 2 6" xfId="12712" xr:uid="{00000000-0005-0000-0000-0000AD310000}"/>
    <cellStyle name="Normal 62 10 2 7" xfId="12713" xr:uid="{00000000-0005-0000-0000-0000AE310000}"/>
    <cellStyle name="Normal 62 10 2 8" xfId="12714" xr:uid="{00000000-0005-0000-0000-0000AF310000}"/>
    <cellStyle name="Normal 62 10 2 9" xfId="12715" xr:uid="{00000000-0005-0000-0000-0000B0310000}"/>
    <cellStyle name="Normal 62 10 3" xfId="12716" xr:uid="{00000000-0005-0000-0000-0000B1310000}"/>
    <cellStyle name="Normal 62 10 4" xfId="12717" xr:uid="{00000000-0005-0000-0000-0000B2310000}"/>
    <cellStyle name="Normal 62 10 5" xfId="12718" xr:uid="{00000000-0005-0000-0000-0000B3310000}"/>
    <cellStyle name="Normal 62 10 6" xfId="12719" xr:uid="{00000000-0005-0000-0000-0000B4310000}"/>
    <cellStyle name="Normal 62 10 7" xfId="12720" xr:uid="{00000000-0005-0000-0000-0000B5310000}"/>
    <cellStyle name="Normal 62 10 8" xfId="12721" xr:uid="{00000000-0005-0000-0000-0000B6310000}"/>
    <cellStyle name="Normal 62 10 9" xfId="12722" xr:uid="{00000000-0005-0000-0000-0000B7310000}"/>
    <cellStyle name="Normal 62 11" xfId="12723" xr:uid="{00000000-0005-0000-0000-0000B8310000}"/>
    <cellStyle name="Normal 62 11 10" xfId="12724" xr:uid="{00000000-0005-0000-0000-0000B9310000}"/>
    <cellStyle name="Normal 62 11 11" xfId="12725" xr:uid="{00000000-0005-0000-0000-0000BA310000}"/>
    <cellStyle name="Normal 62 11 12" xfId="12726" xr:uid="{00000000-0005-0000-0000-0000BB310000}"/>
    <cellStyle name="Normal 62 11 13" xfId="12727" xr:uid="{00000000-0005-0000-0000-0000BC310000}"/>
    <cellStyle name="Normal 62 11 2" xfId="12728" xr:uid="{00000000-0005-0000-0000-0000BD310000}"/>
    <cellStyle name="Normal 62 11 2 10" xfId="12729" xr:uid="{00000000-0005-0000-0000-0000BE310000}"/>
    <cellStyle name="Normal 62 11 2 11" xfId="12730" xr:uid="{00000000-0005-0000-0000-0000BF310000}"/>
    <cellStyle name="Normal 62 11 2 2" xfId="12731" xr:uid="{00000000-0005-0000-0000-0000C0310000}"/>
    <cellStyle name="Normal 62 11 2 3" xfId="12732" xr:uid="{00000000-0005-0000-0000-0000C1310000}"/>
    <cellStyle name="Normal 62 11 2 4" xfId="12733" xr:uid="{00000000-0005-0000-0000-0000C2310000}"/>
    <cellStyle name="Normal 62 11 2 5" xfId="12734" xr:uid="{00000000-0005-0000-0000-0000C3310000}"/>
    <cellStyle name="Normal 62 11 2 6" xfId="12735" xr:uid="{00000000-0005-0000-0000-0000C4310000}"/>
    <cellStyle name="Normal 62 11 2 7" xfId="12736" xr:uid="{00000000-0005-0000-0000-0000C5310000}"/>
    <cellStyle name="Normal 62 11 2 8" xfId="12737" xr:uid="{00000000-0005-0000-0000-0000C6310000}"/>
    <cellStyle name="Normal 62 11 2 9" xfId="12738" xr:uid="{00000000-0005-0000-0000-0000C7310000}"/>
    <cellStyle name="Normal 62 11 3" xfId="12739" xr:uid="{00000000-0005-0000-0000-0000C8310000}"/>
    <cellStyle name="Normal 62 11 4" xfId="12740" xr:uid="{00000000-0005-0000-0000-0000C9310000}"/>
    <cellStyle name="Normal 62 11 5" xfId="12741" xr:uid="{00000000-0005-0000-0000-0000CA310000}"/>
    <cellStyle name="Normal 62 11 6" xfId="12742" xr:uid="{00000000-0005-0000-0000-0000CB310000}"/>
    <cellStyle name="Normal 62 11 7" xfId="12743" xr:uid="{00000000-0005-0000-0000-0000CC310000}"/>
    <cellStyle name="Normal 62 11 8" xfId="12744" xr:uid="{00000000-0005-0000-0000-0000CD310000}"/>
    <cellStyle name="Normal 62 11 9" xfId="12745" xr:uid="{00000000-0005-0000-0000-0000CE310000}"/>
    <cellStyle name="Normal 62 12" xfId="12746" xr:uid="{00000000-0005-0000-0000-0000CF310000}"/>
    <cellStyle name="Normal 62 12 10" xfId="12747" xr:uid="{00000000-0005-0000-0000-0000D0310000}"/>
    <cellStyle name="Normal 62 12 11" xfId="12748" xr:uid="{00000000-0005-0000-0000-0000D1310000}"/>
    <cellStyle name="Normal 62 12 12" xfId="12749" xr:uid="{00000000-0005-0000-0000-0000D2310000}"/>
    <cellStyle name="Normal 62 12 13" xfId="12750" xr:uid="{00000000-0005-0000-0000-0000D3310000}"/>
    <cellStyle name="Normal 62 12 2" xfId="12751" xr:uid="{00000000-0005-0000-0000-0000D4310000}"/>
    <cellStyle name="Normal 62 12 2 10" xfId="12752" xr:uid="{00000000-0005-0000-0000-0000D5310000}"/>
    <cellStyle name="Normal 62 12 2 11" xfId="12753" xr:uid="{00000000-0005-0000-0000-0000D6310000}"/>
    <cellStyle name="Normal 62 12 2 2" xfId="12754" xr:uid="{00000000-0005-0000-0000-0000D7310000}"/>
    <cellStyle name="Normal 62 12 2 3" xfId="12755" xr:uid="{00000000-0005-0000-0000-0000D8310000}"/>
    <cellStyle name="Normal 62 12 2 4" xfId="12756" xr:uid="{00000000-0005-0000-0000-0000D9310000}"/>
    <cellStyle name="Normal 62 12 2 5" xfId="12757" xr:uid="{00000000-0005-0000-0000-0000DA310000}"/>
    <cellStyle name="Normal 62 12 2 6" xfId="12758" xr:uid="{00000000-0005-0000-0000-0000DB310000}"/>
    <cellStyle name="Normal 62 12 2 7" xfId="12759" xr:uid="{00000000-0005-0000-0000-0000DC310000}"/>
    <cellStyle name="Normal 62 12 2 8" xfId="12760" xr:uid="{00000000-0005-0000-0000-0000DD310000}"/>
    <cellStyle name="Normal 62 12 2 9" xfId="12761" xr:uid="{00000000-0005-0000-0000-0000DE310000}"/>
    <cellStyle name="Normal 62 12 3" xfId="12762" xr:uid="{00000000-0005-0000-0000-0000DF310000}"/>
    <cellStyle name="Normal 62 12 4" xfId="12763" xr:uid="{00000000-0005-0000-0000-0000E0310000}"/>
    <cellStyle name="Normal 62 12 5" xfId="12764" xr:uid="{00000000-0005-0000-0000-0000E1310000}"/>
    <cellStyle name="Normal 62 12 6" xfId="12765" xr:uid="{00000000-0005-0000-0000-0000E2310000}"/>
    <cellStyle name="Normal 62 12 7" xfId="12766" xr:uid="{00000000-0005-0000-0000-0000E3310000}"/>
    <cellStyle name="Normal 62 12 8" xfId="12767" xr:uid="{00000000-0005-0000-0000-0000E4310000}"/>
    <cellStyle name="Normal 62 12 9" xfId="12768" xr:uid="{00000000-0005-0000-0000-0000E5310000}"/>
    <cellStyle name="Normal 62 13" xfId="12769" xr:uid="{00000000-0005-0000-0000-0000E6310000}"/>
    <cellStyle name="Normal 62 13 10" xfId="12770" xr:uid="{00000000-0005-0000-0000-0000E7310000}"/>
    <cellStyle name="Normal 62 13 11" xfId="12771" xr:uid="{00000000-0005-0000-0000-0000E8310000}"/>
    <cellStyle name="Normal 62 13 12" xfId="12772" xr:uid="{00000000-0005-0000-0000-0000E9310000}"/>
    <cellStyle name="Normal 62 13 13" xfId="12773" xr:uid="{00000000-0005-0000-0000-0000EA310000}"/>
    <cellStyle name="Normal 62 13 2" xfId="12774" xr:uid="{00000000-0005-0000-0000-0000EB310000}"/>
    <cellStyle name="Normal 62 13 2 10" xfId="12775" xr:uid="{00000000-0005-0000-0000-0000EC310000}"/>
    <cellStyle name="Normal 62 13 2 11" xfId="12776" xr:uid="{00000000-0005-0000-0000-0000ED310000}"/>
    <cellStyle name="Normal 62 13 2 2" xfId="12777" xr:uid="{00000000-0005-0000-0000-0000EE310000}"/>
    <cellStyle name="Normal 62 13 2 3" xfId="12778" xr:uid="{00000000-0005-0000-0000-0000EF310000}"/>
    <cellStyle name="Normal 62 13 2 4" xfId="12779" xr:uid="{00000000-0005-0000-0000-0000F0310000}"/>
    <cellStyle name="Normal 62 13 2 5" xfId="12780" xr:uid="{00000000-0005-0000-0000-0000F1310000}"/>
    <cellStyle name="Normal 62 13 2 6" xfId="12781" xr:uid="{00000000-0005-0000-0000-0000F2310000}"/>
    <cellStyle name="Normal 62 13 2 7" xfId="12782" xr:uid="{00000000-0005-0000-0000-0000F3310000}"/>
    <cellStyle name="Normal 62 13 2 8" xfId="12783" xr:uid="{00000000-0005-0000-0000-0000F4310000}"/>
    <cellStyle name="Normal 62 13 2 9" xfId="12784" xr:uid="{00000000-0005-0000-0000-0000F5310000}"/>
    <cellStyle name="Normal 62 13 3" xfId="12785" xr:uid="{00000000-0005-0000-0000-0000F6310000}"/>
    <cellStyle name="Normal 62 13 4" xfId="12786" xr:uid="{00000000-0005-0000-0000-0000F7310000}"/>
    <cellStyle name="Normal 62 13 5" xfId="12787" xr:uid="{00000000-0005-0000-0000-0000F8310000}"/>
    <cellStyle name="Normal 62 13 6" xfId="12788" xr:uid="{00000000-0005-0000-0000-0000F9310000}"/>
    <cellStyle name="Normal 62 13 7" xfId="12789" xr:uid="{00000000-0005-0000-0000-0000FA310000}"/>
    <cellStyle name="Normal 62 13 8" xfId="12790" xr:uid="{00000000-0005-0000-0000-0000FB310000}"/>
    <cellStyle name="Normal 62 13 9" xfId="12791" xr:uid="{00000000-0005-0000-0000-0000FC310000}"/>
    <cellStyle name="Normal 62 14" xfId="12792" xr:uid="{00000000-0005-0000-0000-0000FD310000}"/>
    <cellStyle name="Normal 62 14 10" xfId="12793" xr:uid="{00000000-0005-0000-0000-0000FE310000}"/>
    <cellStyle name="Normal 62 14 11" xfId="12794" xr:uid="{00000000-0005-0000-0000-0000FF310000}"/>
    <cellStyle name="Normal 62 14 2" xfId="12795" xr:uid="{00000000-0005-0000-0000-000000320000}"/>
    <cellStyle name="Normal 62 14 3" xfId="12796" xr:uid="{00000000-0005-0000-0000-000001320000}"/>
    <cellStyle name="Normal 62 14 4" xfId="12797" xr:uid="{00000000-0005-0000-0000-000002320000}"/>
    <cellStyle name="Normal 62 14 5" xfId="12798" xr:uid="{00000000-0005-0000-0000-000003320000}"/>
    <cellStyle name="Normal 62 14 6" xfId="12799" xr:uid="{00000000-0005-0000-0000-000004320000}"/>
    <cellStyle name="Normal 62 14 7" xfId="12800" xr:uid="{00000000-0005-0000-0000-000005320000}"/>
    <cellStyle name="Normal 62 14 8" xfId="12801" xr:uid="{00000000-0005-0000-0000-000006320000}"/>
    <cellStyle name="Normal 62 14 9" xfId="12802" xr:uid="{00000000-0005-0000-0000-000007320000}"/>
    <cellStyle name="Normal 62 15" xfId="12803" xr:uid="{00000000-0005-0000-0000-000008320000}"/>
    <cellStyle name="Normal 62 16" xfId="12804" xr:uid="{00000000-0005-0000-0000-000009320000}"/>
    <cellStyle name="Normal 62 17" xfId="12805" xr:uid="{00000000-0005-0000-0000-00000A320000}"/>
    <cellStyle name="Normal 62 18" xfId="12806" xr:uid="{00000000-0005-0000-0000-00000B320000}"/>
    <cellStyle name="Normal 62 19" xfId="12807" xr:uid="{00000000-0005-0000-0000-00000C320000}"/>
    <cellStyle name="Normal 62 2" xfId="12808" xr:uid="{00000000-0005-0000-0000-00000D320000}"/>
    <cellStyle name="Normal 62 2 10" xfId="12809" xr:uid="{00000000-0005-0000-0000-00000E320000}"/>
    <cellStyle name="Normal 62 2 11" xfId="12810" xr:uid="{00000000-0005-0000-0000-00000F320000}"/>
    <cellStyle name="Normal 62 2 12" xfId="12811" xr:uid="{00000000-0005-0000-0000-000010320000}"/>
    <cellStyle name="Normal 62 2 13" xfId="12812" xr:uid="{00000000-0005-0000-0000-000011320000}"/>
    <cellStyle name="Normal 62 2 2" xfId="12813" xr:uid="{00000000-0005-0000-0000-000012320000}"/>
    <cellStyle name="Normal 62 2 2 10" xfId="12814" xr:uid="{00000000-0005-0000-0000-000013320000}"/>
    <cellStyle name="Normal 62 2 2 11" xfId="12815" xr:uid="{00000000-0005-0000-0000-000014320000}"/>
    <cellStyle name="Normal 62 2 2 2" xfId="12816" xr:uid="{00000000-0005-0000-0000-000015320000}"/>
    <cellStyle name="Normal 62 2 2 3" xfId="12817" xr:uid="{00000000-0005-0000-0000-000016320000}"/>
    <cellStyle name="Normal 62 2 2 4" xfId="12818" xr:uid="{00000000-0005-0000-0000-000017320000}"/>
    <cellStyle name="Normal 62 2 2 5" xfId="12819" xr:uid="{00000000-0005-0000-0000-000018320000}"/>
    <cellStyle name="Normal 62 2 2 6" xfId="12820" xr:uid="{00000000-0005-0000-0000-000019320000}"/>
    <cellStyle name="Normal 62 2 2 7" xfId="12821" xr:uid="{00000000-0005-0000-0000-00001A320000}"/>
    <cellStyle name="Normal 62 2 2 8" xfId="12822" xr:uid="{00000000-0005-0000-0000-00001B320000}"/>
    <cellStyle name="Normal 62 2 2 9" xfId="12823" xr:uid="{00000000-0005-0000-0000-00001C320000}"/>
    <cellStyle name="Normal 62 2 3" xfId="12824" xr:uid="{00000000-0005-0000-0000-00001D320000}"/>
    <cellStyle name="Normal 62 2 4" xfId="12825" xr:uid="{00000000-0005-0000-0000-00001E320000}"/>
    <cellStyle name="Normal 62 2 5" xfId="12826" xr:uid="{00000000-0005-0000-0000-00001F320000}"/>
    <cellStyle name="Normal 62 2 6" xfId="12827" xr:uid="{00000000-0005-0000-0000-000020320000}"/>
    <cellStyle name="Normal 62 2 7" xfId="12828" xr:uid="{00000000-0005-0000-0000-000021320000}"/>
    <cellStyle name="Normal 62 2 8" xfId="12829" xr:uid="{00000000-0005-0000-0000-000022320000}"/>
    <cellStyle name="Normal 62 2 9" xfId="12830" xr:uid="{00000000-0005-0000-0000-000023320000}"/>
    <cellStyle name="Normal 62 20" xfId="12831" xr:uid="{00000000-0005-0000-0000-000024320000}"/>
    <cellStyle name="Normal 62 21" xfId="12832" xr:uid="{00000000-0005-0000-0000-000025320000}"/>
    <cellStyle name="Normal 62 22" xfId="12833" xr:uid="{00000000-0005-0000-0000-000026320000}"/>
    <cellStyle name="Normal 62 23" xfId="12834" xr:uid="{00000000-0005-0000-0000-000027320000}"/>
    <cellStyle name="Normal 62 24" xfId="12835" xr:uid="{00000000-0005-0000-0000-000028320000}"/>
    <cellStyle name="Normal 62 25" xfId="12836" xr:uid="{00000000-0005-0000-0000-000029320000}"/>
    <cellStyle name="Normal 62 3" xfId="12837" xr:uid="{00000000-0005-0000-0000-00002A320000}"/>
    <cellStyle name="Normal 62 3 10" xfId="12838" xr:uid="{00000000-0005-0000-0000-00002B320000}"/>
    <cellStyle name="Normal 62 3 11" xfId="12839" xr:uid="{00000000-0005-0000-0000-00002C320000}"/>
    <cellStyle name="Normal 62 3 12" xfId="12840" xr:uid="{00000000-0005-0000-0000-00002D320000}"/>
    <cellStyle name="Normal 62 3 13" xfId="12841" xr:uid="{00000000-0005-0000-0000-00002E320000}"/>
    <cellStyle name="Normal 62 3 2" xfId="12842" xr:uid="{00000000-0005-0000-0000-00002F320000}"/>
    <cellStyle name="Normal 62 3 2 10" xfId="12843" xr:uid="{00000000-0005-0000-0000-000030320000}"/>
    <cellStyle name="Normal 62 3 2 11" xfId="12844" xr:uid="{00000000-0005-0000-0000-000031320000}"/>
    <cellStyle name="Normal 62 3 2 2" xfId="12845" xr:uid="{00000000-0005-0000-0000-000032320000}"/>
    <cellStyle name="Normal 62 3 2 3" xfId="12846" xr:uid="{00000000-0005-0000-0000-000033320000}"/>
    <cellStyle name="Normal 62 3 2 4" xfId="12847" xr:uid="{00000000-0005-0000-0000-000034320000}"/>
    <cellStyle name="Normal 62 3 2 5" xfId="12848" xr:uid="{00000000-0005-0000-0000-000035320000}"/>
    <cellStyle name="Normal 62 3 2 6" xfId="12849" xr:uid="{00000000-0005-0000-0000-000036320000}"/>
    <cellStyle name="Normal 62 3 2 7" xfId="12850" xr:uid="{00000000-0005-0000-0000-000037320000}"/>
    <cellStyle name="Normal 62 3 2 8" xfId="12851" xr:uid="{00000000-0005-0000-0000-000038320000}"/>
    <cellStyle name="Normal 62 3 2 9" xfId="12852" xr:uid="{00000000-0005-0000-0000-000039320000}"/>
    <cellStyle name="Normal 62 3 3" xfId="12853" xr:uid="{00000000-0005-0000-0000-00003A320000}"/>
    <cellStyle name="Normal 62 3 4" xfId="12854" xr:uid="{00000000-0005-0000-0000-00003B320000}"/>
    <cellStyle name="Normal 62 3 5" xfId="12855" xr:uid="{00000000-0005-0000-0000-00003C320000}"/>
    <cellStyle name="Normal 62 3 6" xfId="12856" xr:uid="{00000000-0005-0000-0000-00003D320000}"/>
    <cellStyle name="Normal 62 3 7" xfId="12857" xr:uid="{00000000-0005-0000-0000-00003E320000}"/>
    <cellStyle name="Normal 62 3 8" xfId="12858" xr:uid="{00000000-0005-0000-0000-00003F320000}"/>
    <cellStyle name="Normal 62 3 9" xfId="12859" xr:uid="{00000000-0005-0000-0000-000040320000}"/>
    <cellStyle name="Normal 62 4" xfId="12860" xr:uid="{00000000-0005-0000-0000-000041320000}"/>
    <cellStyle name="Normal 62 4 10" xfId="12861" xr:uid="{00000000-0005-0000-0000-000042320000}"/>
    <cellStyle name="Normal 62 4 11" xfId="12862" xr:uid="{00000000-0005-0000-0000-000043320000}"/>
    <cellStyle name="Normal 62 4 12" xfId="12863" xr:uid="{00000000-0005-0000-0000-000044320000}"/>
    <cellStyle name="Normal 62 4 13" xfId="12864" xr:uid="{00000000-0005-0000-0000-000045320000}"/>
    <cellStyle name="Normal 62 4 2" xfId="12865" xr:uid="{00000000-0005-0000-0000-000046320000}"/>
    <cellStyle name="Normal 62 4 2 10" xfId="12866" xr:uid="{00000000-0005-0000-0000-000047320000}"/>
    <cellStyle name="Normal 62 4 2 11" xfId="12867" xr:uid="{00000000-0005-0000-0000-000048320000}"/>
    <cellStyle name="Normal 62 4 2 2" xfId="12868" xr:uid="{00000000-0005-0000-0000-000049320000}"/>
    <cellStyle name="Normal 62 4 2 3" xfId="12869" xr:uid="{00000000-0005-0000-0000-00004A320000}"/>
    <cellStyle name="Normal 62 4 2 4" xfId="12870" xr:uid="{00000000-0005-0000-0000-00004B320000}"/>
    <cellStyle name="Normal 62 4 2 5" xfId="12871" xr:uid="{00000000-0005-0000-0000-00004C320000}"/>
    <cellStyle name="Normal 62 4 2 6" xfId="12872" xr:uid="{00000000-0005-0000-0000-00004D320000}"/>
    <cellStyle name="Normal 62 4 2 7" xfId="12873" xr:uid="{00000000-0005-0000-0000-00004E320000}"/>
    <cellStyle name="Normal 62 4 2 8" xfId="12874" xr:uid="{00000000-0005-0000-0000-00004F320000}"/>
    <cellStyle name="Normal 62 4 2 9" xfId="12875" xr:uid="{00000000-0005-0000-0000-000050320000}"/>
    <cellStyle name="Normal 62 4 3" xfId="12876" xr:uid="{00000000-0005-0000-0000-000051320000}"/>
    <cellStyle name="Normal 62 4 4" xfId="12877" xr:uid="{00000000-0005-0000-0000-000052320000}"/>
    <cellStyle name="Normal 62 4 5" xfId="12878" xr:uid="{00000000-0005-0000-0000-000053320000}"/>
    <cellStyle name="Normal 62 4 6" xfId="12879" xr:uid="{00000000-0005-0000-0000-000054320000}"/>
    <cellStyle name="Normal 62 4 7" xfId="12880" xr:uid="{00000000-0005-0000-0000-000055320000}"/>
    <cellStyle name="Normal 62 4 8" xfId="12881" xr:uid="{00000000-0005-0000-0000-000056320000}"/>
    <cellStyle name="Normal 62 4 9" xfId="12882" xr:uid="{00000000-0005-0000-0000-000057320000}"/>
    <cellStyle name="Normal 62 5" xfId="12883" xr:uid="{00000000-0005-0000-0000-000058320000}"/>
    <cellStyle name="Normal 62 5 10" xfId="12884" xr:uid="{00000000-0005-0000-0000-000059320000}"/>
    <cellStyle name="Normal 62 5 11" xfId="12885" xr:uid="{00000000-0005-0000-0000-00005A320000}"/>
    <cellStyle name="Normal 62 5 12" xfId="12886" xr:uid="{00000000-0005-0000-0000-00005B320000}"/>
    <cellStyle name="Normal 62 5 13" xfId="12887" xr:uid="{00000000-0005-0000-0000-00005C320000}"/>
    <cellStyle name="Normal 62 5 2" xfId="12888" xr:uid="{00000000-0005-0000-0000-00005D320000}"/>
    <cellStyle name="Normal 62 5 2 10" xfId="12889" xr:uid="{00000000-0005-0000-0000-00005E320000}"/>
    <cellStyle name="Normal 62 5 2 11" xfId="12890" xr:uid="{00000000-0005-0000-0000-00005F320000}"/>
    <cellStyle name="Normal 62 5 2 2" xfId="12891" xr:uid="{00000000-0005-0000-0000-000060320000}"/>
    <cellStyle name="Normal 62 5 2 3" xfId="12892" xr:uid="{00000000-0005-0000-0000-000061320000}"/>
    <cellStyle name="Normal 62 5 2 4" xfId="12893" xr:uid="{00000000-0005-0000-0000-000062320000}"/>
    <cellStyle name="Normal 62 5 2 5" xfId="12894" xr:uid="{00000000-0005-0000-0000-000063320000}"/>
    <cellStyle name="Normal 62 5 2 6" xfId="12895" xr:uid="{00000000-0005-0000-0000-000064320000}"/>
    <cellStyle name="Normal 62 5 2 7" xfId="12896" xr:uid="{00000000-0005-0000-0000-000065320000}"/>
    <cellStyle name="Normal 62 5 2 8" xfId="12897" xr:uid="{00000000-0005-0000-0000-000066320000}"/>
    <cellStyle name="Normal 62 5 2 9" xfId="12898" xr:uid="{00000000-0005-0000-0000-000067320000}"/>
    <cellStyle name="Normal 62 5 3" xfId="12899" xr:uid="{00000000-0005-0000-0000-000068320000}"/>
    <cellStyle name="Normal 62 5 4" xfId="12900" xr:uid="{00000000-0005-0000-0000-000069320000}"/>
    <cellStyle name="Normal 62 5 5" xfId="12901" xr:uid="{00000000-0005-0000-0000-00006A320000}"/>
    <cellStyle name="Normal 62 5 6" xfId="12902" xr:uid="{00000000-0005-0000-0000-00006B320000}"/>
    <cellStyle name="Normal 62 5 7" xfId="12903" xr:uid="{00000000-0005-0000-0000-00006C320000}"/>
    <cellStyle name="Normal 62 5 8" xfId="12904" xr:uid="{00000000-0005-0000-0000-00006D320000}"/>
    <cellStyle name="Normal 62 5 9" xfId="12905" xr:uid="{00000000-0005-0000-0000-00006E320000}"/>
    <cellStyle name="Normal 62 6" xfId="12906" xr:uid="{00000000-0005-0000-0000-00006F320000}"/>
    <cellStyle name="Normal 62 6 10" xfId="12907" xr:uid="{00000000-0005-0000-0000-000070320000}"/>
    <cellStyle name="Normal 62 6 11" xfId="12908" xr:uid="{00000000-0005-0000-0000-000071320000}"/>
    <cellStyle name="Normal 62 6 12" xfId="12909" xr:uid="{00000000-0005-0000-0000-000072320000}"/>
    <cellStyle name="Normal 62 6 13" xfId="12910" xr:uid="{00000000-0005-0000-0000-000073320000}"/>
    <cellStyle name="Normal 62 6 2" xfId="12911" xr:uid="{00000000-0005-0000-0000-000074320000}"/>
    <cellStyle name="Normal 62 6 2 10" xfId="12912" xr:uid="{00000000-0005-0000-0000-000075320000}"/>
    <cellStyle name="Normal 62 6 2 11" xfId="12913" xr:uid="{00000000-0005-0000-0000-000076320000}"/>
    <cellStyle name="Normal 62 6 2 2" xfId="12914" xr:uid="{00000000-0005-0000-0000-000077320000}"/>
    <cellStyle name="Normal 62 6 2 3" xfId="12915" xr:uid="{00000000-0005-0000-0000-000078320000}"/>
    <cellStyle name="Normal 62 6 2 4" xfId="12916" xr:uid="{00000000-0005-0000-0000-000079320000}"/>
    <cellStyle name="Normal 62 6 2 5" xfId="12917" xr:uid="{00000000-0005-0000-0000-00007A320000}"/>
    <cellStyle name="Normal 62 6 2 6" xfId="12918" xr:uid="{00000000-0005-0000-0000-00007B320000}"/>
    <cellStyle name="Normal 62 6 2 7" xfId="12919" xr:uid="{00000000-0005-0000-0000-00007C320000}"/>
    <cellStyle name="Normal 62 6 2 8" xfId="12920" xr:uid="{00000000-0005-0000-0000-00007D320000}"/>
    <cellStyle name="Normal 62 6 2 9" xfId="12921" xr:uid="{00000000-0005-0000-0000-00007E320000}"/>
    <cellStyle name="Normal 62 6 3" xfId="12922" xr:uid="{00000000-0005-0000-0000-00007F320000}"/>
    <cellStyle name="Normal 62 6 4" xfId="12923" xr:uid="{00000000-0005-0000-0000-000080320000}"/>
    <cellStyle name="Normal 62 6 5" xfId="12924" xr:uid="{00000000-0005-0000-0000-000081320000}"/>
    <cellStyle name="Normal 62 6 6" xfId="12925" xr:uid="{00000000-0005-0000-0000-000082320000}"/>
    <cellStyle name="Normal 62 6 7" xfId="12926" xr:uid="{00000000-0005-0000-0000-000083320000}"/>
    <cellStyle name="Normal 62 6 8" xfId="12927" xr:uid="{00000000-0005-0000-0000-000084320000}"/>
    <cellStyle name="Normal 62 6 9" xfId="12928" xr:uid="{00000000-0005-0000-0000-000085320000}"/>
    <cellStyle name="Normal 62 7" xfId="12929" xr:uid="{00000000-0005-0000-0000-000086320000}"/>
    <cellStyle name="Normal 62 7 10" xfId="12930" xr:uid="{00000000-0005-0000-0000-000087320000}"/>
    <cellStyle name="Normal 62 7 11" xfId="12931" xr:uid="{00000000-0005-0000-0000-000088320000}"/>
    <cellStyle name="Normal 62 7 12" xfId="12932" xr:uid="{00000000-0005-0000-0000-000089320000}"/>
    <cellStyle name="Normal 62 7 13" xfId="12933" xr:uid="{00000000-0005-0000-0000-00008A320000}"/>
    <cellStyle name="Normal 62 7 2" xfId="12934" xr:uid="{00000000-0005-0000-0000-00008B320000}"/>
    <cellStyle name="Normal 62 7 2 10" xfId="12935" xr:uid="{00000000-0005-0000-0000-00008C320000}"/>
    <cellStyle name="Normal 62 7 2 11" xfId="12936" xr:uid="{00000000-0005-0000-0000-00008D320000}"/>
    <cellStyle name="Normal 62 7 2 2" xfId="12937" xr:uid="{00000000-0005-0000-0000-00008E320000}"/>
    <cellStyle name="Normal 62 7 2 3" xfId="12938" xr:uid="{00000000-0005-0000-0000-00008F320000}"/>
    <cellStyle name="Normal 62 7 2 4" xfId="12939" xr:uid="{00000000-0005-0000-0000-000090320000}"/>
    <cellStyle name="Normal 62 7 2 5" xfId="12940" xr:uid="{00000000-0005-0000-0000-000091320000}"/>
    <cellStyle name="Normal 62 7 2 6" xfId="12941" xr:uid="{00000000-0005-0000-0000-000092320000}"/>
    <cellStyle name="Normal 62 7 2 7" xfId="12942" xr:uid="{00000000-0005-0000-0000-000093320000}"/>
    <cellStyle name="Normal 62 7 2 8" xfId="12943" xr:uid="{00000000-0005-0000-0000-000094320000}"/>
    <cellStyle name="Normal 62 7 2 9" xfId="12944" xr:uid="{00000000-0005-0000-0000-000095320000}"/>
    <cellStyle name="Normal 62 7 3" xfId="12945" xr:uid="{00000000-0005-0000-0000-000096320000}"/>
    <cellStyle name="Normal 62 7 4" xfId="12946" xr:uid="{00000000-0005-0000-0000-000097320000}"/>
    <cellStyle name="Normal 62 7 5" xfId="12947" xr:uid="{00000000-0005-0000-0000-000098320000}"/>
    <cellStyle name="Normal 62 7 6" xfId="12948" xr:uid="{00000000-0005-0000-0000-000099320000}"/>
    <cellStyle name="Normal 62 7 7" xfId="12949" xr:uid="{00000000-0005-0000-0000-00009A320000}"/>
    <cellStyle name="Normal 62 7 8" xfId="12950" xr:uid="{00000000-0005-0000-0000-00009B320000}"/>
    <cellStyle name="Normal 62 7 9" xfId="12951" xr:uid="{00000000-0005-0000-0000-00009C320000}"/>
    <cellStyle name="Normal 62 8" xfId="12952" xr:uid="{00000000-0005-0000-0000-00009D320000}"/>
    <cellStyle name="Normal 62 8 10" xfId="12953" xr:uid="{00000000-0005-0000-0000-00009E320000}"/>
    <cellStyle name="Normal 62 8 11" xfId="12954" xr:uid="{00000000-0005-0000-0000-00009F320000}"/>
    <cellStyle name="Normal 62 8 12" xfId="12955" xr:uid="{00000000-0005-0000-0000-0000A0320000}"/>
    <cellStyle name="Normal 62 8 13" xfId="12956" xr:uid="{00000000-0005-0000-0000-0000A1320000}"/>
    <cellStyle name="Normal 62 8 2" xfId="12957" xr:uid="{00000000-0005-0000-0000-0000A2320000}"/>
    <cellStyle name="Normal 62 8 2 10" xfId="12958" xr:uid="{00000000-0005-0000-0000-0000A3320000}"/>
    <cellStyle name="Normal 62 8 2 11" xfId="12959" xr:uid="{00000000-0005-0000-0000-0000A4320000}"/>
    <cellStyle name="Normal 62 8 2 2" xfId="12960" xr:uid="{00000000-0005-0000-0000-0000A5320000}"/>
    <cellStyle name="Normal 62 8 2 3" xfId="12961" xr:uid="{00000000-0005-0000-0000-0000A6320000}"/>
    <cellStyle name="Normal 62 8 2 4" xfId="12962" xr:uid="{00000000-0005-0000-0000-0000A7320000}"/>
    <cellStyle name="Normal 62 8 2 5" xfId="12963" xr:uid="{00000000-0005-0000-0000-0000A8320000}"/>
    <cellStyle name="Normal 62 8 2 6" xfId="12964" xr:uid="{00000000-0005-0000-0000-0000A9320000}"/>
    <cellStyle name="Normal 62 8 2 7" xfId="12965" xr:uid="{00000000-0005-0000-0000-0000AA320000}"/>
    <cellStyle name="Normal 62 8 2 8" xfId="12966" xr:uid="{00000000-0005-0000-0000-0000AB320000}"/>
    <cellStyle name="Normal 62 8 2 9" xfId="12967" xr:uid="{00000000-0005-0000-0000-0000AC320000}"/>
    <cellStyle name="Normal 62 8 3" xfId="12968" xr:uid="{00000000-0005-0000-0000-0000AD320000}"/>
    <cellStyle name="Normal 62 8 4" xfId="12969" xr:uid="{00000000-0005-0000-0000-0000AE320000}"/>
    <cellStyle name="Normal 62 8 5" xfId="12970" xr:uid="{00000000-0005-0000-0000-0000AF320000}"/>
    <cellStyle name="Normal 62 8 6" xfId="12971" xr:uid="{00000000-0005-0000-0000-0000B0320000}"/>
    <cellStyle name="Normal 62 8 7" xfId="12972" xr:uid="{00000000-0005-0000-0000-0000B1320000}"/>
    <cellStyle name="Normal 62 8 8" xfId="12973" xr:uid="{00000000-0005-0000-0000-0000B2320000}"/>
    <cellStyle name="Normal 62 8 9" xfId="12974" xr:uid="{00000000-0005-0000-0000-0000B3320000}"/>
    <cellStyle name="Normal 62 9" xfId="12975" xr:uid="{00000000-0005-0000-0000-0000B4320000}"/>
    <cellStyle name="Normal 62 9 10" xfId="12976" xr:uid="{00000000-0005-0000-0000-0000B5320000}"/>
    <cellStyle name="Normal 62 9 11" xfId="12977" xr:uid="{00000000-0005-0000-0000-0000B6320000}"/>
    <cellStyle name="Normal 62 9 12" xfId="12978" xr:uid="{00000000-0005-0000-0000-0000B7320000}"/>
    <cellStyle name="Normal 62 9 13" xfId="12979" xr:uid="{00000000-0005-0000-0000-0000B8320000}"/>
    <cellStyle name="Normal 62 9 2" xfId="12980" xr:uid="{00000000-0005-0000-0000-0000B9320000}"/>
    <cellStyle name="Normal 62 9 2 10" xfId="12981" xr:uid="{00000000-0005-0000-0000-0000BA320000}"/>
    <cellStyle name="Normal 62 9 2 11" xfId="12982" xr:uid="{00000000-0005-0000-0000-0000BB320000}"/>
    <cellStyle name="Normal 62 9 2 2" xfId="12983" xr:uid="{00000000-0005-0000-0000-0000BC320000}"/>
    <cellStyle name="Normal 62 9 2 3" xfId="12984" xr:uid="{00000000-0005-0000-0000-0000BD320000}"/>
    <cellStyle name="Normal 62 9 2 4" xfId="12985" xr:uid="{00000000-0005-0000-0000-0000BE320000}"/>
    <cellStyle name="Normal 62 9 2 5" xfId="12986" xr:uid="{00000000-0005-0000-0000-0000BF320000}"/>
    <cellStyle name="Normal 62 9 2 6" xfId="12987" xr:uid="{00000000-0005-0000-0000-0000C0320000}"/>
    <cellStyle name="Normal 62 9 2 7" xfId="12988" xr:uid="{00000000-0005-0000-0000-0000C1320000}"/>
    <cellStyle name="Normal 62 9 2 8" xfId="12989" xr:uid="{00000000-0005-0000-0000-0000C2320000}"/>
    <cellStyle name="Normal 62 9 2 9" xfId="12990" xr:uid="{00000000-0005-0000-0000-0000C3320000}"/>
    <cellStyle name="Normal 62 9 3" xfId="12991" xr:uid="{00000000-0005-0000-0000-0000C4320000}"/>
    <cellStyle name="Normal 62 9 4" xfId="12992" xr:uid="{00000000-0005-0000-0000-0000C5320000}"/>
    <cellStyle name="Normal 62 9 5" xfId="12993" xr:uid="{00000000-0005-0000-0000-0000C6320000}"/>
    <cellStyle name="Normal 62 9 6" xfId="12994" xr:uid="{00000000-0005-0000-0000-0000C7320000}"/>
    <cellStyle name="Normal 62 9 7" xfId="12995" xr:uid="{00000000-0005-0000-0000-0000C8320000}"/>
    <cellStyle name="Normal 62 9 8" xfId="12996" xr:uid="{00000000-0005-0000-0000-0000C9320000}"/>
    <cellStyle name="Normal 62 9 9" xfId="12997" xr:uid="{00000000-0005-0000-0000-0000CA320000}"/>
    <cellStyle name="Normal 63" xfId="12998" xr:uid="{00000000-0005-0000-0000-0000CB320000}"/>
    <cellStyle name="Normal 63 10" xfId="12999" xr:uid="{00000000-0005-0000-0000-0000CC320000}"/>
    <cellStyle name="Normal 63 10 10" xfId="13000" xr:uid="{00000000-0005-0000-0000-0000CD320000}"/>
    <cellStyle name="Normal 63 10 11" xfId="13001" xr:uid="{00000000-0005-0000-0000-0000CE320000}"/>
    <cellStyle name="Normal 63 10 12" xfId="13002" xr:uid="{00000000-0005-0000-0000-0000CF320000}"/>
    <cellStyle name="Normal 63 10 13" xfId="13003" xr:uid="{00000000-0005-0000-0000-0000D0320000}"/>
    <cellStyle name="Normal 63 10 2" xfId="13004" xr:uid="{00000000-0005-0000-0000-0000D1320000}"/>
    <cellStyle name="Normal 63 10 2 10" xfId="13005" xr:uid="{00000000-0005-0000-0000-0000D2320000}"/>
    <cellStyle name="Normal 63 10 2 11" xfId="13006" xr:uid="{00000000-0005-0000-0000-0000D3320000}"/>
    <cellStyle name="Normal 63 10 2 2" xfId="13007" xr:uid="{00000000-0005-0000-0000-0000D4320000}"/>
    <cellStyle name="Normal 63 10 2 3" xfId="13008" xr:uid="{00000000-0005-0000-0000-0000D5320000}"/>
    <cellStyle name="Normal 63 10 2 4" xfId="13009" xr:uid="{00000000-0005-0000-0000-0000D6320000}"/>
    <cellStyle name="Normal 63 10 2 5" xfId="13010" xr:uid="{00000000-0005-0000-0000-0000D7320000}"/>
    <cellStyle name="Normal 63 10 2 6" xfId="13011" xr:uid="{00000000-0005-0000-0000-0000D8320000}"/>
    <cellStyle name="Normal 63 10 2 7" xfId="13012" xr:uid="{00000000-0005-0000-0000-0000D9320000}"/>
    <cellStyle name="Normal 63 10 2 8" xfId="13013" xr:uid="{00000000-0005-0000-0000-0000DA320000}"/>
    <cellStyle name="Normal 63 10 2 9" xfId="13014" xr:uid="{00000000-0005-0000-0000-0000DB320000}"/>
    <cellStyle name="Normal 63 10 3" xfId="13015" xr:uid="{00000000-0005-0000-0000-0000DC320000}"/>
    <cellStyle name="Normal 63 10 4" xfId="13016" xr:uid="{00000000-0005-0000-0000-0000DD320000}"/>
    <cellStyle name="Normal 63 10 5" xfId="13017" xr:uid="{00000000-0005-0000-0000-0000DE320000}"/>
    <cellStyle name="Normal 63 10 6" xfId="13018" xr:uid="{00000000-0005-0000-0000-0000DF320000}"/>
    <cellStyle name="Normal 63 10 7" xfId="13019" xr:uid="{00000000-0005-0000-0000-0000E0320000}"/>
    <cellStyle name="Normal 63 10 8" xfId="13020" xr:uid="{00000000-0005-0000-0000-0000E1320000}"/>
    <cellStyle name="Normal 63 10 9" xfId="13021" xr:uid="{00000000-0005-0000-0000-0000E2320000}"/>
    <cellStyle name="Normal 63 11" xfId="13022" xr:uid="{00000000-0005-0000-0000-0000E3320000}"/>
    <cellStyle name="Normal 63 11 10" xfId="13023" xr:uid="{00000000-0005-0000-0000-0000E4320000}"/>
    <cellStyle name="Normal 63 11 11" xfId="13024" xr:uid="{00000000-0005-0000-0000-0000E5320000}"/>
    <cellStyle name="Normal 63 11 12" xfId="13025" xr:uid="{00000000-0005-0000-0000-0000E6320000}"/>
    <cellStyle name="Normal 63 11 13" xfId="13026" xr:uid="{00000000-0005-0000-0000-0000E7320000}"/>
    <cellStyle name="Normal 63 11 2" xfId="13027" xr:uid="{00000000-0005-0000-0000-0000E8320000}"/>
    <cellStyle name="Normal 63 11 2 10" xfId="13028" xr:uid="{00000000-0005-0000-0000-0000E9320000}"/>
    <cellStyle name="Normal 63 11 2 11" xfId="13029" xr:uid="{00000000-0005-0000-0000-0000EA320000}"/>
    <cellStyle name="Normal 63 11 2 2" xfId="13030" xr:uid="{00000000-0005-0000-0000-0000EB320000}"/>
    <cellStyle name="Normal 63 11 2 3" xfId="13031" xr:uid="{00000000-0005-0000-0000-0000EC320000}"/>
    <cellStyle name="Normal 63 11 2 4" xfId="13032" xr:uid="{00000000-0005-0000-0000-0000ED320000}"/>
    <cellStyle name="Normal 63 11 2 5" xfId="13033" xr:uid="{00000000-0005-0000-0000-0000EE320000}"/>
    <cellStyle name="Normal 63 11 2 6" xfId="13034" xr:uid="{00000000-0005-0000-0000-0000EF320000}"/>
    <cellStyle name="Normal 63 11 2 7" xfId="13035" xr:uid="{00000000-0005-0000-0000-0000F0320000}"/>
    <cellStyle name="Normal 63 11 2 8" xfId="13036" xr:uid="{00000000-0005-0000-0000-0000F1320000}"/>
    <cellStyle name="Normal 63 11 2 9" xfId="13037" xr:uid="{00000000-0005-0000-0000-0000F2320000}"/>
    <cellStyle name="Normal 63 11 3" xfId="13038" xr:uid="{00000000-0005-0000-0000-0000F3320000}"/>
    <cellStyle name="Normal 63 11 4" xfId="13039" xr:uid="{00000000-0005-0000-0000-0000F4320000}"/>
    <cellStyle name="Normal 63 11 5" xfId="13040" xr:uid="{00000000-0005-0000-0000-0000F5320000}"/>
    <cellStyle name="Normal 63 11 6" xfId="13041" xr:uid="{00000000-0005-0000-0000-0000F6320000}"/>
    <cellStyle name="Normal 63 11 7" xfId="13042" xr:uid="{00000000-0005-0000-0000-0000F7320000}"/>
    <cellStyle name="Normal 63 11 8" xfId="13043" xr:uid="{00000000-0005-0000-0000-0000F8320000}"/>
    <cellStyle name="Normal 63 11 9" xfId="13044" xr:uid="{00000000-0005-0000-0000-0000F9320000}"/>
    <cellStyle name="Normal 63 12" xfId="13045" xr:uid="{00000000-0005-0000-0000-0000FA320000}"/>
    <cellStyle name="Normal 63 12 10" xfId="13046" xr:uid="{00000000-0005-0000-0000-0000FB320000}"/>
    <cellStyle name="Normal 63 12 11" xfId="13047" xr:uid="{00000000-0005-0000-0000-0000FC320000}"/>
    <cellStyle name="Normal 63 12 12" xfId="13048" xr:uid="{00000000-0005-0000-0000-0000FD320000}"/>
    <cellStyle name="Normal 63 12 13" xfId="13049" xr:uid="{00000000-0005-0000-0000-0000FE320000}"/>
    <cellStyle name="Normal 63 12 2" xfId="13050" xr:uid="{00000000-0005-0000-0000-0000FF320000}"/>
    <cellStyle name="Normal 63 12 2 10" xfId="13051" xr:uid="{00000000-0005-0000-0000-000000330000}"/>
    <cellStyle name="Normal 63 12 2 11" xfId="13052" xr:uid="{00000000-0005-0000-0000-000001330000}"/>
    <cellStyle name="Normal 63 12 2 2" xfId="13053" xr:uid="{00000000-0005-0000-0000-000002330000}"/>
    <cellStyle name="Normal 63 12 2 3" xfId="13054" xr:uid="{00000000-0005-0000-0000-000003330000}"/>
    <cellStyle name="Normal 63 12 2 4" xfId="13055" xr:uid="{00000000-0005-0000-0000-000004330000}"/>
    <cellStyle name="Normal 63 12 2 5" xfId="13056" xr:uid="{00000000-0005-0000-0000-000005330000}"/>
    <cellStyle name="Normal 63 12 2 6" xfId="13057" xr:uid="{00000000-0005-0000-0000-000006330000}"/>
    <cellStyle name="Normal 63 12 2 7" xfId="13058" xr:uid="{00000000-0005-0000-0000-000007330000}"/>
    <cellStyle name="Normal 63 12 2 8" xfId="13059" xr:uid="{00000000-0005-0000-0000-000008330000}"/>
    <cellStyle name="Normal 63 12 2 9" xfId="13060" xr:uid="{00000000-0005-0000-0000-000009330000}"/>
    <cellStyle name="Normal 63 12 3" xfId="13061" xr:uid="{00000000-0005-0000-0000-00000A330000}"/>
    <cellStyle name="Normal 63 12 4" xfId="13062" xr:uid="{00000000-0005-0000-0000-00000B330000}"/>
    <cellStyle name="Normal 63 12 5" xfId="13063" xr:uid="{00000000-0005-0000-0000-00000C330000}"/>
    <cellStyle name="Normal 63 12 6" xfId="13064" xr:uid="{00000000-0005-0000-0000-00000D330000}"/>
    <cellStyle name="Normal 63 12 7" xfId="13065" xr:uid="{00000000-0005-0000-0000-00000E330000}"/>
    <cellStyle name="Normal 63 12 8" xfId="13066" xr:uid="{00000000-0005-0000-0000-00000F330000}"/>
    <cellStyle name="Normal 63 12 9" xfId="13067" xr:uid="{00000000-0005-0000-0000-000010330000}"/>
    <cellStyle name="Normal 63 13" xfId="13068" xr:uid="{00000000-0005-0000-0000-000011330000}"/>
    <cellStyle name="Normal 63 13 10" xfId="13069" xr:uid="{00000000-0005-0000-0000-000012330000}"/>
    <cellStyle name="Normal 63 13 11" xfId="13070" xr:uid="{00000000-0005-0000-0000-000013330000}"/>
    <cellStyle name="Normal 63 13 12" xfId="13071" xr:uid="{00000000-0005-0000-0000-000014330000}"/>
    <cellStyle name="Normal 63 13 13" xfId="13072" xr:uid="{00000000-0005-0000-0000-000015330000}"/>
    <cellStyle name="Normal 63 13 2" xfId="13073" xr:uid="{00000000-0005-0000-0000-000016330000}"/>
    <cellStyle name="Normal 63 13 2 10" xfId="13074" xr:uid="{00000000-0005-0000-0000-000017330000}"/>
    <cellStyle name="Normal 63 13 2 11" xfId="13075" xr:uid="{00000000-0005-0000-0000-000018330000}"/>
    <cellStyle name="Normal 63 13 2 2" xfId="13076" xr:uid="{00000000-0005-0000-0000-000019330000}"/>
    <cellStyle name="Normal 63 13 2 3" xfId="13077" xr:uid="{00000000-0005-0000-0000-00001A330000}"/>
    <cellStyle name="Normal 63 13 2 4" xfId="13078" xr:uid="{00000000-0005-0000-0000-00001B330000}"/>
    <cellStyle name="Normal 63 13 2 5" xfId="13079" xr:uid="{00000000-0005-0000-0000-00001C330000}"/>
    <cellStyle name="Normal 63 13 2 6" xfId="13080" xr:uid="{00000000-0005-0000-0000-00001D330000}"/>
    <cellStyle name="Normal 63 13 2 7" xfId="13081" xr:uid="{00000000-0005-0000-0000-00001E330000}"/>
    <cellStyle name="Normal 63 13 2 8" xfId="13082" xr:uid="{00000000-0005-0000-0000-00001F330000}"/>
    <cellStyle name="Normal 63 13 2 9" xfId="13083" xr:uid="{00000000-0005-0000-0000-000020330000}"/>
    <cellStyle name="Normal 63 13 3" xfId="13084" xr:uid="{00000000-0005-0000-0000-000021330000}"/>
    <cellStyle name="Normal 63 13 4" xfId="13085" xr:uid="{00000000-0005-0000-0000-000022330000}"/>
    <cellStyle name="Normal 63 13 5" xfId="13086" xr:uid="{00000000-0005-0000-0000-000023330000}"/>
    <cellStyle name="Normal 63 13 6" xfId="13087" xr:uid="{00000000-0005-0000-0000-000024330000}"/>
    <cellStyle name="Normal 63 13 7" xfId="13088" xr:uid="{00000000-0005-0000-0000-000025330000}"/>
    <cellStyle name="Normal 63 13 8" xfId="13089" xr:uid="{00000000-0005-0000-0000-000026330000}"/>
    <cellStyle name="Normal 63 13 9" xfId="13090" xr:uid="{00000000-0005-0000-0000-000027330000}"/>
    <cellStyle name="Normal 63 14" xfId="13091" xr:uid="{00000000-0005-0000-0000-000028330000}"/>
    <cellStyle name="Normal 63 14 10" xfId="13092" xr:uid="{00000000-0005-0000-0000-000029330000}"/>
    <cellStyle name="Normal 63 14 11" xfId="13093" xr:uid="{00000000-0005-0000-0000-00002A330000}"/>
    <cellStyle name="Normal 63 14 2" xfId="13094" xr:uid="{00000000-0005-0000-0000-00002B330000}"/>
    <cellStyle name="Normal 63 14 3" xfId="13095" xr:uid="{00000000-0005-0000-0000-00002C330000}"/>
    <cellStyle name="Normal 63 14 4" xfId="13096" xr:uid="{00000000-0005-0000-0000-00002D330000}"/>
    <cellStyle name="Normal 63 14 5" xfId="13097" xr:uid="{00000000-0005-0000-0000-00002E330000}"/>
    <cellStyle name="Normal 63 14 6" xfId="13098" xr:uid="{00000000-0005-0000-0000-00002F330000}"/>
    <cellStyle name="Normal 63 14 7" xfId="13099" xr:uid="{00000000-0005-0000-0000-000030330000}"/>
    <cellStyle name="Normal 63 14 8" xfId="13100" xr:uid="{00000000-0005-0000-0000-000031330000}"/>
    <cellStyle name="Normal 63 14 9" xfId="13101" xr:uid="{00000000-0005-0000-0000-000032330000}"/>
    <cellStyle name="Normal 63 15" xfId="13102" xr:uid="{00000000-0005-0000-0000-000033330000}"/>
    <cellStyle name="Normal 63 16" xfId="13103" xr:uid="{00000000-0005-0000-0000-000034330000}"/>
    <cellStyle name="Normal 63 17" xfId="13104" xr:uid="{00000000-0005-0000-0000-000035330000}"/>
    <cellStyle name="Normal 63 18" xfId="13105" xr:uid="{00000000-0005-0000-0000-000036330000}"/>
    <cellStyle name="Normal 63 19" xfId="13106" xr:uid="{00000000-0005-0000-0000-000037330000}"/>
    <cellStyle name="Normal 63 2" xfId="13107" xr:uid="{00000000-0005-0000-0000-000038330000}"/>
    <cellStyle name="Normal 63 2 10" xfId="13108" xr:uid="{00000000-0005-0000-0000-000039330000}"/>
    <cellStyle name="Normal 63 2 11" xfId="13109" xr:uid="{00000000-0005-0000-0000-00003A330000}"/>
    <cellStyle name="Normal 63 2 12" xfId="13110" xr:uid="{00000000-0005-0000-0000-00003B330000}"/>
    <cellStyle name="Normal 63 2 13" xfId="13111" xr:uid="{00000000-0005-0000-0000-00003C330000}"/>
    <cellStyle name="Normal 63 2 2" xfId="13112" xr:uid="{00000000-0005-0000-0000-00003D330000}"/>
    <cellStyle name="Normal 63 2 2 10" xfId="13113" xr:uid="{00000000-0005-0000-0000-00003E330000}"/>
    <cellStyle name="Normal 63 2 2 11" xfId="13114" xr:uid="{00000000-0005-0000-0000-00003F330000}"/>
    <cellStyle name="Normal 63 2 2 2" xfId="13115" xr:uid="{00000000-0005-0000-0000-000040330000}"/>
    <cellStyle name="Normal 63 2 2 3" xfId="13116" xr:uid="{00000000-0005-0000-0000-000041330000}"/>
    <cellStyle name="Normal 63 2 2 4" xfId="13117" xr:uid="{00000000-0005-0000-0000-000042330000}"/>
    <cellStyle name="Normal 63 2 2 5" xfId="13118" xr:uid="{00000000-0005-0000-0000-000043330000}"/>
    <cellStyle name="Normal 63 2 2 6" xfId="13119" xr:uid="{00000000-0005-0000-0000-000044330000}"/>
    <cellStyle name="Normal 63 2 2 7" xfId="13120" xr:uid="{00000000-0005-0000-0000-000045330000}"/>
    <cellStyle name="Normal 63 2 2 8" xfId="13121" xr:uid="{00000000-0005-0000-0000-000046330000}"/>
    <cellStyle name="Normal 63 2 2 9" xfId="13122" xr:uid="{00000000-0005-0000-0000-000047330000}"/>
    <cellStyle name="Normal 63 2 3" xfId="13123" xr:uid="{00000000-0005-0000-0000-000048330000}"/>
    <cellStyle name="Normal 63 2 4" xfId="13124" xr:uid="{00000000-0005-0000-0000-000049330000}"/>
    <cellStyle name="Normal 63 2 5" xfId="13125" xr:uid="{00000000-0005-0000-0000-00004A330000}"/>
    <cellStyle name="Normal 63 2 6" xfId="13126" xr:uid="{00000000-0005-0000-0000-00004B330000}"/>
    <cellStyle name="Normal 63 2 7" xfId="13127" xr:uid="{00000000-0005-0000-0000-00004C330000}"/>
    <cellStyle name="Normal 63 2 8" xfId="13128" xr:uid="{00000000-0005-0000-0000-00004D330000}"/>
    <cellStyle name="Normal 63 2 9" xfId="13129" xr:uid="{00000000-0005-0000-0000-00004E330000}"/>
    <cellStyle name="Normal 63 20" xfId="13130" xr:uid="{00000000-0005-0000-0000-00004F330000}"/>
    <cellStyle name="Normal 63 21" xfId="13131" xr:uid="{00000000-0005-0000-0000-000050330000}"/>
    <cellStyle name="Normal 63 22" xfId="13132" xr:uid="{00000000-0005-0000-0000-000051330000}"/>
    <cellStyle name="Normal 63 23" xfId="13133" xr:uid="{00000000-0005-0000-0000-000052330000}"/>
    <cellStyle name="Normal 63 24" xfId="13134" xr:uid="{00000000-0005-0000-0000-000053330000}"/>
    <cellStyle name="Normal 63 25" xfId="13135" xr:uid="{00000000-0005-0000-0000-000054330000}"/>
    <cellStyle name="Normal 63 3" xfId="13136" xr:uid="{00000000-0005-0000-0000-000055330000}"/>
    <cellStyle name="Normal 63 3 10" xfId="13137" xr:uid="{00000000-0005-0000-0000-000056330000}"/>
    <cellStyle name="Normal 63 3 11" xfId="13138" xr:uid="{00000000-0005-0000-0000-000057330000}"/>
    <cellStyle name="Normal 63 3 12" xfId="13139" xr:uid="{00000000-0005-0000-0000-000058330000}"/>
    <cellStyle name="Normal 63 3 13" xfId="13140" xr:uid="{00000000-0005-0000-0000-000059330000}"/>
    <cellStyle name="Normal 63 3 2" xfId="13141" xr:uid="{00000000-0005-0000-0000-00005A330000}"/>
    <cellStyle name="Normal 63 3 2 10" xfId="13142" xr:uid="{00000000-0005-0000-0000-00005B330000}"/>
    <cellStyle name="Normal 63 3 2 11" xfId="13143" xr:uid="{00000000-0005-0000-0000-00005C330000}"/>
    <cellStyle name="Normal 63 3 2 2" xfId="13144" xr:uid="{00000000-0005-0000-0000-00005D330000}"/>
    <cellStyle name="Normal 63 3 2 3" xfId="13145" xr:uid="{00000000-0005-0000-0000-00005E330000}"/>
    <cellStyle name="Normal 63 3 2 4" xfId="13146" xr:uid="{00000000-0005-0000-0000-00005F330000}"/>
    <cellStyle name="Normal 63 3 2 5" xfId="13147" xr:uid="{00000000-0005-0000-0000-000060330000}"/>
    <cellStyle name="Normal 63 3 2 6" xfId="13148" xr:uid="{00000000-0005-0000-0000-000061330000}"/>
    <cellStyle name="Normal 63 3 2 7" xfId="13149" xr:uid="{00000000-0005-0000-0000-000062330000}"/>
    <cellStyle name="Normal 63 3 2 8" xfId="13150" xr:uid="{00000000-0005-0000-0000-000063330000}"/>
    <cellStyle name="Normal 63 3 2 9" xfId="13151" xr:uid="{00000000-0005-0000-0000-000064330000}"/>
    <cellStyle name="Normal 63 3 3" xfId="13152" xr:uid="{00000000-0005-0000-0000-000065330000}"/>
    <cellStyle name="Normal 63 3 4" xfId="13153" xr:uid="{00000000-0005-0000-0000-000066330000}"/>
    <cellStyle name="Normal 63 3 5" xfId="13154" xr:uid="{00000000-0005-0000-0000-000067330000}"/>
    <cellStyle name="Normal 63 3 6" xfId="13155" xr:uid="{00000000-0005-0000-0000-000068330000}"/>
    <cellStyle name="Normal 63 3 7" xfId="13156" xr:uid="{00000000-0005-0000-0000-000069330000}"/>
    <cellStyle name="Normal 63 3 8" xfId="13157" xr:uid="{00000000-0005-0000-0000-00006A330000}"/>
    <cellStyle name="Normal 63 3 9" xfId="13158" xr:uid="{00000000-0005-0000-0000-00006B330000}"/>
    <cellStyle name="Normal 63 4" xfId="13159" xr:uid="{00000000-0005-0000-0000-00006C330000}"/>
    <cellStyle name="Normal 63 4 10" xfId="13160" xr:uid="{00000000-0005-0000-0000-00006D330000}"/>
    <cellStyle name="Normal 63 4 11" xfId="13161" xr:uid="{00000000-0005-0000-0000-00006E330000}"/>
    <cellStyle name="Normal 63 4 12" xfId="13162" xr:uid="{00000000-0005-0000-0000-00006F330000}"/>
    <cellStyle name="Normal 63 4 13" xfId="13163" xr:uid="{00000000-0005-0000-0000-000070330000}"/>
    <cellStyle name="Normal 63 4 2" xfId="13164" xr:uid="{00000000-0005-0000-0000-000071330000}"/>
    <cellStyle name="Normal 63 4 2 10" xfId="13165" xr:uid="{00000000-0005-0000-0000-000072330000}"/>
    <cellStyle name="Normal 63 4 2 11" xfId="13166" xr:uid="{00000000-0005-0000-0000-000073330000}"/>
    <cellStyle name="Normal 63 4 2 2" xfId="13167" xr:uid="{00000000-0005-0000-0000-000074330000}"/>
    <cellStyle name="Normal 63 4 2 3" xfId="13168" xr:uid="{00000000-0005-0000-0000-000075330000}"/>
    <cellStyle name="Normal 63 4 2 4" xfId="13169" xr:uid="{00000000-0005-0000-0000-000076330000}"/>
    <cellStyle name="Normal 63 4 2 5" xfId="13170" xr:uid="{00000000-0005-0000-0000-000077330000}"/>
    <cellStyle name="Normal 63 4 2 6" xfId="13171" xr:uid="{00000000-0005-0000-0000-000078330000}"/>
    <cellStyle name="Normal 63 4 2 7" xfId="13172" xr:uid="{00000000-0005-0000-0000-000079330000}"/>
    <cellStyle name="Normal 63 4 2 8" xfId="13173" xr:uid="{00000000-0005-0000-0000-00007A330000}"/>
    <cellStyle name="Normal 63 4 2 9" xfId="13174" xr:uid="{00000000-0005-0000-0000-00007B330000}"/>
    <cellStyle name="Normal 63 4 3" xfId="13175" xr:uid="{00000000-0005-0000-0000-00007C330000}"/>
    <cellStyle name="Normal 63 4 4" xfId="13176" xr:uid="{00000000-0005-0000-0000-00007D330000}"/>
    <cellStyle name="Normal 63 4 5" xfId="13177" xr:uid="{00000000-0005-0000-0000-00007E330000}"/>
    <cellStyle name="Normal 63 4 6" xfId="13178" xr:uid="{00000000-0005-0000-0000-00007F330000}"/>
    <cellStyle name="Normal 63 4 7" xfId="13179" xr:uid="{00000000-0005-0000-0000-000080330000}"/>
    <cellStyle name="Normal 63 4 8" xfId="13180" xr:uid="{00000000-0005-0000-0000-000081330000}"/>
    <cellStyle name="Normal 63 4 9" xfId="13181" xr:uid="{00000000-0005-0000-0000-000082330000}"/>
    <cellStyle name="Normal 63 5" xfId="13182" xr:uid="{00000000-0005-0000-0000-000083330000}"/>
    <cellStyle name="Normal 63 5 10" xfId="13183" xr:uid="{00000000-0005-0000-0000-000084330000}"/>
    <cellStyle name="Normal 63 5 11" xfId="13184" xr:uid="{00000000-0005-0000-0000-000085330000}"/>
    <cellStyle name="Normal 63 5 12" xfId="13185" xr:uid="{00000000-0005-0000-0000-000086330000}"/>
    <cellStyle name="Normal 63 5 13" xfId="13186" xr:uid="{00000000-0005-0000-0000-000087330000}"/>
    <cellStyle name="Normal 63 5 2" xfId="13187" xr:uid="{00000000-0005-0000-0000-000088330000}"/>
    <cellStyle name="Normal 63 5 2 10" xfId="13188" xr:uid="{00000000-0005-0000-0000-000089330000}"/>
    <cellStyle name="Normal 63 5 2 11" xfId="13189" xr:uid="{00000000-0005-0000-0000-00008A330000}"/>
    <cellStyle name="Normal 63 5 2 2" xfId="13190" xr:uid="{00000000-0005-0000-0000-00008B330000}"/>
    <cellStyle name="Normal 63 5 2 3" xfId="13191" xr:uid="{00000000-0005-0000-0000-00008C330000}"/>
    <cellStyle name="Normal 63 5 2 4" xfId="13192" xr:uid="{00000000-0005-0000-0000-00008D330000}"/>
    <cellStyle name="Normal 63 5 2 5" xfId="13193" xr:uid="{00000000-0005-0000-0000-00008E330000}"/>
    <cellStyle name="Normal 63 5 2 6" xfId="13194" xr:uid="{00000000-0005-0000-0000-00008F330000}"/>
    <cellStyle name="Normal 63 5 2 7" xfId="13195" xr:uid="{00000000-0005-0000-0000-000090330000}"/>
    <cellStyle name="Normal 63 5 2 8" xfId="13196" xr:uid="{00000000-0005-0000-0000-000091330000}"/>
    <cellStyle name="Normal 63 5 2 9" xfId="13197" xr:uid="{00000000-0005-0000-0000-000092330000}"/>
    <cellStyle name="Normal 63 5 3" xfId="13198" xr:uid="{00000000-0005-0000-0000-000093330000}"/>
    <cellStyle name="Normal 63 5 4" xfId="13199" xr:uid="{00000000-0005-0000-0000-000094330000}"/>
    <cellStyle name="Normal 63 5 5" xfId="13200" xr:uid="{00000000-0005-0000-0000-000095330000}"/>
    <cellStyle name="Normal 63 5 6" xfId="13201" xr:uid="{00000000-0005-0000-0000-000096330000}"/>
    <cellStyle name="Normal 63 5 7" xfId="13202" xr:uid="{00000000-0005-0000-0000-000097330000}"/>
    <cellStyle name="Normal 63 5 8" xfId="13203" xr:uid="{00000000-0005-0000-0000-000098330000}"/>
    <cellStyle name="Normal 63 5 9" xfId="13204" xr:uid="{00000000-0005-0000-0000-000099330000}"/>
    <cellStyle name="Normal 63 6" xfId="13205" xr:uid="{00000000-0005-0000-0000-00009A330000}"/>
    <cellStyle name="Normal 63 6 10" xfId="13206" xr:uid="{00000000-0005-0000-0000-00009B330000}"/>
    <cellStyle name="Normal 63 6 11" xfId="13207" xr:uid="{00000000-0005-0000-0000-00009C330000}"/>
    <cellStyle name="Normal 63 6 12" xfId="13208" xr:uid="{00000000-0005-0000-0000-00009D330000}"/>
    <cellStyle name="Normal 63 6 13" xfId="13209" xr:uid="{00000000-0005-0000-0000-00009E330000}"/>
    <cellStyle name="Normal 63 6 2" xfId="13210" xr:uid="{00000000-0005-0000-0000-00009F330000}"/>
    <cellStyle name="Normal 63 6 2 10" xfId="13211" xr:uid="{00000000-0005-0000-0000-0000A0330000}"/>
    <cellStyle name="Normal 63 6 2 11" xfId="13212" xr:uid="{00000000-0005-0000-0000-0000A1330000}"/>
    <cellStyle name="Normal 63 6 2 2" xfId="13213" xr:uid="{00000000-0005-0000-0000-0000A2330000}"/>
    <cellStyle name="Normal 63 6 2 3" xfId="13214" xr:uid="{00000000-0005-0000-0000-0000A3330000}"/>
    <cellStyle name="Normal 63 6 2 4" xfId="13215" xr:uid="{00000000-0005-0000-0000-0000A4330000}"/>
    <cellStyle name="Normal 63 6 2 5" xfId="13216" xr:uid="{00000000-0005-0000-0000-0000A5330000}"/>
    <cellStyle name="Normal 63 6 2 6" xfId="13217" xr:uid="{00000000-0005-0000-0000-0000A6330000}"/>
    <cellStyle name="Normal 63 6 2 7" xfId="13218" xr:uid="{00000000-0005-0000-0000-0000A7330000}"/>
    <cellStyle name="Normal 63 6 2 8" xfId="13219" xr:uid="{00000000-0005-0000-0000-0000A8330000}"/>
    <cellStyle name="Normal 63 6 2 9" xfId="13220" xr:uid="{00000000-0005-0000-0000-0000A9330000}"/>
    <cellStyle name="Normal 63 6 3" xfId="13221" xr:uid="{00000000-0005-0000-0000-0000AA330000}"/>
    <cellStyle name="Normal 63 6 4" xfId="13222" xr:uid="{00000000-0005-0000-0000-0000AB330000}"/>
    <cellStyle name="Normal 63 6 5" xfId="13223" xr:uid="{00000000-0005-0000-0000-0000AC330000}"/>
    <cellStyle name="Normal 63 6 6" xfId="13224" xr:uid="{00000000-0005-0000-0000-0000AD330000}"/>
    <cellStyle name="Normal 63 6 7" xfId="13225" xr:uid="{00000000-0005-0000-0000-0000AE330000}"/>
    <cellStyle name="Normal 63 6 8" xfId="13226" xr:uid="{00000000-0005-0000-0000-0000AF330000}"/>
    <cellStyle name="Normal 63 6 9" xfId="13227" xr:uid="{00000000-0005-0000-0000-0000B0330000}"/>
    <cellStyle name="Normal 63 7" xfId="13228" xr:uid="{00000000-0005-0000-0000-0000B1330000}"/>
    <cellStyle name="Normal 63 7 10" xfId="13229" xr:uid="{00000000-0005-0000-0000-0000B2330000}"/>
    <cellStyle name="Normal 63 7 11" xfId="13230" xr:uid="{00000000-0005-0000-0000-0000B3330000}"/>
    <cellStyle name="Normal 63 7 12" xfId="13231" xr:uid="{00000000-0005-0000-0000-0000B4330000}"/>
    <cellStyle name="Normal 63 7 13" xfId="13232" xr:uid="{00000000-0005-0000-0000-0000B5330000}"/>
    <cellStyle name="Normal 63 7 2" xfId="13233" xr:uid="{00000000-0005-0000-0000-0000B6330000}"/>
    <cellStyle name="Normal 63 7 2 10" xfId="13234" xr:uid="{00000000-0005-0000-0000-0000B7330000}"/>
    <cellStyle name="Normal 63 7 2 11" xfId="13235" xr:uid="{00000000-0005-0000-0000-0000B8330000}"/>
    <cellStyle name="Normal 63 7 2 2" xfId="13236" xr:uid="{00000000-0005-0000-0000-0000B9330000}"/>
    <cellStyle name="Normal 63 7 2 3" xfId="13237" xr:uid="{00000000-0005-0000-0000-0000BA330000}"/>
    <cellStyle name="Normal 63 7 2 4" xfId="13238" xr:uid="{00000000-0005-0000-0000-0000BB330000}"/>
    <cellStyle name="Normal 63 7 2 5" xfId="13239" xr:uid="{00000000-0005-0000-0000-0000BC330000}"/>
    <cellStyle name="Normal 63 7 2 6" xfId="13240" xr:uid="{00000000-0005-0000-0000-0000BD330000}"/>
    <cellStyle name="Normal 63 7 2 7" xfId="13241" xr:uid="{00000000-0005-0000-0000-0000BE330000}"/>
    <cellStyle name="Normal 63 7 2 8" xfId="13242" xr:uid="{00000000-0005-0000-0000-0000BF330000}"/>
    <cellStyle name="Normal 63 7 2 9" xfId="13243" xr:uid="{00000000-0005-0000-0000-0000C0330000}"/>
    <cellStyle name="Normal 63 7 3" xfId="13244" xr:uid="{00000000-0005-0000-0000-0000C1330000}"/>
    <cellStyle name="Normal 63 7 4" xfId="13245" xr:uid="{00000000-0005-0000-0000-0000C2330000}"/>
    <cellStyle name="Normal 63 7 5" xfId="13246" xr:uid="{00000000-0005-0000-0000-0000C3330000}"/>
    <cellStyle name="Normal 63 7 6" xfId="13247" xr:uid="{00000000-0005-0000-0000-0000C4330000}"/>
    <cellStyle name="Normal 63 7 7" xfId="13248" xr:uid="{00000000-0005-0000-0000-0000C5330000}"/>
    <cellStyle name="Normal 63 7 8" xfId="13249" xr:uid="{00000000-0005-0000-0000-0000C6330000}"/>
    <cellStyle name="Normal 63 7 9" xfId="13250" xr:uid="{00000000-0005-0000-0000-0000C7330000}"/>
    <cellStyle name="Normal 63 8" xfId="13251" xr:uid="{00000000-0005-0000-0000-0000C8330000}"/>
    <cellStyle name="Normal 63 8 10" xfId="13252" xr:uid="{00000000-0005-0000-0000-0000C9330000}"/>
    <cellStyle name="Normal 63 8 11" xfId="13253" xr:uid="{00000000-0005-0000-0000-0000CA330000}"/>
    <cellStyle name="Normal 63 8 12" xfId="13254" xr:uid="{00000000-0005-0000-0000-0000CB330000}"/>
    <cellStyle name="Normal 63 8 13" xfId="13255" xr:uid="{00000000-0005-0000-0000-0000CC330000}"/>
    <cellStyle name="Normal 63 8 2" xfId="13256" xr:uid="{00000000-0005-0000-0000-0000CD330000}"/>
    <cellStyle name="Normal 63 8 2 10" xfId="13257" xr:uid="{00000000-0005-0000-0000-0000CE330000}"/>
    <cellStyle name="Normal 63 8 2 11" xfId="13258" xr:uid="{00000000-0005-0000-0000-0000CF330000}"/>
    <cellStyle name="Normal 63 8 2 2" xfId="13259" xr:uid="{00000000-0005-0000-0000-0000D0330000}"/>
    <cellStyle name="Normal 63 8 2 3" xfId="13260" xr:uid="{00000000-0005-0000-0000-0000D1330000}"/>
    <cellStyle name="Normal 63 8 2 4" xfId="13261" xr:uid="{00000000-0005-0000-0000-0000D2330000}"/>
    <cellStyle name="Normal 63 8 2 5" xfId="13262" xr:uid="{00000000-0005-0000-0000-0000D3330000}"/>
    <cellStyle name="Normal 63 8 2 6" xfId="13263" xr:uid="{00000000-0005-0000-0000-0000D4330000}"/>
    <cellStyle name="Normal 63 8 2 7" xfId="13264" xr:uid="{00000000-0005-0000-0000-0000D5330000}"/>
    <cellStyle name="Normal 63 8 2 8" xfId="13265" xr:uid="{00000000-0005-0000-0000-0000D6330000}"/>
    <cellStyle name="Normal 63 8 2 9" xfId="13266" xr:uid="{00000000-0005-0000-0000-0000D7330000}"/>
    <cellStyle name="Normal 63 8 3" xfId="13267" xr:uid="{00000000-0005-0000-0000-0000D8330000}"/>
    <cellStyle name="Normal 63 8 4" xfId="13268" xr:uid="{00000000-0005-0000-0000-0000D9330000}"/>
    <cellStyle name="Normal 63 8 5" xfId="13269" xr:uid="{00000000-0005-0000-0000-0000DA330000}"/>
    <cellStyle name="Normal 63 8 6" xfId="13270" xr:uid="{00000000-0005-0000-0000-0000DB330000}"/>
    <cellStyle name="Normal 63 8 7" xfId="13271" xr:uid="{00000000-0005-0000-0000-0000DC330000}"/>
    <cellStyle name="Normal 63 8 8" xfId="13272" xr:uid="{00000000-0005-0000-0000-0000DD330000}"/>
    <cellStyle name="Normal 63 8 9" xfId="13273" xr:uid="{00000000-0005-0000-0000-0000DE330000}"/>
    <cellStyle name="Normal 63 9" xfId="13274" xr:uid="{00000000-0005-0000-0000-0000DF330000}"/>
    <cellStyle name="Normal 63 9 10" xfId="13275" xr:uid="{00000000-0005-0000-0000-0000E0330000}"/>
    <cellStyle name="Normal 63 9 11" xfId="13276" xr:uid="{00000000-0005-0000-0000-0000E1330000}"/>
    <cellStyle name="Normal 63 9 12" xfId="13277" xr:uid="{00000000-0005-0000-0000-0000E2330000}"/>
    <cellStyle name="Normal 63 9 13" xfId="13278" xr:uid="{00000000-0005-0000-0000-0000E3330000}"/>
    <cellStyle name="Normal 63 9 2" xfId="13279" xr:uid="{00000000-0005-0000-0000-0000E4330000}"/>
    <cellStyle name="Normal 63 9 2 10" xfId="13280" xr:uid="{00000000-0005-0000-0000-0000E5330000}"/>
    <cellStyle name="Normal 63 9 2 11" xfId="13281" xr:uid="{00000000-0005-0000-0000-0000E6330000}"/>
    <cellStyle name="Normal 63 9 2 2" xfId="13282" xr:uid="{00000000-0005-0000-0000-0000E7330000}"/>
    <cellStyle name="Normal 63 9 2 3" xfId="13283" xr:uid="{00000000-0005-0000-0000-0000E8330000}"/>
    <cellStyle name="Normal 63 9 2 4" xfId="13284" xr:uid="{00000000-0005-0000-0000-0000E9330000}"/>
    <cellStyle name="Normal 63 9 2 5" xfId="13285" xr:uid="{00000000-0005-0000-0000-0000EA330000}"/>
    <cellStyle name="Normal 63 9 2 6" xfId="13286" xr:uid="{00000000-0005-0000-0000-0000EB330000}"/>
    <cellStyle name="Normal 63 9 2 7" xfId="13287" xr:uid="{00000000-0005-0000-0000-0000EC330000}"/>
    <cellStyle name="Normal 63 9 2 8" xfId="13288" xr:uid="{00000000-0005-0000-0000-0000ED330000}"/>
    <cellStyle name="Normal 63 9 2 9" xfId="13289" xr:uid="{00000000-0005-0000-0000-0000EE330000}"/>
    <cellStyle name="Normal 63 9 3" xfId="13290" xr:uid="{00000000-0005-0000-0000-0000EF330000}"/>
    <cellStyle name="Normal 63 9 4" xfId="13291" xr:uid="{00000000-0005-0000-0000-0000F0330000}"/>
    <cellStyle name="Normal 63 9 5" xfId="13292" xr:uid="{00000000-0005-0000-0000-0000F1330000}"/>
    <cellStyle name="Normal 63 9 6" xfId="13293" xr:uid="{00000000-0005-0000-0000-0000F2330000}"/>
    <cellStyle name="Normal 63 9 7" xfId="13294" xr:uid="{00000000-0005-0000-0000-0000F3330000}"/>
    <cellStyle name="Normal 63 9 8" xfId="13295" xr:uid="{00000000-0005-0000-0000-0000F4330000}"/>
    <cellStyle name="Normal 63 9 9" xfId="13296" xr:uid="{00000000-0005-0000-0000-0000F5330000}"/>
    <cellStyle name="Normal 64" xfId="13297" xr:uid="{00000000-0005-0000-0000-0000F6330000}"/>
    <cellStyle name="Normal 64 10" xfId="13298" xr:uid="{00000000-0005-0000-0000-0000F7330000}"/>
    <cellStyle name="Normal 64 10 10" xfId="13299" xr:uid="{00000000-0005-0000-0000-0000F8330000}"/>
    <cellStyle name="Normal 64 10 11" xfId="13300" xr:uid="{00000000-0005-0000-0000-0000F9330000}"/>
    <cellStyle name="Normal 64 10 12" xfId="13301" xr:uid="{00000000-0005-0000-0000-0000FA330000}"/>
    <cellStyle name="Normal 64 10 13" xfId="13302" xr:uid="{00000000-0005-0000-0000-0000FB330000}"/>
    <cellStyle name="Normal 64 10 2" xfId="13303" xr:uid="{00000000-0005-0000-0000-0000FC330000}"/>
    <cellStyle name="Normal 64 10 2 10" xfId="13304" xr:uid="{00000000-0005-0000-0000-0000FD330000}"/>
    <cellStyle name="Normal 64 10 2 11" xfId="13305" xr:uid="{00000000-0005-0000-0000-0000FE330000}"/>
    <cellStyle name="Normal 64 10 2 2" xfId="13306" xr:uid="{00000000-0005-0000-0000-0000FF330000}"/>
    <cellStyle name="Normal 64 10 2 3" xfId="13307" xr:uid="{00000000-0005-0000-0000-000000340000}"/>
    <cellStyle name="Normal 64 10 2 4" xfId="13308" xr:uid="{00000000-0005-0000-0000-000001340000}"/>
    <cellStyle name="Normal 64 10 2 5" xfId="13309" xr:uid="{00000000-0005-0000-0000-000002340000}"/>
    <cellStyle name="Normal 64 10 2 6" xfId="13310" xr:uid="{00000000-0005-0000-0000-000003340000}"/>
    <cellStyle name="Normal 64 10 2 7" xfId="13311" xr:uid="{00000000-0005-0000-0000-000004340000}"/>
    <cellStyle name="Normal 64 10 2 8" xfId="13312" xr:uid="{00000000-0005-0000-0000-000005340000}"/>
    <cellStyle name="Normal 64 10 2 9" xfId="13313" xr:uid="{00000000-0005-0000-0000-000006340000}"/>
    <cellStyle name="Normal 64 10 3" xfId="13314" xr:uid="{00000000-0005-0000-0000-000007340000}"/>
    <cellStyle name="Normal 64 10 4" xfId="13315" xr:uid="{00000000-0005-0000-0000-000008340000}"/>
    <cellStyle name="Normal 64 10 5" xfId="13316" xr:uid="{00000000-0005-0000-0000-000009340000}"/>
    <cellStyle name="Normal 64 10 6" xfId="13317" xr:uid="{00000000-0005-0000-0000-00000A340000}"/>
    <cellStyle name="Normal 64 10 7" xfId="13318" xr:uid="{00000000-0005-0000-0000-00000B340000}"/>
    <cellStyle name="Normal 64 10 8" xfId="13319" xr:uid="{00000000-0005-0000-0000-00000C340000}"/>
    <cellStyle name="Normal 64 10 9" xfId="13320" xr:uid="{00000000-0005-0000-0000-00000D340000}"/>
    <cellStyle name="Normal 64 11" xfId="13321" xr:uid="{00000000-0005-0000-0000-00000E340000}"/>
    <cellStyle name="Normal 64 11 10" xfId="13322" xr:uid="{00000000-0005-0000-0000-00000F340000}"/>
    <cellStyle name="Normal 64 11 11" xfId="13323" xr:uid="{00000000-0005-0000-0000-000010340000}"/>
    <cellStyle name="Normal 64 11 12" xfId="13324" xr:uid="{00000000-0005-0000-0000-000011340000}"/>
    <cellStyle name="Normal 64 11 13" xfId="13325" xr:uid="{00000000-0005-0000-0000-000012340000}"/>
    <cellStyle name="Normal 64 11 2" xfId="13326" xr:uid="{00000000-0005-0000-0000-000013340000}"/>
    <cellStyle name="Normal 64 11 2 10" xfId="13327" xr:uid="{00000000-0005-0000-0000-000014340000}"/>
    <cellStyle name="Normal 64 11 2 11" xfId="13328" xr:uid="{00000000-0005-0000-0000-000015340000}"/>
    <cellStyle name="Normal 64 11 2 2" xfId="13329" xr:uid="{00000000-0005-0000-0000-000016340000}"/>
    <cellStyle name="Normal 64 11 2 3" xfId="13330" xr:uid="{00000000-0005-0000-0000-000017340000}"/>
    <cellStyle name="Normal 64 11 2 4" xfId="13331" xr:uid="{00000000-0005-0000-0000-000018340000}"/>
    <cellStyle name="Normal 64 11 2 5" xfId="13332" xr:uid="{00000000-0005-0000-0000-000019340000}"/>
    <cellStyle name="Normal 64 11 2 6" xfId="13333" xr:uid="{00000000-0005-0000-0000-00001A340000}"/>
    <cellStyle name="Normal 64 11 2 7" xfId="13334" xr:uid="{00000000-0005-0000-0000-00001B340000}"/>
    <cellStyle name="Normal 64 11 2 8" xfId="13335" xr:uid="{00000000-0005-0000-0000-00001C340000}"/>
    <cellStyle name="Normal 64 11 2 9" xfId="13336" xr:uid="{00000000-0005-0000-0000-00001D340000}"/>
    <cellStyle name="Normal 64 11 3" xfId="13337" xr:uid="{00000000-0005-0000-0000-00001E340000}"/>
    <cellStyle name="Normal 64 11 4" xfId="13338" xr:uid="{00000000-0005-0000-0000-00001F340000}"/>
    <cellStyle name="Normal 64 11 5" xfId="13339" xr:uid="{00000000-0005-0000-0000-000020340000}"/>
    <cellStyle name="Normal 64 11 6" xfId="13340" xr:uid="{00000000-0005-0000-0000-000021340000}"/>
    <cellStyle name="Normal 64 11 7" xfId="13341" xr:uid="{00000000-0005-0000-0000-000022340000}"/>
    <cellStyle name="Normal 64 11 8" xfId="13342" xr:uid="{00000000-0005-0000-0000-000023340000}"/>
    <cellStyle name="Normal 64 11 9" xfId="13343" xr:uid="{00000000-0005-0000-0000-000024340000}"/>
    <cellStyle name="Normal 64 12" xfId="13344" xr:uid="{00000000-0005-0000-0000-000025340000}"/>
    <cellStyle name="Normal 64 12 10" xfId="13345" xr:uid="{00000000-0005-0000-0000-000026340000}"/>
    <cellStyle name="Normal 64 12 11" xfId="13346" xr:uid="{00000000-0005-0000-0000-000027340000}"/>
    <cellStyle name="Normal 64 12 12" xfId="13347" xr:uid="{00000000-0005-0000-0000-000028340000}"/>
    <cellStyle name="Normal 64 12 13" xfId="13348" xr:uid="{00000000-0005-0000-0000-000029340000}"/>
    <cellStyle name="Normal 64 12 2" xfId="13349" xr:uid="{00000000-0005-0000-0000-00002A340000}"/>
    <cellStyle name="Normal 64 12 2 10" xfId="13350" xr:uid="{00000000-0005-0000-0000-00002B340000}"/>
    <cellStyle name="Normal 64 12 2 11" xfId="13351" xr:uid="{00000000-0005-0000-0000-00002C340000}"/>
    <cellStyle name="Normal 64 12 2 2" xfId="13352" xr:uid="{00000000-0005-0000-0000-00002D340000}"/>
    <cellStyle name="Normal 64 12 2 3" xfId="13353" xr:uid="{00000000-0005-0000-0000-00002E340000}"/>
    <cellStyle name="Normal 64 12 2 4" xfId="13354" xr:uid="{00000000-0005-0000-0000-00002F340000}"/>
    <cellStyle name="Normal 64 12 2 5" xfId="13355" xr:uid="{00000000-0005-0000-0000-000030340000}"/>
    <cellStyle name="Normal 64 12 2 6" xfId="13356" xr:uid="{00000000-0005-0000-0000-000031340000}"/>
    <cellStyle name="Normal 64 12 2 7" xfId="13357" xr:uid="{00000000-0005-0000-0000-000032340000}"/>
    <cellStyle name="Normal 64 12 2 8" xfId="13358" xr:uid="{00000000-0005-0000-0000-000033340000}"/>
    <cellStyle name="Normal 64 12 2 9" xfId="13359" xr:uid="{00000000-0005-0000-0000-000034340000}"/>
    <cellStyle name="Normal 64 12 3" xfId="13360" xr:uid="{00000000-0005-0000-0000-000035340000}"/>
    <cellStyle name="Normal 64 12 4" xfId="13361" xr:uid="{00000000-0005-0000-0000-000036340000}"/>
    <cellStyle name="Normal 64 12 5" xfId="13362" xr:uid="{00000000-0005-0000-0000-000037340000}"/>
    <cellStyle name="Normal 64 12 6" xfId="13363" xr:uid="{00000000-0005-0000-0000-000038340000}"/>
    <cellStyle name="Normal 64 12 7" xfId="13364" xr:uid="{00000000-0005-0000-0000-000039340000}"/>
    <cellStyle name="Normal 64 12 8" xfId="13365" xr:uid="{00000000-0005-0000-0000-00003A340000}"/>
    <cellStyle name="Normal 64 12 9" xfId="13366" xr:uid="{00000000-0005-0000-0000-00003B340000}"/>
    <cellStyle name="Normal 64 13" xfId="13367" xr:uid="{00000000-0005-0000-0000-00003C340000}"/>
    <cellStyle name="Normal 64 13 10" xfId="13368" xr:uid="{00000000-0005-0000-0000-00003D340000}"/>
    <cellStyle name="Normal 64 13 11" xfId="13369" xr:uid="{00000000-0005-0000-0000-00003E340000}"/>
    <cellStyle name="Normal 64 13 12" xfId="13370" xr:uid="{00000000-0005-0000-0000-00003F340000}"/>
    <cellStyle name="Normal 64 13 13" xfId="13371" xr:uid="{00000000-0005-0000-0000-000040340000}"/>
    <cellStyle name="Normal 64 13 2" xfId="13372" xr:uid="{00000000-0005-0000-0000-000041340000}"/>
    <cellStyle name="Normal 64 13 2 10" xfId="13373" xr:uid="{00000000-0005-0000-0000-000042340000}"/>
    <cellStyle name="Normal 64 13 2 11" xfId="13374" xr:uid="{00000000-0005-0000-0000-000043340000}"/>
    <cellStyle name="Normal 64 13 2 2" xfId="13375" xr:uid="{00000000-0005-0000-0000-000044340000}"/>
    <cellStyle name="Normal 64 13 2 3" xfId="13376" xr:uid="{00000000-0005-0000-0000-000045340000}"/>
    <cellStyle name="Normal 64 13 2 4" xfId="13377" xr:uid="{00000000-0005-0000-0000-000046340000}"/>
    <cellStyle name="Normal 64 13 2 5" xfId="13378" xr:uid="{00000000-0005-0000-0000-000047340000}"/>
    <cellStyle name="Normal 64 13 2 6" xfId="13379" xr:uid="{00000000-0005-0000-0000-000048340000}"/>
    <cellStyle name="Normal 64 13 2 7" xfId="13380" xr:uid="{00000000-0005-0000-0000-000049340000}"/>
    <cellStyle name="Normal 64 13 2 8" xfId="13381" xr:uid="{00000000-0005-0000-0000-00004A340000}"/>
    <cellStyle name="Normal 64 13 2 9" xfId="13382" xr:uid="{00000000-0005-0000-0000-00004B340000}"/>
    <cellStyle name="Normal 64 13 3" xfId="13383" xr:uid="{00000000-0005-0000-0000-00004C340000}"/>
    <cellStyle name="Normal 64 13 4" xfId="13384" xr:uid="{00000000-0005-0000-0000-00004D340000}"/>
    <cellStyle name="Normal 64 13 5" xfId="13385" xr:uid="{00000000-0005-0000-0000-00004E340000}"/>
    <cellStyle name="Normal 64 13 6" xfId="13386" xr:uid="{00000000-0005-0000-0000-00004F340000}"/>
    <cellStyle name="Normal 64 13 7" xfId="13387" xr:uid="{00000000-0005-0000-0000-000050340000}"/>
    <cellStyle name="Normal 64 13 8" xfId="13388" xr:uid="{00000000-0005-0000-0000-000051340000}"/>
    <cellStyle name="Normal 64 13 9" xfId="13389" xr:uid="{00000000-0005-0000-0000-000052340000}"/>
    <cellStyle name="Normal 64 14" xfId="13390" xr:uid="{00000000-0005-0000-0000-000053340000}"/>
    <cellStyle name="Normal 64 14 10" xfId="13391" xr:uid="{00000000-0005-0000-0000-000054340000}"/>
    <cellStyle name="Normal 64 14 11" xfId="13392" xr:uid="{00000000-0005-0000-0000-000055340000}"/>
    <cellStyle name="Normal 64 14 2" xfId="13393" xr:uid="{00000000-0005-0000-0000-000056340000}"/>
    <cellStyle name="Normal 64 14 3" xfId="13394" xr:uid="{00000000-0005-0000-0000-000057340000}"/>
    <cellStyle name="Normal 64 14 4" xfId="13395" xr:uid="{00000000-0005-0000-0000-000058340000}"/>
    <cellStyle name="Normal 64 14 5" xfId="13396" xr:uid="{00000000-0005-0000-0000-000059340000}"/>
    <cellStyle name="Normal 64 14 6" xfId="13397" xr:uid="{00000000-0005-0000-0000-00005A340000}"/>
    <cellStyle name="Normal 64 14 7" xfId="13398" xr:uid="{00000000-0005-0000-0000-00005B340000}"/>
    <cellStyle name="Normal 64 14 8" xfId="13399" xr:uid="{00000000-0005-0000-0000-00005C340000}"/>
    <cellStyle name="Normal 64 14 9" xfId="13400" xr:uid="{00000000-0005-0000-0000-00005D340000}"/>
    <cellStyle name="Normal 64 15" xfId="13401" xr:uid="{00000000-0005-0000-0000-00005E340000}"/>
    <cellStyle name="Normal 64 16" xfId="13402" xr:uid="{00000000-0005-0000-0000-00005F340000}"/>
    <cellStyle name="Normal 64 17" xfId="13403" xr:uid="{00000000-0005-0000-0000-000060340000}"/>
    <cellStyle name="Normal 64 18" xfId="13404" xr:uid="{00000000-0005-0000-0000-000061340000}"/>
    <cellStyle name="Normal 64 19" xfId="13405" xr:uid="{00000000-0005-0000-0000-000062340000}"/>
    <cellStyle name="Normal 64 2" xfId="13406" xr:uid="{00000000-0005-0000-0000-000063340000}"/>
    <cellStyle name="Normal 64 2 10" xfId="13407" xr:uid="{00000000-0005-0000-0000-000064340000}"/>
    <cellStyle name="Normal 64 2 11" xfId="13408" xr:uid="{00000000-0005-0000-0000-000065340000}"/>
    <cellStyle name="Normal 64 2 12" xfId="13409" xr:uid="{00000000-0005-0000-0000-000066340000}"/>
    <cellStyle name="Normal 64 2 13" xfId="13410" xr:uid="{00000000-0005-0000-0000-000067340000}"/>
    <cellStyle name="Normal 64 2 2" xfId="13411" xr:uid="{00000000-0005-0000-0000-000068340000}"/>
    <cellStyle name="Normal 64 2 2 10" xfId="13412" xr:uid="{00000000-0005-0000-0000-000069340000}"/>
    <cellStyle name="Normal 64 2 2 11" xfId="13413" xr:uid="{00000000-0005-0000-0000-00006A340000}"/>
    <cellStyle name="Normal 64 2 2 2" xfId="13414" xr:uid="{00000000-0005-0000-0000-00006B340000}"/>
    <cellStyle name="Normal 64 2 2 3" xfId="13415" xr:uid="{00000000-0005-0000-0000-00006C340000}"/>
    <cellStyle name="Normal 64 2 2 4" xfId="13416" xr:uid="{00000000-0005-0000-0000-00006D340000}"/>
    <cellStyle name="Normal 64 2 2 5" xfId="13417" xr:uid="{00000000-0005-0000-0000-00006E340000}"/>
    <cellStyle name="Normal 64 2 2 6" xfId="13418" xr:uid="{00000000-0005-0000-0000-00006F340000}"/>
    <cellStyle name="Normal 64 2 2 7" xfId="13419" xr:uid="{00000000-0005-0000-0000-000070340000}"/>
    <cellStyle name="Normal 64 2 2 8" xfId="13420" xr:uid="{00000000-0005-0000-0000-000071340000}"/>
    <cellStyle name="Normal 64 2 2 9" xfId="13421" xr:uid="{00000000-0005-0000-0000-000072340000}"/>
    <cellStyle name="Normal 64 2 3" xfId="13422" xr:uid="{00000000-0005-0000-0000-000073340000}"/>
    <cellStyle name="Normal 64 2 4" xfId="13423" xr:uid="{00000000-0005-0000-0000-000074340000}"/>
    <cellStyle name="Normal 64 2 5" xfId="13424" xr:uid="{00000000-0005-0000-0000-000075340000}"/>
    <cellStyle name="Normal 64 2 6" xfId="13425" xr:uid="{00000000-0005-0000-0000-000076340000}"/>
    <cellStyle name="Normal 64 2 7" xfId="13426" xr:uid="{00000000-0005-0000-0000-000077340000}"/>
    <cellStyle name="Normal 64 2 8" xfId="13427" xr:uid="{00000000-0005-0000-0000-000078340000}"/>
    <cellStyle name="Normal 64 2 9" xfId="13428" xr:uid="{00000000-0005-0000-0000-000079340000}"/>
    <cellStyle name="Normal 64 20" xfId="13429" xr:uid="{00000000-0005-0000-0000-00007A340000}"/>
    <cellStyle name="Normal 64 21" xfId="13430" xr:uid="{00000000-0005-0000-0000-00007B340000}"/>
    <cellStyle name="Normal 64 22" xfId="13431" xr:uid="{00000000-0005-0000-0000-00007C340000}"/>
    <cellStyle name="Normal 64 23" xfId="13432" xr:uid="{00000000-0005-0000-0000-00007D340000}"/>
    <cellStyle name="Normal 64 24" xfId="13433" xr:uid="{00000000-0005-0000-0000-00007E340000}"/>
    <cellStyle name="Normal 64 25" xfId="13434" xr:uid="{00000000-0005-0000-0000-00007F340000}"/>
    <cellStyle name="Normal 64 3" xfId="13435" xr:uid="{00000000-0005-0000-0000-000080340000}"/>
    <cellStyle name="Normal 64 3 10" xfId="13436" xr:uid="{00000000-0005-0000-0000-000081340000}"/>
    <cellStyle name="Normal 64 3 11" xfId="13437" xr:uid="{00000000-0005-0000-0000-000082340000}"/>
    <cellStyle name="Normal 64 3 12" xfId="13438" xr:uid="{00000000-0005-0000-0000-000083340000}"/>
    <cellStyle name="Normal 64 3 13" xfId="13439" xr:uid="{00000000-0005-0000-0000-000084340000}"/>
    <cellStyle name="Normal 64 3 2" xfId="13440" xr:uid="{00000000-0005-0000-0000-000085340000}"/>
    <cellStyle name="Normal 64 3 2 10" xfId="13441" xr:uid="{00000000-0005-0000-0000-000086340000}"/>
    <cellStyle name="Normal 64 3 2 11" xfId="13442" xr:uid="{00000000-0005-0000-0000-000087340000}"/>
    <cellStyle name="Normal 64 3 2 2" xfId="13443" xr:uid="{00000000-0005-0000-0000-000088340000}"/>
    <cellStyle name="Normal 64 3 2 3" xfId="13444" xr:uid="{00000000-0005-0000-0000-000089340000}"/>
    <cellStyle name="Normal 64 3 2 4" xfId="13445" xr:uid="{00000000-0005-0000-0000-00008A340000}"/>
    <cellStyle name="Normal 64 3 2 5" xfId="13446" xr:uid="{00000000-0005-0000-0000-00008B340000}"/>
    <cellStyle name="Normal 64 3 2 6" xfId="13447" xr:uid="{00000000-0005-0000-0000-00008C340000}"/>
    <cellStyle name="Normal 64 3 2 7" xfId="13448" xr:uid="{00000000-0005-0000-0000-00008D340000}"/>
    <cellStyle name="Normal 64 3 2 8" xfId="13449" xr:uid="{00000000-0005-0000-0000-00008E340000}"/>
    <cellStyle name="Normal 64 3 2 9" xfId="13450" xr:uid="{00000000-0005-0000-0000-00008F340000}"/>
    <cellStyle name="Normal 64 3 3" xfId="13451" xr:uid="{00000000-0005-0000-0000-000090340000}"/>
    <cellStyle name="Normal 64 3 4" xfId="13452" xr:uid="{00000000-0005-0000-0000-000091340000}"/>
    <cellStyle name="Normal 64 3 5" xfId="13453" xr:uid="{00000000-0005-0000-0000-000092340000}"/>
    <cellStyle name="Normal 64 3 6" xfId="13454" xr:uid="{00000000-0005-0000-0000-000093340000}"/>
    <cellStyle name="Normal 64 3 7" xfId="13455" xr:uid="{00000000-0005-0000-0000-000094340000}"/>
    <cellStyle name="Normal 64 3 8" xfId="13456" xr:uid="{00000000-0005-0000-0000-000095340000}"/>
    <cellStyle name="Normal 64 3 9" xfId="13457" xr:uid="{00000000-0005-0000-0000-000096340000}"/>
    <cellStyle name="Normal 64 4" xfId="13458" xr:uid="{00000000-0005-0000-0000-000097340000}"/>
    <cellStyle name="Normal 64 4 10" xfId="13459" xr:uid="{00000000-0005-0000-0000-000098340000}"/>
    <cellStyle name="Normal 64 4 11" xfId="13460" xr:uid="{00000000-0005-0000-0000-000099340000}"/>
    <cellStyle name="Normal 64 4 12" xfId="13461" xr:uid="{00000000-0005-0000-0000-00009A340000}"/>
    <cellStyle name="Normal 64 4 13" xfId="13462" xr:uid="{00000000-0005-0000-0000-00009B340000}"/>
    <cellStyle name="Normal 64 4 2" xfId="13463" xr:uid="{00000000-0005-0000-0000-00009C340000}"/>
    <cellStyle name="Normal 64 4 2 10" xfId="13464" xr:uid="{00000000-0005-0000-0000-00009D340000}"/>
    <cellStyle name="Normal 64 4 2 11" xfId="13465" xr:uid="{00000000-0005-0000-0000-00009E340000}"/>
    <cellStyle name="Normal 64 4 2 2" xfId="13466" xr:uid="{00000000-0005-0000-0000-00009F340000}"/>
    <cellStyle name="Normal 64 4 2 3" xfId="13467" xr:uid="{00000000-0005-0000-0000-0000A0340000}"/>
    <cellStyle name="Normal 64 4 2 4" xfId="13468" xr:uid="{00000000-0005-0000-0000-0000A1340000}"/>
    <cellStyle name="Normal 64 4 2 5" xfId="13469" xr:uid="{00000000-0005-0000-0000-0000A2340000}"/>
    <cellStyle name="Normal 64 4 2 6" xfId="13470" xr:uid="{00000000-0005-0000-0000-0000A3340000}"/>
    <cellStyle name="Normal 64 4 2 7" xfId="13471" xr:uid="{00000000-0005-0000-0000-0000A4340000}"/>
    <cellStyle name="Normal 64 4 2 8" xfId="13472" xr:uid="{00000000-0005-0000-0000-0000A5340000}"/>
    <cellStyle name="Normal 64 4 2 9" xfId="13473" xr:uid="{00000000-0005-0000-0000-0000A6340000}"/>
    <cellStyle name="Normal 64 4 3" xfId="13474" xr:uid="{00000000-0005-0000-0000-0000A7340000}"/>
    <cellStyle name="Normal 64 4 4" xfId="13475" xr:uid="{00000000-0005-0000-0000-0000A8340000}"/>
    <cellStyle name="Normal 64 4 5" xfId="13476" xr:uid="{00000000-0005-0000-0000-0000A9340000}"/>
    <cellStyle name="Normal 64 4 6" xfId="13477" xr:uid="{00000000-0005-0000-0000-0000AA340000}"/>
    <cellStyle name="Normal 64 4 7" xfId="13478" xr:uid="{00000000-0005-0000-0000-0000AB340000}"/>
    <cellStyle name="Normal 64 4 8" xfId="13479" xr:uid="{00000000-0005-0000-0000-0000AC340000}"/>
    <cellStyle name="Normal 64 4 9" xfId="13480" xr:uid="{00000000-0005-0000-0000-0000AD340000}"/>
    <cellStyle name="Normal 64 5" xfId="13481" xr:uid="{00000000-0005-0000-0000-0000AE340000}"/>
    <cellStyle name="Normal 64 5 10" xfId="13482" xr:uid="{00000000-0005-0000-0000-0000AF340000}"/>
    <cellStyle name="Normal 64 5 11" xfId="13483" xr:uid="{00000000-0005-0000-0000-0000B0340000}"/>
    <cellStyle name="Normal 64 5 12" xfId="13484" xr:uid="{00000000-0005-0000-0000-0000B1340000}"/>
    <cellStyle name="Normal 64 5 13" xfId="13485" xr:uid="{00000000-0005-0000-0000-0000B2340000}"/>
    <cellStyle name="Normal 64 5 2" xfId="13486" xr:uid="{00000000-0005-0000-0000-0000B3340000}"/>
    <cellStyle name="Normal 64 5 2 10" xfId="13487" xr:uid="{00000000-0005-0000-0000-0000B4340000}"/>
    <cellStyle name="Normal 64 5 2 11" xfId="13488" xr:uid="{00000000-0005-0000-0000-0000B5340000}"/>
    <cellStyle name="Normal 64 5 2 2" xfId="13489" xr:uid="{00000000-0005-0000-0000-0000B6340000}"/>
    <cellStyle name="Normal 64 5 2 3" xfId="13490" xr:uid="{00000000-0005-0000-0000-0000B7340000}"/>
    <cellStyle name="Normal 64 5 2 4" xfId="13491" xr:uid="{00000000-0005-0000-0000-0000B8340000}"/>
    <cellStyle name="Normal 64 5 2 5" xfId="13492" xr:uid="{00000000-0005-0000-0000-0000B9340000}"/>
    <cellStyle name="Normal 64 5 2 6" xfId="13493" xr:uid="{00000000-0005-0000-0000-0000BA340000}"/>
    <cellStyle name="Normal 64 5 2 7" xfId="13494" xr:uid="{00000000-0005-0000-0000-0000BB340000}"/>
    <cellStyle name="Normal 64 5 2 8" xfId="13495" xr:uid="{00000000-0005-0000-0000-0000BC340000}"/>
    <cellStyle name="Normal 64 5 2 9" xfId="13496" xr:uid="{00000000-0005-0000-0000-0000BD340000}"/>
    <cellStyle name="Normal 64 5 3" xfId="13497" xr:uid="{00000000-0005-0000-0000-0000BE340000}"/>
    <cellStyle name="Normal 64 5 4" xfId="13498" xr:uid="{00000000-0005-0000-0000-0000BF340000}"/>
    <cellStyle name="Normal 64 5 5" xfId="13499" xr:uid="{00000000-0005-0000-0000-0000C0340000}"/>
    <cellStyle name="Normal 64 5 6" xfId="13500" xr:uid="{00000000-0005-0000-0000-0000C1340000}"/>
    <cellStyle name="Normal 64 5 7" xfId="13501" xr:uid="{00000000-0005-0000-0000-0000C2340000}"/>
    <cellStyle name="Normal 64 5 8" xfId="13502" xr:uid="{00000000-0005-0000-0000-0000C3340000}"/>
    <cellStyle name="Normal 64 5 9" xfId="13503" xr:uid="{00000000-0005-0000-0000-0000C4340000}"/>
    <cellStyle name="Normal 64 6" xfId="13504" xr:uid="{00000000-0005-0000-0000-0000C5340000}"/>
    <cellStyle name="Normal 64 6 10" xfId="13505" xr:uid="{00000000-0005-0000-0000-0000C6340000}"/>
    <cellStyle name="Normal 64 6 11" xfId="13506" xr:uid="{00000000-0005-0000-0000-0000C7340000}"/>
    <cellStyle name="Normal 64 6 12" xfId="13507" xr:uid="{00000000-0005-0000-0000-0000C8340000}"/>
    <cellStyle name="Normal 64 6 13" xfId="13508" xr:uid="{00000000-0005-0000-0000-0000C9340000}"/>
    <cellStyle name="Normal 64 6 2" xfId="13509" xr:uid="{00000000-0005-0000-0000-0000CA340000}"/>
    <cellStyle name="Normal 64 6 2 10" xfId="13510" xr:uid="{00000000-0005-0000-0000-0000CB340000}"/>
    <cellStyle name="Normal 64 6 2 11" xfId="13511" xr:uid="{00000000-0005-0000-0000-0000CC340000}"/>
    <cellStyle name="Normal 64 6 2 2" xfId="13512" xr:uid="{00000000-0005-0000-0000-0000CD340000}"/>
    <cellStyle name="Normal 64 6 2 3" xfId="13513" xr:uid="{00000000-0005-0000-0000-0000CE340000}"/>
    <cellStyle name="Normal 64 6 2 4" xfId="13514" xr:uid="{00000000-0005-0000-0000-0000CF340000}"/>
    <cellStyle name="Normal 64 6 2 5" xfId="13515" xr:uid="{00000000-0005-0000-0000-0000D0340000}"/>
    <cellStyle name="Normal 64 6 2 6" xfId="13516" xr:uid="{00000000-0005-0000-0000-0000D1340000}"/>
    <cellStyle name="Normal 64 6 2 7" xfId="13517" xr:uid="{00000000-0005-0000-0000-0000D2340000}"/>
    <cellStyle name="Normal 64 6 2 8" xfId="13518" xr:uid="{00000000-0005-0000-0000-0000D3340000}"/>
    <cellStyle name="Normal 64 6 2 9" xfId="13519" xr:uid="{00000000-0005-0000-0000-0000D4340000}"/>
    <cellStyle name="Normal 64 6 3" xfId="13520" xr:uid="{00000000-0005-0000-0000-0000D5340000}"/>
    <cellStyle name="Normal 64 6 4" xfId="13521" xr:uid="{00000000-0005-0000-0000-0000D6340000}"/>
    <cellStyle name="Normal 64 6 5" xfId="13522" xr:uid="{00000000-0005-0000-0000-0000D7340000}"/>
    <cellStyle name="Normal 64 6 6" xfId="13523" xr:uid="{00000000-0005-0000-0000-0000D8340000}"/>
    <cellStyle name="Normal 64 6 7" xfId="13524" xr:uid="{00000000-0005-0000-0000-0000D9340000}"/>
    <cellStyle name="Normal 64 6 8" xfId="13525" xr:uid="{00000000-0005-0000-0000-0000DA340000}"/>
    <cellStyle name="Normal 64 6 9" xfId="13526" xr:uid="{00000000-0005-0000-0000-0000DB340000}"/>
    <cellStyle name="Normal 64 7" xfId="13527" xr:uid="{00000000-0005-0000-0000-0000DC340000}"/>
    <cellStyle name="Normal 64 7 10" xfId="13528" xr:uid="{00000000-0005-0000-0000-0000DD340000}"/>
    <cellStyle name="Normal 64 7 11" xfId="13529" xr:uid="{00000000-0005-0000-0000-0000DE340000}"/>
    <cellStyle name="Normal 64 7 12" xfId="13530" xr:uid="{00000000-0005-0000-0000-0000DF340000}"/>
    <cellStyle name="Normal 64 7 13" xfId="13531" xr:uid="{00000000-0005-0000-0000-0000E0340000}"/>
    <cellStyle name="Normal 64 7 2" xfId="13532" xr:uid="{00000000-0005-0000-0000-0000E1340000}"/>
    <cellStyle name="Normal 64 7 2 10" xfId="13533" xr:uid="{00000000-0005-0000-0000-0000E2340000}"/>
    <cellStyle name="Normal 64 7 2 11" xfId="13534" xr:uid="{00000000-0005-0000-0000-0000E3340000}"/>
    <cellStyle name="Normal 64 7 2 2" xfId="13535" xr:uid="{00000000-0005-0000-0000-0000E4340000}"/>
    <cellStyle name="Normal 64 7 2 3" xfId="13536" xr:uid="{00000000-0005-0000-0000-0000E5340000}"/>
    <cellStyle name="Normal 64 7 2 4" xfId="13537" xr:uid="{00000000-0005-0000-0000-0000E6340000}"/>
    <cellStyle name="Normal 64 7 2 5" xfId="13538" xr:uid="{00000000-0005-0000-0000-0000E7340000}"/>
    <cellStyle name="Normal 64 7 2 6" xfId="13539" xr:uid="{00000000-0005-0000-0000-0000E8340000}"/>
    <cellStyle name="Normal 64 7 2 7" xfId="13540" xr:uid="{00000000-0005-0000-0000-0000E9340000}"/>
    <cellStyle name="Normal 64 7 2 8" xfId="13541" xr:uid="{00000000-0005-0000-0000-0000EA340000}"/>
    <cellStyle name="Normal 64 7 2 9" xfId="13542" xr:uid="{00000000-0005-0000-0000-0000EB340000}"/>
    <cellStyle name="Normal 64 7 3" xfId="13543" xr:uid="{00000000-0005-0000-0000-0000EC340000}"/>
    <cellStyle name="Normal 64 7 4" xfId="13544" xr:uid="{00000000-0005-0000-0000-0000ED340000}"/>
    <cellStyle name="Normal 64 7 5" xfId="13545" xr:uid="{00000000-0005-0000-0000-0000EE340000}"/>
    <cellStyle name="Normal 64 7 6" xfId="13546" xr:uid="{00000000-0005-0000-0000-0000EF340000}"/>
    <cellStyle name="Normal 64 7 7" xfId="13547" xr:uid="{00000000-0005-0000-0000-0000F0340000}"/>
    <cellStyle name="Normal 64 7 8" xfId="13548" xr:uid="{00000000-0005-0000-0000-0000F1340000}"/>
    <cellStyle name="Normal 64 7 9" xfId="13549" xr:uid="{00000000-0005-0000-0000-0000F2340000}"/>
    <cellStyle name="Normal 64 8" xfId="13550" xr:uid="{00000000-0005-0000-0000-0000F3340000}"/>
    <cellStyle name="Normal 64 8 10" xfId="13551" xr:uid="{00000000-0005-0000-0000-0000F4340000}"/>
    <cellStyle name="Normal 64 8 11" xfId="13552" xr:uid="{00000000-0005-0000-0000-0000F5340000}"/>
    <cellStyle name="Normal 64 8 12" xfId="13553" xr:uid="{00000000-0005-0000-0000-0000F6340000}"/>
    <cellStyle name="Normal 64 8 13" xfId="13554" xr:uid="{00000000-0005-0000-0000-0000F7340000}"/>
    <cellStyle name="Normal 64 8 2" xfId="13555" xr:uid="{00000000-0005-0000-0000-0000F8340000}"/>
    <cellStyle name="Normal 64 8 2 10" xfId="13556" xr:uid="{00000000-0005-0000-0000-0000F9340000}"/>
    <cellStyle name="Normal 64 8 2 11" xfId="13557" xr:uid="{00000000-0005-0000-0000-0000FA340000}"/>
    <cellStyle name="Normal 64 8 2 2" xfId="13558" xr:uid="{00000000-0005-0000-0000-0000FB340000}"/>
    <cellStyle name="Normal 64 8 2 3" xfId="13559" xr:uid="{00000000-0005-0000-0000-0000FC340000}"/>
    <cellStyle name="Normal 64 8 2 4" xfId="13560" xr:uid="{00000000-0005-0000-0000-0000FD340000}"/>
    <cellStyle name="Normal 64 8 2 5" xfId="13561" xr:uid="{00000000-0005-0000-0000-0000FE340000}"/>
    <cellStyle name="Normal 64 8 2 6" xfId="13562" xr:uid="{00000000-0005-0000-0000-0000FF340000}"/>
    <cellStyle name="Normal 64 8 2 7" xfId="13563" xr:uid="{00000000-0005-0000-0000-000000350000}"/>
    <cellStyle name="Normal 64 8 2 8" xfId="13564" xr:uid="{00000000-0005-0000-0000-000001350000}"/>
    <cellStyle name="Normal 64 8 2 9" xfId="13565" xr:uid="{00000000-0005-0000-0000-000002350000}"/>
    <cellStyle name="Normal 64 8 3" xfId="13566" xr:uid="{00000000-0005-0000-0000-000003350000}"/>
    <cellStyle name="Normal 64 8 4" xfId="13567" xr:uid="{00000000-0005-0000-0000-000004350000}"/>
    <cellStyle name="Normal 64 8 5" xfId="13568" xr:uid="{00000000-0005-0000-0000-000005350000}"/>
    <cellStyle name="Normal 64 8 6" xfId="13569" xr:uid="{00000000-0005-0000-0000-000006350000}"/>
    <cellStyle name="Normal 64 8 7" xfId="13570" xr:uid="{00000000-0005-0000-0000-000007350000}"/>
    <cellStyle name="Normal 64 8 8" xfId="13571" xr:uid="{00000000-0005-0000-0000-000008350000}"/>
    <cellStyle name="Normal 64 8 9" xfId="13572" xr:uid="{00000000-0005-0000-0000-000009350000}"/>
    <cellStyle name="Normal 64 9" xfId="13573" xr:uid="{00000000-0005-0000-0000-00000A350000}"/>
    <cellStyle name="Normal 64 9 10" xfId="13574" xr:uid="{00000000-0005-0000-0000-00000B350000}"/>
    <cellStyle name="Normal 64 9 11" xfId="13575" xr:uid="{00000000-0005-0000-0000-00000C350000}"/>
    <cellStyle name="Normal 64 9 12" xfId="13576" xr:uid="{00000000-0005-0000-0000-00000D350000}"/>
    <cellStyle name="Normal 64 9 13" xfId="13577" xr:uid="{00000000-0005-0000-0000-00000E350000}"/>
    <cellStyle name="Normal 64 9 2" xfId="13578" xr:uid="{00000000-0005-0000-0000-00000F350000}"/>
    <cellStyle name="Normal 64 9 2 10" xfId="13579" xr:uid="{00000000-0005-0000-0000-000010350000}"/>
    <cellStyle name="Normal 64 9 2 11" xfId="13580" xr:uid="{00000000-0005-0000-0000-000011350000}"/>
    <cellStyle name="Normal 64 9 2 2" xfId="13581" xr:uid="{00000000-0005-0000-0000-000012350000}"/>
    <cellStyle name="Normal 64 9 2 3" xfId="13582" xr:uid="{00000000-0005-0000-0000-000013350000}"/>
    <cellStyle name="Normal 64 9 2 4" xfId="13583" xr:uid="{00000000-0005-0000-0000-000014350000}"/>
    <cellStyle name="Normal 64 9 2 5" xfId="13584" xr:uid="{00000000-0005-0000-0000-000015350000}"/>
    <cellStyle name="Normal 64 9 2 6" xfId="13585" xr:uid="{00000000-0005-0000-0000-000016350000}"/>
    <cellStyle name="Normal 64 9 2 7" xfId="13586" xr:uid="{00000000-0005-0000-0000-000017350000}"/>
    <cellStyle name="Normal 64 9 2 8" xfId="13587" xr:uid="{00000000-0005-0000-0000-000018350000}"/>
    <cellStyle name="Normal 64 9 2 9" xfId="13588" xr:uid="{00000000-0005-0000-0000-000019350000}"/>
    <cellStyle name="Normal 64 9 3" xfId="13589" xr:uid="{00000000-0005-0000-0000-00001A350000}"/>
    <cellStyle name="Normal 64 9 4" xfId="13590" xr:uid="{00000000-0005-0000-0000-00001B350000}"/>
    <cellStyle name="Normal 64 9 5" xfId="13591" xr:uid="{00000000-0005-0000-0000-00001C350000}"/>
    <cellStyle name="Normal 64 9 6" xfId="13592" xr:uid="{00000000-0005-0000-0000-00001D350000}"/>
    <cellStyle name="Normal 64 9 7" xfId="13593" xr:uid="{00000000-0005-0000-0000-00001E350000}"/>
    <cellStyle name="Normal 64 9 8" xfId="13594" xr:uid="{00000000-0005-0000-0000-00001F350000}"/>
    <cellStyle name="Normal 64 9 9" xfId="13595" xr:uid="{00000000-0005-0000-0000-000020350000}"/>
    <cellStyle name="Normal 65" xfId="13596" xr:uid="{00000000-0005-0000-0000-000021350000}"/>
    <cellStyle name="Normal 65 10" xfId="13597" xr:uid="{00000000-0005-0000-0000-000022350000}"/>
    <cellStyle name="Normal 65 10 10" xfId="13598" xr:uid="{00000000-0005-0000-0000-000023350000}"/>
    <cellStyle name="Normal 65 10 11" xfId="13599" xr:uid="{00000000-0005-0000-0000-000024350000}"/>
    <cellStyle name="Normal 65 10 12" xfId="13600" xr:uid="{00000000-0005-0000-0000-000025350000}"/>
    <cellStyle name="Normal 65 10 13" xfId="13601" xr:uid="{00000000-0005-0000-0000-000026350000}"/>
    <cellStyle name="Normal 65 10 2" xfId="13602" xr:uid="{00000000-0005-0000-0000-000027350000}"/>
    <cellStyle name="Normal 65 10 2 10" xfId="13603" xr:uid="{00000000-0005-0000-0000-000028350000}"/>
    <cellStyle name="Normal 65 10 2 11" xfId="13604" xr:uid="{00000000-0005-0000-0000-000029350000}"/>
    <cellStyle name="Normal 65 10 2 2" xfId="13605" xr:uid="{00000000-0005-0000-0000-00002A350000}"/>
    <cellStyle name="Normal 65 10 2 3" xfId="13606" xr:uid="{00000000-0005-0000-0000-00002B350000}"/>
    <cellStyle name="Normal 65 10 2 4" xfId="13607" xr:uid="{00000000-0005-0000-0000-00002C350000}"/>
    <cellStyle name="Normal 65 10 2 5" xfId="13608" xr:uid="{00000000-0005-0000-0000-00002D350000}"/>
    <cellStyle name="Normal 65 10 2 6" xfId="13609" xr:uid="{00000000-0005-0000-0000-00002E350000}"/>
    <cellStyle name="Normal 65 10 2 7" xfId="13610" xr:uid="{00000000-0005-0000-0000-00002F350000}"/>
    <cellStyle name="Normal 65 10 2 8" xfId="13611" xr:uid="{00000000-0005-0000-0000-000030350000}"/>
    <cellStyle name="Normal 65 10 2 9" xfId="13612" xr:uid="{00000000-0005-0000-0000-000031350000}"/>
    <cellStyle name="Normal 65 10 3" xfId="13613" xr:uid="{00000000-0005-0000-0000-000032350000}"/>
    <cellStyle name="Normal 65 10 4" xfId="13614" xr:uid="{00000000-0005-0000-0000-000033350000}"/>
    <cellStyle name="Normal 65 10 5" xfId="13615" xr:uid="{00000000-0005-0000-0000-000034350000}"/>
    <cellStyle name="Normal 65 10 6" xfId="13616" xr:uid="{00000000-0005-0000-0000-000035350000}"/>
    <cellStyle name="Normal 65 10 7" xfId="13617" xr:uid="{00000000-0005-0000-0000-000036350000}"/>
    <cellStyle name="Normal 65 10 8" xfId="13618" xr:uid="{00000000-0005-0000-0000-000037350000}"/>
    <cellStyle name="Normal 65 10 9" xfId="13619" xr:uid="{00000000-0005-0000-0000-000038350000}"/>
    <cellStyle name="Normal 65 11" xfId="13620" xr:uid="{00000000-0005-0000-0000-000039350000}"/>
    <cellStyle name="Normal 65 11 10" xfId="13621" xr:uid="{00000000-0005-0000-0000-00003A350000}"/>
    <cellStyle name="Normal 65 11 11" xfId="13622" xr:uid="{00000000-0005-0000-0000-00003B350000}"/>
    <cellStyle name="Normal 65 11 12" xfId="13623" xr:uid="{00000000-0005-0000-0000-00003C350000}"/>
    <cellStyle name="Normal 65 11 13" xfId="13624" xr:uid="{00000000-0005-0000-0000-00003D350000}"/>
    <cellStyle name="Normal 65 11 2" xfId="13625" xr:uid="{00000000-0005-0000-0000-00003E350000}"/>
    <cellStyle name="Normal 65 11 2 10" xfId="13626" xr:uid="{00000000-0005-0000-0000-00003F350000}"/>
    <cellStyle name="Normal 65 11 2 11" xfId="13627" xr:uid="{00000000-0005-0000-0000-000040350000}"/>
    <cellStyle name="Normal 65 11 2 2" xfId="13628" xr:uid="{00000000-0005-0000-0000-000041350000}"/>
    <cellStyle name="Normal 65 11 2 3" xfId="13629" xr:uid="{00000000-0005-0000-0000-000042350000}"/>
    <cellStyle name="Normal 65 11 2 4" xfId="13630" xr:uid="{00000000-0005-0000-0000-000043350000}"/>
    <cellStyle name="Normal 65 11 2 5" xfId="13631" xr:uid="{00000000-0005-0000-0000-000044350000}"/>
    <cellStyle name="Normal 65 11 2 6" xfId="13632" xr:uid="{00000000-0005-0000-0000-000045350000}"/>
    <cellStyle name="Normal 65 11 2 7" xfId="13633" xr:uid="{00000000-0005-0000-0000-000046350000}"/>
    <cellStyle name="Normal 65 11 2 8" xfId="13634" xr:uid="{00000000-0005-0000-0000-000047350000}"/>
    <cellStyle name="Normal 65 11 2 9" xfId="13635" xr:uid="{00000000-0005-0000-0000-000048350000}"/>
    <cellStyle name="Normal 65 11 3" xfId="13636" xr:uid="{00000000-0005-0000-0000-000049350000}"/>
    <cellStyle name="Normal 65 11 4" xfId="13637" xr:uid="{00000000-0005-0000-0000-00004A350000}"/>
    <cellStyle name="Normal 65 11 5" xfId="13638" xr:uid="{00000000-0005-0000-0000-00004B350000}"/>
    <cellStyle name="Normal 65 11 6" xfId="13639" xr:uid="{00000000-0005-0000-0000-00004C350000}"/>
    <cellStyle name="Normal 65 11 7" xfId="13640" xr:uid="{00000000-0005-0000-0000-00004D350000}"/>
    <cellStyle name="Normal 65 11 8" xfId="13641" xr:uid="{00000000-0005-0000-0000-00004E350000}"/>
    <cellStyle name="Normal 65 11 9" xfId="13642" xr:uid="{00000000-0005-0000-0000-00004F350000}"/>
    <cellStyle name="Normal 65 12" xfId="13643" xr:uid="{00000000-0005-0000-0000-000050350000}"/>
    <cellStyle name="Normal 65 12 10" xfId="13644" xr:uid="{00000000-0005-0000-0000-000051350000}"/>
    <cellStyle name="Normal 65 12 11" xfId="13645" xr:uid="{00000000-0005-0000-0000-000052350000}"/>
    <cellStyle name="Normal 65 12 12" xfId="13646" xr:uid="{00000000-0005-0000-0000-000053350000}"/>
    <cellStyle name="Normal 65 12 13" xfId="13647" xr:uid="{00000000-0005-0000-0000-000054350000}"/>
    <cellStyle name="Normal 65 12 2" xfId="13648" xr:uid="{00000000-0005-0000-0000-000055350000}"/>
    <cellStyle name="Normal 65 12 2 10" xfId="13649" xr:uid="{00000000-0005-0000-0000-000056350000}"/>
    <cellStyle name="Normal 65 12 2 11" xfId="13650" xr:uid="{00000000-0005-0000-0000-000057350000}"/>
    <cellStyle name="Normal 65 12 2 2" xfId="13651" xr:uid="{00000000-0005-0000-0000-000058350000}"/>
    <cellStyle name="Normal 65 12 2 3" xfId="13652" xr:uid="{00000000-0005-0000-0000-000059350000}"/>
    <cellStyle name="Normal 65 12 2 4" xfId="13653" xr:uid="{00000000-0005-0000-0000-00005A350000}"/>
    <cellStyle name="Normal 65 12 2 5" xfId="13654" xr:uid="{00000000-0005-0000-0000-00005B350000}"/>
    <cellStyle name="Normal 65 12 2 6" xfId="13655" xr:uid="{00000000-0005-0000-0000-00005C350000}"/>
    <cellStyle name="Normal 65 12 2 7" xfId="13656" xr:uid="{00000000-0005-0000-0000-00005D350000}"/>
    <cellStyle name="Normal 65 12 2 8" xfId="13657" xr:uid="{00000000-0005-0000-0000-00005E350000}"/>
    <cellStyle name="Normal 65 12 2 9" xfId="13658" xr:uid="{00000000-0005-0000-0000-00005F350000}"/>
    <cellStyle name="Normal 65 12 3" xfId="13659" xr:uid="{00000000-0005-0000-0000-000060350000}"/>
    <cellStyle name="Normal 65 12 4" xfId="13660" xr:uid="{00000000-0005-0000-0000-000061350000}"/>
    <cellStyle name="Normal 65 12 5" xfId="13661" xr:uid="{00000000-0005-0000-0000-000062350000}"/>
    <cellStyle name="Normal 65 12 6" xfId="13662" xr:uid="{00000000-0005-0000-0000-000063350000}"/>
    <cellStyle name="Normal 65 12 7" xfId="13663" xr:uid="{00000000-0005-0000-0000-000064350000}"/>
    <cellStyle name="Normal 65 12 8" xfId="13664" xr:uid="{00000000-0005-0000-0000-000065350000}"/>
    <cellStyle name="Normal 65 12 9" xfId="13665" xr:uid="{00000000-0005-0000-0000-000066350000}"/>
    <cellStyle name="Normal 65 13" xfId="13666" xr:uid="{00000000-0005-0000-0000-000067350000}"/>
    <cellStyle name="Normal 65 13 10" xfId="13667" xr:uid="{00000000-0005-0000-0000-000068350000}"/>
    <cellStyle name="Normal 65 13 11" xfId="13668" xr:uid="{00000000-0005-0000-0000-000069350000}"/>
    <cellStyle name="Normal 65 13 12" xfId="13669" xr:uid="{00000000-0005-0000-0000-00006A350000}"/>
    <cellStyle name="Normal 65 13 13" xfId="13670" xr:uid="{00000000-0005-0000-0000-00006B350000}"/>
    <cellStyle name="Normal 65 13 2" xfId="13671" xr:uid="{00000000-0005-0000-0000-00006C350000}"/>
    <cellStyle name="Normal 65 13 2 10" xfId="13672" xr:uid="{00000000-0005-0000-0000-00006D350000}"/>
    <cellStyle name="Normal 65 13 2 11" xfId="13673" xr:uid="{00000000-0005-0000-0000-00006E350000}"/>
    <cellStyle name="Normal 65 13 2 2" xfId="13674" xr:uid="{00000000-0005-0000-0000-00006F350000}"/>
    <cellStyle name="Normal 65 13 2 3" xfId="13675" xr:uid="{00000000-0005-0000-0000-000070350000}"/>
    <cellStyle name="Normal 65 13 2 4" xfId="13676" xr:uid="{00000000-0005-0000-0000-000071350000}"/>
    <cellStyle name="Normal 65 13 2 5" xfId="13677" xr:uid="{00000000-0005-0000-0000-000072350000}"/>
    <cellStyle name="Normal 65 13 2 6" xfId="13678" xr:uid="{00000000-0005-0000-0000-000073350000}"/>
    <cellStyle name="Normal 65 13 2 7" xfId="13679" xr:uid="{00000000-0005-0000-0000-000074350000}"/>
    <cellStyle name="Normal 65 13 2 8" xfId="13680" xr:uid="{00000000-0005-0000-0000-000075350000}"/>
    <cellStyle name="Normal 65 13 2 9" xfId="13681" xr:uid="{00000000-0005-0000-0000-000076350000}"/>
    <cellStyle name="Normal 65 13 3" xfId="13682" xr:uid="{00000000-0005-0000-0000-000077350000}"/>
    <cellStyle name="Normal 65 13 4" xfId="13683" xr:uid="{00000000-0005-0000-0000-000078350000}"/>
    <cellStyle name="Normal 65 13 5" xfId="13684" xr:uid="{00000000-0005-0000-0000-000079350000}"/>
    <cellStyle name="Normal 65 13 6" xfId="13685" xr:uid="{00000000-0005-0000-0000-00007A350000}"/>
    <cellStyle name="Normal 65 13 7" xfId="13686" xr:uid="{00000000-0005-0000-0000-00007B350000}"/>
    <cellStyle name="Normal 65 13 8" xfId="13687" xr:uid="{00000000-0005-0000-0000-00007C350000}"/>
    <cellStyle name="Normal 65 13 9" xfId="13688" xr:uid="{00000000-0005-0000-0000-00007D350000}"/>
    <cellStyle name="Normal 65 14" xfId="13689" xr:uid="{00000000-0005-0000-0000-00007E350000}"/>
    <cellStyle name="Normal 65 14 10" xfId="13690" xr:uid="{00000000-0005-0000-0000-00007F350000}"/>
    <cellStyle name="Normal 65 14 11" xfId="13691" xr:uid="{00000000-0005-0000-0000-000080350000}"/>
    <cellStyle name="Normal 65 14 2" xfId="13692" xr:uid="{00000000-0005-0000-0000-000081350000}"/>
    <cellStyle name="Normal 65 14 3" xfId="13693" xr:uid="{00000000-0005-0000-0000-000082350000}"/>
    <cellStyle name="Normal 65 14 4" xfId="13694" xr:uid="{00000000-0005-0000-0000-000083350000}"/>
    <cellStyle name="Normal 65 14 5" xfId="13695" xr:uid="{00000000-0005-0000-0000-000084350000}"/>
    <cellStyle name="Normal 65 14 6" xfId="13696" xr:uid="{00000000-0005-0000-0000-000085350000}"/>
    <cellStyle name="Normal 65 14 7" xfId="13697" xr:uid="{00000000-0005-0000-0000-000086350000}"/>
    <cellStyle name="Normal 65 14 8" xfId="13698" xr:uid="{00000000-0005-0000-0000-000087350000}"/>
    <cellStyle name="Normal 65 14 9" xfId="13699" xr:uid="{00000000-0005-0000-0000-000088350000}"/>
    <cellStyle name="Normal 65 15" xfId="13700" xr:uid="{00000000-0005-0000-0000-000089350000}"/>
    <cellStyle name="Normal 65 16" xfId="13701" xr:uid="{00000000-0005-0000-0000-00008A350000}"/>
    <cellStyle name="Normal 65 17" xfId="13702" xr:uid="{00000000-0005-0000-0000-00008B350000}"/>
    <cellStyle name="Normal 65 18" xfId="13703" xr:uid="{00000000-0005-0000-0000-00008C350000}"/>
    <cellStyle name="Normal 65 19" xfId="13704" xr:uid="{00000000-0005-0000-0000-00008D350000}"/>
    <cellStyle name="Normal 65 2" xfId="13705" xr:uid="{00000000-0005-0000-0000-00008E350000}"/>
    <cellStyle name="Normal 65 2 10" xfId="13706" xr:uid="{00000000-0005-0000-0000-00008F350000}"/>
    <cellStyle name="Normal 65 2 11" xfId="13707" xr:uid="{00000000-0005-0000-0000-000090350000}"/>
    <cellStyle name="Normal 65 2 12" xfId="13708" xr:uid="{00000000-0005-0000-0000-000091350000}"/>
    <cellStyle name="Normal 65 2 13" xfId="13709" xr:uid="{00000000-0005-0000-0000-000092350000}"/>
    <cellStyle name="Normal 65 2 2" xfId="13710" xr:uid="{00000000-0005-0000-0000-000093350000}"/>
    <cellStyle name="Normal 65 2 2 10" xfId="13711" xr:uid="{00000000-0005-0000-0000-000094350000}"/>
    <cellStyle name="Normal 65 2 2 11" xfId="13712" xr:uid="{00000000-0005-0000-0000-000095350000}"/>
    <cellStyle name="Normal 65 2 2 2" xfId="13713" xr:uid="{00000000-0005-0000-0000-000096350000}"/>
    <cellStyle name="Normal 65 2 2 3" xfId="13714" xr:uid="{00000000-0005-0000-0000-000097350000}"/>
    <cellStyle name="Normal 65 2 2 4" xfId="13715" xr:uid="{00000000-0005-0000-0000-000098350000}"/>
    <cellStyle name="Normal 65 2 2 5" xfId="13716" xr:uid="{00000000-0005-0000-0000-000099350000}"/>
    <cellStyle name="Normal 65 2 2 6" xfId="13717" xr:uid="{00000000-0005-0000-0000-00009A350000}"/>
    <cellStyle name="Normal 65 2 2 7" xfId="13718" xr:uid="{00000000-0005-0000-0000-00009B350000}"/>
    <cellStyle name="Normal 65 2 2 8" xfId="13719" xr:uid="{00000000-0005-0000-0000-00009C350000}"/>
    <cellStyle name="Normal 65 2 2 9" xfId="13720" xr:uid="{00000000-0005-0000-0000-00009D350000}"/>
    <cellStyle name="Normal 65 2 3" xfId="13721" xr:uid="{00000000-0005-0000-0000-00009E350000}"/>
    <cellStyle name="Normal 65 2 4" xfId="13722" xr:uid="{00000000-0005-0000-0000-00009F350000}"/>
    <cellStyle name="Normal 65 2 5" xfId="13723" xr:uid="{00000000-0005-0000-0000-0000A0350000}"/>
    <cellStyle name="Normal 65 2 6" xfId="13724" xr:uid="{00000000-0005-0000-0000-0000A1350000}"/>
    <cellStyle name="Normal 65 2 7" xfId="13725" xr:uid="{00000000-0005-0000-0000-0000A2350000}"/>
    <cellStyle name="Normal 65 2 8" xfId="13726" xr:uid="{00000000-0005-0000-0000-0000A3350000}"/>
    <cellStyle name="Normal 65 2 9" xfId="13727" xr:uid="{00000000-0005-0000-0000-0000A4350000}"/>
    <cellStyle name="Normal 65 20" xfId="13728" xr:uid="{00000000-0005-0000-0000-0000A5350000}"/>
    <cellStyle name="Normal 65 21" xfId="13729" xr:uid="{00000000-0005-0000-0000-0000A6350000}"/>
    <cellStyle name="Normal 65 22" xfId="13730" xr:uid="{00000000-0005-0000-0000-0000A7350000}"/>
    <cellStyle name="Normal 65 23" xfId="13731" xr:uid="{00000000-0005-0000-0000-0000A8350000}"/>
    <cellStyle name="Normal 65 24" xfId="13732" xr:uid="{00000000-0005-0000-0000-0000A9350000}"/>
    <cellStyle name="Normal 65 25" xfId="13733" xr:uid="{00000000-0005-0000-0000-0000AA350000}"/>
    <cellStyle name="Normal 65 3" xfId="13734" xr:uid="{00000000-0005-0000-0000-0000AB350000}"/>
    <cellStyle name="Normal 65 3 10" xfId="13735" xr:uid="{00000000-0005-0000-0000-0000AC350000}"/>
    <cellStyle name="Normal 65 3 11" xfId="13736" xr:uid="{00000000-0005-0000-0000-0000AD350000}"/>
    <cellStyle name="Normal 65 3 12" xfId="13737" xr:uid="{00000000-0005-0000-0000-0000AE350000}"/>
    <cellStyle name="Normal 65 3 13" xfId="13738" xr:uid="{00000000-0005-0000-0000-0000AF350000}"/>
    <cellStyle name="Normal 65 3 2" xfId="13739" xr:uid="{00000000-0005-0000-0000-0000B0350000}"/>
    <cellStyle name="Normal 65 3 2 10" xfId="13740" xr:uid="{00000000-0005-0000-0000-0000B1350000}"/>
    <cellStyle name="Normal 65 3 2 11" xfId="13741" xr:uid="{00000000-0005-0000-0000-0000B2350000}"/>
    <cellStyle name="Normal 65 3 2 2" xfId="13742" xr:uid="{00000000-0005-0000-0000-0000B3350000}"/>
    <cellStyle name="Normal 65 3 2 3" xfId="13743" xr:uid="{00000000-0005-0000-0000-0000B4350000}"/>
    <cellStyle name="Normal 65 3 2 4" xfId="13744" xr:uid="{00000000-0005-0000-0000-0000B5350000}"/>
    <cellStyle name="Normal 65 3 2 5" xfId="13745" xr:uid="{00000000-0005-0000-0000-0000B6350000}"/>
    <cellStyle name="Normal 65 3 2 6" xfId="13746" xr:uid="{00000000-0005-0000-0000-0000B7350000}"/>
    <cellStyle name="Normal 65 3 2 7" xfId="13747" xr:uid="{00000000-0005-0000-0000-0000B8350000}"/>
    <cellStyle name="Normal 65 3 2 8" xfId="13748" xr:uid="{00000000-0005-0000-0000-0000B9350000}"/>
    <cellStyle name="Normal 65 3 2 9" xfId="13749" xr:uid="{00000000-0005-0000-0000-0000BA350000}"/>
    <cellStyle name="Normal 65 3 3" xfId="13750" xr:uid="{00000000-0005-0000-0000-0000BB350000}"/>
    <cellStyle name="Normal 65 3 4" xfId="13751" xr:uid="{00000000-0005-0000-0000-0000BC350000}"/>
    <cellStyle name="Normal 65 3 5" xfId="13752" xr:uid="{00000000-0005-0000-0000-0000BD350000}"/>
    <cellStyle name="Normal 65 3 6" xfId="13753" xr:uid="{00000000-0005-0000-0000-0000BE350000}"/>
    <cellStyle name="Normal 65 3 7" xfId="13754" xr:uid="{00000000-0005-0000-0000-0000BF350000}"/>
    <cellStyle name="Normal 65 3 8" xfId="13755" xr:uid="{00000000-0005-0000-0000-0000C0350000}"/>
    <cellStyle name="Normal 65 3 9" xfId="13756" xr:uid="{00000000-0005-0000-0000-0000C1350000}"/>
    <cellStyle name="Normal 65 4" xfId="13757" xr:uid="{00000000-0005-0000-0000-0000C2350000}"/>
    <cellStyle name="Normal 65 4 10" xfId="13758" xr:uid="{00000000-0005-0000-0000-0000C3350000}"/>
    <cellStyle name="Normal 65 4 11" xfId="13759" xr:uid="{00000000-0005-0000-0000-0000C4350000}"/>
    <cellStyle name="Normal 65 4 12" xfId="13760" xr:uid="{00000000-0005-0000-0000-0000C5350000}"/>
    <cellStyle name="Normal 65 4 13" xfId="13761" xr:uid="{00000000-0005-0000-0000-0000C6350000}"/>
    <cellStyle name="Normal 65 4 2" xfId="13762" xr:uid="{00000000-0005-0000-0000-0000C7350000}"/>
    <cellStyle name="Normal 65 4 2 10" xfId="13763" xr:uid="{00000000-0005-0000-0000-0000C8350000}"/>
    <cellStyle name="Normal 65 4 2 11" xfId="13764" xr:uid="{00000000-0005-0000-0000-0000C9350000}"/>
    <cellStyle name="Normal 65 4 2 2" xfId="13765" xr:uid="{00000000-0005-0000-0000-0000CA350000}"/>
    <cellStyle name="Normal 65 4 2 3" xfId="13766" xr:uid="{00000000-0005-0000-0000-0000CB350000}"/>
    <cellStyle name="Normal 65 4 2 4" xfId="13767" xr:uid="{00000000-0005-0000-0000-0000CC350000}"/>
    <cellStyle name="Normal 65 4 2 5" xfId="13768" xr:uid="{00000000-0005-0000-0000-0000CD350000}"/>
    <cellStyle name="Normal 65 4 2 6" xfId="13769" xr:uid="{00000000-0005-0000-0000-0000CE350000}"/>
    <cellStyle name="Normal 65 4 2 7" xfId="13770" xr:uid="{00000000-0005-0000-0000-0000CF350000}"/>
    <cellStyle name="Normal 65 4 2 8" xfId="13771" xr:uid="{00000000-0005-0000-0000-0000D0350000}"/>
    <cellStyle name="Normal 65 4 2 9" xfId="13772" xr:uid="{00000000-0005-0000-0000-0000D1350000}"/>
    <cellStyle name="Normal 65 4 3" xfId="13773" xr:uid="{00000000-0005-0000-0000-0000D2350000}"/>
    <cellStyle name="Normal 65 4 4" xfId="13774" xr:uid="{00000000-0005-0000-0000-0000D3350000}"/>
    <cellStyle name="Normal 65 4 5" xfId="13775" xr:uid="{00000000-0005-0000-0000-0000D4350000}"/>
    <cellStyle name="Normal 65 4 6" xfId="13776" xr:uid="{00000000-0005-0000-0000-0000D5350000}"/>
    <cellStyle name="Normal 65 4 7" xfId="13777" xr:uid="{00000000-0005-0000-0000-0000D6350000}"/>
    <cellStyle name="Normal 65 4 8" xfId="13778" xr:uid="{00000000-0005-0000-0000-0000D7350000}"/>
    <cellStyle name="Normal 65 4 9" xfId="13779" xr:uid="{00000000-0005-0000-0000-0000D8350000}"/>
    <cellStyle name="Normal 65 5" xfId="13780" xr:uid="{00000000-0005-0000-0000-0000D9350000}"/>
    <cellStyle name="Normal 65 5 10" xfId="13781" xr:uid="{00000000-0005-0000-0000-0000DA350000}"/>
    <cellStyle name="Normal 65 5 11" xfId="13782" xr:uid="{00000000-0005-0000-0000-0000DB350000}"/>
    <cellStyle name="Normal 65 5 12" xfId="13783" xr:uid="{00000000-0005-0000-0000-0000DC350000}"/>
    <cellStyle name="Normal 65 5 13" xfId="13784" xr:uid="{00000000-0005-0000-0000-0000DD350000}"/>
    <cellStyle name="Normal 65 5 2" xfId="13785" xr:uid="{00000000-0005-0000-0000-0000DE350000}"/>
    <cellStyle name="Normal 65 5 2 10" xfId="13786" xr:uid="{00000000-0005-0000-0000-0000DF350000}"/>
    <cellStyle name="Normal 65 5 2 11" xfId="13787" xr:uid="{00000000-0005-0000-0000-0000E0350000}"/>
    <cellStyle name="Normal 65 5 2 2" xfId="13788" xr:uid="{00000000-0005-0000-0000-0000E1350000}"/>
    <cellStyle name="Normal 65 5 2 3" xfId="13789" xr:uid="{00000000-0005-0000-0000-0000E2350000}"/>
    <cellStyle name="Normal 65 5 2 4" xfId="13790" xr:uid="{00000000-0005-0000-0000-0000E3350000}"/>
    <cellStyle name="Normal 65 5 2 5" xfId="13791" xr:uid="{00000000-0005-0000-0000-0000E4350000}"/>
    <cellStyle name="Normal 65 5 2 6" xfId="13792" xr:uid="{00000000-0005-0000-0000-0000E5350000}"/>
    <cellStyle name="Normal 65 5 2 7" xfId="13793" xr:uid="{00000000-0005-0000-0000-0000E6350000}"/>
    <cellStyle name="Normal 65 5 2 8" xfId="13794" xr:uid="{00000000-0005-0000-0000-0000E7350000}"/>
    <cellStyle name="Normal 65 5 2 9" xfId="13795" xr:uid="{00000000-0005-0000-0000-0000E8350000}"/>
    <cellStyle name="Normal 65 5 3" xfId="13796" xr:uid="{00000000-0005-0000-0000-0000E9350000}"/>
    <cellStyle name="Normal 65 5 4" xfId="13797" xr:uid="{00000000-0005-0000-0000-0000EA350000}"/>
    <cellStyle name="Normal 65 5 5" xfId="13798" xr:uid="{00000000-0005-0000-0000-0000EB350000}"/>
    <cellStyle name="Normal 65 5 6" xfId="13799" xr:uid="{00000000-0005-0000-0000-0000EC350000}"/>
    <cellStyle name="Normal 65 5 7" xfId="13800" xr:uid="{00000000-0005-0000-0000-0000ED350000}"/>
    <cellStyle name="Normal 65 5 8" xfId="13801" xr:uid="{00000000-0005-0000-0000-0000EE350000}"/>
    <cellStyle name="Normal 65 5 9" xfId="13802" xr:uid="{00000000-0005-0000-0000-0000EF350000}"/>
    <cellStyle name="Normal 65 6" xfId="13803" xr:uid="{00000000-0005-0000-0000-0000F0350000}"/>
    <cellStyle name="Normal 65 6 10" xfId="13804" xr:uid="{00000000-0005-0000-0000-0000F1350000}"/>
    <cellStyle name="Normal 65 6 11" xfId="13805" xr:uid="{00000000-0005-0000-0000-0000F2350000}"/>
    <cellStyle name="Normal 65 6 12" xfId="13806" xr:uid="{00000000-0005-0000-0000-0000F3350000}"/>
    <cellStyle name="Normal 65 6 13" xfId="13807" xr:uid="{00000000-0005-0000-0000-0000F4350000}"/>
    <cellStyle name="Normal 65 6 2" xfId="13808" xr:uid="{00000000-0005-0000-0000-0000F5350000}"/>
    <cellStyle name="Normal 65 6 2 10" xfId="13809" xr:uid="{00000000-0005-0000-0000-0000F6350000}"/>
    <cellStyle name="Normal 65 6 2 11" xfId="13810" xr:uid="{00000000-0005-0000-0000-0000F7350000}"/>
    <cellStyle name="Normal 65 6 2 2" xfId="13811" xr:uid="{00000000-0005-0000-0000-0000F8350000}"/>
    <cellStyle name="Normal 65 6 2 3" xfId="13812" xr:uid="{00000000-0005-0000-0000-0000F9350000}"/>
    <cellStyle name="Normal 65 6 2 4" xfId="13813" xr:uid="{00000000-0005-0000-0000-0000FA350000}"/>
    <cellStyle name="Normal 65 6 2 5" xfId="13814" xr:uid="{00000000-0005-0000-0000-0000FB350000}"/>
    <cellStyle name="Normal 65 6 2 6" xfId="13815" xr:uid="{00000000-0005-0000-0000-0000FC350000}"/>
    <cellStyle name="Normal 65 6 2 7" xfId="13816" xr:uid="{00000000-0005-0000-0000-0000FD350000}"/>
    <cellStyle name="Normal 65 6 2 8" xfId="13817" xr:uid="{00000000-0005-0000-0000-0000FE350000}"/>
    <cellStyle name="Normal 65 6 2 9" xfId="13818" xr:uid="{00000000-0005-0000-0000-0000FF350000}"/>
    <cellStyle name="Normal 65 6 3" xfId="13819" xr:uid="{00000000-0005-0000-0000-000000360000}"/>
    <cellStyle name="Normal 65 6 4" xfId="13820" xr:uid="{00000000-0005-0000-0000-000001360000}"/>
    <cellStyle name="Normal 65 6 5" xfId="13821" xr:uid="{00000000-0005-0000-0000-000002360000}"/>
    <cellStyle name="Normal 65 6 6" xfId="13822" xr:uid="{00000000-0005-0000-0000-000003360000}"/>
    <cellStyle name="Normal 65 6 7" xfId="13823" xr:uid="{00000000-0005-0000-0000-000004360000}"/>
    <cellStyle name="Normal 65 6 8" xfId="13824" xr:uid="{00000000-0005-0000-0000-000005360000}"/>
    <cellStyle name="Normal 65 6 9" xfId="13825" xr:uid="{00000000-0005-0000-0000-000006360000}"/>
    <cellStyle name="Normal 65 7" xfId="13826" xr:uid="{00000000-0005-0000-0000-000007360000}"/>
    <cellStyle name="Normal 65 7 10" xfId="13827" xr:uid="{00000000-0005-0000-0000-000008360000}"/>
    <cellStyle name="Normal 65 7 11" xfId="13828" xr:uid="{00000000-0005-0000-0000-000009360000}"/>
    <cellStyle name="Normal 65 7 12" xfId="13829" xr:uid="{00000000-0005-0000-0000-00000A360000}"/>
    <cellStyle name="Normal 65 7 13" xfId="13830" xr:uid="{00000000-0005-0000-0000-00000B360000}"/>
    <cellStyle name="Normal 65 7 2" xfId="13831" xr:uid="{00000000-0005-0000-0000-00000C360000}"/>
    <cellStyle name="Normal 65 7 2 10" xfId="13832" xr:uid="{00000000-0005-0000-0000-00000D360000}"/>
    <cellStyle name="Normal 65 7 2 11" xfId="13833" xr:uid="{00000000-0005-0000-0000-00000E360000}"/>
    <cellStyle name="Normal 65 7 2 2" xfId="13834" xr:uid="{00000000-0005-0000-0000-00000F360000}"/>
    <cellStyle name="Normal 65 7 2 3" xfId="13835" xr:uid="{00000000-0005-0000-0000-000010360000}"/>
    <cellStyle name="Normal 65 7 2 4" xfId="13836" xr:uid="{00000000-0005-0000-0000-000011360000}"/>
    <cellStyle name="Normal 65 7 2 5" xfId="13837" xr:uid="{00000000-0005-0000-0000-000012360000}"/>
    <cellStyle name="Normal 65 7 2 6" xfId="13838" xr:uid="{00000000-0005-0000-0000-000013360000}"/>
    <cellStyle name="Normal 65 7 2 7" xfId="13839" xr:uid="{00000000-0005-0000-0000-000014360000}"/>
    <cellStyle name="Normal 65 7 2 8" xfId="13840" xr:uid="{00000000-0005-0000-0000-000015360000}"/>
    <cellStyle name="Normal 65 7 2 9" xfId="13841" xr:uid="{00000000-0005-0000-0000-000016360000}"/>
    <cellStyle name="Normal 65 7 3" xfId="13842" xr:uid="{00000000-0005-0000-0000-000017360000}"/>
    <cellStyle name="Normal 65 7 4" xfId="13843" xr:uid="{00000000-0005-0000-0000-000018360000}"/>
    <cellStyle name="Normal 65 7 5" xfId="13844" xr:uid="{00000000-0005-0000-0000-000019360000}"/>
    <cellStyle name="Normal 65 7 6" xfId="13845" xr:uid="{00000000-0005-0000-0000-00001A360000}"/>
    <cellStyle name="Normal 65 7 7" xfId="13846" xr:uid="{00000000-0005-0000-0000-00001B360000}"/>
    <cellStyle name="Normal 65 7 8" xfId="13847" xr:uid="{00000000-0005-0000-0000-00001C360000}"/>
    <cellStyle name="Normal 65 7 9" xfId="13848" xr:uid="{00000000-0005-0000-0000-00001D360000}"/>
    <cellStyle name="Normal 65 8" xfId="13849" xr:uid="{00000000-0005-0000-0000-00001E360000}"/>
    <cellStyle name="Normal 65 8 10" xfId="13850" xr:uid="{00000000-0005-0000-0000-00001F360000}"/>
    <cellStyle name="Normal 65 8 11" xfId="13851" xr:uid="{00000000-0005-0000-0000-000020360000}"/>
    <cellStyle name="Normal 65 8 12" xfId="13852" xr:uid="{00000000-0005-0000-0000-000021360000}"/>
    <cellStyle name="Normal 65 8 13" xfId="13853" xr:uid="{00000000-0005-0000-0000-000022360000}"/>
    <cellStyle name="Normal 65 8 2" xfId="13854" xr:uid="{00000000-0005-0000-0000-000023360000}"/>
    <cellStyle name="Normal 65 8 2 10" xfId="13855" xr:uid="{00000000-0005-0000-0000-000024360000}"/>
    <cellStyle name="Normal 65 8 2 11" xfId="13856" xr:uid="{00000000-0005-0000-0000-000025360000}"/>
    <cellStyle name="Normal 65 8 2 2" xfId="13857" xr:uid="{00000000-0005-0000-0000-000026360000}"/>
    <cellStyle name="Normal 65 8 2 3" xfId="13858" xr:uid="{00000000-0005-0000-0000-000027360000}"/>
    <cellStyle name="Normal 65 8 2 4" xfId="13859" xr:uid="{00000000-0005-0000-0000-000028360000}"/>
    <cellStyle name="Normal 65 8 2 5" xfId="13860" xr:uid="{00000000-0005-0000-0000-000029360000}"/>
    <cellStyle name="Normal 65 8 2 6" xfId="13861" xr:uid="{00000000-0005-0000-0000-00002A360000}"/>
    <cellStyle name="Normal 65 8 2 7" xfId="13862" xr:uid="{00000000-0005-0000-0000-00002B360000}"/>
    <cellStyle name="Normal 65 8 2 8" xfId="13863" xr:uid="{00000000-0005-0000-0000-00002C360000}"/>
    <cellStyle name="Normal 65 8 2 9" xfId="13864" xr:uid="{00000000-0005-0000-0000-00002D360000}"/>
    <cellStyle name="Normal 65 8 3" xfId="13865" xr:uid="{00000000-0005-0000-0000-00002E360000}"/>
    <cellStyle name="Normal 65 8 4" xfId="13866" xr:uid="{00000000-0005-0000-0000-00002F360000}"/>
    <cellStyle name="Normal 65 8 5" xfId="13867" xr:uid="{00000000-0005-0000-0000-000030360000}"/>
    <cellStyle name="Normal 65 8 6" xfId="13868" xr:uid="{00000000-0005-0000-0000-000031360000}"/>
    <cellStyle name="Normal 65 8 7" xfId="13869" xr:uid="{00000000-0005-0000-0000-000032360000}"/>
    <cellStyle name="Normal 65 8 8" xfId="13870" xr:uid="{00000000-0005-0000-0000-000033360000}"/>
    <cellStyle name="Normal 65 8 9" xfId="13871" xr:uid="{00000000-0005-0000-0000-000034360000}"/>
    <cellStyle name="Normal 65 9" xfId="13872" xr:uid="{00000000-0005-0000-0000-000035360000}"/>
    <cellStyle name="Normal 65 9 10" xfId="13873" xr:uid="{00000000-0005-0000-0000-000036360000}"/>
    <cellStyle name="Normal 65 9 11" xfId="13874" xr:uid="{00000000-0005-0000-0000-000037360000}"/>
    <cellStyle name="Normal 65 9 12" xfId="13875" xr:uid="{00000000-0005-0000-0000-000038360000}"/>
    <cellStyle name="Normal 65 9 13" xfId="13876" xr:uid="{00000000-0005-0000-0000-000039360000}"/>
    <cellStyle name="Normal 65 9 2" xfId="13877" xr:uid="{00000000-0005-0000-0000-00003A360000}"/>
    <cellStyle name="Normal 65 9 2 10" xfId="13878" xr:uid="{00000000-0005-0000-0000-00003B360000}"/>
    <cellStyle name="Normal 65 9 2 11" xfId="13879" xr:uid="{00000000-0005-0000-0000-00003C360000}"/>
    <cellStyle name="Normal 65 9 2 2" xfId="13880" xr:uid="{00000000-0005-0000-0000-00003D360000}"/>
    <cellStyle name="Normal 65 9 2 3" xfId="13881" xr:uid="{00000000-0005-0000-0000-00003E360000}"/>
    <cellStyle name="Normal 65 9 2 4" xfId="13882" xr:uid="{00000000-0005-0000-0000-00003F360000}"/>
    <cellStyle name="Normal 65 9 2 5" xfId="13883" xr:uid="{00000000-0005-0000-0000-000040360000}"/>
    <cellStyle name="Normal 65 9 2 6" xfId="13884" xr:uid="{00000000-0005-0000-0000-000041360000}"/>
    <cellStyle name="Normal 65 9 2 7" xfId="13885" xr:uid="{00000000-0005-0000-0000-000042360000}"/>
    <cellStyle name="Normal 65 9 2 8" xfId="13886" xr:uid="{00000000-0005-0000-0000-000043360000}"/>
    <cellStyle name="Normal 65 9 2 9" xfId="13887" xr:uid="{00000000-0005-0000-0000-000044360000}"/>
    <cellStyle name="Normal 65 9 3" xfId="13888" xr:uid="{00000000-0005-0000-0000-000045360000}"/>
    <cellStyle name="Normal 65 9 4" xfId="13889" xr:uid="{00000000-0005-0000-0000-000046360000}"/>
    <cellStyle name="Normal 65 9 5" xfId="13890" xr:uid="{00000000-0005-0000-0000-000047360000}"/>
    <cellStyle name="Normal 65 9 6" xfId="13891" xr:uid="{00000000-0005-0000-0000-000048360000}"/>
    <cellStyle name="Normal 65 9 7" xfId="13892" xr:uid="{00000000-0005-0000-0000-000049360000}"/>
    <cellStyle name="Normal 65 9 8" xfId="13893" xr:uid="{00000000-0005-0000-0000-00004A360000}"/>
    <cellStyle name="Normal 65 9 9" xfId="13894" xr:uid="{00000000-0005-0000-0000-00004B360000}"/>
    <cellStyle name="Normal 66" xfId="13895" xr:uid="{00000000-0005-0000-0000-00004C360000}"/>
    <cellStyle name="Normal 66 10" xfId="13896" xr:uid="{00000000-0005-0000-0000-00004D360000}"/>
    <cellStyle name="Normal 66 10 10" xfId="13897" xr:uid="{00000000-0005-0000-0000-00004E360000}"/>
    <cellStyle name="Normal 66 10 11" xfId="13898" xr:uid="{00000000-0005-0000-0000-00004F360000}"/>
    <cellStyle name="Normal 66 10 12" xfId="13899" xr:uid="{00000000-0005-0000-0000-000050360000}"/>
    <cellStyle name="Normal 66 10 13" xfId="13900" xr:uid="{00000000-0005-0000-0000-000051360000}"/>
    <cellStyle name="Normal 66 10 2" xfId="13901" xr:uid="{00000000-0005-0000-0000-000052360000}"/>
    <cellStyle name="Normal 66 10 2 10" xfId="13902" xr:uid="{00000000-0005-0000-0000-000053360000}"/>
    <cellStyle name="Normal 66 10 2 11" xfId="13903" xr:uid="{00000000-0005-0000-0000-000054360000}"/>
    <cellStyle name="Normal 66 10 2 2" xfId="13904" xr:uid="{00000000-0005-0000-0000-000055360000}"/>
    <cellStyle name="Normal 66 10 2 3" xfId="13905" xr:uid="{00000000-0005-0000-0000-000056360000}"/>
    <cellStyle name="Normal 66 10 2 4" xfId="13906" xr:uid="{00000000-0005-0000-0000-000057360000}"/>
    <cellStyle name="Normal 66 10 2 5" xfId="13907" xr:uid="{00000000-0005-0000-0000-000058360000}"/>
    <cellStyle name="Normal 66 10 2 6" xfId="13908" xr:uid="{00000000-0005-0000-0000-000059360000}"/>
    <cellStyle name="Normal 66 10 2 7" xfId="13909" xr:uid="{00000000-0005-0000-0000-00005A360000}"/>
    <cellStyle name="Normal 66 10 2 8" xfId="13910" xr:uid="{00000000-0005-0000-0000-00005B360000}"/>
    <cellStyle name="Normal 66 10 2 9" xfId="13911" xr:uid="{00000000-0005-0000-0000-00005C360000}"/>
    <cellStyle name="Normal 66 10 3" xfId="13912" xr:uid="{00000000-0005-0000-0000-00005D360000}"/>
    <cellStyle name="Normal 66 10 4" xfId="13913" xr:uid="{00000000-0005-0000-0000-00005E360000}"/>
    <cellStyle name="Normal 66 10 5" xfId="13914" xr:uid="{00000000-0005-0000-0000-00005F360000}"/>
    <cellStyle name="Normal 66 10 6" xfId="13915" xr:uid="{00000000-0005-0000-0000-000060360000}"/>
    <cellStyle name="Normal 66 10 7" xfId="13916" xr:uid="{00000000-0005-0000-0000-000061360000}"/>
    <cellStyle name="Normal 66 10 8" xfId="13917" xr:uid="{00000000-0005-0000-0000-000062360000}"/>
    <cellStyle name="Normal 66 10 9" xfId="13918" xr:uid="{00000000-0005-0000-0000-000063360000}"/>
    <cellStyle name="Normal 66 11" xfId="13919" xr:uid="{00000000-0005-0000-0000-000064360000}"/>
    <cellStyle name="Normal 66 11 10" xfId="13920" xr:uid="{00000000-0005-0000-0000-000065360000}"/>
    <cellStyle name="Normal 66 11 11" xfId="13921" xr:uid="{00000000-0005-0000-0000-000066360000}"/>
    <cellStyle name="Normal 66 11 12" xfId="13922" xr:uid="{00000000-0005-0000-0000-000067360000}"/>
    <cellStyle name="Normal 66 11 13" xfId="13923" xr:uid="{00000000-0005-0000-0000-000068360000}"/>
    <cellStyle name="Normal 66 11 2" xfId="13924" xr:uid="{00000000-0005-0000-0000-000069360000}"/>
    <cellStyle name="Normal 66 11 2 10" xfId="13925" xr:uid="{00000000-0005-0000-0000-00006A360000}"/>
    <cellStyle name="Normal 66 11 2 11" xfId="13926" xr:uid="{00000000-0005-0000-0000-00006B360000}"/>
    <cellStyle name="Normal 66 11 2 2" xfId="13927" xr:uid="{00000000-0005-0000-0000-00006C360000}"/>
    <cellStyle name="Normal 66 11 2 3" xfId="13928" xr:uid="{00000000-0005-0000-0000-00006D360000}"/>
    <cellStyle name="Normal 66 11 2 4" xfId="13929" xr:uid="{00000000-0005-0000-0000-00006E360000}"/>
    <cellStyle name="Normal 66 11 2 5" xfId="13930" xr:uid="{00000000-0005-0000-0000-00006F360000}"/>
    <cellStyle name="Normal 66 11 2 6" xfId="13931" xr:uid="{00000000-0005-0000-0000-000070360000}"/>
    <cellStyle name="Normal 66 11 2 7" xfId="13932" xr:uid="{00000000-0005-0000-0000-000071360000}"/>
    <cellStyle name="Normal 66 11 2 8" xfId="13933" xr:uid="{00000000-0005-0000-0000-000072360000}"/>
    <cellStyle name="Normal 66 11 2 9" xfId="13934" xr:uid="{00000000-0005-0000-0000-000073360000}"/>
    <cellStyle name="Normal 66 11 3" xfId="13935" xr:uid="{00000000-0005-0000-0000-000074360000}"/>
    <cellStyle name="Normal 66 11 4" xfId="13936" xr:uid="{00000000-0005-0000-0000-000075360000}"/>
    <cellStyle name="Normal 66 11 5" xfId="13937" xr:uid="{00000000-0005-0000-0000-000076360000}"/>
    <cellStyle name="Normal 66 11 6" xfId="13938" xr:uid="{00000000-0005-0000-0000-000077360000}"/>
    <cellStyle name="Normal 66 11 7" xfId="13939" xr:uid="{00000000-0005-0000-0000-000078360000}"/>
    <cellStyle name="Normal 66 11 8" xfId="13940" xr:uid="{00000000-0005-0000-0000-000079360000}"/>
    <cellStyle name="Normal 66 11 9" xfId="13941" xr:uid="{00000000-0005-0000-0000-00007A360000}"/>
    <cellStyle name="Normal 66 12" xfId="13942" xr:uid="{00000000-0005-0000-0000-00007B360000}"/>
    <cellStyle name="Normal 66 12 10" xfId="13943" xr:uid="{00000000-0005-0000-0000-00007C360000}"/>
    <cellStyle name="Normal 66 12 11" xfId="13944" xr:uid="{00000000-0005-0000-0000-00007D360000}"/>
    <cellStyle name="Normal 66 12 12" xfId="13945" xr:uid="{00000000-0005-0000-0000-00007E360000}"/>
    <cellStyle name="Normal 66 12 13" xfId="13946" xr:uid="{00000000-0005-0000-0000-00007F360000}"/>
    <cellStyle name="Normal 66 12 2" xfId="13947" xr:uid="{00000000-0005-0000-0000-000080360000}"/>
    <cellStyle name="Normal 66 12 2 10" xfId="13948" xr:uid="{00000000-0005-0000-0000-000081360000}"/>
    <cellStyle name="Normal 66 12 2 11" xfId="13949" xr:uid="{00000000-0005-0000-0000-000082360000}"/>
    <cellStyle name="Normal 66 12 2 2" xfId="13950" xr:uid="{00000000-0005-0000-0000-000083360000}"/>
    <cellStyle name="Normal 66 12 2 3" xfId="13951" xr:uid="{00000000-0005-0000-0000-000084360000}"/>
    <cellStyle name="Normal 66 12 2 4" xfId="13952" xr:uid="{00000000-0005-0000-0000-000085360000}"/>
    <cellStyle name="Normal 66 12 2 5" xfId="13953" xr:uid="{00000000-0005-0000-0000-000086360000}"/>
    <cellStyle name="Normal 66 12 2 6" xfId="13954" xr:uid="{00000000-0005-0000-0000-000087360000}"/>
    <cellStyle name="Normal 66 12 2 7" xfId="13955" xr:uid="{00000000-0005-0000-0000-000088360000}"/>
    <cellStyle name="Normal 66 12 2 8" xfId="13956" xr:uid="{00000000-0005-0000-0000-000089360000}"/>
    <cellStyle name="Normal 66 12 2 9" xfId="13957" xr:uid="{00000000-0005-0000-0000-00008A360000}"/>
    <cellStyle name="Normal 66 12 3" xfId="13958" xr:uid="{00000000-0005-0000-0000-00008B360000}"/>
    <cellStyle name="Normal 66 12 4" xfId="13959" xr:uid="{00000000-0005-0000-0000-00008C360000}"/>
    <cellStyle name="Normal 66 12 5" xfId="13960" xr:uid="{00000000-0005-0000-0000-00008D360000}"/>
    <cellStyle name="Normal 66 12 6" xfId="13961" xr:uid="{00000000-0005-0000-0000-00008E360000}"/>
    <cellStyle name="Normal 66 12 7" xfId="13962" xr:uid="{00000000-0005-0000-0000-00008F360000}"/>
    <cellStyle name="Normal 66 12 8" xfId="13963" xr:uid="{00000000-0005-0000-0000-000090360000}"/>
    <cellStyle name="Normal 66 12 9" xfId="13964" xr:uid="{00000000-0005-0000-0000-000091360000}"/>
    <cellStyle name="Normal 66 13" xfId="13965" xr:uid="{00000000-0005-0000-0000-000092360000}"/>
    <cellStyle name="Normal 66 13 10" xfId="13966" xr:uid="{00000000-0005-0000-0000-000093360000}"/>
    <cellStyle name="Normal 66 13 11" xfId="13967" xr:uid="{00000000-0005-0000-0000-000094360000}"/>
    <cellStyle name="Normal 66 13 12" xfId="13968" xr:uid="{00000000-0005-0000-0000-000095360000}"/>
    <cellStyle name="Normal 66 13 13" xfId="13969" xr:uid="{00000000-0005-0000-0000-000096360000}"/>
    <cellStyle name="Normal 66 13 2" xfId="13970" xr:uid="{00000000-0005-0000-0000-000097360000}"/>
    <cellStyle name="Normal 66 13 2 10" xfId="13971" xr:uid="{00000000-0005-0000-0000-000098360000}"/>
    <cellStyle name="Normal 66 13 2 11" xfId="13972" xr:uid="{00000000-0005-0000-0000-000099360000}"/>
    <cellStyle name="Normal 66 13 2 2" xfId="13973" xr:uid="{00000000-0005-0000-0000-00009A360000}"/>
    <cellStyle name="Normal 66 13 2 3" xfId="13974" xr:uid="{00000000-0005-0000-0000-00009B360000}"/>
    <cellStyle name="Normal 66 13 2 4" xfId="13975" xr:uid="{00000000-0005-0000-0000-00009C360000}"/>
    <cellStyle name="Normal 66 13 2 5" xfId="13976" xr:uid="{00000000-0005-0000-0000-00009D360000}"/>
    <cellStyle name="Normal 66 13 2 6" xfId="13977" xr:uid="{00000000-0005-0000-0000-00009E360000}"/>
    <cellStyle name="Normal 66 13 2 7" xfId="13978" xr:uid="{00000000-0005-0000-0000-00009F360000}"/>
    <cellStyle name="Normal 66 13 2 8" xfId="13979" xr:uid="{00000000-0005-0000-0000-0000A0360000}"/>
    <cellStyle name="Normal 66 13 2 9" xfId="13980" xr:uid="{00000000-0005-0000-0000-0000A1360000}"/>
    <cellStyle name="Normal 66 13 3" xfId="13981" xr:uid="{00000000-0005-0000-0000-0000A2360000}"/>
    <cellStyle name="Normal 66 13 4" xfId="13982" xr:uid="{00000000-0005-0000-0000-0000A3360000}"/>
    <cellStyle name="Normal 66 13 5" xfId="13983" xr:uid="{00000000-0005-0000-0000-0000A4360000}"/>
    <cellStyle name="Normal 66 13 6" xfId="13984" xr:uid="{00000000-0005-0000-0000-0000A5360000}"/>
    <cellStyle name="Normal 66 13 7" xfId="13985" xr:uid="{00000000-0005-0000-0000-0000A6360000}"/>
    <cellStyle name="Normal 66 13 8" xfId="13986" xr:uid="{00000000-0005-0000-0000-0000A7360000}"/>
    <cellStyle name="Normal 66 13 9" xfId="13987" xr:uid="{00000000-0005-0000-0000-0000A8360000}"/>
    <cellStyle name="Normal 66 14" xfId="13988" xr:uid="{00000000-0005-0000-0000-0000A9360000}"/>
    <cellStyle name="Normal 66 14 10" xfId="13989" xr:uid="{00000000-0005-0000-0000-0000AA360000}"/>
    <cellStyle name="Normal 66 14 11" xfId="13990" xr:uid="{00000000-0005-0000-0000-0000AB360000}"/>
    <cellStyle name="Normal 66 14 2" xfId="13991" xr:uid="{00000000-0005-0000-0000-0000AC360000}"/>
    <cellStyle name="Normal 66 14 3" xfId="13992" xr:uid="{00000000-0005-0000-0000-0000AD360000}"/>
    <cellStyle name="Normal 66 14 4" xfId="13993" xr:uid="{00000000-0005-0000-0000-0000AE360000}"/>
    <cellStyle name="Normal 66 14 5" xfId="13994" xr:uid="{00000000-0005-0000-0000-0000AF360000}"/>
    <cellStyle name="Normal 66 14 6" xfId="13995" xr:uid="{00000000-0005-0000-0000-0000B0360000}"/>
    <cellStyle name="Normal 66 14 7" xfId="13996" xr:uid="{00000000-0005-0000-0000-0000B1360000}"/>
    <cellStyle name="Normal 66 14 8" xfId="13997" xr:uid="{00000000-0005-0000-0000-0000B2360000}"/>
    <cellStyle name="Normal 66 14 9" xfId="13998" xr:uid="{00000000-0005-0000-0000-0000B3360000}"/>
    <cellStyle name="Normal 66 15" xfId="13999" xr:uid="{00000000-0005-0000-0000-0000B4360000}"/>
    <cellStyle name="Normal 66 16" xfId="14000" xr:uid="{00000000-0005-0000-0000-0000B5360000}"/>
    <cellStyle name="Normal 66 17" xfId="14001" xr:uid="{00000000-0005-0000-0000-0000B6360000}"/>
    <cellStyle name="Normal 66 18" xfId="14002" xr:uid="{00000000-0005-0000-0000-0000B7360000}"/>
    <cellStyle name="Normal 66 19" xfId="14003" xr:uid="{00000000-0005-0000-0000-0000B8360000}"/>
    <cellStyle name="Normal 66 2" xfId="14004" xr:uid="{00000000-0005-0000-0000-0000B9360000}"/>
    <cellStyle name="Normal 66 2 10" xfId="14005" xr:uid="{00000000-0005-0000-0000-0000BA360000}"/>
    <cellStyle name="Normal 66 2 11" xfId="14006" xr:uid="{00000000-0005-0000-0000-0000BB360000}"/>
    <cellStyle name="Normal 66 2 12" xfId="14007" xr:uid="{00000000-0005-0000-0000-0000BC360000}"/>
    <cellStyle name="Normal 66 2 13" xfId="14008" xr:uid="{00000000-0005-0000-0000-0000BD360000}"/>
    <cellStyle name="Normal 66 2 2" xfId="14009" xr:uid="{00000000-0005-0000-0000-0000BE360000}"/>
    <cellStyle name="Normal 66 2 2 10" xfId="14010" xr:uid="{00000000-0005-0000-0000-0000BF360000}"/>
    <cellStyle name="Normal 66 2 2 11" xfId="14011" xr:uid="{00000000-0005-0000-0000-0000C0360000}"/>
    <cellStyle name="Normal 66 2 2 2" xfId="14012" xr:uid="{00000000-0005-0000-0000-0000C1360000}"/>
    <cellStyle name="Normal 66 2 2 3" xfId="14013" xr:uid="{00000000-0005-0000-0000-0000C2360000}"/>
    <cellStyle name="Normal 66 2 2 4" xfId="14014" xr:uid="{00000000-0005-0000-0000-0000C3360000}"/>
    <cellStyle name="Normal 66 2 2 5" xfId="14015" xr:uid="{00000000-0005-0000-0000-0000C4360000}"/>
    <cellStyle name="Normal 66 2 2 6" xfId="14016" xr:uid="{00000000-0005-0000-0000-0000C5360000}"/>
    <cellStyle name="Normal 66 2 2 7" xfId="14017" xr:uid="{00000000-0005-0000-0000-0000C6360000}"/>
    <cellStyle name="Normal 66 2 2 8" xfId="14018" xr:uid="{00000000-0005-0000-0000-0000C7360000}"/>
    <cellStyle name="Normal 66 2 2 9" xfId="14019" xr:uid="{00000000-0005-0000-0000-0000C8360000}"/>
    <cellStyle name="Normal 66 2 3" xfId="14020" xr:uid="{00000000-0005-0000-0000-0000C9360000}"/>
    <cellStyle name="Normal 66 2 4" xfId="14021" xr:uid="{00000000-0005-0000-0000-0000CA360000}"/>
    <cellStyle name="Normal 66 2 5" xfId="14022" xr:uid="{00000000-0005-0000-0000-0000CB360000}"/>
    <cellStyle name="Normal 66 2 6" xfId="14023" xr:uid="{00000000-0005-0000-0000-0000CC360000}"/>
    <cellStyle name="Normal 66 2 7" xfId="14024" xr:uid="{00000000-0005-0000-0000-0000CD360000}"/>
    <cellStyle name="Normal 66 2 8" xfId="14025" xr:uid="{00000000-0005-0000-0000-0000CE360000}"/>
    <cellStyle name="Normal 66 2 9" xfId="14026" xr:uid="{00000000-0005-0000-0000-0000CF360000}"/>
    <cellStyle name="Normal 66 20" xfId="14027" xr:uid="{00000000-0005-0000-0000-0000D0360000}"/>
    <cellStyle name="Normal 66 21" xfId="14028" xr:uid="{00000000-0005-0000-0000-0000D1360000}"/>
    <cellStyle name="Normal 66 22" xfId="14029" xr:uid="{00000000-0005-0000-0000-0000D2360000}"/>
    <cellStyle name="Normal 66 23" xfId="14030" xr:uid="{00000000-0005-0000-0000-0000D3360000}"/>
    <cellStyle name="Normal 66 24" xfId="14031" xr:uid="{00000000-0005-0000-0000-0000D4360000}"/>
    <cellStyle name="Normal 66 25" xfId="14032" xr:uid="{00000000-0005-0000-0000-0000D5360000}"/>
    <cellStyle name="Normal 66 3" xfId="14033" xr:uid="{00000000-0005-0000-0000-0000D6360000}"/>
    <cellStyle name="Normal 66 3 10" xfId="14034" xr:uid="{00000000-0005-0000-0000-0000D7360000}"/>
    <cellStyle name="Normal 66 3 11" xfId="14035" xr:uid="{00000000-0005-0000-0000-0000D8360000}"/>
    <cellStyle name="Normal 66 3 12" xfId="14036" xr:uid="{00000000-0005-0000-0000-0000D9360000}"/>
    <cellStyle name="Normal 66 3 13" xfId="14037" xr:uid="{00000000-0005-0000-0000-0000DA360000}"/>
    <cellStyle name="Normal 66 3 2" xfId="14038" xr:uid="{00000000-0005-0000-0000-0000DB360000}"/>
    <cellStyle name="Normal 66 3 2 10" xfId="14039" xr:uid="{00000000-0005-0000-0000-0000DC360000}"/>
    <cellStyle name="Normal 66 3 2 11" xfId="14040" xr:uid="{00000000-0005-0000-0000-0000DD360000}"/>
    <cellStyle name="Normal 66 3 2 2" xfId="14041" xr:uid="{00000000-0005-0000-0000-0000DE360000}"/>
    <cellStyle name="Normal 66 3 2 3" xfId="14042" xr:uid="{00000000-0005-0000-0000-0000DF360000}"/>
    <cellStyle name="Normal 66 3 2 4" xfId="14043" xr:uid="{00000000-0005-0000-0000-0000E0360000}"/>
    <cellStyle name="Normal 66 3 2 5" xfId="14044" xr:uid="{00000000-0005-0000-0000-0000E1360000}"/>
    <cellStyle name="Normal 66 3 2 6" xfId="14045" xr:uid="{00000000-0005-0000-0000-0000E2360000}"/>
    <cellStyle name="Normal 66 3 2 7" xfId="14046" xr:uid="{00000000-0005-0000-0000-0000E3360000}"/>
    <cellStyle name="Normal 66 3 2 8" xfId="14047" xr:uid="{00000000-0005-0000-0000-0000E4360000}"/>
    <cellStyle name="Normal 66 3 2 9" xfId="14048" xr:uid="{00000000-0005-0000-0000-0000E5360000}"/>
    <cellStyle name="Normal 66 3 3" xfId="14049" xr:uid="{00000000-0005-0000-0000-0000E6360000}"/>
    <cellStyle name="Normal 66 3 4" xfId="14050" xr:uid="{00000000-0005-0000-0000-0000E7360000}"/>
    <cellStyle name="Normal 66 3 5" xfId="14051" xr:uid="{00000000-0005-0000-0000-0000E8360000}"/>
    <cellStyle name="Normal 66 3 6" xfId="14052" xr:uid="{00000000-0005-0000-0000-0000E9360000}"/>
    <cellStyle name="Normal 66 3 7" xfId="14053" xr:uid="{00000000-0005-0000-0000-0000EA360000}"/>
    <cellStyle name="Normal 66 3 8" xfId="14054" xr:uid="{00000000-0005-0000-0000-0000EB360000}"/>
    <cellStyle name="Normal 66 3 9" xfId="14055" xr:uid="{00000000-0005-0000-0000-0000EC360000}"/>
    <cellStyle name="Normal 66 4" xfId="14056" xr:uid="{00000000-0005-0000-0000-0000ED360000}"/>
    <cellStyle name="Normal 66 4 10" xfId="14057" xr:uid="{00000000-0005-0000-0000-0000EE360000}"/>
    <cellStyle name="Normal 66 4 11" xfId="14058" xr:uid="{00000000-0005-0000-0000-0000EF360000}"/>
    <cellStyle name="Normal 66 4 12" xfId="14059" xr:uid="{00000000-0005-0000-0000-0000F0360000}"/>
    <cellStyle name="Normal 66 4 13" xfId="14060" xr:uid="{00000000-0005-0000-0000-0000F1360000}"/>
    <cellStyle name="Normal 66 4 2" xfId="14061" xr:uid="{00000000-0005-0000-0000-0000F2360000}"/>
    <cellStyle name="Normal 66 4 2 10" xfId="14062" xr:uid="{00000000-0005-0000-0000-0000F3360000}"/>
    <cellStyle name="Normal 66 4 2 11" xfId="14063" xr:uid="{00000000-0005-0000-0000-0000F4360000}"/>
    <cellStyle name="Normal 66 4 2 2" xfId="14064" xr:uid="{00000000-0005-0000-0000-0000F5360000}"/>
    <cellStyle name="Normal 66 4 2 3" xfId="14065" xr:uid="{00000000-0005-0000-0000-0000F6360000}"/>
    <cellStyle name="Normal 66 4 2 4" xfId="14066" xr:uid="{00000000-0005-0000-0000-0000F7360000}"/>
    <cellStyle name="Normal 66 4 2 5" xfId="14067" xr:uid="{00000000-0005-0000-0000-0000F8360000}"/>
    <cellStyle name="Normal 66 4 2 6" xfId="14068" xr:uid="{00000000-0005-0000-0000-0000F9360000}"/>
    <cellStyle name="Normal 66 4 2 7" xfId="14069" xr:uid="{00000000-0005-0000-0000-0000FA360000}"/>
    <cellStyle name="Normal 66 4 2 8" xfId="14070" xr:uid="{00000000-0005-0000-0000-0000FB360000}"/>
    <cellStyle name="Normal 66 4 2 9" xfId="14071" xr:uid="{00000000-0005-0000-0000-0000FC360000}"/>
    <cellStyle name="Normal 66 4 3" xfId="14072" xr:uid="{00000000-0005-0000-0000-0000FD360000}"/>
    <cellStyle name="Normal 66 4 4" xfId="14073" xr:uid="{00000000-0005-0000-0000-0000FE360000}"/>
    <cellStyle name="Normal 66 4 5" xfId="14074" xr:uid="{00000000-0005-0000-0000-0000FF360000}"/>
    <cellStyle name="Normal 66 4 6" xfId="14075" xr:uid="{00000000-0005-0000-0000-000000370000}"/>
    <cellStyle name="Normal 66 4 7" xfId="14076" xr:uid="{00000000-0005-0000-0000-000001370000}"/>
    <cellStyle name="Normal 66 4 8" xfId="14077" xr:uid="{00000000-0005-0000-0000-000002370000}"/>
    <cellStyle name="Normal 66 4 9" xfId="14078" xr:uid="{00000000-0005-0000-0000-000003370000}"/>
    <cellStyle name="Normal 66 5" xfId="14079" xr:uid="{00000000-0005-0000-0000-000004370000}"/>
    <cellStyle name="Normal 66 5 10" xfId="14080" xr:uid="{00000000-0005-0000-0000-000005370000}"/>
    <cellStyle name="Normal 66 5 11" xfId="14081" xr:uid="{00000000-0005-0000-0000-000006370000}"/>
    <cellStyle name="Normal 66 5 12" xfId="14082" xr:uid="{00000000-0005-0000-0000-000007370000}"/>
    <cellStyle name="Normal 66 5 13" xfId="14083" xr:uid="{00000000-0005-0000-0000-000008370000}"/>
    <cellStyle name="Normal 66 5 2" xfId="14084" xr:uid="{00000000-0005-0000-0000-000009370000}"/>
    <cellStyle name="Normal 66 5 2 10" xfId="14085" xr:uid="{00000000-0005-0000-0000-00000A370000}"/>
    <cellStyle name="Normal 66 5 2 11" xfId="14086" xr:uid="{00000000-0005-0000-0000-00000B370000}"/>
    <cellStyle name="Normal 66 5 2 2" xfId="14087" xr:uid="{00000000-0005-0000-0000-00000C370000}"/>
    <cellStyle name="Normal 66 5 2 3" xfId="14088" xr:uid="{00000000-0005-0000-0000-00000D370000}"/>
    <cellStyle name="Normal 66 5 2 4" xfId="14089" xr:uid="{00000000-0005-0000-0000-00000E370000}"/>
    <cellStyle name="Normal 66 5 2 5" xfId="14090" xr:uid="{00000000-0005-0000-0000-00000F370000}"/>
    <cellStyle name="Normal 66 5 2 6" xfId="14091" xr:uid="{00000000-0005-0000-0000-000010370000}"/>
    <cellStyle name="Normal 66 5 2 7" xfId="14092" xr:uid="{00000000-0005-0000-0000-000011370000}"/>
    <cellStyle name="Normal 66 5 2 8" xfId="14093" xr:uid="{00000000-0005-0000-0000-000012370000}"/>
    <cellStyle name="Normal 66 5 2 9" xfId="14094" xr:uid="{00000000-0005-0000-0000-000013370000}"/>
    <cellStyle name="Normal 66 5 3" xfId="14095" xr:uid="{00000000-0005-0000-0000-000014370000}"/>
    <cellStyle name="Normal 66 5 4" xfId="14096" xr:uid="{00000000-0005-0000-0000-000015370000}"/>
    <cellStyle name="Normal 66 5 5" xfId="14097" xr:uid="{00000000-0005-0000-0000-000016370000}"/>
    <cellStyle name="Normal 66 5 6" xfId="14098" xr:uid="{00000000-0005-0000-0000-000017370000}"/>
    <cellStyle name="Normal 66 5 7" xfId="14099" xr:uid="{00000000-0005-0000-0000-000018370000}"/>
    <cellStyle name="Normal 66 5 8" xfId="14100" xr:uid="{00000000-0005-0000-0000-000019370000}"/>
    <cellStyle name="Normal 66 5 9" xfId="14101" xr:uid="{00000000-0005-0000-0000-00001A370000}"/>
    <cellStyle name="Normal 66 6" xfId="14102" xr:uid="{00000000-0005-0000-0000-00001B370000}"/>
    <cellStyle name="Normal 66 6 10" xfId="14103" xr:uid="{00000000-0005-0000-0000-00001C370000}"/>
    <cellStyle name="Normal 66 6 11" xfId="14104" xr:uid="{00000000-0005-0000-0000-00001D370000}"/>
    <cellStyle name="Normal 66 6 12" xfId="14105" xr:uid="{00000000-0005-0000-0000-00001E370000}"/>
    <cellStyle name="Normal 66 6 13" xfId="14106" xr:uid="{00000000-0005-0000-0000-00001F370000}"/>
    <cellStyle name="Normal 66 6 2" xfId="14107" xr:uid="{00000000-0005-0000-0000-000020370000}"/>
    <cellStyle name="Normal 66 6 2 10" xfId="14108" xr:uid="{00000000-0005-0000-0000-000021370000}"/>
    <cellStyle name="Normal 66 6 2 11" xfId="14109" xr:uid="{00000000-0005-0000-0000-000022370000}"/>
    <cellStyle name="Normal 66 6 2 2" xfId="14110" xr:uid="{00000000-0005-0000-0000-000023370000}"/>
    <cellStyle name="Normal 66 6 2 3" xfId="14111" xr:uid="{00000000-0005-0000-0000-000024370000}"/>
    <cellStyle name="Normal 66 6 2 4" xfId="14112" xr:uid="{00000000-0005-0000-0000-000025370000}"/>
    <cellStyle name="Normal 66 6 2 5" xfId="14113" xr:uid="{00000000-0005-0000-0000-000026370000}"/>
    <cellStyle name="Normal 66 6 2 6" xfId="14114" xr:uid="{00000000-0005-0000-0000-000027370000}"/>
    <cellStyle name="Normal 66 6 2 7" xfId="14115" xr:uid="{00000000-0005-0000-0000-000028370000}"/>
    <cellStyle name="Normal 66 6 2 8" xfId="14116" xr:uid="{00000000-0005-0000-0000-000029370000}"/>
    <cellStyle name="Normal 66 6 2 9" xfId="14117" xr:uid="{00000000-0005-0000-0000-00002A370000}"/>
    <cellStyle name="Normal 66 6 3" xfId="14118" xr:uid="{00000000-0005-0000-0000-00002B370000}"/>
    <cellStyle name="Normal 66 6 4" xfId="14119" xr:uid="{00000000-0005-0000-0000-00002C370000}"/>
    <cellStyle name="Normal 66 6 5" xfId="14120" xr:uid="{00000000-0005-0000-0000-00002D370000}"/>
    <cellStyle name="Normal 66 6 6" xfId="14121" xr:uid="{00000000-0005-0000-0000-00002E370000}"/>
    <cellStyle name="Normal 66 6 7" xfId="14122" xr:uid="{00000000-0005-0000-0000-00002F370000}"/>
    <cellStyle name="Normal 66 6 8" xfId="14123" xr:uid="{00000000-0005-0000-0000-000030370000}"/>
    <cellStyle name="Normal 66 6 9" xfId="14124" xr:uid="{00000000-0005-0000-0000-000031370000}"/>
    <cellStyle name="Normal 66 7" xfId="14125" xr:uid="{00000000-0005-0000-0000-000032370000}"/>
    <cellStyle name="Normal 66 7 10" xfId="14126" xr:uid="{00000000-0005-0000-0000-000033370000}"/>
    <cellStyle name="Normal 66 7 11" xfId="14127" xr:uid="{00000000-0005-0000-0000-000034370000}"/>
    <cellStyle name="Normal 66 7 12" xfId="14128" xr:uid="{00000000-0005-0000-0000-000035370000}"/>
    <cellStyle name="Normal 66 7 13" xfId="14129" xr:uid="{00000000-0005-0000-0000-000036370000}"/>
    <cellStyle name="Normal 66 7 2" xfId="14130" xr:uid="{00000000-0005-0000-0000-000037370000}"/>
    <cellStyle name="Normal 66 7 2 10" xfId="14131" xr:uid="{00000000-0005-0000-0000-000038370000}"/>
    <cellStyle name="Normal 66 7 2 11" xfId="14132" xr:uid="{00000000-0005-0000-0000-000039370000}"/>
    <cellStyle name="Normal 66 7 2 2" xfId="14133" xr:uid="{00000000-0005-0000-0000-00003A370000}"/>
    <cellStyle name="Normal 66 7 2 3" xfId="14134" xr:uid="{00000000-0005-0000-0000-00003B370000}"/>
    <cellStyle name="Normal 66 7 2 4" xfId="14135" xr:uid="{00000000-0005-0000-0000-00003C370000}"/>
    <cellStyle name="Normal 66 7 2 5" xfId="14136" xr:uid="{00000000-0005-0000-0000-00003D370000}"/>
    <cellStyle name="Normal 66 7 2 6" xfId="14137" xr:uid="{00000000-0005-0000-0000-00003E370000}"/>
    <cellStyle name="Normal 66 7 2 7" xfId="14138" xr:uid="{00000000-0005-0000-0000-00003F370000}"/>
    <cellStyle name="Normal 66 7 2 8" xfId="14139" xr:uid="{00000000-0005-0000-0000-000040370000}"/>
    <cellStyle name="Normal 66 7 2 9" xfId="14140" xr:uid="{00000000-0005-0000-0000-000041370000}"/>
    <cellStyle name="Normal 66 7 3" xfId="14141" xr:uid="{00000000-0005-0000-0000-000042370000}"/>
    <cellStyle name="Normal 66 7 4" xfId="14142" xr:uid="{00000000-0005-0000-0000-000043370000}"/>
    <cellStyle name="Normal 66 7 5" xfId="14143" xr:uid="{00000000-0005-0000-0000-000044370000}"/>
    <cellStyle name="Normal 66 7 6" xfId="14144" xr:uid="{00000000-0005-0000-0000-000045370000}"/>
    <cellStyle name="Normal 66 7 7" xfId="14145" xr:uid="{00000000-0005-0000-0000-000046370000}"/>
    <cellStyle name="Normal 66 7 8" xfId="14146" xr:uid="{00000000-0005-0000-0000-000047370000}"/>
    <cellStyle name="Normal 66 7 9" xfId="14147" xr:uid="{00000000-0005-0000-0000-000048370000}"/>
    <cellStyle name="Normal 66 8" xfId="14148" xr:uid="{00000000-0005-0000-0000-000049370000}"/>
    <cellStyle name="Normal 66 8 10" xfId="14149" xr:uid="{00000000-0005-0000-0000-00004A370000}"/>
    <cellStyle name="Normal 66 8 11" xfId="14150" xr:uid="{00000000-0005-0000-0000-00004B370000}"/>
    <cellStyle name="Normal 66 8 12" xfId="14151" xr:uid="{00000000-0005-0000-0000-00004C370000}"/>
    <cellStyle name="Normal 66 8 13" xfId="14152" xr:uid="{00000000-0005-0000-0000-00004D370000}"/>
    <cellStyle name="Normal 66 8 2" xfId="14153" xr:uid="{00000000-0005-0000-0000-00004E370000}"/>
    <cellStyle name="Normal 66 8 2 10" xfId="14154" xr:uid="{00000000-0005-0000-0000-00004F370000}"/>
    <cellStyle name="Normal 66 8 2 11" xfId="14155" xr:uid="{00000000-0005-0000-0000-000050370000}"/>
    <cellStyle name="Normal 66 8 2 2" xfId="14156" xr:uid="{00000000-0005-0000-0000-000051370000}"/>
    <cellStyle name="Normal 66 8 2 3" xfId="14157" xr:uid="{00000000-0005-0000-0000-000052370000}"/>
    <cellStyle name="Normal 66 8 2 4" xfId="14158" xr:uid="{00000000-0005-0000-0000-000053370000}"/>
    <cellStyle name="Normal 66 8 2 5" xfId="14159" xr:uid="{00000000-0005-0000-0000-000054370000}"/>
    <cellStyle name="Normal 66 8 2 6" xfId="14160" xr:uid="{00000000-0005-0000-0000-000055370000}"/>
    <cellStyle name="Normal 66 8 2 7" xfId="14161" xr:uid="{00000000-0005-0000-0000-000056370000}"/>
    <cellStyle name="Normal 66 8 2 8" xfId="14162" xr:uid="{00000000-0005-0000-0000-000057370000}"/>
    <cellStyle name="Normal 66 8 2 9" xfId="14163" xr:uid="{00000000-0005-0000-0000-000058370000}"/>
    <cellStyle name="Normal 66 8 3" xfId="14164" xr:uid="{00000000-0005-0000-0000-000059370000}"/>
    <cellStyle name="Normal 66 8 4" xfId="14165" xr:uid="{00000000-0005-0000-0000-00005A370000}"/>
    <cellStyle name="Normal 66 8 5" xfId="14166" xr:uid="{00000000-0005-0000-0000-00005B370000}"/>
    <cellStyle name="Normal 66 8 6" xfId="14167" xr:uid="{00000000-0005-0000-0000-00005C370000}"/>
    <cellStyle name="Normal 66 8 7" xfId="14168" xr:uid="{00000000-0005-0000-0000-00005D370000}"/>
    <cellStyle name="Normal 66 8 8" xfId="14169" xr:uid="{00000000-0005-0000-0000-00005E370000}"/>
    <cellStyle name="Normal 66 8 9" xfId="14170" xr:uid="{00000000-0005-0000-0000-00005F370000}"/>
    <cellStyle name="Normal 66 9" xfId="14171" xr:uid="{00000000-0005-0000-0000-000060370000}"/>
    <cellStyle name="Normal 66 9 10" xfId="14172" xr:uid="{00000000-0005-0000-0000-000061370000}"/>
    <cellStyle name="Normal 66 9 11" xfId="14173" xr:uid="{00000000-0005-0000-0000-000062370000}"/>
    <cellStyle name="Normal 66 9 12" xfId="14174" xr:uid="{00000000-0005-0000-0000-000063370000}"/>
    <cellStyle name="Normal 66 9 13" xfId="14175" xr:uid="{00000000-0005-0000-0000-000064370000}"/>
    <cellStyle name="Normal 66 9 2" xfId="14176" xr:uid="{00000000-0005-0000-0000-000065370000}"/>
    <cellStyle name="Normal 66 9 2 10" xfId="14177" xr:uid="{00000000-0005-0000-0000-000066370000}"/>
    <cellStyle name="Normal 66 9 2 11" xfId="14178" xr:uid="{00000000-0005-0000-0000-000067370000}"/>
    <cellStyle name="Normal 66 9 2 2" xfId="14179" xr:uid="{00000000-0005-0000-0000-000068370000}"/>
    <cellStyle name="Normal 66 9 2 3" xfId="14180" xr:uid="{00000000-0005-0000-0000-000069370000}"/>
    <cellStyle name="Normal 66 9 2 4" xfId="14181" xr:uid="{00000000-0005-0000-0000-00006A370000}"/>
    <cellStyle name="Normal 66 9 2 5" xfId="14182" xr:uid="{00000000-0005-0000-0000-00006B370000}"/>
    <cellStyle name="Normal 66 9 2 6" xfId="14183" xr:uid="{00000000-0005-0000-0000-00006C370000}"/>
    <cellStyle name="Normal 66 9 2 7" xfId="14184" xr:uid="{00000000-0005-0000-0000-00006D370000}"/>
    <cellStyle name="Normal 66 9 2 8" xfId="14185" xr:uid="{00000000-0005-0000-0000-00006E370000}"/>
    <cellStyle name="Normal 66 9 2 9" xfId="14186" xr:uid="{00000000-0005-0000-0000-00006F370000}"/>
    <cellStyle name="Normal 66 9 3" xfId="14187" xr:uid="{00000000-0005-0000-0000-000070370000}"/>
    <cellStyle name="Normal 66 9 4" xfId="14188" xr:uid="{00000000-0005-0000-0000-000071370000}"/>
    <cellStyle name="Normal 66 9 5" xfId="14189" xr:uid="{00000000-0005-0000-0000-000072370000}"/>
    <cellStyle name="Normal 66 9 6" xfId="14190" xr:uid="{00000000-0005-0000-0000-000073370000}"/>
    <cellStyle name="Normal 66 9 7" xfId="14191" xr:uid="{00000000-0005-0000-0000-000074370000}"/>
    <cellStyle name="Normal 66 9 8" xfId="14192" xr:uid="{00000000-0005-0000-0000-000075370000}"/>
    <cellStyle name="Normal 66 9 9" xfId="14193" xr:uid="{00000000-0005-0000-0000-000076370000}"/>
    <cellStyle name="Normal 67" xfId="14194" xr:uid="{00000000-0005-0000-0000-000077370000}"/>
    <cellStyle name="Normal 67 10" xfId="14195" xr:uid="{00000000-0005-0000-0000-000078370000}"/>
    <cellStyle name="Normal 67 10 10" xfId="14196" xr:uid="{00000000-0005-0000-0000-000079370000}"/>
    <cellStyle name="Normal 67 10 11" xfId="14197" xr:uid="{00000000-0005-0000-0000-00007A370000}"/>
    <cellStyle name="Normal 67 10 12" xfId="14198" xr:uid="{00000000-0005-0000-0000-00007B370000}"/>
    <cellStyle name="Normal 67 10 13" xfId="14199" xr:uid="{00000000-0005-0000-0000-00007C370000}"/>
    <cellStyle name="Normal 67 10 2" xfId="14200" xr:uid="{00000000-0005-0000-0000-00007D370000}"/>
    <cellStyle name="Normal 67 10 2 10" xfId="14201" xr:uid="{00000000-0005-0000-0000-00007E370000}"/>
    <cellStyle name="Normal 67 10 2 11" xfId="14202" xr:uid="{00000000-0005-0000-0000-00007F370000}"/>
    <cellStyle name="Normal 67 10 2 2" xfId="14203" xr:uid="{00000000-0005-0000-0000-000080370000}"/>
    <cellStyle name="Normal 67 10 2 3" xfId="14204" xr:uid="{00000000-0005-0000-0000-000081370000}"/>
    <cellStyle name="Normal 67 10 2 4" xfId="14205" xr:uid="{00000000-0005-0000-0000-000082370000}"/>
    <cellStyle name="Normal 67 10 2 5" xfId="14206" xr:uid="{00000000-0005-0000-0000-000083370000}"/>
    <cellStyle name="Normal 67 10 2 6" xfId="14207" xr:uid="{00000000-0005-0000-0000-000084370000}"/>
    <cellStyle name="Normal 67 10 2 7" xfId="14208" xr:uid="{00000000-0005-0000-0000-000085370000}"/>
    <cellStyle name="Normal 67 10 2 8" xfId="14209" xr:uid="{00000000-0005-0000-0000-000086370000}"/>
    <cellStyle name="Normal 67 10 2 9" xfId="14210" xr:uid="{00000000-0005-0000-0000-000087370000}"/>
    <cellStyle name="Normal 67 10 3" xfId="14211" xr:uid="{00000000-0005-0000-0000-000088370000}"/>
    <cellStyle name="Normal 67 10 4" xfId="14212" xr:uid="{00000000-0005-0000-0000-000089370000}"/>
    <cellStyle name="Normal 67 10 5" xfId="14213" xr:uid="{00000000-0005-0000-0000-00008A370000}"/>
    <cellStyle name="Normal 67 10 6" xfId="14214" xr:uid="{00000000-0005-0000-0000-00008B370000}"/>
    <cellStyle name="Normal 67 10 7" xfId="14215" xr:uid="{00000000-0005-0000-0000-00008C370000}"/>
    <cellStyle name="Normal 67 10 8" xfId="14216" xr:uid="{00000000-0005-0000-0000-00008D370000}"/>
    <cellStyle name="Normal 67 10 9" xfId="14217" xr:uid="{00000000-0005-0000-0000-00008E370000}"/>
    <cellStyle name="Normal 67 11" xfId="14218" xr:uid="{00000000-0005-0000-0000-00008F370000}"/>
    <cellStyle name="Normal 67 11 10" xfId="14219" xr:uid="{00000000-0005-0000-0000-000090370000}"/>
    <cellStyle name="Normal 67 11 11" xfId="14220" xr:uid="{00000000-0005-0000-0000-000091370000}"/>
    <cellStyle name="Normal 67 11 12" xfId="14221" xr:uid="{00000000-0005-0000-0000-000092370000}"/>
    <cellStyle name="Normal 67 11 13" xfId="14222" xr:uid="{00000000-0005-0000-0000-000093370000}"/>
    <cellStyle name="Normal 67 11 2" xfId="14223" xr:uid="{00000000-0005-0000-0000-000094370000}"/>
    <cellStyle name="Normal 67 11 2 10" xfId="14224" xr:uid="{00000000-0005-0000-0000-000095370000}"/>
    <cellStyle name="Normal 67 11 2 11" xfId="14225" xr:uid="{00000000-0005-0000-0000-000096370000}"/>
    <cellStyle name="Normal 67 11 2 2" xfId="14226" xr:uid="{00000000-0005-0000-0000-000097370000}"/>
    <cellStyle name="Normal 67 11 2 3" xfId="14227" xr:uid="{00000000-0005-0000-0000-000098370000}"/>
    <cellStyle name="Normal 67 11 2 4" xfId="14228" xr:uid="{00000000-0005-0000-0000-000099370000}"/>
    <cellStyle name="Normal 67 11 2 5" xfId="14229" xr:uid="{00000000-0005-0000-0000-00009A370000}"/>
    <cellStyle name="Normal 67 11 2 6" xfId="14230" xr:uid="{00000000-0005-0000-0000-00009B370000}"/>
    <cellStyle name="Normal 67 11 2 7" xfId="14231" xr:uid="{00000000-0005-0000-0000-00009C370000}"/>
    <cellStyle name="Normal 67 11 2 8" xfId="14232" xr:uid="{00000000-0005-0000-0000-00009D370000}"/>
    <cellStyle name="Normal 67 11 2 9" xfId="14233" xr:uid="{00000000-0005-0000-0000-00009E370000}"/>
    <cellStyle name="Normal 67 11 3" xfId="14234" xr:uid="{00000000-0005-0000-0000-00009F370000}"/>
    <cellStyle name="Normal 67 11 4" xfId="14235" xr:uid="{00000000-0005-0000-0000-0000A0370000}"/>
    <cellStyle name="Normal 67 11 5" xfId="14236" xr:uid="{00000000-0005-0000-0000-0000A1370000}"/>
    <cellStyle name="Normal 67 11 6" xfId="14237" xr:uid="{00000000-0005-0000-0000-0000A2370000}"/>
    <cellStyle name="Normal 67 11 7" xfId="14238" xr:uid="{00000000-0005-0000-0000-0000A3370000}"/>
    <cellStyle name="Normal 67 11 8" xfId="14239" xr:uid="{00000000-0005-0000-0000-0000A4370000}"/>
    <cellStyle name="Normal 67 11 9" xfId="14240" xr:uid="{00000000-0005-0000-0000-0000A5370000}"/>
    <cellStyle name="Normal 67 12" xfId="14241" xr:uid="{00000000-0005-0000-0000-0000A6370000}"/>
    <cellStyle name="Normal 67 12 10" xfId="14242" xr:uid="{00000000-0005-0000-0000-0000A7370000}"/>
    <cellStyle name="Normal 67 12 11" xfId="14243" xr:uid="{00000000-0005-0000-0000-0000A8370000}"/>
    <cellStyle name="Normal 67 12 12" xfId="14244" xr:uid="{00000000-0005-0000-0000-0000A9370000}"/>
    <cellStyle name="Normal 67 12 13" xfId="14245" xr:uid="{00000000-0005-0000-0000-0000AA370000}"/>
    <cellStyle name="Normal 67 12 2" xfId="14246" xr:uid="{00000000-0005-0000-0000-0000AB370000}"/>
    <cellStyle name="Normal 67 12 2 10" xfId="14247" xr:uid="{00000000-0005-0000-0000-0000AC370000}"/>
    <cellStyle name="Normal 67 12 2 11" xfId="14248" xr:uid="{00000000-0005-0000-0000-0000AD370000}"/>
    <cellStyle name="Normal 67 12 2 2" xfId="14249" xr:uid="{00000000-0005-0000-0000-0000AE370000}"/>
    <cellStyle name="Normal 67 12 2 3" xfId="14250" xr:uid="{00000000-0005-0000-0000-0000AF370000}"/>
    <cellStyle name="Normal 67 12 2 4" xfId="14251" xr:uid="{00000000-0005-0000-0000-0000B0370000}"/>
    <cellStyle name="Normal 67 12 2 5" xfId="14252" xr:uid="{00000000-0005-0000-0000-0000B1370000}"/>
    <cellStyle name="Normal 67 12 2 6" xfId="14253" xr:uid="{00000000-0005-0000-0000-0000B2370000}"/>
    <cellStyle name="Normal 67 12 2 7" xfId="14254" xr:uid="{00000000-0005-0000-0000-0000B3370000}"/>
    <cellStyle name="Normal 67 12 2 8" xfId="14255" xr:uid="{00000000-0005-0000-0000-0000B4370000}"/>
    <cellStyle name="Normal 67 12 2 9" xfId="14256" xr:uid="{00000000-0005-0000-0000-0000B5370000}"/>
    <cellStyle name="Normal 67 12 3" xfId="14257" xr:uid="{00000000-0005-0000-0000-0000B6370000}"/>
    <cellStyle name="Normal 67 12 4" xfId="14258" xr:uid="{00000000-0005-0000-0000-0000B7370000}"/>
    <cellStyle name="Normal 67 12 5" xfId="14259" xr:uid="{00000000-0005-0000-0000-0000B8370000}"/>
    <cellStyle name="Normal 67 12 6" xfId="14260" xr:uid="{00000000-0005-0000-0000-0000B9370000}"/>
    <cellStyle name="Normal 67 12 7" xfId="14261" xr:uid="{00000000-0005-0000-0000-0000BA370000}"/>
    <cellStyle name="Normal 67 12 8" xfId="14262" xr:uid="{00000000-0005-0000-0000-0000BB370000}"/>
    <cellStyle name="Normal 67 12 9" xfId="14263" xr:uid="{00000000-0005-0000-0000-0000BC370000}"/>
    <cellStyle name="Normal 67 13" xfId="14264" xr:uid="{00000000-0005-0000-0000-0000BD370000}"/>
    <cellStyle name="Normal 67 13 10" xfId="14265" xr:uid="{00000000-0005-0000-0000-0000BE370000}"/>
    <cellStyle name="Normal 67 13 11" xfId="14266" xr:uid="{00000000-0005-0000-0000-0000BF370000}"/>
    <cellStyle name="Normal 67 13 12" xfId="14267" xr:uid="{00000000-0005-0000-0000-0000C0370000}"/>
    <cellStyle name="Normal 67 13 13" xfId="14268" xr:uid="{00000000-0005-0000-0000-0000C1370000}"/>
    <cellStyle name="Normal 67 13 2" xfId="14269" xr:uid="{00000000-0005-0000-0000-0000C2370000}"/>
    <cellStyle name="Normal 67 13 2 10" xfId="14270" xr:uid="{00000000-0005-0000-0000-0000C3370000}"/>
    <cellStyle name="Normal 67 13 2 11" xfId="14271" xr:uid="{00000000-0005-0000-0000-0000C4370000}"/>
    <cellStyle name="Normal 67 13 2 2" xfId="14272" xr:uid="{00000000-0005-0000-0000-0000C5370000}"/>
    <cellStyle name="Normal 67 13 2 3" xfId="14273" xr:uid="{00000000-0005-0000-0000-0000C6370000}"/>
    <cellStyle name="Normal 67 13 2 4" xfId="14274" xr:uid="{00000000-0005-0000-0000-0000C7370000}"/>
    <cellStyle name="Normal 67 13 2 5" xfId="14275" xr:uid="{00000000-0005-0000-0000-0000C8370000}"/>
    <cellStyle name="Normal 67 13 2 6" xfId="14276" xr:uid="{00000000-0005-0000-0000-0000C9370000}"/>
    <cellStyle name="Normal 67 13 2 7" xfId="14277" xr:uid="{00000000-0005-0000-0000-0000CA370000}"/>
    <cellStyle name="Normal 67 13 2 8" xfId="14278" xr:uid="{00000000-0005-0000-0000-0000CB370000}"/>
    <cellStyle name="Normal 67 13 2 9" xfId="14279" xr:uid="{00000000-0005-0000-0000-0000CC370000}"/>
    <cellStyle name="Normal 67 13 3" xfId="14280" xr:uid="{00000000-0005-0000-0000-0000CD370000}"/>
    <cellStyle name="Normal 67 13 4" xfId="14281" xr:uid="{00000000-0005-0000-0000-0000CE370000}"/>
    <cellStyle name="Normal 67 13 5" xfId="14282" xr:uid="{00000000-0005-0000-0000-0000CF370000}"/>
    <cellStyle name="Normal 67 13 6" xfId="14283" xr:uid="{00000000-0005-0000-0000-0000D0370000}"/>
    <cellStyle name="Normal 67 13 7" xfId="14284" xr:uid="{00000000-0005-0000-0000-0000D1370000}"/>
    <cellStyle name="Normal 67 13 8" xfId="14285" xr:uid="{00000000-0005-0000-0000-0000D2370000}"/>
    <cellStyle name="Normal 67 13 9" xfId="14286" xr:uid="{00000000-0005-0000-0000-0000D3370000}"/>
    <cellStyle name="Normal 67 14" xfId="14287" xr:uid="{00000000-0005-0000-0000-0000D4370000}"/>
    <cellStyle name="Normal 67 14 10" xfId="14288" xr:uid="{00000000-0005-0000-0000-0000D5370000}"/>
    <cellStyle name="Normal 67 14 11" xfId="14289" xr:uid="{00000000-0005-0000-0000-0000D6370000}"/>
    <cellStyle name="Normal 67 14 2" xfId="14290" xr:uid="{00000000-0005-0000-0000-0000D7370000}"/>
    <cellStyle name="Normal 67 14 3" xfId="14291" xr:uid="{00000000-0005-0000-0000-0000D8370000}"/>
    <cellStyle name="Normal 67 14 4" xfId="14292" xr:uid="{00000000-0005-0000-0000-0000D9370000}"/>
    <cellStyle name="Normal 67 14 5" xfId="14293" xr:uid="{00000000-0005-0000-0000-0000DA370000}"/>
    <cellStyle name="Normal 67 14 6" xfId="14294" xr:uid="{00000000-0005-0000-0000-0000DB370000}"/>
    <cellStyle name="Normal 67 14 7" xfId="14295" xr:uid="{00000000-0005-0000-0000-0000DC370000}"/>
    <cellStyle name="Normal 67 14 8" xfId="14296" xr:uid="{00000000-0005-0000-0000-0000DD370000}"/>
    <cellStyle name="Normal 67 14 9" xfId="14297" xr:uid="{00000000-0005-0000-0000-0000DE370000}"/>
    <cellStyle name="Normal 67 15" xfId="14298" xr:uid="{00000000-0005-0000-0000-0000DF370000}"/>
    <cellStyle name="Normal 67 16" xfId="14299" xr:uid="{00000000-0005-0000-0000-0000E0370000}"/>
    <cellStyle name="Normal 67 17" xfId="14300" xr:uid="{00000000-0005-0000-0000-0000E1370000}"/>
    <cellStyle name="Normal 67 18" xfId="14301" xr:uid="{00000000-0005-0000-0000-0000E2370000}"/>
    <cellStyle name="Normal 67 19" xfId="14302" xr:uid="{00000000-0005-0000-0000-0000E3370000}"/>
    <cellStyle name="Normal 67 2" xfId="14303" xr:uid="{00000000-0005-0000-0000-0000E4370000}"/>
    <cellStyle name="Normal 67 2 10" xfId="14304" xr:uid="{00000000-0005-0000-0000-0000E5370000}"/>
    <cellStyle name="Normal 67 2 11" xfId="14305" xr:uid="{00000000-0005-0000-0000-0000E6370000}"/>
    <cellStyle name="Normal 67 2 12" xfId="14306" xr:uid="{00000000-0005-0000-0000-0000E7370000}"/>
    <cellStyle name="Normal 67 2 13" xfId="14307" xr:uid="{00000000-0005-0000-0000-0000E8370000}"/>
    <cellStyle name="Normal 67 2 2" xfId="14308" xr:uid="{00000000-0005-0000-0000-0000E9370000}"/>
    <cellStyle name="Normal 67 2 2 10" xfId="14309" xr:uid="{00000000-0005-0000-0000-0000EA370000}"/>
    <cellStyle name="Normal 67 2 2 11" xfId="14310" xr:uid="{00000000-0005-0000-0000-0000EB370000}"/>
    <cellStyle name="Normal 67 2 2 2" xfId="14311" xr:uid="{00000000-0005-0000-0000-0000EC370000}"/>
    <cellStyle name="Normal 67 2 2 3" xfId="14312" xr:uid="{00000000-0005-0000-0000-0000ED370000}"/>
    <cellStyle name="Normal 67 2 2 4" xfId="14313" xr:uid="{00000000-0005-0000-0000-0000EE370000}"/>
    <cellStyle name="Normal 67 2 2 5" xfId="14314" xr:uid="{00000000-0005-0000-0000-0000EF370000}"/>
    <cellStyle name="Normal 67 2 2 6" xfId="14315" xr:uid="{00000000-0005-0000-0000-0000F0370000}"/>
    <cellStyle name="Normal 67 2 2 7" xfId="14316" xr:uid="{00000000-0005-0000-0000-0000F1370000}"/>
    <cellStyle name="Normal 67 2 2 8" xfId="14317" xr:uid="{00000000-0005-0000-0000-0000F2370000}"/>
    <cellStyle name="Normal 67 2 2 9" xfId="14318" xr:uid="{00000000-0005-0000-0000-0000F3370000}"/>
    <cellStyle name="Normal 67 2 3" xfId="14319" xr:uid="{00000000-0005-0000-0000-0000F4370000}"/>
    <cellStyle name="Normal 67 2 4" xfId="14320" xr:uid="{00000000-0005-0000-0000-0000F5370000}"/>
    <cellStyle name="Normal 67 2 5" xfId="14321" xr:uid="{00000000-0005-0000-0000-0000F6370000}"/>
    <cellStyle name="Normal 67 2 6" xfId="14322" xr:uid="{00000000-0005-0000-0000-0000F7370000}"/>
    <cellStyle name="Normal 67 2 7" xfId="14323" xr:uid="{00000000-0005-0000-0000-0000F8370000}"/>
    <cellStyle name="Normal 67 2 8" xfId="14324" xr:uid="{00000000-0005-0000-0000-0000F9370000}"/>
    <cellStyle name="Normal 67 2 9" xfId="14325" xr:uid="{00000000-0005-0000-0000-0000FA370000}"/>
    <cellStyle name="Normal 67 20" xfId="14326" xr:uid="{00000000-0005-0000-0000-0000FB370000}"/>
    <cellStyle name="Normal 67 21" xfId="14327" xr:uid="{00000000-0005-0000-0000-0000FC370000}"/>
    <cellStyle name="Normal 67 22" xfId="14328" xr:uid="{00000000-0005-0000-0000-0000FD370000}"/>
    <cellStyle name="Normal 67 23" xfId="14329" xr:uid="{00000000-0005-0000-0000-0000FE370000}"/>
    <cellStyle name="Normal 67 24" xfId="14330" xr:uid="{00000000-0005-0000-0000-0000FF370000}"/>
    <cellStyle name="Normal 67 25" xfId="14331" xr:uid="{00000000-0005-0000-0000-000000380000}"/>
    <cellStyle name="Normal 67 3" xfId="14332" xr:uid="{00000000-0005-0000-0000-000001380000}"/>
    <cellStyle name="Normal 67 3 10" xfId="14333" xr:uid="{00000000-0005-0000-0000-000002380000}"/>
    <cellStyle name="Normal 67 3 11" xfId="14334" xr:uid="{00000000-0005-0000-0000-000003380000}"/>
    <cellStyle name="Normal 67 3 12" xfId="14335" xr:uid="{00000000-0005-0000-0000-000004380000}"/>
    <cellStyle name="Normal 67 3 13" xfId="14336" xr:uid="{00000000-0005-0000-0000-000005380000}"/>
    <cellStyle name="Normal 67 3 2" xfId="14337" xr:uid="{00000000-0005-0000-0000-000006380000}"/>
    <cellStyle name="Normal 67 3 2 10" xfId="14338" xr:uid="{00000000-0005-0000-0000-000007380000}"/>
    <cellStyle name="Normal 67 3 2 11" xfId="14339" xr:uid="{00000000-0005-0000-0000-000008380000}"/>
    <cellStyle name="Normal 67 3 2 2" xfId="14340" xr:uid="{00000000-0005-0000-0000-000009380000}"/>
    <cellStyle name="Normal 67 3 2 3" xfId="14341" xr:uid="{00000000-0005-0000-0000-00000A380000}"/>
    <cellStyle name="Normal 67 3 2 4" xfId="14342" xr:uid="{00000000-0005-0000-0000-00000B380000}"/>
    <cellStyle name="Normal 67 3 2 5" xfId="14343" xr:uid="{00000000-0005-0000-0000-00000C380000}"/>
    <cellStyle name="Normal 67 3 2 6" xfId="14344" xr:uid="{00000000-0005-0000-0000-00000D380000}"/>
    <cellStyle name="Normal 67 3 2 7" xfId="14345" xr:uid="{00000000-0005-0000-0000-00000E380000}"/>
    <cellStyle name="Normal 67 3 2 8" xfId="14346" xr:uid="{00000000-0005-0000-0000-00000F380000}"/>
    <cellStyle name="Normal 67 3 2 9" xfId="14347" xr:uid="{00000000-0005-0000-0000-000010380000}"/>
    <cellStyle name="Normal 67 3 3" xfId="14348" xr:uid="{00000000-0005-0000-0000-000011380000}"/>
    <cellStyle name="Normal 67 3 4" xfId="14349" xr:uid="{00000000-0005-0000-0000-000012380000}"/>
    <cellStyle name="Normal 67 3 5" xfId="14350" xr:uid="{00000000-0005-0000-0000-000013380000}"/>
    <cellStyle name="Normal 67 3 6" xfId="14351" xr:uid="{00000000-0005-0000-0000-000014380000}"/>
    <cellStyle name="Normal 67 3 7" xfId="14352" xr:uid="{00000000-0005-0000-0000-000015380000}"/>
    <cellStyle name="Normal 67 3 8" xfId="14353" xr:uid="{00000000-0005-0000-0000-000016380000}"/>
    <cellStyle name="Normal 67 3 9" xfId="14354" xr:uid="{00000000-0005-0000-0000-000017380000}"/>
    <cellStyle name="Normal 67 4" xfId="14355" xr:uid="{00000000-0005-0000-0000-000018380000}"/>
    <cellStyle name="Normal 67 4 10" xfId="14356" xr:uid="{00000000-0005-0000-0000-000019380000}"/>
    <cellStyle name="Normal 67 4 11" xfId="14357" xr:uid="{00000000-0005-0000-0000-00001A380000}"/>
    <cellStyle name="Normal 67 4 12" xfId="14358" xr:uid="{00000000-0005-0000-0000-00001B380000}"/>
    <cellStyle name="Normal 67 4 13" xfId="14359" xr:uid="{00000000-0005-0000-0000-00001C380000}"/>
    <cellStyle name="Normal 67 4 2" xfId="14360" xr:uid="{00000000-0005-0000-0000-00001D380000}"/>
    <cellStyle name="Normal 67 4 2 10" xfId="14361" xr:uid="{00000000-0005-0000-0000-00001E380000}"/>
    <cellStyle name="Normal 67 4 2 11" xfId="14362" xr:uid="{00000000-0005-0000-0000-00001F380000}"/>
    <cellStyle name="Normal 67 4 2 2" xfId="14363" xr:uid="{00000000-0005-0000-0000-000020380000}"/>
    <cellStyle name="Normal 67 4 2 3" xfId="14364" xr:uid="{00000000-0005-0000-0000-000021380000}"/>
    <cellStyle name="Normal 67 4 2 4" xfId="14365" xr:uid="{00000000-0005-0000-0000-000022380000}"/>
    <cellStyle name="Normal 67 4 2 5" xfId="14366" xr:uid="{00000000-0005-0000-0000-000023380000}"/>
    <cellStyle name="Normal 67 4 2 6" xfId="14367" xr:uid="{00000000-0005-0000-0000-000024380000}"/>
    <cellStyle name="Normal 67 4 2 7" xfId="14368" xr:uid="{00000000-0005-0000-0000-000025380000}"/>
    <cellStyle name="Normal 67 4 2 8" xfId="14369" xr:uid="{00000000-0005-0000-0000-000026380000}"/>
    <cellStyle name="Normal 67 4 2 9" xfId="14370" xr:uid="{00000000-0005-0000-0000-000027380000}"/>
    <cellStyle name="Normal 67 4 3" xfId="14371" xr:uid="{00000000-0005-0000-0000-000028380000}"/>
    <cellStyle name="Normal 67 4 4" xfId="14372" xr:uid="{00000000-0005-0000-0000-000029380000}"/>
    <cellStyle name="Normal 67 4 5" xfId="14373" xr:uid="{00000000-0005-0000-0000-00002A380000}"/>
    <cellStyle name="Normal 67 4 6" xfId="14374" xr:uid="{00000000-0005-0000-0000-00002B380000}"/>
    <cellStyle name="Normal 67 4 7" xfId="14375" xr:uid="{00000000-0005-0000-0000-00002C380000}"/>
    <cellStyle name="Normal 67 4 8" xfId="14376" xr:uid="{00000000-0005-0000-0000-00002D380000}"/>
    <cellStyle name="Normal 67 4 9" xfId="14377" xr:uid="{00000000-0005-0000-0000-00002E380000}"/>
    <cellStyle name="Normal 67 5" xfId="14378" xr:uid="{00000000-0005-0000-0000-00002F380000}"/>
    <cellStyle name="Normal 67 5 10" xfId="14379" xr:uid="{00000000-0005-0000-0000-000030380000}"/>
    <cellStyle name="Normal 67 5 11" xfId="14380" xr:uid="{00000000-0005-0000-0000-000031380000}"/>
    <cellStyle name="Normal 67 5 12" xfId="14381" xr:uid="{00000000-0005-0000-0000-000032380000}"/>
    <cellStyle name="Normal 67 5 13" xfId="14382" xr:uid="{00000000-0005-0000-0000-000033380000}"/>
    <cellStyle name="Normal 67 5 2" xfId="14383" xr:uid="{00000000-0005-0000-0000-000034380000}"/>
    <cellStyle name="Normal 67 5 2 10" xfId="14384" xr:uid="{00000000-0005-0000-0000-000035380000}"/>
    <cellStyle name="Normal 67 5 2 11" xfId="14385" xr:uid="{00000000-0005-0000-0000-000036380000}"/>
    <cellStyle name="Normal 67 5 2 2" xfId="14386" xr:uid="{00000000-0005-0000-0000-000037380000}"/>
    <cellStyle name="Normal 67 5 2 3" xfId="14387" xr:uid="{00000000-0005-0000-0000-000038380000}"/>
    <cellStyle name="Normal 67 5 2 4" xfId="14388" xr:uid="{00000000-0005-0000-0000-000039380000}"/>
    <cellStyle name="Normal 67 5 2 5" xfId="14389" xr:uid="{00000000-0005-0000-0000-00003A380000}"/>
    <cellStyle name="Normal 67 5 2 6" xfId="14390" xr:uid="{00000000-0005-0000-0000-00003B380000}"/>
    <cellStyle name="Normal 67 5 2 7" xfId="14391" xr:uid="{00000000-0005-0000-0000-00003C380000}"/>
    <cellStyle name="Normal 67 5 2 8" xfId="14392" xr:uid="{00000000-0005-0000-0000-00003D380000}"/>
    <cellStyle name="Normal 67 5 2 9" xfId="14393" xr:uid="{00000000-0005-0000-0000-00003E380000}"/>
    <cellStyle name="Normal 67 5 3" xfId="14394" xr:uid="{00000000-0005-0000-0000-00003F380000}"/>
    <cellStyle name="Normal 67 5 4" xfId="14395" xr:uid="{00000000-0005-0000-0000-000040380000}"/>
    <cellStyle name="Normal 67 5 5" xfId="14396" xr:uid="{00000000-0005-0000-0000-000041380000}"/>
    <cellStyle name="Normal 67 5 6" xfId="14397" xr:uid="{00000000-0005-0000-0000-000042380000}"/>
    <cellStyle name="Normal 67 5 7" xfId="14398" xr:uid="{00000000-0005-0000-0000-000043380000}"/>
    <cellStyle name="Normal 67 5 8" xfId="14399" xr:uid="{00000000-0005-0000-0000-000044380000}"/>
    <cellStyle name="Normal 67 5 9" xfId="14400" xr:uid="{00000000-0005-0000-0000-000045380000}"/>
    <cellStyle name="Normal 67 6" xfId="14401" xr:uid="{00000000-0005-0000-0000-000046380000}"/>
    <cellStyle name="Normal 67 6 10" xfId="14402" xr:uid="{00000000-0005-0000-0000-000047380000}"/>
    <cellStyle name="Normal 67 6 11" xfId="14403" xr:uid="{00000000-0005-0000-0000-000048380000}"/>
    <cellStyle name="Normal 67 6 12" xfId="14404" xr:uid="{00000000-0005-0000-0000-000049380000}"/>
    <cellStyle name="Normal 67 6 13" xfId="14405" xr:uid="{00000000-0005-0000-0000-00004A380000}"/>
    <cellStyle name="Normal 67 6 2" xfId="14406" xr:uid="{00000000-0005-0000-0000-00004B380000}"/>
    <cellStyle name="Normal 67 6 2 10" xfId="14407" xr:uid="{00000000-0005-0000-0000-00004C380000}"/>
    <cellStyle name="Normal 67 6 2 11" xfId="14408" xr:uid="{00000000-0005-0000-0000-00004D380000}"/>
    <cellStyle name="Normal 67 6 2 2" xfId="14409" xr:uid="{00000000-0005-0000-0000-00004E380000}"/>
    <cellStyle name="Normal 67 6 2 3" xfId="14410" xr:uid="{00000000-0005-0000-0000-00004F380000}"/>
    <cellStyle name="Normal 67 6 2 4" xfId="14411" xr:uid="{00000000-0005-0000-0000-000050380000}"/>
    <cellStyle name="Normal 67 6 2 5" xfId="14412" xr:uid="{00000000-0005-0000-0000-000051380000}"/>
    <cellStyle name="Normal 67 6 2 6" xfId="14413" xr:uid="{00000000-0005-0000-0000-000052380000}"/>
    <cellStyle name="Normal 67 6 2 7" xfId="14414" xr:uid="{00000000-0005-0000-0000-000053380000}"/>
    <cellStyle name="Normal 67 6 2 8" xfId="14415" xr:uid="{00000000-0005-0000-0000-000054380000}"/>
    <cellStyle name="Normal 67 6 2 9" xfId="14416" xr:uid="{00000000-0005-0000-0000-000055380000}"/>
    <cellStyle name="Normal 67 6 3" xfId="14417" xr:uid="{00000000-0005-0000-0000-000056380000}"/>
    <cellStyle name="Normal 67 6 4" xfId="14418" xr:uid="{00000000-0005-0000-0000-000057380000}"/>
    <cellStyle name="Normal 67 6 5" xfId="14419" xr:uid="{00000000-0005-0000-0000-000058380000}"/>
    <cellStyle name="Normal 67 6 6" xfId="14420" xr:uid="{00000000-0005-0000-0000-000059380000}"/>
    <cellStyle name="Normal 67 6 7" xfId="14421" xr:uid="{00000000-0005-0000-0000-00005A380000}"/>
    <cellStyle name="Normal 67 6 8" xfId="14422" xr:uid="{00000000-0005-0000-0000-00005B380000}"/>
    <cellStyle name="Normal 67 6 9" xfId="14423" xr:uid="{00000000-0005-0000-0000-00005C380000}"/>
    <cellStyle name="Normal 67 7" xfId="14424" xr:uid="{00000000-0005-0000-0000-00005D380000}"/>
    <cellStyle name="Normal 67 7 10" xfId="14425" xr:uid="{00000000-0005-0000-0000-00005E380000}"/>
    <cellStyle name="Normal 67 7 11" xfId="14426" xr:uid="{00000000-0005-0000-0000-00005F380000}"/>
    <cellStyle name="Normal 67 7 12" xfId="14427" xr:uid="{00000000-0005-0000-0000-000060380000}"/>
    <cellStyle name="Normal 67 7 13" xfId="14428" xr:uid="{00000000-0005-0000-0000-000061380000}"/>
    <cellStyle name="Normal 67 7 2" xfId="14429" xr:uid="{00000000-0005-0000-0000-000062380000}"/>
    <cellStyle name="Normal 67 7 2 10" xfId="14430" xr:uid="{00000000-0005-0000-0000-000063380000}"/>
    <cellStyle name="Normal 67 7 2 11" xfId="14431" xr:uid="{00000000-0005-0000-0000-000064380000}"/>
    <cellStyle name="Normal 67 7 2 2" xfId="14432" xr:uid="{00000000-0005-0000-0000-000065380000}"/>
    <cellStyle name="Normal 67 7 2 3" xfId="14433" xr:uid="{00000000-0005-0000-0000-000066380000}"/>
    <cellStyle name="Normal 67 7 2 4" xfId="14434" xr:uid="{00000000-0005-0000-0000-000067380000}"/>
    <cellStyle name="Normal 67 7 2 5" xfId="14435" xr:uid="{00000000-0005-0000-0000-000068380000}"/>
    <cellStyle name="Normal 67 7 2 6" xfId="14436" xr:uid="{00000000-0005-0000-0000-000069380000}"/>
    <cellStyle name="Normal 67 7 2 7" xfId="14437" xr:uid="{00000000-0005-0000-0000-00006A380000}"/>
    <cellStyle name="Normal 67 7 2 8" xfId="14438" xr:uid="{00000000-0005-0000-0000-00006B380000}"/>
    <cellStyle name="Normal 67 7 2 9" xfId="14439" xr:uid="{00000000-0005-0000-0000-00006C380000}"/>
    <cellStyle name="Normal 67 7 3" xfId="14440" xr:uid="{00000000-0005-0000-0000-00006D380000}"/>
    <cellStyle name="Normal 67 7 4" xfId="14441" xr:uid="{00000000-0005-0000-0000-00006E380000}"/>
    <cellStyle name="Normal 67 7 5" xfId="14442" xr:uid="{00000000-0005-0000-0000-00006F380000}"/>
    <cellStyle name="Normal 67 7 6" xfId="14443" xr:uid="{00000000-0005-0000-0000-000070380000}"/>
    <cellStyle name="Normal 67 7 7" xfId="14444" xr:uid="{00000000-0005-0000-0000-000071380000}"/>
    <cellStyle name="Normal 67 7 8" xfId="14445" xr:uid="{00000000-0005-0000-0000-000072380000}"/>
    <cellStyle name="Normal 67 7 9" xfId="14446" xr:uid="{00000000-0005-0000-0000-000073380000}"/>
    <cellStyle name="Normal 67 8" xfId="14447" xr:uid="{00000000-0005-0000-0000-000074380000}"/>
    <cellStyle name="Normal 67 8 10" xfId="14448" xr:uid="{00000000-0005-0000-0000-000075380000}"/>
    <cellStyle name="Normal 67 8 11" xfId="14449" xr:uid="{00000000-0005-0000-0000-000076380000}"/>
    <cellStyle name="Normal 67 8 12" xfId="14450" xr:uid="{00000000-0005-0000-0000-000077380000}"/>
    <cellStyle name="Normal 67 8 13" xfId="14451" xr:uid="{00000000-0005-0000-0000-000078380000}"/>
    <cellStyle name="Normal 67 8 2" xfId="14452" xr:uid="{00000000-0005-0000-0000-000079380000}"/>
    <cellStyle name="Normal 67 8 2 10" xfId="14453" xr:uid="{00000000-0005-0000-0000-00007A380000}"/>
    <cellStyle name="Normal 67 8 2 11" xfId="14454" xr:uid="{00000000-0005-0000-0000-00007B380000}"/>
    <cellStyle name="Normal 67 8 2 2" xfId="14455" xr:uid="{00000000-0005-0000-0000-00007C380000}"/>
    <cellStyle name="Normal 67 8 2 3" xfId="14456" xr:uid="{00000000-0005-0000-0000-00007D380000}"/>
    <cellStyle name="Normal 67 8 2 4" xfId="14457" xr:uid="{00000000-0005-0000-0000-00007E380000}"/>
    <cellStyle name="Normal 67 8 2 5" xfId="14458" xr:uid="{00000000-0005-0000-0000-00007F380000}"/>
    <cellStyle name="Normal 67 8 2 6" xfId="14459" xr:uid="{00000000-0005-0000-0000-000080380000}"/>
    <cellStyle name="Normal 67 8 2 7" xfId="14460" xr:uid="{00000000-0005-0000-0000-000081380000}"/>
    <cellStyle name="Normal 67 8 2 8" xfId="14461" xr:uid="{00000000-0005-0000-0000-000082380000}"/>
    <cellStyle name="Normal 67 8 2 9" xfId="14462" xr:uid="{00000000-0005-0000-0000-000083380000}"/>
    <cellStyle name="Normal 67 8 3" xfId="14463" xr:uid="{00000000-0005-0000-0000-000084380000}"/>
    <cellStyle name="Normal 67 8 4" xfId="14464" xr:uid="{00000000-0005-0000-0000-000085380000}"/>
    <cellStyle name="Normal 67 8 5" xfId="14465" xr:uid="{00000000-0005-0000-0000-000086380000}"/>
    <cellStyle name="Normal 67 8 6" xfId="14466" xr:uid="{00000000-0005-0000-0000-000087380000}"/>
    <cellStyle name="Normal 67 8 7" xfId="14467" xr:uid="{00000000-0005-0000-0000-000088380000}"/>
    <cellStyle name="Normal 67 8 8" xfId="14468" xr:uid="{00000000-0005-0000-0000-000089380000}"/>
    <cellStyle name="Normal 67 8 9" xfId="14469" xr:uid="{00000000-0005-0000-0000-00008A380000}"/>
    <cellStyle name="Normal 67 9" xfId="14470" xr:uid="{00000000-0005-0000-0000-00008B380000}"/>
    <cellStyle name="Normal 67 9 10" xfId="14471" xr:uid="{00000000-0005-0000-0000-00008C380000}"/>
    <cellStyle name="Normal 67 9 11" xfId="14472" xr:uid="{00000000-0005-0000-0000-00008D380000}"/>
    <cellStyle name="Normal 67 9 12" xfId="14473" xr:uid="{00000000-0005-0000-0000-00008E380000}"/>
    <cellStyle name="Normal 67 9 13" xfId="14474" xr:uid="{00000000-0005-0000-0000-00008F380000}"/>
    <cellStyle name="Normal 67 9 2" xfId="14475" xr:uid="{00000000-0005-0000-0000-000090380000}"/>
    <cellStyle name="Normal 67 9 2 10" xfId="14476" xr:uid="{00000000-0005-0000-0000-000091380000}"/>
    <cellStyle name="Normal 67 9 2 11" xfId="14477" xr:uid="{00000000-0005-0000-0000-000092380000}"/>
    <cellStyle name="Normal 67 9 2 2" xfId="14478" xr:uid="{00000000-0005-0000-0000-000093380000}"/>
    <cellStyle name="Normal 67 9 2 3" xfId="14479" xr:uid="{00000000-0005-0000-0000-000094380000}"/>
    <cellStyle name="Normal 67 9 2 4" xfId="14480" xr:uid="{00000000-0005-0000-0000-000095380000}"/>
    <cellStyle name="Normal 67 9 2 5" xfId="14481" xr:uid="{00000000-0005-0000-0000-000096380000}"/>
    <cellStyle name="Normal 67 9 2 6" xfId="14482" xr:uid="{00000000-0005-0000-0000-000097380000}"/>
    <cellStyle name="Normal 67 9 2 7" xfId="14483" xr:uid="{00000000-0005-0000-0000-000098380000}"/>
    <cellStyle name="Normal 67 9 2 8" xfId="14484" xr:uid="{00000000-0005-0000-0000-000099380000}"/>
    <cellStyle name="Normal 67 9 2 9" xfId="14485" xr:uid="{00000000-0005-0000-0000-00009A380000}"/>
    <cellStyle name="Normal 67 9 3" xfId="14486" xr:uid="{00000000-0005-0000-0000-00009B380000}"/>
    <cellStyle name="Normal 67 9 4" xfId="14487" xr:uid="{00000000-0005-0000-0000-00009C380000}"/>
    <cellStyle name="Normal 67 9 5" xfId="14488" xr:uid="{00000000-0005-0000-0000-00009D380000}"/>
    <cellStyle name="Normal 67 9 6" xfId="14489" xr:uid="{00000000-0005-0000-0000-00009E380000}"/>
    <cellStyle name="Normal 67 9 7" xfId="14490" xr:uid="{00000000-0005-0000-0000-00009F380000}"/>
    <cellStyle name="Normal 67 9 8" xfId="14491" xr:uid="{00000000-0005-0000-0000-0000A0380000}"/>
    <cellStyle name="Normal 67 9 9" xfId="14492" xr:uid="{00000000-0005-0000-0000-0000A1380000}"/>
    <cellStyle name="Normal 68" xfId="14493" xr:uid="{00000000-0005-0000-0000-0000A2380000}"/>
    <cellStyle name="Normal 68 10" xfId="14494" xr:uid="{00000000-0005-0000-0000-0000A3380000}"/>
    <cellStyle name="Normal 68 10 10" xfId="14495" xr:uid="{00000000-0005-0000-0000-0000A4380000}"/>
    <cellStyle name="Normal 68 10 11" xfId="14496" xr:uid="{00000000-0005-0000-0000-0000A5380000}"/>
    <cellStyle name="Normal 68 10 12" xfId="14497" xr:uid="{00000000-0005-0000-0000-0000A6380000}"/>
    <cellStyle name="Normal 68 10 13" xfId="14498" xr:uid="{00000000-0005-0000-0000-0000A7380000}"/>
    <cellStyle name="Normal 68 10 2" xfId="14499" xr:uid="{00000000-0005-0000-0000-0000A8380000}"/>
    <cellStyle name="Normal 68 10 2 10" xfId="14500" xr:uid="{00000000-0005-0000-0000-0000A9380000}"/>
    <cellStyle name="Normal 68 10 2 11" xfId="14501" xr:uid="{00000000-0005-0000-0000-0000AA380000}"/>
    <cellStyle name="Normal 68 10 2 2" xfId="14502" xr:uid="{00000000-0005-0000-0000-0000AB380000}"/>
    <cellStyle name="Normal 68 10 2 3" xfId="14503" xr:uid="{00000000-0005-0000-0000-0000AC380000}"/>
    <cellStyle name="Normal 68 10 2 4" xfId="14504" xr:uid="{00000000-0005-0000-0000-0000AD380000}"/>
    <cellStyle name="Normal 68 10 2 5" xfId="14505" xr:uid="{00000000-0005-0000-0000-0000AE380000}"/>
    <cellStyle name="Normal 68 10 2 6" xfId="14506" xr:uid="{00000000-0005-0000-0000-0000AF380000}"/>
    <cellStyle name="Normal 68 10 2 7" xfId="14507" xr:uid="{00000000-0005-0000-0000-0000B0380000}"/>
    <cellStyle name="Normal 68 10 2 8" xfId="14508" xr:uid="{00000000-0005-0000-0000-0000B1380000}"/>
    <cellStyle name="Normal 68 10 2 9" xfId="14509" xr:uid="{00000000-0005-0000-0000-0000B2380000}"/>
    <cellStyle name="Normal 68 10 3" xfId="14510" xr:uid="{00000000-0005-0000-0000-0000B3380000}"/>
    <cellStyle name="Normal 68 10 4" xfId="14511" xr:uid="{00000000-0005-0000-0000-0000B4380000}"/>
    <cellStyle name="Normal 68 10 5" xfId="14512" xr:uid="{00000000-0005-0000-0000-0000B5380000}"/>
    <cellStyle name="Normal 68 10 6" xfId="14513" xr:uid="{00000000-0005-0000-0000-0000B6380000}"/>
    <cellStyle name="Normal 68 10 7" xfId="14514" xr:uid="{00000000-0005-0000-0000-0000B7380000}"/>
    <cellStyle name="Normal 68 10 8" xfId="14515" xr:uid="{00000000-0005-0000-0000-0000B8380000}"/>
    <cellStyle name="Normal 68 10 9" xfId="14516" xr:uid="{00000000-0005-0000-0000-0000B9380000}"/>
    <cellStyle name="Normal 68 11" xfId="14517" xr:uid="{00000000-0005-0000-0000-0000BA380000}"/>
    <cellStyle name="Normal 68 11 10" xfId="14518" xr:uid="{00000000-0005-0000-0000-0000BB380000}"/>
    <cellStyle name="Normal 68 11 11" xfId="14519" xr:uid="{00000000-0005-0000-0000-0000BC380000}"/>
    <cellStyle name="Normal 68 11 12" xfId="14520" xr:uid="{00000000-0005-0000-0000-0000BD380000}"/>
    <cellStyle name="Normal 68 11 13" xfId="14521" xr:uid="{00000000-0005-0000-0000-0000BE380000}"/>
    <cellStyle name="Normal 68 11 2" xfId="14522" xr:uid="{00000000-0005-0000-0000-0000BF380000}"/>
    <cellStyle name="Normal 68 11 2 10" xfId="14523" xr:uid="{00000000-0005-0000-0000-0000C0380000}"/>
    <cellStyle name="Normal 68 11 2 11" xfId="14524" xr:uid="{00000000-0005-0000-0000-0000C1380000}"/>
    <cellStyle name="Normal 68 11 2 2" xfId="14525" xr:uid="{00000000-0005-0000-0000-0000C2380000}"/>
    <cellStyle name="Normal 68 11 2 3" xfId="14526" xr:uid="{00000000-0005-0000-0000-0000C3380000}"/>
    <cellStyle name="Normal 68 11 2 4" xfId="14527" xr:uid="{00000000-0005-0000-0000-0000C4380000}"/>
    <cellStyle name="Normal 68 11 2 5" xfId="14528" xr:uid="{00000000-0005-0000-0000-0000C5380000}"/>
    <cellStyle name="Normal 68 11 2 6" xfId="14529" xr:uid="{00000000-0005-0000-0000-0000C6380000}"/>
    <cellStyle name="Normal 68 11 2 7" xfId="14530" xr:uid="{00000000-0005-0000-0000-0000C7380000}"/>
    <cellStyle name="Normal 68 11 2 8" xfId="14531" xr:uid="{00000000-0005-0000-0000-0000C8380000}"/>
    <cellStyle name="Normal 68 11 2 9" xfId="14532" xr:uid="{00000000-0005-0000-0000-0000C9380000}"/>
    <cellStyle name="Normal 68 11 3" xfId="14533" xr:uid="{00000000-0005-0000-0000-0000CA380000}"/>
    <cellStyle name="Normal 68 11 4" xfId="14534" xr:uid="{00000000-0005-0000-0000-0000CB380000}"/>
    <cellStyle name="Normal 68 11 5" xfId="14535" xr:uid="{00000000-0005-0000-0000-0000CC380000}"/>
    <cellStyle name="Normal 68 11 6" xfId="14536" xr:uid="{00000000-0005-0000-0000-0000CD380000}"/>
    <cellStyle name="Normal 68 11 7" xfId="14537" xr:uid="{00000000-0005-0000-0000-0000CE380000}"/>
    <cellStyle name="Normal 68 11 8" xfId="14538" xr:uid="{00000000-0005-0000-0000-0000CF380000}"/>
    <cellStyle name="Normal 68 11 9" xfId="14539" xr:uid="{00000000-0005-0000-0000-0000D0380000}"/>
    <cellStyle name="Normal 68 12" xfId="14540" xr:uid="{00000000-0005-0000-0000-0000D1380000}"/>
    <cellStyle name="Normal 68 12 10" xfId="14541" xr:uid="{00000000-0005-0000-0000-0000D2380000}"/>
    <cellStyle name="Normal 68 12 11" xfId="14542" xr:uid="{00000000-0005-0000-0000-0000D3380000}"/>
    <cellStyle name="Normal 68 12 12" xfId="14543" xr:uid="{00000000-0005-0000-0000-0000D4380000}"/>
    <cellStyle name="Normal 68 12 13" xfId="14544" xr:uid="{00000000-0005-0000-0000-0000D5380000}"/>
    <cellStyle name="Normal 68 12 2" xfId="14545" xr:uid="{00000000-0005-0000-0000-0000D6380000}"/>
    <cellStyle name="Normal 68 12 2 10" xfId="14546" xr:uid="{00000000-0005-0000-0000-0000D7380000}"/>
    <cellStyle name="Normal 68 12 2 11" xfId="14547" xr:uid="{00000000-0005-0000-0000-0000D8380000}"/>
    <cellStyle name="Normal 68 12 2 2" xfId="14548" xr:uid="{00000000-0005-0000-0000-0000D9380000}"/>
    <cellStyle name="Normal 68 12 2 3" xfId="14549" xr:uid="{00000000-0005-0000-0000-0000DA380000}"/>
    <cellStyle name="Normal 68 12 2 4" xfId="14550" xr:uid="{00000000-0005-0000-0000-0000DB380000}"/>
    <cellStyle name="Normal 68 12 2 5" xfId="14551" xr:uid="{00000000-0005-0000-0000-0000DC380000}"/>
    <cellStyle name="Normal 68 12 2 6" xfId="14552" xr:uid="{00000000-0005-0000-0000-0000DD380000}"/>
    <cellStyle name="Normal 68 12 2 7" xfId="14553" xr:uid="{00000000-0005-0000-0000-0000DE380000}"/>
    <cellStyle name="Normal 68 12 2 8" xfId="14554" xr:uid="{00000000-0005-0000-0000-0000DF380000}"/>
    <cellStyle name="Normal 68 12 2 9" xfId="14555" xr:uid="{00000000-0005-0000-0000-0000E0380000}"/>
    <cellStyle name="Normal 68 12 3" xfId="14556" xr:uid="{00000000-0005-0000-0000-0000E1380000}"/>
    <cellStyle name="Normal 68 12 4" xfId="14557" xr:uid="{00000000-0005-0000-0000-0000E2380000}"/>
    <cellStyle name="Normal 68 12 5" xfId="14558" xr:uid="{00000000-0005-0000-0000-0000E3380000}"/>
    <cellStyle name="Normal 68 12 6" xfId="14559" xr:uid="{00000000-0005-0000-0000-0000E4380000}"/>
    <cellStyle name="Normal 68 12 7" xfId="14560" xr:uid="{00000000-0005-0000-0000-0000E5380000}"/>
    <cellStyle name="Normal 68 12 8" xfId="14561" xr:uid="{00000000-0005-0000-0000-0000E6380000}"/>
    <cellStyle name="Normal 68 12 9" xfId="14562" xr:uid="{00000000-0005-0000-0000-0000E7380000}"/>
    <cellStyle name="Normal 68 13" xfId="14563" xr:uid="{00000000-0005-0000-0000-0000E8380000}"/>
    <cellStyle name="Normal 68 13 10" xfId="14564" xr:uid="{00000000-0005-0000-0000-0000E9380000}"/>
    <cellStyle name="Normal 68 13 11" xfId="14565" xr:uid="{00000000-0005-0000-0000-0000EA380000}"/>
    <cellStyle name="Normal 68 13 12" xfId="14566" xr:uid="{00000000-0005-0000-0000-0000EB380000}"/>
    <cellStyle name="Normal 68 13 13" xfId="14567" xr:uid="{00000000-0005-0000-0000-0000EC380000}"/>
    <cellStyle name="Normal 68 13 2" xfId="14568" xr:uid="{00000000-0005-0000-0000-0000ED380000}"/>
    <cellStyle name="Normal 68 13 2 10" xfId="14569" xr:uid="{00000000-0005-0000-0000-0000EE380000}"/>
    <cellStyle name="Normal 68 13 2 11" xfId="14570" xr:uid="{00000000-0005-0000-0000-0000EF380000}"/>
    <cellStyle name="Normal 68 13 2 2" xfId="14571" xr:uid="{00000000-0005-0000-0000-0000F0380000}"/>
    <cellStyle name="Normal 68 13 2 3" xfId="14572" xr:uid="{00000000-0005-0000-0000-0000F1380000}"/>
    <cellStyle name="Normal 68 13 2 4" xfId="14573" xr:uid="{00000000-0005-0000-0000-0000F2380000}"/>
    <cellStyle name="Normal 68 13 2 5" xfId="14574" xr:uid="{00000000-0005-0000-0000-0000F3380000}"/>
    <cellStyle name="Normal 68 13 2 6" xfId="14575" xr:uid="{00000000-0005-0000-0000-0000F4380000}"/>
    <cellStyle name="Normal 68 13 2 7" xfId="14576" xr:uid="{00000000-0005-0000-0000-0000F5380000}"/>
    <cellStyle name="Normal 68 13 2 8" xfId="14577" xr:uid="{00000000-0005-0000-0000-0000F6380000}"/>
    <cellStyle name="Normal 68 13 2 9" xfId="14578" xr:uid="{00000000-0005-0000-0000-0000F7380000}"/>
    <cellStyle name="Normal 68 13 3" xfId="14579" xr:uid="{00000000-0005-0000-0000-0000F8380000}"/>
    <cellStyle name="Normal 68 13 4" xfId="14580" xr:uid="{00000000-0005-0000-0000-0000F9380000}"/>
    <cellStyle name="Normal 68 13 5" xfId="14581" xr:uid="{00000000-0005-0000-0000-0000FA380000}"/>
    <cellStyle name="Normal 68 13 6" xfId="14582" xr:uid="{00000000-0005-0000-0000-0000FB380000}"/>
    <cellStyle name="Normal 68 13 7" xfId="14583" xr:uid="{00000000-0005-0000-0000-0000FC380000}"/>
    <cellStyle name="Normal 68 13 8" xfId="14584" xr:uid="{00000000-0005-0000-0000-0000FD380000}"/>
    <cellStyle name="Normal 68 13 9" xfId="14585" xr:uid="{00000000-0005-0000-0000-0000FE380000}"/>
    <cellStyle name="Normal 68 14" xfId="14586" xr:uid="{00000000-0005-0000-0000-0000FF380000}"/>
    <cellStyle name="Normal 68 14 10" xfId="14587" xr:uid="{00000000-0005-0000-0000-000000390000}"/>
    <cellStyle name="Normal 68 14 11" xfId="14588" xr:uid="{00000000-0005-0000-0000-000001390000}"/>
    <cellStyle name="Normal 68 14 2" xfId="14589" xr:uid="{00000000-0005-0000-0000-000002390000}"/>
    <cellStyle name="Normal 68 14 3" xfId="14590" xr:uid="{00000000-0005-0000-0000-000003390000}"/>
    <cellStyle name="Normal 68 14 4" xfId="14591" xr:uid="{00000000-0005-0000-0000-000004390000}"/>
    <cellStyle name="Normal 68 14 5" xfId="14592" xr:uid="{00000000-0005-0000-0000-000005390000}"/>
    <cellStyle name="Normal 68 14 6" xfId="14593" xr:uid="{00000000-0005-0000-0000-000006390000}"/>
    <cellStyle name="Normal 68 14 7" xfId="14594" xr:uid="{00000000-0005-0000-0000-000007390000}"/>
    <cellStyle name="Normal 68 14 8" xfId="14595" xr:uid="{00000000-0005-0000-0000-000008390000}"/>
    <cellStyle name="Normal 68 14 9" xfId="14596" xr:uid="{00000000-0005-0000-0000-000009390000}"/>
    <cellStyle name="Normal 68 15" xfId="14597" xr:uid="{00000000-0005-0000-0000-00000A390000}"/>
    <cellStyle name="Normal 68 16" xfId="14598" xr:uid="{00000000-0005-0000-0000-00000B390000}"/>
    <cellStyle name="Normal 68 17" xfId="14599" xr:uid="{00000000-0005-0000-0000-00000C390000}"/>
    <cellStyle name="Normal 68 18" xfId="14600" xr:uid="{00000000-0005-0000-0000-00000D390000}"/>
    <cellStyle name="Normal 68 19" xfId="14601" xr:uid="{00000000-0005-0000-0000-00000E390000}"/>
    <cellStyle name="Normal 68 2" xfId="14602" xr:uid="{00000000-0005-0000-0000-00000F390000}"/>
    <cellStyle name="Normal 68 2 10" xfId="14603" xr:uid="{00000000-0005-0000-0000-000010390000}"/>
    <cellStyle name="Normal 68 2 11" xfId="14604" xr:uid="{00000000-0005-0000-0000-000011390000}"/>
    <cellStyle name="Normal 68 2 12" xfId="14605" xr:uid="{00000000-0005-0000-0000-000012390000}"/>
    <cellStyle name="Normal 68 2 13" xfId="14606" xr:uid="{00000000-0005-0000-0000-000013390000}"/>
    <cellStyle name="Normal 68 2 2" xfId="14607" xr:uid="{00000000-0005-0000-0000-000014390000}"/>
    <cellStyle name="Normal 68 2 2 10" xfId="14608" xr:uid="{00000000-0005-0000-0000-000015390000}"/>
    <cellStyle name="Normal 68 2 2 11" xfId="14609" xr:uid="{00000000-0005-0000-0000-000016390000}"/>
    <cellStyle name="Normal 68 2 2 2" xfId="14610" xr:uid="{00000000-0005-0000-0000-000017390000}"/>
    <cellStyle name="Normal 68 2 2 3" xfId="14611" xr:uid="{00000000-0005-0000-0000-000018390000}"/>
    <cellStyle name="Normal 68 2 2 4" xfId="14612" xr:uid="{00000000-0005-0000-0000-000019390000}"/>
    <cellStyle name="Normal 68 2 2 5" xfId="14613" xr:uid="{00000000-0005-0000-0000-00001A390000}"/>
    <cellStyle name="Normal 68 2 2 6" xfId="14614" xr:uid="{00000000-0005-0000-0000-00001B390000}"/>
    <cellStyle name="Normal 68 2 2 7" xfId="14615" xr:uid="{00000000-0005-0000-0000-00001C390000}"/>
    <cellStyle name="Normal 68 2 2 8" xfId="14616" xr:uid="{00000000-0005-0000-0000-00001D390000}"/>
    <cellStyle name="Normal 68 2 2 9" xfId="14617" xr:uid="{00000000-0005-0000-0000-00001E390000}"/>
    <cellStyle name="Normal 68 2 3" xfId="14618" xr:uid="{00000000-0005-0000-0000-00001F390000}"/>
    <cellStyle name="Normal 68 2 4" xfId="14619" xr:uid="{00000000-0005-0000-0000-000020390000}"/>
    <cellStyle name="Normal 68 2 5" xfId="14620" xr:uid="{00000000-0005-0000-0000-000021390000}"/>
    <cellStyle name="Normal 68 2 6" xfId="14621" xr:uid="{00000000-0005-0000-0000-000022390000}"/>
    <cellStyle name="Normal 68 2 7" xfId="14622" xr:uid="{00000000-0005-0000-0000-000023390000}"/>
    <cellStyle name="Normal 68 2 8" xfId="14623" xr:uid="{00000000-0005-0000-0000-000024390000}"/>
    <cellStyle name="Normal 68 2 9" xfId="14624" xr:uid="{00000000-0005-0000-0000-000025390000}"/>
    <cellStyle name="Normal 68 20" xfId="14625" xr:uid="{00000000-0005-0000-0000-000026390000}"/>
    <cellStyle name="Normal 68 21" xfId="14626" xr:uid="{00000000-0005-0000-0000-000027390000}"/>
    <cellStyle name="Normal 68 22" xfId="14627" xr:uid="{00000000-0005-0000-0000-000028390000}"/>
    <cellStyle name="Normal 68 23" xfId="14628" xr:uid="{00000000-0005-0000-0000-000029390000}"/>
    <cellStyle name="Normal 68 24" xfId="14629" xr:uid="{00000000-0005-0000-0000-00002A390000}"/>
    <cellStyle name="Normal 68 25" xfId="14630" xr:uid="{00000000-0005-0000-0000-00002B390000}"/>
    <cellStyle name="Normal 68 3" xfId="14631" xr:uid="{00000000-0005-0000-0000-00002C390000}"/>
    <cellStyle name="Normal 68 3 10" xfId="14632" xr:uid="{00000000-0005-0000-0000-00002D390000}"/>
    <cellStyle name="Normal 68 3 11" xfId="14633" xr:uid="{00000000-0005-0000-0000-00002E390000}"/>
    <cellStyle name="Normal 68 3 12" xfId="14634" xr:uid="{00000000-0005-0000-0000-00002F390000}"/>
    <cellStyle name="Normal 68 3 13" xfId="14635" xr:uid="{00000000-0005-0000-0000-000030390000}"/>
    <cellStyle name="Normal 68 3 2" xfId="14636" xr:uid="{00000000-0005-0000-0000-000031390000}"/>
    <cellStyle name="Normal 68 3 2 10" xfId="14637" xr:uid="{00000000-0005-0000-0000-000032390000}"/>
    <cellStyle name="Normal 68 3 2 11" xfId="14638" xr:uid="{00000000-0005-0000-0000-000033390000}"/>
    <cellStyle name="Normal 68 3 2 2" xfId="14639" xr:uid="{00000000-0005-0000-0000-000034390000}"/>
    <cellStyle name="Normal 68 3 2 3" xfId="14640" xr:uid="{00000000-0005-0000-0000-000035390000}"/>
    <cellStyle name="Normal 68 3 2 4" xfId="14641" xr:uid="{00000000-0005-0000-0000-000036390000}"/>
    <cellStyle name="Normal 68 3 2 5" xfId="14642" xr:uid="{00000000-0005-0000-0000-000037390000}"/>
    <cellStyle name="Normal 68 3 2 6" xfId="14643" xr:uid="{00000000-0005-0000-0000-000038390000}"/>
    <cellStyle name="Normal 68 3 2 7" xfId="14644" xr:uid="{00000000-0005-0000-0000-000039390000}"/>
    <cellStyle name="Normal 68 3 2 8" xfId="14645" xr:uid="{00000000-0005-0000-0000-00003A390000}"/>
    <cellStyle name="Normal 68 3 2 9" xfId="14646" xr:uid="{00000000-0005-0000-0000-00003B390000}"/>
    <cellStyle name="Normal 68 3 3" xfId="14647" xr:uid="{00000000-0005-0000-0000-00003C390000}"/>
    <cellStyle name="Normal 68 3 4" xfId="14648" xr:uid="{00000000-0005-0000-0000-00003D390000}"/>
    <cellStyle name="Normal 68 3 5" xfId="14649" xr:uid="{00000000-0005-0000-0000-00003E390000}"/>
    <cellStyle name="Normal 68 3 6" xfId="14650" xr:uid="{00000000-0005-0000-0000-00003F390000}"/>
    <cellStyle name="Normal 68 3 7" xfId="14651" xr:uid="{00000000-0005-0000-0000-000040390000}"/>
    <cellStyle name="Normal 68 3 8" xfId="14652" xr:uid="{00000000-0005-0000-0000-000041390000}"/>
    <cellStyle name="Normal 68 3 9" xfId="14653" xr:uid="{00000000-0005-0000-0000-000042390000}"/>
    <cellStyle name="Normal 68 4" xfId="14654" xr:uid="{00000000-0005-0000-0000-000043390000}"/>
    <cellStyle name="Normal 68 4 10" xfId="14655" xr:uid="{00000000-0005-0000-0000-000044390000}"/>
    <cellStyle name="Normal 68 4 11" xfId="14656" xr:uid="{00000000-0005-0000-0000-000045390000}"/>
    <cellStyle name="Normal 68 4 12" xfId="14657" xr:uid="{00000000-0005-0000-0000-000046390000}"/>
    <cellStyle name="Normal 68 4 13" xfId="14658" xr:uid="{00000000-0005-0000-0000-000047390000}"/>
    <cellStyle name="Normal 68 4 2" xfId="14659" xr:uid="{00000000-0005-0000-0000-000048390000}"/>
    <cellStyle name="Normal 68 4 2 10" xfId="14660" xr:uid="{00000000-0005-0000-0000-000049390000}"/>
    <cellStyle name="Normal 68 4 2 11" xfId="14661" xr:uid="{00000000-0005-0000-0000-00004A390000}"/>
    <cellStyle name="Normal 68 4 2 2" xfId="14662" xr:uid="{00000000-0005-0000-0000-00004B390000}"/>
    <cellStyle name="Normal 68 4 2 3" xfId="14663" xr:uid="{00000000-0005-0000-0000-00004C390000}"/>
    <cellStyle name="Normal 68 4 2 4" xfId="14664" xr:uid="{00000000-0005-0000-0000-00004D390000}"/>
    <cellStyle name="Normal 68 4 2 5" xfId="14665" xr:uid="{00000000-0005-0000-0000-00004E390000}"/>
    <cellStyle name="Normal 68 4 2 6" xfId="14666" xr:uid="{00000000-0005-0000-0000-00004F390000}"/>
    <cellStyle name="Normal 68 4 2 7" xfId="14667" xr:uid="{00000000-0005-0000-0000-000050390000}"/>
    <cellStyle name="Normal 68 4 2 8" xfId="14668" xr:uid="{00000000-0005-0000-0000-000051390000}"/>
    <cellStyle name="Normal 68 4 2 9" xfId="14669" xr:uid="{00000000-0005-0000-0000-000052390000}"/>
    <cellStyle name="Normal 68 4 3" xfId="14670" xr:uid="{00000000-0005-0000-0000-000053390000}"/>
    <cellStyle name="Normal 68 4 4" xfId="14671" xr:uid="{00000000-0005-0000-0000-000054390000}"/>
    <cellStyle name="Normal 68 4 5" xfId="14672" xr:uid="{00000000-0005-0000-0000-000055390000}"/>
    <cellStyle name="Normal 68 4 6" xfId="14673" xr:uid="{00000000-0005-0000-0000-000056390000}"/>
    <cellStyle name="Normal 68 4 7" xfId="14674" xr:uid="{00000000-0005-0000-0000-000057390000}"/>
    <cellStyle name="Normal 68 4 8" xfId="14675" xr:uid="{00000000-0005-0000-0000-000058390000}"/>
    <cellStyle name="Normal 68 4 9" xfId="14676" xr:uid="{00000000-0005-0000-0000-000059390000}"/>
    <cellStyle name="Normal 68 5" xfId="14677" xr:uid="{00000000-0005-0000-0000-00005A390000}"/>
    <cellStyle name="Normal 68 5 10" xfId="14678" xr:uid="{00000000-0005-0000-0000-00005B390000}"/>
    <cellStyle name="Normal 68 5 11" xfId="14679" xr:uid="{00000000-0005-0000-0000-00005C390000}"/>
    <cellStyle name="Normal 68 5 12" xfId="14680" xr:uid="{00000000-0005-0000-0000-00005D390000}"/>
    <cellStyle name="Normal 68 5 13" xfId="14681" xr:uid="{00000000-0005-0000-0000-00005E390000}"/>
    <cellStyle name="Normal 68 5 2" xfId="14682" xr:uid="{00000000-0005-0000-0000-00005F390000}"/>
    <cellStyle name="Normal 68 5 2 10" xfId="14683" xr:uid="{00000000-0005-0000-0000-000060390000}"/>
    <cellStyle name="Normal 68 5 2 11" xfId="14684" xr:uid="{00000000-0005-0000-0000-000061390000}"/>
    <cellStyle name="Normal 68 5 2 2" xfId="14685" xr:uid="{00000000-0005-0000-0000-000062390000}"/>
    <cellStyle name="Normal 68 5 2 3" xfId="14686" xr:uid="{00000000-0005-0000-0000-000063390000}"/>
    <cellStyle name="Normal 68 5 2 4" xfId="14687" xr:uid="{00000000-0005-0000-0000-000064390000}"/>
    <cellStyle name="Normal 68 5 2 5" xfId="14688" xr:uid="{00000000-0005-0000-0000-000065390000}"/>
    <cellStyle name="Normal 68 5 2 6" xfId="14689" xr:uid="{00000000-0005-0000-0000-000066390000}"/>
    <cellStyle name="Normal 68 5 2 7" xfId="14690" xr:uid="{00000000-0005-0000-0000-000067390000}"/>
    <cellStyle name="Normal 68 5 2 8" xfId="14691" xr:uid="{00000000-0005-0000-0000-000068390000}"/>
    <cellStyle name="Normal 68 5 2 9" xfId="14692" xr:uid="{00000000-0005-0000-0000-000069390000}"/>
    <cellStyle name="Normal 68 5 3" xfId="14693" xr:uid="{00000000-0005-0000-0000-00006A390000}"/>
    <cellStyle name="Normal 68 5 4" xfId="14694" xr:uid="{00000000-0005-0000-0000-00006B390000}"/>
    <cellStyle name="Normal 68 5 5" xfId="14695" xr:uid="{00000000-0005-0000-0000-00006C390000}"/>
    <cellStyle name="Normal 68 5 6" xfId="14696" xr:uid="{00000000-0005-0000-0000-00006D390000}"/>
    <cellStyle name="Normal 68 5 7" xfId="14697" xr:uid="{00000000-0005-0000-0000-00006E390000}"/>
    <cellStyle name="Normal 68 5 8" xfId="14698" xr:uid="{00000000-0005-0000-0000-00006F390000}"/>
    <cellStyle name="Normal 68 5 9" xfId="14699" xr:uid="{00000000-0005-0000-0000-000070390000}"/>
    <cellStyle name="Normal 68 6" xfId="14700" xr:uid="{00000000-0005-0000-0000-000071390000}"/>
    <cellStyle name="Normal 68 6 10" xfId="14701" xr:uid="{00000000-0005-0000-0000-000072390000}"/>
    <cellStyle name="Normal 68 6 11" xfId="14702" xr:uid="{00000000-0005-0000-0000-000073390000}"/>
    <cellStyle name="Normal 68 6 12" xfId="14703" xr:uid="{00000000-0005-0000-0000-000074390000}"/>
    <cellStyle name="Normal 68 6 13" xfId="14704" xr:uid="{00000000-0005-0000-0000-000075390000}"/>
    <cellStyle name="Normal 68 6 2" xfId="14705" xr:uid="{00000000-0005-0000-0000-000076390000}"/>
    <cellStyle name="Normal 68 6 2 10" xfId="14706" xr:uid="{00000000-0005-0000-0000-000077390000}"/>
    <cellStyle name="Normal 68 6 2 11" xfId="14707" xr:uid="{00000000-0005-0000-0000-000078390000}"/>
    <cellStyle name="Normal 68 6 2 2" xfId="14708" xr:uid="{00000000-0005-0000-0000-000079390000}"/>
    <cellStyle name="Normal 68 6 2 3" xfId="14709" xr:uid="{00000000-0005-0000-0000-00007A390000}"/>
    <cellStyle name="Normal 68 6 2 4" xfId="14710" xr:uid="{00000000-0005-0000-0000-00007B390000}"/>
    <cellStyle name="Normal 68 6 2 5" xfId="14711" xr:uid="{00000000-0005-0000-0000-00007C390000}"/>
    <cellStyle name="Normal 68 6 2 6" xfId="14712" xr:uid="{00000000-0005-0000-0000-00007D390000}"/>
    <cellStyle name="Normal 68 6 2 7" xfId="14713" xr:uid="{00000000-0005-0000-0000-00007E390000}"/>
    <cellStyle name="Normal 68 6 2 8" xfId="14714" xr:uid="{00000000-0005-0000-0000-00007F390000}"/>
    <cellStyle name="Normal 68 6 2 9" xfId="14715" xr:uid="{00000000-0005-0000-0000-000080390000}"/>
    <cellStyle name="Normal 68 6 3" xfId="14716" xr:uid="{00000000-0005-0000-0000-000081390000}"/>
    <cellStyle name="Normal 68 6 4" xfId="14717" xr:uid="{00000000-0005-0000-0000-000082390000}"/>
    <cellStyle name="Normal 68 6 5" xfId="14718" xr:uid="{00000000-0005-0000-0000-000083390000}"/>
    <cellStyle name="Normal 68 6 6" xfId="14719" xr:uid="{00000000-0005-0000-0000-000084390000}"/>
    <cellStyle name="Normal 68 6 7" xfId="14720" xr:uid="{00000000-0005-0000-0000-000085390000}"/>
    <cellStyle name="Normal 68 6 8" xfId="14721" xr:uid="{00000000-0005-0000-0000-000086390000}"/>
    <cellStyle name="Normal 68 6 9" xfId="14722" xr:uid="{00000000-0005-0000-0000-000087390000}"/>
    <cellStyle name="Normal 68 7" xfId="14723" xr:uid="{00000000-0005-0000-0000-000088390000}"/>
    <cellStyle name="Normal 68 7 10" xfId="14724" xr:uid="{00000000-0005-0000-0000-000089390000}"/>
    <cellStyle name="Normal 68 7 11" xfId="14725" xr:uid="{00000000-0005-0000-0000-00008A390000}"/>
    <cellStyle name="Normal 68 7 12" xfId="14726" xr:uid="{00000000-0005-0000-0000-00008B390000}"/>
    <cellStyle name="Normal 68 7 13" xfId="14727" xr:uid="{00000000-0005-0000-0000-00008C390000}"/>
    <cellStyle name="Normal 68 7 2" xfId="14728" xr:uid="{00000000-0005-0000-0000-00008D390000}"/>
    <cellStyle name="Normal 68 7 2 10" xfId="14729" xr:uid="{00000000-0005-0000-0000-00008E390000}"/>
    <cellStyle name="Normal 68 7 2 11" xfId="14730" xr:uid="{00000000-0005-0000-0000-00008F390000}"/>
    <cellStyle name="Normal 68 7 2 2" xfId="14731" xr:uid="{00000000-0005-0000-0000-000090390000}"/>
    <cellStyle name="Normal 68 7 2 3" xfId="14732" xr:uid="{00000000-0005-0000-0000-000091390000}"/>
    <cellStyle name="Normal 68 7 2 4" xfId="14733" xr:uid="{00000000-0005-0000-0000-000092390000}"/>
    <cellStyle name="Normal 68 7 2 5" xfId="14734" xr:uid="{00000000-0005-0000-0000-000093390000}"/>
    <cellStyle name="Normal 68 7 2 6" xfId="14735" xr:uid="{00000000-0005-0000-0000-000094390000}"/>
    <cellStyle name="Normal 68 7 2 7" xfId="14736" xr:uid="{00000000-0005-0000-0000-000095390000}"/>
    <cellStyle name="Normal 68 7 2 8" xfId="14737" xr:uid="{00000000-0005-0000-0000-000096390000}"/>
    <cellStyle name="Normal 68 7 2 9" xfId="14738" xr:uid="{00000000-0005-0000-0000-000097390000}"/>
    <cellStyle name="Normal 68 7 3" xfId="14739" xr:uid="{00000000-0005-0000-0000-000098390000}"/>
    <cellStyle name="Normal 68 7 4" xfId="14740" xr:uid="{00000000-0005-0000-0000-000099390000}"/>
    <cellStyle name="Normal 68 7 5" xfId="14741" xr:uid="{00000000-0005-0000-0000-00009A390000}"/>
    <cellStyle name="Normal 68 7 6" xfId="14742" xr:uid="{00000000-0005-0000-0000-00009B390000}"/>
    <cellStyle name="Normal 68 7 7" xfId="14743" xr:uid="{00000000-0005-0000-0000-00009C390000}"/>
    <cellStyle name="Normal 68 7 8" xfId="14744" xr:uid="{00000000-0005-0000-0000-00009D390000}"/>
    <cellStyle name="Normal 68 7 9" xfId="14745" xr:uid="{00000000-0005-0000-0000-00009E390000}"/>
    <cellStyle name="Normal 68 8" xfId="14746" xr:uid="{00000000-0005-0000-0000-00009F390000}"/>
    <cellStyle name="Normal 68 8 10" xfId="14747" xr:uid="{00000000-0005-0000-0000-0000A0390000}"/>
    <cellStyle name="Normal 68 8 11" xfId="14748" xr:uid="{00000000-0005-0000-0000-0000A1390000}"/>
    <cellStyle name="Normal 68 8 12" xfId="14749" xr:uid="{00000000-0005-0000-0000-0000A2390000}"/>
    <cellStyle name="Normal 68 8 13" xfId="14750" xr:uid="{00000000-0005-0000-0000-0000A3390000}"/>
    <cellStyle name="Normal 68 8 2" xfId="14751" xr:uid="{00000000-0005-0000-0000-0000A4390000}"/>
    <cellStyle name="Normal 68 8 2 10" xfId="14752" xr:uid="{00000000-0005-0000-0000-0000A5390000}"/>
    <cellStyle name="Normal 68 8 2 11" xfId="14753" xr:uid="{00000000-0005-0000-0000-0000A6390000}"/>
    <cellStyle name="Normal 68 8 2 2" xfId="14754" xr:uid="{00000000-0005-0000-0000-0000A7390000}"/>
    <cellStyle name="Normal 68 8 2 3" xfId="14755" xr:uid="{00000000-0005-0000-0000-0000A8390000}"/>
    <cellStyle name="Normal 68 8 2 4" xfId="14756" xr:uid="{00000000-0005-0000-0000-0000A9390000}"/>
    <cellStyle name="Normal 68 8 2 5" xfId="14757" xr:uid="{00000000-0005-0000-0000-0000AA390000}"/>
    <cellStyle name="Normal 68 8 2 6" xfId="14758" xr:uid="{00000000-0005-0000-0000-0000AB390000}"/>
    <cellStyle name="Normal 68 8 2 7" xfId="14759" xr:uid="{00000000-0005-0000-0000-0000AC390000}"/>
    <cellStyle name="Normal 68 8 2 8" xfId="14760" xr:uid="{00000000-0005-0000-0000-0000AD390000}"/>
    <cellStyle name="Normal 68 8 2 9" xfId="14761" xr:uid="{00000000-0005-0000-0000-0000AE390000}"/>
    <cellStyle name="Normal 68 8 3" xfId="14762" xr:uid="{00000000-0005-0000-0000-0000AF390000}"/>
    <cellStyle name="Normal 68 8 4" xfId="14763" xr:uid="{00000000-0005-0000-0000-0000B0390000}"/>
    <cellStyle name="Normal 68 8 5" xfId="14764" xr:uid="{00000000-0005-0000-0000-0000B1390000}"/>
    <cellStyle name="Normal 68 8 6" xfId="14765" xr:uid="{00000000-0005-0000-0000-0000B2390000}"/>
    <cellStyle name="Normal 68 8 7" xfId="14766" xr:uid="{00000000-0005-0000-0000-0000B3390000}"/>
    <cellStyle name="Normal 68 8 8" xfId="14767" xr:uid="{00000000-0005-0000-0000-0000B4390000}"/>
    <cellStyle name="Normal 68 8 9" xfId="14768" xr:uid="{00000000-0005-0000-0000-0000B5390000}"/>
    <cellStyle name="Normal 68 9" xfId="14769" xr:uid="{00000000-0005-0000-0000-0000B6390000}"/>
    <cellStyle name="Normal 68 9 10" xfId="14770" xr:uid="{00000000-0005-0000-0000-0000B7390000}"/>
    <cellStyle name="Normal 68 9 11" xfId="14771" xr:uid="{00000000-0005-0000-0000-0000B8390000}"/>
    <cellStyle name="Normal 68 9 12" xfId="14772" xr:uid="{00000000-0005-0000-0000-0000B9390000}"/>
    <cellStyle name="Normal 68 9 13" xfId="14773" xr:uid="{00000000-0005-0000-0000-0000BA390000}"/>
    <cellStyle name="Normal 68 9 2" xfId="14774" xr:uid="{00000000-0005-0000-0000-0000BB390000}"/>
    <cellStyle name="Normal 68 9 2 10" xfId="14775" xr:uid="{00000000-0005-0000-0000-0000BC390000}"/>
    <cellStyle name="Normal 68 9 2 11" xfId="14776" xr:uid="{00000000-0005-0000-0000-0000BD390000}"/>
    <cellStyle name="Normal 68 9 2 2" xfId="14777" xr:uid="{00000000-0005-0000-0000-0000BE390000}"/>
    <cellStyle name="Normal 68 9 2 3" xfId="14778" xr:uid="{00000000-0005-0000-0000-0000BF390000}"/>
    <cellStyle name="Normal 68 9 2 4" xfId="14779" xr:uid="{00000000-0005-0000-0000-0000C0390000}"/>
    <cellStyle name="Normal 68 9 2 5" xfId="14780" xr:uid="{00000000-0005-0000-0000-0000C1390000}"/>
    <cellStyle name="Normal 68 9 2 6" xfId="14781" xr:uid="{00000000-0005-0000-0000-0000C2390000}"/>
    <cellStyle name="Normal 68 9 2 7" xfId="14782" xr:uid="{00000000-0005-0000-0000-0000C3390000}"/>
    <cellStyle name="Normal 68 9 2 8" xfId="14783" xr:uid="{00000000-0005-0000-0000-0000C4390000}"/>
    <cellStyle name="Normal 68 9 2 9" xfId="14784" xr:uid="{00000000-0005-0000-0000-0000C5390000}"/>
    <cellStyle name="Normal 68 9 3" xfId="14785" xr:uid="{00000000-0005-0000-0000-0000C6390000}"/>
    <cellStyle name="Normal 68 9 4" xfId="14786" xr:uid="{00000000-0005-0000-0000-0000C7390000}"/>
    <cellStyle name="Normal 68 9 5" xfId="14787" xr:uid="{00000000-0005-0000-0000-0000C8390000}"/>
    <cellStyle name="Normal 68 9 6" xfId="14788" xr:uid="{00000000-0005-0000-0000-0000C9390000}"/>
    <cellStyle name="Normal 68 9 7" xfId="14789" xr:uid="{00000000-0005-0000-0000-0000CA390000}"/>
    <cellStyle name="Normal 68 9 8" xfId="14790" xr:uid="{00000000-0005-0000-0000-0000CB390000}"/>
    <cellStyle name="Normal 68 9 9" xfId="14791" xr:uid="{00000000-0005-0000-0000-0000CC390000}"/>
    <cellStyle name="Normal 69" xfId="14792" xr:uid="{00000000-0005-0000-0000-0000CD390000}"/>
    <cellStyle name="Normal 69 10" xfId="14793" xr:uid="{00000000-0005-0000-0000-0000CE390000}"/>
    <cellStyle name="Normal 69 10 10" xfId="14794" xr:uid="{00000000-0005-0000-0000-0000CF390000}"/>
    <cellStyle name="Normal 69 10 11" xfId="14795" xr:uid="{00000000-0005-0000-0000-0000D0390000}"/>
    <cellStyle name="Normal 69 10 12" xfId="14796" xr:uid="{00000000-0005-0000-0000-0000D1390000}"/>
    <cellStyle name="Normal 69 10 13" xfId="14797" xr:uid="{00000000-0005-0000-0000-0000D2390000}"/>
    <cellStyle name="Normal 69 10 2" xfId="14798" xr:uid="{00000000-0005-0000-0000-0000D3390000}"/>
    <cellStyle name="Normal 69 10 2 10" xfId="14799" xr:uid="{00000000-0005-0000-0000-0000D4390000}"/>
    <cellStyle name="Normal 69 10 2 11" xfId="14800" xr:uid="{00000000-0005-0000-0000-0000D5390000}"/>
    <cellStyle name="Normal 69 10 2 2" xfId="14801" xr:uid="{00000000-0005-0000-0000-0000D6390000}"/>
    <cellStyle name="Normal 69 10 2 3" xfId="14802" xr:uid="{00000000-0005-0000-0000-0000D7390000}"/>
    <cellStyle name="Normal 69 10 2 4" xfId="14803" xr:uid="{00000000-0005-0000-0000-0000D8390000}"/>
    <cellStyle name="Normal 69 10 2 5" xfId="14804" xr:uid="{00000000-0005-0000-0000-0000D9390000}"/>
    <cellStyle name="Normal 69 10 2 6" xfId="14805" xr:uid="{00000000-0005-0000-0000-0000DA390000}"/>
    <cellStyle name="Normal 69 10 2 7" xfId="14806" xr:uid="{00000000-0005-0000-0000-0000DB390000}"/>
    <cellStyle name="Normal 69 10 2 8" xfId="14807" xr:uid="{00000000-0005-0000-0000-0000DC390000}"/>
    <cellStyle name="Normal 69 10 2 9" xfId="14808" xr:uid="{00000000-0005-0000-0000-0000DD390000}"/>
    <cellStyle name="Normal 69 10 3" xfId="14809" xr:uid="{00000000-0005-0000-0000-0000DE390000}"/>
    <cellStyle name="Normal 69 10 4" xfId="14810" xr:uid="{00000000-0005-0000-0000-0000DF390000}"/>
    <cellStyle name="Normal 69 10 5" xfId="14811" xr:uid="{00000000-0005-0000-0000-0000E0390000}"/>
    <cellStyle name="Normal 69 10 6" xfId="14812" xr:uid="{00000000-0005-0000-0000-0000E1390000}"/>
    <cellStyle name="Normal 69 10 7" xfId="14813" xr:uid="{00000000-0005-0000-0000-0000E2390000}"/>
    <cellStyle name="Normal 69 10 8" xfId="14814" xr:uid="{00000000-0005-0000-0000-0000E3390000}"/>
    <cellStyle name="Normal 69 10 9" xfId="14815" xr:uid="{00000000-0005-0000-0000-0000E4390000}"/>
    <cellStyle name="Normal 69 11" xfId="14816" xr:uid="{00000000-0005-0000-0000-0000E5390000}"/>
    <cellStyle name="Normal 69 11 10" xfId="14817" xr:uid="{00000000-0005-0000-0000-0000E6390000}"/>
    <cellStyle name="Normal 69 11 11" xfId="14818" xr:uid="{00000000-0005-0000-0000-0000E7390000}"/>
    <cellStyle name="Normal 69 11 12" xfId="14819" xr:uid="{00000000-0005-0000-0000-0000E8390000}"/>
    <cellStyle name="Normal 69 11 13" xfId="14820" xr:uid="{00000000-0005-0000-0000-0000E9390000}"/>
    <cellStyle name="Normal 69 11 2" xfId="14821" xr:uid="{00000000-0005-0000-0000-0000EA390000}"/>
    <cellStyle name="Normal 69 11 2 10" xfId="14822" xr:uid="{00000000-0005-0000-0000-0000EB390000}"/>
    <cellStyle name="Normal 69 11 2 11" xfId="14823" xr:uid="{00000000-0005-0000-0000-0000EC390000}"/>
    <cellStyle name="Normal 69 11 2 2" xfId="14824" xr:uid="{00000000-0005-0000-0000-0000ED390000}"/>
    <cellStyle name="Normal 69 11 2 3" xfId="14825" xr:uid="{00000000-0005-0000-0000-0000EE390000}"/>
    <cellStyle name="Normal 69 11 2 4" xfId="14826" xr:uid="{00000000-0005-0000-0000-0000EF390000}"/>
    <cellStyle name="Normal 69 11 2 5" xfId="14827" xr:uid="{00000000-0005-0000-0000-0000F0390000}"/>
    <cellStyle name="Normal 69 11 2 6" xfId="14828" xr:uid="{00000000-0005-0000-0000-0000F1390000}"/>
    <cellStyle name="Normal 69 11 2 7" xfId="14829" xr:uid="{00000000-0005-0000-0000-0000F2390000}"/>
    <cellStyle name="Normal 69 11 2 8" xfId="14830" xr:uid="{00000000-0005-0000-0000-0000F3390000}"/>
    <cellStyle name="Normal 69 11 2 9" xfId="14831" xr:uid="{00000000-0005-0000-0000-0000F4390000}"/>
    <cellStyle name="Normal 69 11 3" xfId="14832" xr:uid="{00000000-0005-0000-0000-0000F5390000}"/>
    <cellStyle name="Normal 69 11 4" xfId="14833" xr:uid="{00000000-0005-0000-0000-0000F6390000}"/>
    <cellStyle name="Normal 69 11 5" xfId="14834" xr:uid="{00000000-0005-0000-0000-0000F7390000}"/>
    <cellStyle name="Normal 69 11 6" xfId="14835" xr:uid="{00000000-0005-0000-0000-0000F8390000}"/>
    <cellStyle name="Normal 69 11 7" xfId="14836" xr:uid="{00000000-0005-0000-0000-0000F9390000}"/>
    <cellStyle name="Normal 69 11 8" xfId="14837" xr:uid="{00000000-0005-0000-0000-0000FA390000}"/>
    <cellStyle name="Normal 69 11 9" xfId="14838" xr:uid="{00000000-0005-0000-0000-0000FB390000}"/>
    <cellStyle name="Normal 69 12" xfId="14839" xr:uid="{00000000-0005-0000-0000-0000FC390000}"/>
    <cellStyle name="Normal 69 12 10" xfId="14840" xr:uid="{00000000-0005-0000-0000-0000FD390000}"/>
    <cellStyle name="Normal 69 12 11" xfId="14841" xr:uid="{00000000-0005-0000-0000-0000FE390000}"/>
    <cellStyle name="Normal 69 12 12" xfId="14842" xr:uid="{00000000-0005-0000-0000-0000FF390000}"/>
    <cellStyle name="Normal 69 12 13" xfId="14843" xr:uid="{00000000-0005-0000-0000-0000003A0000}"/>
    <cellStyle name="Normal 69 12 2" xfId="14844" xr:uid="{00000000-0005-0000-0000-0000013A0000}"/>
    <cellStyle name="Normal 69 12 2 10" xfId="14845" xr:uid="{00000000-0005-0000-0000-0000023A0000}"/>
    <cellStyle name="Normal 69 12 2 11" xfId="14846" xr:uid="{00000000-0005-0000-0000-0000033A0000}"/>
    <cellStyle name="Normal 69 12 2 2" xfId="14847" xr:uid="{00000000-0005-0000-0000-0000043A0000}"/>
    <cellStyle name="Normal 69 12 2 3" xfId="14848" xr:uid="{00000000-0005-0000-0000-0000053A0000}"/>
    <cellStyle name="Normal 69 12 2 4" xfId="14849" xr:uid="{00000000-0005-0000-0000-0000063A0000}"/>
    <cellStyle name="Normal 69 12 2 5" xfId="14850" xr:uid="{00000000-0005-0000-0000-0000073A0000}"/>
    <cellStyle name="Normal 69 12 2 6" xfId="14851" xr:uid="{00000000-0005-0000-0000-0000083A0000}"/>
    <cellStyle name="Normal 69 12 2 7" xfId="14852" xr:uid="{00000000-0005-0000-0000-0000093A0000}"/>
    <cellStyle name="Normal 69 12 2 8" xfId="14853" xr:uid="{00000000-0005-0000-0000-00000A3A0000}"/>
    <cellStyle name="Normal 69 12 2 9" xfId="14854" xr:uid="{00000000-0005-0000-0000-00000B3A0000}"/>
    <cellStyle name="Normal 69 12 3" xfId="14855" xr:uid="{00000000-0005-0000-0000-00000C3A0000}"/>
    <cellStyle name="Normal 69 12 4" xfId="14856" xr:uid="{00000000-0005-0000-0000-00000D3A0000}"/>
    <cellStyle name="Normal 69 12 5" xfId="14857" xr:uid="{00000000-0005-0000-0000-00000E3A0000}"/>
    <cellStyle name="Normal 69 12 6" xfId="14858" xr:uid="{00000000-0005-0000-0000-00000F3A0000}"/>
    <cellStyle name="Normal 69 12 7" xfId="14859" xr:uid="{00000000-0005-0000-0000-0000103A0000}"/>
    <cellStyle name="Normal 69 12 8" xfId="14860" xr:uid="{00000000-0005-0000-0000-0000113A0000}"/>
    <cellStyle name="Normal 69 12 9" xfId="14861" xr:uid="{00000000-0005-0000-0000-0000123A0000}"/>
    <cellStyle name="Normal 69 13" xfId="14862" xr:uid="{00000000-0005-0000-0000-0000133A0000}"/>
    <cellStyle name="Normal 69 13 10" xfId="14863" xr:uid="{00000000-0005-0000-0000-0000143A0000}"/>
    <cellStyle name="Normal 69 13 11" xfId="14864" xr:uid="{00000000-0005-0000-0000-0000153A0000}"/>
    <cellStyle name="Normal 69 13 12" xfId="14865" xr:uid="{00000000-0005-0000-0000-0000163A0000}"/>
    <cellStyle name="Normal 69 13 13" xfId="14866" xr:uid="{00000000-0005-0000-0000-0000173A0000}"/>
    <cellStyle name="Normal 69 13 2" xfId="14867" xr:uid="{00000000-0005-0000-0000-0000183A0000}"/>
    <cellStyle name="Normal 69 13 2 10" xfId="14868" xr:uid="{00000000-0005-0000-0000-0000193A0000}"/>
    <cellStyle name="Normal 69 13 2 11" xfId="14869" xr:uid="{00000000-0005-0000-0000-00001A3A0000}"/>
    <cellStyle name="Normal 69 13 2 2" xfId="14870" xr:uid="{00000000-0005-0000-0000-00001B3A0000}"/>
    <cellStyle name="Normal 69 13 2 3" xfId="14871" xr:uid="{00000000-0005-0000-0000-00001C3A0000}"/>
    <cellStyle name="Normal 69 13 2 4" xfId="14872" xr:uid="{00000000-0005-0000-0000-00001D3A0000}"/>
    <cellStyle name="Normal 69 13 2 5" xfId="14873" xr:uid="{00000000-0005-0000-0000-00001E3A0000}"/>
    <cellStyle name="Normal 69 13 2 6" xfId="14874" xr:uid="{00000000-0005-0000-0000-00001F3A0000}"/>
    <cellStyle name="Normal 69 13 2 7" xfId="14875" xr:uid="{00000000-0005-0000-0000-0000203A0000}"/>
    <cellStyle name="Normal 69 13 2 8" xfId="14876" xr:uid="{00000000-0005-0000-0000-0000213A0000}"/>
    <cellStyle name="Normal 69 13 2 9" xfId="14877" xr:uid="{00000000-0005-0000-0000-0000223A0000}"/>
    <cellStyle name="Normal 69 13 3" xfId="14878" xr:uid="{00000000-0005-0000-0000-0000233A0000}"/>
    <cellStyle name="Normal 69 13 4" xfId="14879" xr:uid="{00000000-0005-0000-0000-0000243A0000}"/>
    <cellStyle name="Normal 69 13 5" xfId="14880" xr:uid="{00000000-0005-0000-0000-0000253A0000}"/>
    <cellStyle name="Normal 69 13 6" xfId="14881" xr:uid="{00000000-0005-0000-0000-0000263A0000}"/>
    <cellStyle name="Normal 69 13 7" xfId="14882" xr:uid="{00000000-0005-0000-0000-0000273A0000}"/>
    <cellStyle name="Normal 69 13 8" xfId="14883" xr:uid="{00000000-0005-0000-0000-0000283A0000}"/>
    <cellStyle name="Normal 69 13 9" xfId="14884" xr:uid="{00000000-0005-0000-0000-0000293A0000}"/>
    <cellStyle name="Normal 69 14" xfId="14885" xr:uid="{00000000-0005-0000-0000-00002A3A0000}"/>
    <cellStyle name="Normal 69 14 10" xfId="14886" xr:uid="{00000000-0005-0000-0000-00002B3A0000}"/>
    <cellStyle name="Normal 69 14 11" xfId="14887" xr:uid="{00000000-0005-0000-0000-00002C3A0000}"/>
    <cellStyle name="Normal 69 14 2" xfId="14888" xr:uid="{00000000-0005-0000-0000-00002D3A0000}"/>
    <cellStyle name="Normal 69 14 3" xfId="14889" xr:uid="{00000000-0005-0000-0000-00002E3A0000}"/>
    <cellStyle name="Normal 69 14 4" xfId="14890" xr:uid="{00000000-0005-0000-0000-00002F3A0000}"/>
    <cellStyle name="Normal 69 14 5" xfId="14891" xr:uid="{00000000-0005-0000-0000-0000303A0000}"/>
    <cellStyle name="Normal 69 14 6" xfId="14892" xr:uid="{00000000-0005-0000-0000-0000313A0000}"/>
    <cellStyle name="Normal 69 14 7" xfId="14893" xr:uid="{00000000-0005-0000-0000-0000323A0000}"/>
    <cellStyle name="Normal 69 14 8" xfId="14894" xr:uid="{00000000-0005-0000-0000-0000333A0000}"/>
    <cellStyle name="Normal 69 14 9" xfId="14895" xr:uid="{00000000-0005-0000-0000-0000343A0000}"/>
    <cellStyle name="Normal 69 15" xfId="14896" xr:uid="{00000000-0005-0000-0000-0000353A0000}"/>
    <cellStyle name="Normal 69 16" xfId="14897" xr:uid="{00000000-0005-0000-0000-0000363A0000}"/>
    <cellStyle name="Normal 69 17" xfId="14898" xr:uid="{00000000-0005-0000-0000-0000373A0000}"/>
    <cellStyle name="Normal 69 18" xfId="14899" xr:uid="{00000000-0005-0000-0000-0000383A0000}"/>
    <cellStyle name="Normal 69 19" xfId="14900" xr:uid="{00000000-0005-0000-0000-0000393A0000}"/>
    <cellStyle name="Normal 69 2" xfId="14901" xr:uid="{00000000-0005-0000-0000-00003A3A0000}"/>
    <cellStyle name="Normal 69 2 10" xfId="14902" xr:uid="{00000000-0005-0000-0000-00003B3A0000}"/>
    <cellStyle name="Normal 69 2 11" xfId="14903" xr:uid="{00000000-0005-0000-0000-00003C3A0000}"/>
    <cellStyle name="Normal 69 2 12" xfId="14904" xr:uid="{00000000-0005-0000-0000-00003D3A0000}"/>
    <cellStyle name="Normal 69 2 13" xfId="14905" xr:uid="{00000000-0005-0000-0000-00003E3A0000}"/>
    <cellStyle name="Normal 69 2 2" xfId="14906" xr:uid="{00000000-0005-0000-0000-00003F3A0000}"/>
    <cellStyle name="Normal 69 2 2 10" xfId="14907" xr:uid="{00000000-0005-0000-0000-0000403A0000}"/>
    <cellStyle name="Normal 69 2 2 11" xfId="14908" xr:uid="{00000000-0005-0000-0000-0000413A0000}"/>
    <cellStyle name="Normal 69 2 2 2" xfId="14909" xr:uid="{00000000-0005-0000-0000-0000423A0000}"/>
    <cellStyle name="Normal 69 2 2 3" xfId="14910" xr:uid="{00000000-0005-0000-0000-0000433A0000}"/>
    <cellStyle name="Normal 69 2 2 4" xfId="14911" xr:uid="{00000000-0005-0000-0000-0000443A0000}"/>
    <cellStyle name="Normal 69 2 2 5" xfId="14912" xr:uid="{00000000-0005-0000-0000-0000453A0000}"/>
    <cellStyle name="Normal 69 2 2 6" xfId="14913" xr:uid="{00000000-0005-0000-0000-0000463A0000}"/>
    <cellStyle name="Normal 69 2 2 7" xfId="14914" xr:uid="{00000000-0005-0000-0000-0000473A0000}"/>
    <cellStyle name="Normal 69 2 2 8" xfId="14915" xr:uid="{00000000-0005-0000-0000-0000483A0000}"/>
    <cellStyle name="Normal 69 2 2 9" xfId="14916" xr:uid="{00000000-0005-0000-0000-0000493A0000}"/>
    <cellStyle name="Normal 69 2 3" xfId="14917" xr:uid="{00000000-0005-0000-0000-00004A3A0000}"/>
    <cellStyle name="Normal 69 2 4" xfId="14918" xr:uid="{00000000-0005-0000-0000-00004B3A0000}"/>
    <cellStyle name="Normal 69 2 5" xfId="14919" xr:uid="{00000000-0005-0000-0000-00004C3A0000}"/>
    <cellStyle name="Normal 69 2 6" xfId="14920" xr:uid="{00000000-0005-0000-0000-00004D3A0000}"/>
    <cellStyle name="Normal 69 2 7" xfId="14921" xr:uid="{00000000-0005-0000-0000-00004E3A0000}"/>
    <cellStyle name="Normal 69 2 8" xfId="14922" xr:uid="{00000000-0005-0000-0000-00004F3A0000}"/>
    <cellStyle name="Normal 69 2 9" xfId="14923" xr:uid="{00000000-0005-0000-0000-0000503A0000}"/>
    <cellStyle name="Normal 69 20" xfId="14924" xr:uid="{00000000-0005-0000-0000-0000513A0000}"/>
    <cellStyle name="Normal 69 21" xfId="14925" xr:uid="{00000000-0005-0000-0000-0000523A0000}"/>
    <cellStyle name="Normal 69 22" xfId="14926" xr:uid="{00000000-0005-0000-0000-0000533A0000}"/>
    <cellStyle name="Normal 69 23" xfId="14927" xr:uid="{00000000-0005-0000-0000-0000543A0000}"/>
    <cellStyle name="Normal 69 24" xfId="14928" xr:uid="{00000000-0005-0000-0000-0000553A0000}"/>
    <cellStyle name="Normal 69 25" xfId="14929" xr:uid="{00000000-0005-0000-0000-0000563A0000}"/>
    <cellStyle name="Normal 69 3" xfId="14930" xr:uid="{00000000-0005-0000-0000-0000573A0000}"/>
    <cellStyle name="Normal 69 3 10" xfId="14931" xr:uid="{00000000-0005-0000-0000-0000583A0000}"/>
    <cellStyle name="Normal 69 3 11" xfId="14932" xr:uid="{00000000-0005-0000-0000-0000593A0000}"/>
    <cellStyle name="Normal 69 3 12" xfId="14933" xr:uid="{00000000-0005-0000-0000-00005A3A0000}"/>
    <cellStyle name="Normal 69 3 13" xfId="14934" xr:uid="{00000000-0005-0000-0000-00005B3A0000}"/>
    <cellStyle name="Normal 69 3 2" xfId="14935" xr:uid="{00000000-0005-0000-0000-00005C3A0000}"/>
    <cellStyle name="Normal 69 3 2 10" xfId="14936" xr:uid="{00000000-0005-0000-0000-00005D3A0000}"/>
    <cellStyle name="Normal 69 3 2 11" xfId="14937" xr:uid="{00000000-0005-0000-0000-00005E3A0000}"/>
    <cellStyle name="Normal 69 3 2 2" xfId="14938" xr:uid="{00000000-0005-0000-0000-00005F3A0000}"/>
    <cellStyle name="Normal 69 3 2 3" xfId="14939" xr:uid="{00000000-0005-0000-0000-0000603A0000}"/>
    <cellStyle name="Normal 69 3 2 4" xfId="14940" xr:uid="{00000000-0005-0000-0000-0000613A0000}"/>
    <cellStyle name="Normal 69 3 2 5" xfId="14941" xr:uid="{00000000-0005-0000-0000-0000623A0000}"/>
    <cellStyle name="Normal 69 3 2 6" xfId="14942" xr:uid="{00000000-0005-0000-0000-0000633A0000}"/>
    <cellStyle name="Normal 69 3 2 7" xfId="14943" xr:uid="{00000000-0005-0000-0000-0000643A0000}"/>
    <cellStyle name="Normal 69 3 2 8" xfId="14944" xr:uid="{00000000-0005-0000-0000-0000653A0000}"/>
    <cellStyle name="Normal 69 3 2 9" xfId="14945" xr:uid="{00000000-0005-0000-0000-0000663A0000}"/>
    <cellStyle name="Normal 69 3 3" xfId="14946" xr:uid="{00000000-0005-0000-0000-0000673A0000}"/>
    <cellStyle name="Normal 69 3 4" xfId="14947" xr:uid="{00000000-0005-0000-0000-0000683A0000}"/>
    <cellStyle name="Normal 69 3 5" xfId="14948" xr:uid="{00000000-0005-0000-0000-0000693A0000}"/>
    <cellStyle name="Normal 69 3 6" xfId="14949" xr:uid="{00000000-0005-0000-0000-00006A3A0000}"/>
    <cellStyle name="Normal 69 3 7" xfId="14950" xr:uid="{00000000-0005-0000-0000-00006B3A0000}"/>
    <cellStyle name="Normal 69 3 8" xfId="14951" xr:uid="{00000000-0005-0000-0000-00006C3A0000}"/>
    <cellStyle name="Normal 69 3 9" xfId="14952" xr:uid="{00000000-0005-0000-0000-00006D3A0000}"/>
    <cellStyle name="Normal 69 4" xfId="14953" xr:uid="{00000000-0005-0000-0000-00006E3A0000}"/>
    <cellStyle name="Normal 69 4 10" xfId="14954" xr:uid="{00000000-0005-0000-0000-00006F3A0000}"/>
    <cellStyle name="Normal 69 4 11" xfId="14955" xr:uid="{00000000-0005-0000-0000-0000703A0000}"/>
    <cellStyle name="Normal 69 4 12" xfId="14956" xr:uid="{00000000-0005-0000-0000-0000713A0000}"/>
    <cellStyle name="Normal 69 4 13" xfId="14957" xr:uid="{00000000-0005-0000-0000-0000723A0000}"/>
    <cellStyle name="Normal 69 4 2" xfId="14958" xr:uid="{00000000-0005-0000-0000-0000733A0000}"/>
    <cellStyle name="Normal 69 4 2 10" xfId="14959" xr:uid="{00000000-0005-0000-0000-0000743A0000}"/>
    <cellStyle name="Normal 69 4 2 11" xfId="14960" xr:uid="{00000000-0005-0000-0000-0000753A0000}"/>
    <cellStyle name="Normal 69 4 2 2" xfId="14961" xr:uid="{00000000-0005-0000-0000-0000763A0000}"/>
    <cellStyle name="Normal 69 4 2 3" xfId="14962" xr:uid="{00000000-0005-0000-0000-0000773A0000}"/>
    <cellStyle name="Normal 69 4 2 4" xfId="14963" xr:uid="{00000000-0005-0000-0000-0000783A0000}"/>
    <cellStyle name="Normal 69 4 2 5" xfId="14964" xr:uid="{00000000-0005-0000-0000-0000793A0000}"/>
    <cellStyle name="Normal 69 4 2 6" xfId="14965" xr:uid="{00000000-0005-0000-0000-00007A3A0000}"/>
    <cellStyle name="Normal 69 4 2 7" xfId="14966" xr:uid="{00000000-0005-0000-0000-00007B3A0000}"/>
    <cellStyle name="Normal 69 4 2 8" xfId="14967" xr:uid="{00000000-0005-0000-0000-00007C3A0000}"/>
    <cellStyle name="Normal 69 4 2 9" xfId="14968" xr:uid="{00000000-0005-0000-0000-00007D3A0000}"/>
    <cellStyle name="Normal 69 4 3" xfId="14969" xr:uid="{00000000-0005-0000-0000-00007E3A0000}"/>
    <cellStyle name="Normal 69 4 4" xfId="14970" xr:uid="{00000000-0005-0000-0000-00007F3A0000}"/>
    <cellStyle name="Normal 69 4 5" xfId="14971" xr:uid="{00000000-0005-0000-0000-0000803A0000}"/>
    <cellStyle name="Normal 69 4 6" xfId="14972" xr:uid="{00000000-0005-0000-0000-0000813A0000}"/>
    <cellStyle name="Normal 69 4 7" xfId="14973" xr:uid="{00000000-0005-0000-0000-0000823A0000}"/>
    <cellStyle name="Normal 69 4 8" xfId="14974" xr:uid="{00000000-0005-0000-0000-0000833A0000}"/>
    <cellStyle name="Normal 69 4 9" xfId="14975" xr:uid="{00000000-0005-0000-0000-0000843A0000}"/>
    <cellStyle name="Normal 69 5" xfId="14976" xr:uid="{00000000-0005-0000-0000-0000853A0000}"/>
    <cellStyle name="Normal 69 5 10" xfId="14977" xr:uid="{00000000-0005-0000-0000-0000863A0000}"/>
    <cellStyle name="Normal 69 5 11" xfId="14978" xr:uid="{00000000-0005-0000-0000-0000873A0000}"/>
    <cellStyle name="Normal 69 5 12" xfId="14979" xr:uid="{00000000-0005-0000-0000-0000883A0000}"/>
    <cellStyle name="Normal 69 5 13" xfId="14980" xr:uid="{00000000-0005-0000-0000-0000893A0000}"/>
    <cellStyle name="Normal 69 5 2" xfId="14981" xr:uid="{00000000-0005-0000-0000-00008A3A0000}"/>
    <cellStyle name="Normal 69 5 2 10" xfId="14982" xr:uid="{00000000-0005-0000-0000-00008B3A0000}"/>
    <cellStyle name="Normal 69 5 2 11" xfId="14983" xr:uid="{00000000-0005-0000-0000-00008C3A0000}"/>
    <cellStyle name="Normal 69 5 2 2" xfId="14984" xr:uid="{00000000-0005-0000-0000-00008D3A0000}"/>
    <cellStyle name="Normal 69 5 2 3" xfId="14985" xr:uid="{00000000-0005-0000-0000-00008E3A0000}"/>
    <cellStyle name="Normal 69 5 2 4" xfId="14986" xr:uid="{00000000-0005-0000-0000-00008F3A0000}"/>
    <cellStyle name="Normal 69 5 2 5" xfId="14987" xr:uid="{00000000-0005-0000-0000-0000903A0000}"/>
    <cellStyle name="Normal 69 5 2 6" xfId="14988" xr:uid="{00000000-0005-0000-0000-0000913A0000}"/>
    <cellStyle name="Normal 69 5 2 7" xfId="14989" xr:uid="{00000000-0005-0000-0000-0000923A0000}"/>
    <cellStyle name="Normal 69 5 2 8" xfId="14990" xr:uid="{00000000-0005-0000-0000-0000933A0000}"/>
    <cellStyle name="Normal 69 5 2 9" xfId="14991" xr:uid="{00000000-0005-0000-0000-0000943A0000}"/>
    <cellStyle name="Normal 69 5 3" xfId="14992" xr:uid="{00000000-0005-0000-0000-0000953A0000}"/>
    <cellStyle name="Normal 69 5 4" xfId="14993" xr:uid="{00000000-0005-0000-0000-0000963A0000}"/>
    <cellStyle name="Normal 69 5 5" xfId="14994" xr:uid="{00000000-0005-0000-0000-0000973A0000}"/>
    <cellStyle name="Normal 69 5 6" xfId="14995" xr:uid="{00000000-0005-0000-0000-0000983A0000}"/>
    <cellStyle name="Normal 69 5 7" xfId="14996" xr:uid="{00000000-0005-0000-0000-0000993A0000}"/>
    <cellStyle name="Normal 69 5 8" xfId="14997" xr:uid="{00000000-0005-0000-0000-00009A3A0000}"/>
    <cellStyle name="Normal 69 5 9" xfId="14998" xr:uid="{00000000-0005-0000-0000-00009B3A0000}"/>
    <cellStyle name="Normal 69 6" xfId="14999" xr:uid="{00000000-0005-0000-0000-00009C3A0000}"/>
    <cellStyle name="Normal 69 6 10" xfId="15000" xr:uid="{00000000-0005-0000-0000-00009D3A0000}"/>
    <cellStyle name="Normal 69 6 11" xfId="15001" xr:uid="{00000000-0005-0000-0000-00009E3A0000}"/>
    <cellStyle name="Normal 69 6 12" xfId="15002" xr:uid="{00000000-0005-0000-0000-00009F3A0000}"/>
    <cellStyle name="Normal 69 6 13" xfId="15003" xr:uid="{00000000-0005-0000-0000-0000A03A0000}"/>
    <cellStyle name="Normal 69 6 2" xfId="15004" xr:uid="{00000000-0005-0000-0000-0000A13A0000}"/>
    <cellStyle name="Normal 69 6 2 10" xfId="15005" xr:uid="{00000000-0005-0000-0000-0000A23A0000}"/>
    <cellStyle name="Normal 69 6 2 11" xfId="15006" xr:uid="{00000000-0005-0000-0000-0000A33A0000}"/>
    <cellStyle name="Normal 69 6 2 2" xfId="15007" xr:uid="{00000000-0005-0000-0000-0000A43A0000}"/>
    <cellStyle name="Normal 69 6 2 3" xfId="15008" xr:uid="{00000000-0005-0000-0000-0000A53A0000}"/>
    <cellStyle name="Normal 69 6 2 4" xfId="15009" xr:uid="{00000000-0005-0000-0000-0000A63A0000}"/>
    <cellStyle name="Normal 69 6 2 5" xfId="15010" xr:uid="{00000000-0005-0000-0000-0000A73A0000}"/>
    <cellStyle name="Normal 69 6 2 6" xfId="15011" xr:uid="{00000000-0005-0000-0000-0000A83A0000}"/>
    <cellStyle name="Normal 69 6 2 7" xfId="15012" xr:uid="{00000000-0005-0000-0000-0000A93A0000}"/>
    <cellStyle name="Normal 69 6 2 8" xfId="15013" xr:uid="{00000000-0005-0000-0000-0000AA3A0000}"/>
    <cellStyle name="Normal 69 6 2 9" xfId="15014" xr:uid="{00000000-0005-0000-0000-0000AB3A0000}"/>
    <cellStyle name="Normal 69 6 3" xfId="15015" xr:uid="{00000000-0005-0000-0000-0000AC3A0000}"/>
    <cellStyle name="Normal 69 6 4" xfId="15016" xr:uid="{00000000-0005-0000-0000-0000AD3A0000}"/>
    <cellStyle name="Normal 69 6 5" xfId="15017" xr:uid="{00000000-0005-0000-0000-0000AE3A0000}"/>
    <cellStyle name="Normal 69 6 6" xfId="15018" xr:uid="{00000000-0005-0000-0000-0000AF3A0000}"/>
    <cellStyle name="Normal 69 6 7" xfId="15019" xr:uid="{00000000-0005-0000-0000-0000B03A0000}"/>
    <cellStyle name="Normal 69 6 8" xfId="15020" xr:uid="{00000000-0005-0000-0000-0000B13A0000}"/>
    <cellStyle name="Normal 69 6 9" xfId="15021" xr:uid="{00000000-0005-0000-0000-0000B23A0000}"/>
    <cellStyle name="Normal 69 7" xfId="15022" xr:uid="{00000000-0005-0000-0000-0000B33A0000}"/>
    <cellStyle name="Normal 69 7 10" xfId="15023" xr:uid="{00000000-0005-0000-0000-0000B43A0000}"/>
    <cellStyle name="Normal 69 7 11" xfId="15024" xr:uid="{00000000-0005-0000-0000-0000B53A0000}"/>
    <cellStyle name="Normal 69 7 12" xfId="15025" xr:uid="{00000000-0005-0000-0000-0000B63A0000}"/>
    <cellStyle name="Normal 69 7 13" xfId="15026" xr:uid="{00000000-0005-0000-0000-0000B73A0000}"/>
    <cellStyle name="Normal 69 7 2" xfId="15027" xr:uid="{00000000-0005-0000-0000-0000B83A0000}"/>
    <cellStyle name="Normal 69 7 2 10" xfId="15028" xr:uid="{00000000-0005-0000-0000-0000B93A0000}"/>
    <cellStyle name="Normal 69 7 2 11" xfId="15029" xr:uid="{00000000-0005-0000-0000-0000BA3A0000}"/>
    <cellStyle name="Normal 69 7 2 2" xfId="15030" xr:uid="{00000000-0005-0000-0000-0000BB3A0000}"/>
    <cellStyle name="Normal 69 7 2 3" xfId="15031" xr:uid="{00000000-0005-0000-0000-0000BC3A0000}"/>
    <cellStyle name="Normal 69 7 2 4" xfId="15032" xr:uid="{00000000-0005-0000-0000-0000BD3A0000}"/>
    <cellStyle name="Normal 69 7 2 5" xfId="15033" xr:uid="{00000000-0005-0000-0000-0000BE3A0000}"/>
    <cellStyle name="Normal 69 7 2 6" xfId="15034" xr:uid="{00000000-0005-0000-0000-0000BF3A0000}"/>
    <cellStyle name="Normal 69 7 2 7" xfId="15035" xr:uid="{00000000-0005-0000-0000-0000C03A0000}"/>
    <cellStyle name="Normal 69 7 2 8" xfId="15036" xr:uid="{00000000-0005-0000-0000-0000C13A0000}"/>
    <cellStyle name="Normal 69 7 2 9" xfId="15037" xr:uid="{00000000-0005-0000-0000-0000C23A0000}"/>
    <cellStyle name="Normal 69 7 3" xfId="15038" xr:uid="{00000000-0005-0000-0000-0000C33A0000}"/>
    <cellStyle name="Normal 69 7 4" xfId="15039" xr:uid="{00000000-0005-0000-0000-0000C43A0000}"/>
    <cellStyle name="Normal 69 7 5" xfId="15040" xr:uid="{00000000-0005-0000-0000-0000C53A0000}"/>
    <cellStyle name="Normal 69 7 6" xfId="15041" xr:uid="{00000000-0005-0000-0000-0000C63A0000}"/>
    <cellStyle name="Normal 69 7 7" xfId="15042" xr:uid="{00000000-0005-0000-0000-0000C73A0000}"/>
    <cellStyle name="Normal 69 7 8" xfId="15043" xr:uid="{00000000-0005-0000-0000-0000C83A0000}"/>
    <cellStyle name="Normal 69 7 9" xfId="15044" xr:uid="{00000000-0005-0000-0000-0000C93A0000}"/>
    <cellStyle name="Normal 69 8" xfId="15045" xr:uid="{00000000-0005-0000-0000-0000CA3A0000}"/>
    <cellStyle name="Normal 69 8 10" xfId="15046" xr:uid="{00000000-0005-0000-0000-0000CB3A0000}"/>
    <cellStyle name="Normal 69 8 11" xfId="15047" xr:uid="{00000000-0005-0000-0000-0000CC3A0000}"/>
    <cellStyle name="Normal 69 8 12" xfId="15048" xr:uid="{00000000-0005-0000-0000-0000CD3A0000}"/>
    <cellStyle name="Normal 69 8 13" xfId="15049" xr:uid="{00000000-0005-0000-0000-0000CE3A0000}"/>
    <cellStyle name="Normal 69 8 2" xfId="15050" xr:uid="{00000000-0005-0000-0000-0000CF3A0000}"/>
    <cellStyle name="Normal 69 8 2 10" xfId="15051" xr:uid="{00000000-0005-0000-0000-0000D03A0000}"/>
    <cellStyle name="Normal 69 8 2 11" xfId="15052" xr:uid="{00000000-0005-0000-0000-0000D13A0000}"/>
    <cellStyle name="Normal 69 8 2 2" xfId="15053" xr:uid="{00000000-0005-0000-0000-0000D23A0000}"/>
    <cellStyle name="Normal 69 8 2 3" xfId="15054" xr:uid="{00000000-0005-0000-0000-0000D33A0000}"/>
    <cellStyle name="Normal 69 8 2 4" xfId="15055" xr:uid="{00000000-0005-0000-0000-0000D43A0000}"/>
    <cellStyle name="Normal 69 8 2 5" xfId="15056" xr:uid="{00000000-0005-0000-0000-0000D53A0000}"/>
    <cellStyle name="Normal 69 8 2 6" xfId="15057" xr:uid="{00000000-0005-0000-0000-0000D63A0000}"/>
    <cellStyle name="Normal 69 8 2 7" xfId="15058" xr:uid="{00000000-0005-0000-0000-0000D73A0000}"/>
    <cellStyle name="Normal 69 8 2 8" xfId="15059" xr:uid="{00000000-0005-0000-0000-0000D83A0000}"/>
    <cellStyle name="Normal 69 8 2 9" xfId="15060" xr:uid="{00000000-0005-0000-0000-0000D93A0000}"/>
    <cellStyle name="Normal 69 8 3" xfId="15061" xr:uid="{00000000-0005-0000-0000-0000DA3A0000}"/>
    <cellStyle name="Normal 69 8 4" xfId="15062" xr:uid="{00000000-0005-0000-0000-0000DB3A0000}"/>
    <cellStyle name="Normal 69 8 5" xfId="15063" xr:uid="{00000000-0005-0000-0000-0000DC3A0000}"/>
    <cellStyle name="Normal 69 8 6" xfId="15064" xr:uid="{00000000-0005-0000-0000-0000DD3A0000}"/>
    <cellStyle name="Normal 69 8 7" xfId="15065" xr:uid="{00000000-0005-0000-0000-0000DE3A0000}"/>
    <cellStyle name="Normal 69 8 8" xfId="15066" xr:uid="{00000000-0005-0000-0000-0000DF3A0000}"/>
    <cellStyle name="Normal 69 8 9" xfId="15067" xr:uid="{00000000-0005-0000-0000-0000E03A0000}"/>
    <cellStyle name="Normal 69 9" xfId="15068" xr:uid="{00000000-0005-0000-0000-0000E13A0000}"/>
    <cellStyle name="Normal 69 9 10" xfId="15069" xr:uid="{00000000-0005-0000-0000-0000E23A0000}"/>
    <cellStyle name="Normal 69 9 11" xfId="15070" xr:uid="{00000000-0005-0000-0000-0000E33A0000}"/>
    <cellStyle name="Normal 69 9 12" xfId="15071" xr:uid="{00000000-0005-0000-0000-0000E43A0000}"/>
    <cellStyle name="Normal 69 9 13" xfId="15072" xr:uid="{00000000-0005-0000-0000-0000E53A0000}"/>
    <cellStyle name="Normal 69 9 2" xfId="15073" xr:uid="{00000000-0005-0000-0000-0000E63A0000}"/>
    <cellStyle name="Normal 69 9 2 10" xfId="15074" xr:uid="{00000000-0005-0000-0000-0000E73A0000}"/>
    <cellStyle name="Normal 69 9 2 11" xfId="15075" xr:uid="{00000000-0005-0000-0000-0000E83A0000}"/>
    <cellStyle name="Normal 69 9 2 2" xfId="15076" xr:uid="{00000000-0005-0000-0000-0000E93A0000}"/>
    <cellStyle name="Normal 69 9 2 3" xfId="15077" xr:uid="{00000000-0005-0000-0000-0000EA3A0000}"/>
    <cellStyle name="Normal 69 9 2 4" xfId="15078" xr:uid="{00000000-0005-0000-0000-0000EB3A0000}"/>
    <cellStyle name="Normal 69 9 2 5" xfId="15079" xr:uid="{00000000-0005-0000-0000-0000EC3A0000}"/>
    <cellStyle name="Normal 69 9 2 6" xfId="15080" xr:uid="{00000000-0005-0000-0000-0000ED3A0000}"/>
    <cellStyle name="Normal 69 9 2 7" xfId="15081" xr:uid="{00000000-0005-0000-0000-0000EE3A0000}"/>
    <cellStyle name="Normal 69 9 2 8" xfId="15082" xr:uid="{00000000-0005-0000-0000-0000EF3A0000}"/>
    <cellStyle name="Normal 69 9 2 9" xfId="15083" xr:uid="{00000000-0005-0000-0000-0000F03A0000}"/>
    <cellStyle name="Normal 69 9 3" xfId="15084" xr:uid="{00000000-0005-0000-0000-0000F13A0000}"/>
    <cellStyle name="Normal 69 9 4" xfId="15085" xr:uid="{00000000-0005-0000-0000-0000F23A0000}"/>
    <cellStyle name="Normal 69 9 5" xfId="15086" xr:uid="{00000000-0005-0000-0000-0000F33A0000}"/>
    <cellStyle name="Normal 69 9 6" xfId="15087" xr:uid="{00000000-0005-0000-0000-0000F43A0000}"/>
    <cellStyle name="Normal 69 9 7" xfId="15088" xr:uid="{00000000-0005-0000-0000-0000F53A0000}"/>
    <cellStyle name="Normal 69 9 8" xfId="15089" xr:uid="{00000000-0005-0000-0000-0000F63A0000}"/>
    <cellStyle name="Normal 69 9 9" xfId="15090" xr:uid="{00000000-0005-0000-0000-0000F73A0000}"/>
    <cellStyle name="Normal 7" xfId="15091" xr:uid="{00000000-0005-0000-0000-0000F83A0000}"/>
    <cellStyle name="Normal 70" xfId="15092" xr:uid="{00000000-0005-0000-0000-0000F93A0000}"/>
    <cellStyle name="Normal 70 10" xfId="15093" xr:uid="{00000000-0005-0000-0000-0000FA3A0000}"/>
    <cellStyle name="Normal 70 10 10" xfId="15094" xr:uid="{00000000-0005-0000-0000-0000FB3A0000}"/>
    <cellStyle name="Normal 70 10 11" xfId="15095" xr:uid="{00000000-0005-0000-0000-0000FC3A0000}"/>
    <cellStyle name="Normal 70 10 12" xfId="15096" xr:uid="{00000000-0005-0000-0000-0000FD3A0000}"/>
    <cellStyle name="Normal 70 10 13" xfId="15097" xr:uid="{00000000-0005-0000-0000-0000FE3A0000}"/>
    <cellStyle name="Normal 70 10 2" xfId="15098" xr:uid="{00000000-0005-0000-0000-0000FF3A0000}"/>
    <cellStyle name="Normal 70 10 2 10" xfId="15099" xr:uid="{00000000-0005-0000-0000-0000003B0000}"/>
    <cellStyle name="Normal 70 10 2 11" xfId="15100" xr:uid="{00000000-0005-0000-0000-0000013B0000}"/>
    <cellStyle name="Normal 70 10 2 2" xfId="15101" xr:uid="{00000000-0005-0000-0000-0000023B0000}"/>
    <cellStyle name="Normal 70 10 2 3" xfId="15102" xr:uid="{00000000-0005-0000-0000-0000033B0000}"/>
    <cellStyle name="Normal 70 10 2 4" xfId="15103" xr:uid="{00000000-0005-0000-0000-0000043B0000}"/>
    <cellStyle name="Normal 70 10 2 5" xfId="15104" xr:uid="{00000000-0005-0000-0000-0000053B0000}"/>
    <cellStyle name="Normal 70 10 2 6" xfId="15105" xr:uid="{00000000-0005-0000-0000-0000063B0000}"/>
    <cellStyle name="Normal 70 10 2 7" xfId="15106" xr:uid="{00000000-0005-0000-0000-0000073B0000}"/>
    <cellStyle name="Normal 70 10 2 8" xfId="15107" xr:uid="{00000000-0005-0000-0000-0000083B0000}"/>
    <cellStyle name="Normal 70 10 2 9" xfId="15108" xr:uid="{00000000-0005-0000-0000-0000093B0000}"/>
    <cellStyle name="Normal 70 10 3" xfId="15109" xr:uid="{00000000-0005-0000-0000-00000A3B0000}"/>
    <cellStyle name="Normal 70 10 4" xfId="15110" xr:uid="{00000000-0005-0000-0000-00000B3B0000}"/>
    <cellStyle name="Normal 70 10 5" xfId="15111" xr:uid="{00000000-0005-0000-0000-00000C3B0000}"/>
    <cellStyle name="Normal 70 10 6" xfId="15112" xr:uid="{00000000-0005-0000-0000-00000D3B0000}"/>
    <cellStyle name="Normal 70 10 7" xfId="15113" xr:uid="{00000000-0005-0000-0000-00000E3B0000}"/>
    <cellStyle name="Normal 70 10 8" xfId="15114" xr:uid="{00000000-0005-0000-0000-00000F3B0000}"/>
    <cellStyle name="Normal 70 10 9" xfId="15115" xr:uid="{00000000-0005-0000-0000-0000103B0000}"/>
    <cellStyle name="Normal 70 11" xfId="15116" xr:uid="{00000000-0005-0000-0000-0000113B0000}"/>
    <cellStyle name="Normal 70 11 10" xfId="15117" xr:uid="{00000000-0005-0000-0000-0000123B0000}"/>
    <cellStyle name="Normal 70 11 11" xfId="15118" xr:uid="{00000000-0005-0000-0000-0000133B0000}"/>
    <cellStyle name="Normal 70 11 12" xfId="15119" xr:uid="{00000000-0005-0000-0000-0000143B0000}"/>
    <cellStyle name="Normal 70 11 13" xfId="15120" xr:uid="{00000000-0005-0000-0000-0000153B0000}"/>
    <cellStyle name="Normal 70 11 2" xfId="15121" xr:uid="{00000000-0005-0000-0000-0000163B0000}"/>
    <cellStyle name="Normal 70 11 2 10" xfId="15122" xr:uid="{00000000-0005-0000-0000-0000173B0000}"/>
    <cellStyle name="Normal 70 11 2 11" xfId="15123" xr:uid="{00000000-0005-0000-0000-0000183B0000}"/>
    <cellStyle name="Normal 70 11 2 2" xfId="15124" xr:uid="{00000000-0005-0000-0000-0000193B0000}"/>
    <cellStyle name="Normal 70 11 2 3" xfId="15125" xr:uid="{00000000-0005-0000-0000-00001A3B0000}"/>
    <cellStyle name="Normal 70 11 2 4" xfId="15126" xr:uid="{00000000-0005-0000-0000-00001B3B0000}"/>
    <cellStyle name="Normal 70 11 2 5" xfId="15127" xr:uid="{00000000-0005-0000-0000-00001C3B0000}"/>
    <cellStyle name="Normal 70 11 2 6" xfId="15128" xr:uid="{00000000-0005-0000-0000-00001D3B0000}"/>
    <cellStyle name="Normal 70 11 2 7" xfId="15129" xr:uid="{00000000-0005-0000-0000-00001E3B0000}"/>
    <cellStyle name="Normal 70 11 2 8" xfId="15130" xr:uid="{00000000-0005-0000-0000-00001F3B0000}"/>
    <cellStyle name="Normal 70 11 2 9" xfId="15131" xr:uid="{00000000-0005-0000-0000-0000203B0000}"/>
    <cellStyle name="Normal 70 11 3" xfId="15132" xr:uid="{00000000-0005-0000-0000-0000213B0000}"/>
    <cellStyle name="Normal 70 11 4" xfId="15133" xr:uid="{00000000-0005-0000-0000-0000223B0000}"/>
    <cellStyle name="Normal 70 11 5" xfId="15134" xr:uid="{00000000-0005-0000-0000-0000233B0000}"/>
    <cellStyle name="Normal 70 11 6" xfId="15135" xr:uid="{00000000-0005-0000-0000-0000243B0000}"/>
    <cellStyle name="Normal 70 11 7" xfId="15136" xr:uid="{00000000-0005-0000-0000-0000253B0000}"/>
    <cellStyle name="Normal 70 11 8" xfId="15137" xr:uid="{00000000-0005-0000-0000-0000263B0000}"/>
    <cellStyle name="Normal 70 11 9" xfId="15138" xr:uid="{00000000-0005-0000-0000-0000273B0000}"/>
    <cellStyle name="Normal 70 12" xfId="15139" xr:uid="{00000000-0005-0000-0000-0000283B0000}"/>
    <cellStyle name="Normal 70 12 10" xfId="15140" xr:uid="{00000000-0005-0000-0000-0000293B0000}"/>
    <cellStyle name="Normal 70 12 11" xfId="15141" xr:uid="{00000000-0005-0000-0000-00002A3B0000}"/>
    <cellStyle name="Normal 70 12 12" xfId="15142" xr:uid="{00000000-0005-0000-0000-00002B3B0000}"/>
    <cellStyle name="Normal 70 12 13" xfId="15143" xr:uid="{00000000-0005-0000-0000-00002C3B0000}"/>
    <cellStyle name="Normal 70 12 2" xfId="15144" xr:uid="{00000000-0005-0000-0000-00002D3B0000}"/>
    <cellStyle name="Normal 70 12 2 10" xfId="15145" xr:uid="{00000000-0005-0000-0000-00002E3B0000}"/>
    <cellStyle name="Normal 70 12 2 11" xfId="15146" xr:uid="{00000000-0005-0000-0000-00002F3B0000}"/>
    <cellStyle name="Normal 70 12 2 2" xfId="15147" xr:uid="{00000000-0005-0000-0000-0000303B0000}"/>
    <cellStyle name="Normal 70 12 2 3" xfId="15148" xr:uid="{00000000-0005-0000-0000-0000313B0000}"/>
    <cellStyle name="Normal 70 12 2 4" xfId="15149" xr:uid="{00000000-0005-0000-0000-0000323B0000}"/>
    <cellStyle name="Normal 70 12 2 5" xfId="15150" xr:uid="{00000000-0005-0000-0000-0000333B0000}"/>
    <cellStyle name="Normal 70 12 2 6" xfId="15151" xr:uid="{00000000-0005-0000-0000-0000343B0000}"/>
    <cellStyle name="Normal 70 12 2 7" xfId="15152" xr:uid="{00000000-0005-0000-0000-0000353B0000}"/>
    <cellStyle name="Normal 70 12 2 8" xfId="15153" xr:uid="{00000000-0005-0000-0000-0000363B0000}"/>
    <cellStyle name="Normal 70 12 2 9" xfId="15154" xr:uid="{00000000-0005-0000-0000-0000373B0000}"/>
    <cellStyle name="Normal 70 12 3" xfId="15155" xr:uid="{00000000-0005-0000-0000-0000383B0000}"/>
    <cellStyle name="Normal 70 12 4" xfId="15156" xr:uid="{00000000-0005-0000-0000-0000393B0000}"/>
    <cellStyle name="Normal 70 12 5" xfId="15157" xr:uid="{00000000-0005-0000-0000-00003A3B0000}"/>
    <cellStyle name="Normal 70 12 6" xfId="15158" xr:uid="{00000000-0005-0000-0000-00003B3B0000}"/>
    <cellStyle name="Normal 70 12 7" xfId="15159" xr:uid="{00000000-0005-0000-0000-00003C3B0000}"/>
    <cellStyle name="Normal 70 12 8" xfId="15160" xr:uid="{00000000-0005-0000-0000-00003D3B0000}"/>
    <cellStyle name="Normal 70 12 9" xfId="15161" xr:uid="{00000000-0005-0000-0000-00003E3B0000}"/>
    <cellStyle name="Normal 70 13" xfId="15162" xr:uid="{00000000-0005-0000-0000-00003F3B0000}"/>
    <cellStyle name="Normal 70 13 10" xfId="15163" xr:uid="{00000000-0005-0000-0000-0000403B0000}"/>
    <cellStyle name="Normal 70 13 11" xfId="15164" xr:uid="{00000000-0005-0000-0000-0000413B0000}"/>
    <cellStyle name="Normal 70 13 12" xfId="15165" xr:uid="{00000000-0005-0000-0000-0000423B0000}"/>
    <cellStyle name="Normal 70 13 13" xfId="15166" xr:uid="{00000000-0005-0000-0000-0000433B0000}"/>
    <cellStyle name="Normal 70 13 2" xfId="15167" xr:uid="{00000000-0005-0000-0000-0000443B0000}"/>
    <cellStyle name="Normal 70 13 2 10" xfId="15168" xr:uid="{00000000-0005-0000-0000-0000453B0000}"/>
    <cellStyle name="Normal 70 13 2 11" xfId="15169" xr:uid="{00000000-0005-0000-0000-0000463B0000}"/>
    <cellStyle name="Normal 70 13 2 2" xfId="15170" xr:uid="{00000000-0005-0000-0000-0000473B0000}"/>
    <cellStyle name="Normal 70 13 2 3" xfId="15171" xr:uid="{00000000-0005-0000-0000-0000483B0000}"/>
    <cellStyle name="Normal 70 13 2 4" xfId="15172" xr:uid="{00000000-0005-0000-0000-0000493B0000}"/>
    <cellStyle name="Normal 70 13 2 5" xfId="15173" xr:uid="{00000000-0005-0000-0000-00004A3B0000}"/>
    <cellStyle name="Normal 70 13 2 6" xfId="15174" xr:uid="{00000000-0005-0000-0000-00004B3B0000}"/>
    <cellStyle name="Normal 70 13 2 7" xfId="15175" xr:uid="{00000000-0005-0000-0000-00004C3B0000}"/>
    <cellStyle name="Normal 70 13 2 8" xfId="15176" xr:uid="{00000000-0005-0000-0000-00004D3B0000}"/>
    <cellStyle name="Normal 70 13 2 9" xfId="15177" xr:uid="{00000000-0005-0000-0000-00004E3B0000}"/>
    <cellStyle name="Normal 70 13 3" xfId="15178" xr:uid="{00000000-0005-0000-0000-00004F3B0000}"/>
    <cellStyle name="Normal 70 13 4" xfId="15179" xr:uid="{00000000-0005-0000-0000-0000503B0000}"/>
    <cellStyle name="Normal 70 13 5" xfId="15180" xr:uid="{00000000-0005-0000-0000-0000513B0000}"/>
    <cellStyle name="Normal 70 13 6" xfId="15181" xr:uid="{00000000-0005-0000-0000-0000523B0000}"/>
    <cellStyle name="Normal 70 13 7" xfId="15182" xr:uid="{00000000-0005-0000-0000-0000533B0000}"/>
    <cellStyle name="Normal 70 13 8" xfId="15183" xr:uid="{00000000-0005-0000-0000-0000543B0000}"/>
    <cellStyle name="Normal 70 13 9" xfId="15184" xr:uid="{00000000-0005-0000-0000-0000553B0000}"/>
    <cellStyle name="Normal 70 14" xfId="15185" xr:uid="{00000000-0005-0000-0000-0000563B0000}"/>
    <cellStyle name="Normal 70 14 10" xfId="15186" xr:uid="{00000000-0005-0000-0000-0000573B0000}"/>
    <cellStyle name="Normal 70 14 11" xfId="15187" xr:uid="{00000000-0005-0000-0000-0000583B0000}"/>
    <cellStyle name="Normal 70 14 2" xfId="15188" xr:uid="{00000000-0005-0000-0000-0000593B0000}"/>
    <cellStyle name="Normal 70 14 3" xfId="15189" xr:uid="{00000000-0005-0000-0000-00005A3B0000}"/>
    <cellStyle name="Normal 70 14 4" xfId="15190" xr:uid="{00000000-0005-0000-0000-00005B3B0000}"/>
    <cellStyle name="Normal 70 14 5" xfId="15191" xr:uid="{00000000-0005-0000-0000-00005C3B0000}"/>
    <cellStyle name="Normal 70 14 6" xfId="15192" xr:uid="{00000000-0005-0000-0000-00005D3B0000}"/>
    <cellStyle name="Normal 70 14 7" xfId="15193" xr:uid="{00000000-0005-0000-0000-00005E3B0000}"/>
    <cellStyle name="Normal 70 14 8" xfId="15194" xr:uid="{00000000-0005-0000-0000-00005F3B0000}"/>
    <cellStyle name="Normal 70 14 9" xfId="15195" xr:uid="{00000000-0005-0000-0000-0000603B0000}"/>
    <cellStyle name="Normal 70 15" xfId="15196" xr:uid="{00000000-0005-0000-0000-0000613B0000}"/>
    <cellStyle name="Normal 70 16" xfId="15197" xr:uid="{00000000-0005-0000-0000-0000623B0000}"/>
    <cellStyle name="Normal 70 17" xfId="15198" xr:uid="{00000000-0005-0000-0000-0000633B0000}"/>
    <cellStyle name="Normal 70 18" xfId="15199" xr:uid="{00000000-0005-0000-0000-0000643B0000}"/>
    <cellStyle name="Normal 70 19" xfId="15200" xr:uid="{00000000-0005-0000-0000-0000653B0000}"/>
    <cellStyle name="Normal 70 2" xfId="15201" xr:uid="{00000000-0005-0000-0000-0000663B0000}"/>
    <cellStyle name="Normal 70 2 10" xfId="15202" xr:uid="{00000000-0005-0000-0000-0000673B0000}"/>
    <cellStyle name="Normal 70 2 11" xfId="15203" xr:uid="{00000000-0005-0000-0000-0000683B0000}"/>
    <cellStyle name="Normal 70 2 12" xfId="15204" xr:uid="{00000000-0005-0000-0000-0000693B0000}"/>
    <cellStyle name="Normal 70 2 13" xfId="15205" xr:uid="{00000000-0005-0000-0000-00006A3B0000}"/>
    <cellStyle name="Normal 70 2 2" xfId="15206" xr:uid="{00000000-0005-0000-0000-00006B3B0000}"/>
    <cellStyle name="Normal 70 2 2 10" xfId="15207" xr:uid="{00000000-0005-0000-0000-00006C3B0000}"/>
    <cellStyle name="Normal 70 2 2 11" xfId="15208" xr:uid="{00000000-0005-0000-0000-00006D3B0000}"/>
    <cellStyle name="Normal 70 2 2 2" xfId="15209" xr:uid="{00000000-0005-0000-0000-00006E3B0000}"/>
    <cellStyle name="Normal 70 2 2 3" xfId="15210" xr:uid="{00000000-0005-0000-0000-00006F3B0000}"/>
    <cellStyle name="Normal 70 2 2 4" xfId="15211" xr:uid="{00000000-0005-0000-0000-0000703B0000}"/>
    <cellStyle name="Normal 70 2 2 5" xfId="15212" xr:uid="{00000000-0005-0000-0000-0000713B0000}"/>
    <cellStyle name="Normal 70 2 2 6" xfId="15213" xr:uid="{00000000-0005-0000-0000-0000723B0000}"/>
    <cellStyle name="Normal 70 2 2 7" xfId="15214" xr:uid="{00000000-0005-0000-0000-0000733B0000}"/>
    <cellStyle name="Normal 70 2 2 8" xfId="15215" xr:uid="{00000000-0005-0000-0000-0000743B0000}"/>
    <cellStyle name="Normal 70 2 2 9" xfId="15216" xr:uid="{00000000-0005-0000-0000-0000753B0000}"/>
    <cellStyle name="Normal 70 2 3" xfId="15217" xr:uid="{00000000-0005-0000-0000-0000763B0000}"/>
    <cellStyle name="Normal 70 2 4" xfId="15218" xr:uid="{00000000-0005-0000-0000-0000773B0000}"/>
    <cellStyle name="Normal 70 2 5" xfId="15219" xr:uid="{00000000-0005-0000-0000-0000783B0000}"/>
    <cellStyle name="Normal 70 2 6" xfId="15220" xr:uid="{00000000-0005-0000-0000-0000793B0000}"/>
    <cellStyle name="Normal 70 2 7" xfId="15221" xr:uid="{00000000-0005-0000-0000-00007A3B0000}"/>
    <cellStyle name="Normal 70 2 8" xfId="15222" xr:uid="{00000000-0005-0000-0000-00007B3B0000}"/>
    <cellStyle name="Normal 70 2 9" xfId="15223" xr:uid="{00000000-0005-0000-0000-00007C3B0000}"/>
    <cellStyle name="Normal 70 20" xfId="15224" xr:uid="{00000000-0005-0000-0000-00007D3B0000}"/>
    <cellStyle name="Normal 70 21" xfId="15225" xr:uid="{00000000-0005-0000-0000-00007E3B0000}"/>
    <cellStyle name="Normal 70 22" xfId="15226" xr:uid="{00000000-0005-0000-0000-00007F3B0000}"/>
    <cellStyle name="Normal 70 23" xfId="15227" xr:uid="{00000000-0005-0000-0000-0000803B0000}"/>
    <cellStyle name="Normal 70 24" xfId="15228" xr:uid="{00000000-0005-0000-0000-0000813B0000}"/>
    <cellStyle name="Normal 70 25" xfId="15229" xr:uid="{00000000-0005-0000-0000-0000823B0000}"/>
    <cellStyle name="Normal 70 3" xfId="15230" xr:uid="{00000000-0005-0000-0000-0000833B0000}"/>
    <cellStyle name="Normal 70 3 10" xfId="15231" xr:uid="{00000000-0005-0000-0000-0000843B0000}"/>
    <cellStyle name="Normal 70 3 11" xfId="15232" xr:uid="{00000000-0005-0000-0000-0000853B0000}"/>
    <cellStyle name="Normal 70 3 12" xfId="15233" xr:uid="{00000000-0005-0000-0000-0000863B0000}"/>
    <cellStyle name="Normal 70 3 13" xfId="15234" xr:uid="{00000000-0005-0000-0000-0000873B0000}"/>
    <cellStyle name="Normal 70 3 2" xfId="15235" xr:uid="{00000000-0005-0000-0000-0000883B0000}"/>
    <cellStyle name="Normal 70 3 2 10" xfId="15236" xr:uid="{00000000-0005-0000-0000-0000893B0000}"/>
    <cellStyle name="Normal 70 3 2 11" xfId="15237" xr:uid="{00000000-0005-0000-0000-00008A3B0000}"/>
    <cellStyle name="Normal 70 3 2 2" xfId="15238" xr:uid="{00000000-0005-0000-0000-00008B3B0000}"/>
    <cellStyle name="Normal 70 3 2 3" xfId="15239" xr:uid="{00000000-0005-0000-0000-00008C3B0000}"/>
    <cellStyle name="Normal 70 3 2 4" xfId="15240" xr:uid="{00000000-0005-0000-0000-00008D3B0000}"/>
    <cellStyle name="Normal 70 3 2 5" xfId="15241" xr:uid="{00000000-0005-0000-0000-00008E3B0000}"/>
    <cellStyle name="Normal 70 3 2 6" xfId="15242" xr:uid="{00000000-0005-0000-0000-00008F3B0000}"/>
    <cellStyle name="Normal 70 3 2 7" xfId="15243" xr:uid="{00000000-0005-0000-0000-0000903B0000}"/>
    <cellStyle name="Normal 70 3 2 8" xfId="15244" xr:uid="{00000000-0005-0000-0000-0000913B0000}"/>
    <cellStyle name="Normal 70 3 2 9" xfId="15245" xr:uid="{00000000-0005-0000-0000-0000923B0000}"/>
    <cellStyle name="Normal 70 3 3" xfId="15246" xr:uid="{00000000-0005-0000-0000-0000933B0000}"/>
    <cellStyle name="Normal 70 3 4" xfId="15247" xr:uid="{00000000-0005-0000-0000-0000943B0000}"/>
    <cellStyle name="Normal 70 3 5" xfId="15248" xr:uid="{00000000-0005-0000-0000-0000953B0000}"/>
    <cellStyle name="Normal 70 3 6" xfId="15249" xr:uid="{00000000-0005-0000-0000-0000963B0000}"/>
    <cellStyle name="Normal 70 3 7" xfId="15250" xr:uid="{00000000-0005-0000-0000-0000973B0000}"/>
    <cellStyle name="Normal 70 3 8" xfId="15251" xr:uid="{00000000-0005-0000-0000-0000983B0000}"/>
    <cellStyle name="Normal 70 3 9" xfId="15252" xr:uid="{00000000-0005-0000-0000-0000993B0000}"/>
    <cellStyle name="Normal 70 4" xfId="15253" xr:uid="{00000000-0005-0000-0000-00009A3B0000}"/>
    <cellStyle name="Normal 70 4 10" xfId="15254" xr:uid="{00000000-0005-0000-0000-00009B3B0000}"/>
    <cellStyle name="Normal 70 4 11" xfId="15255" xr:uid="{00000000-0005-0000-0000-00009C3B0000}"/>
    <cellStyle name="Normal 70 4 12" xfId="15256" xr:uid="{00000000-0005-0000-0000-00009D3B0000}"/>
    <cellStyle name="Normal 70 4 13" xfId="15257" xr:uid="{00000000-0005-0000-0000-00009E3B0000}"/>
    <cellStyle name="Normal 70 4 2" xfId="15258" xr:uid="{00000000-0005-0000-0000-00009F3B0000}"/>
    <cellStyle name="Normal 70 4 2 10" xfId="15259" xr:uid="{00000000-0005-0000-0000-0000A03B0000}"/>
    <cellStyle name="Normal 70 4 2 11" xfId="15260" xr:uid="{00000000-0005-0000-0000-0000A13B0000}"/>
    <cellStyle name="Normal 70 4 2 2" xfId="15261" xr:uid="{00000000-0005-0000-0000-0000A23B0000}"/>
    <cellStyle name="Normal 70 4 2 3" xfId="15262" xr:uid="{00000000-0005-0000-0000-0000A33B0000}"/>
    <cellStyle name="Normal 70 4 2 4" xfId="15263" xr:uid="{00000000-0005-0000-0000-0000A43B0000}"/>
    <cellStyle name="Normal 70 4 2 5" xfId="15264" xr:uid="{00000000-0005-0000-0000-0000A53B0000}"/>
    <cellStyle name="Normal 70 4 2 6" xfId="15265" xr:uid="{00000000-0005-0000-0000-0000A63B0000}"/>
    <cellStyle name="Normal 70 4 2 7" xfId="15266" xr:uid="{00000000-0005-0000-0000-0000A73B0000}"/>
    <cellStyle name="Normal 70 4 2 8" xfId="15267" xr:uid="{00000000-0005-0000-0000-0000A83B0000}"/>
    <cellStyle name="Normal 70 4 2 9" xfId="15268" xr:uid="{00000000-0005-0000-0000-0000A93B0000}"/>
    <cellStyle name="Normal 70 4 3" xfId="15269" xr:uid="{00000000-0005-0000-0000-0000AA3B0000}"/>
    <cellStyle name="Normal 70 4 4" xfId="15270" xr:uid="{00000000-0005-0000-0000-0000AB3B0000}"/>
    <cellStyle name="Normal 70 4 5" xfId="15271" xr:uid="{00000000-0005-0000-0000-0000AC3B0000}"/>
    <cellStyle name="Normal 70 4 6" xfId="15272" xr:uid="{00000000-0005-0000-0000-0000AD3B0000}"/>
    <cellStyle name="Normal 70 4 7" xfId="15273" xr:uid="{00000000-0005-0000-0000-0000AE3B0000}"/>
    <cellStyle name="Normal 70 4 8" xfId="15274" xr:uid="{00000000-0005-0000-0000-0000AF3B0000}"/>
    <cellStyle name="Normal 70 4 9" xfId="15275" xr:uid="{00000000-0005-0000-0000-0000B03B0000}"/>
    <cellStyle name="Normal 70 5" xfId="15276" xr:uid="{00000000-0005-0000-0000-0000B13B0000}"/>
    <cellStyle name="Normal 70 5 10" xfId="15277" xr:uid="{00000000-0005-0000-0000-0000B23B0000}"/>
    <cellStyle name="Normal 70 5 11" xfId="15278" xr:uid="{00000000-0005-0000-0000-0000B33B0000}"/>
    <cellStyle name="Normal 70 5 12" xfId="15279" xr:uid="{00000000-0005-0000-0000-0000B43B0000}"/>
    <cellStyle name="Normal 70 5 13" xfId="15280" xr:uid="{00000000-0005-0000-0000-0000B53B0000}"/>
    <cellStyle name="Normal 70 5 2" xfId="15281" xr:uid="{00000000-0005-0000-0000-0000B63B0000}"/>
    <cellStyle name="Normal 70 5 2 10" xfId="15282" xr:uid="{00000000-0005-0000-0000-0000B73B0000}"/>
    <cellStyle name="Normal 70 5 2 11" xfId="15283" xr:uid="{00000000-0005-0000-0000-0000B83B0000}"/>
    <cellStyle name="Normal 70 5 2 2" xfId="15284" xr:uid="{00000000-0005-0000-0000-0000B93B0000}"/>
    <cellStyle name="Normal 70 5 2 3" xfId="15285" xr:uid="{00000000-0005-0000-0000-0000BA3B0000}"/>
    <cellStyle name="Normal 70 5 2 4" xfId="15286" xr:uid="{00000000-0005-0000-0000-0000BB3B0000}"/>
    <cellStyle name="Normal 70 5 2 5" xfId="15287" xr:uid="{00000000-0005-0000-0000-0000BC3B0000}"/>
    <cellStyle name="Normal 70 5 2 6" xfId="15288" xr:uid="{00000000-0005-0000-0000-0000BD3B0000}"/>
    <cellStyle name="Normal 70 5 2 7" xfId="15289" xr:uid="{00000000-0005-0000-0000-0000BE3B0000}"/>
    <cellStyle name="Normal 70 5 2 8" xfId="15290" xr:uid="{00000000-0005-0000-0000-0000BF3B0000}"/>
    <cellStyle name="Normal 70 5 2 9" xfId="15291" xr:uid="{00000000-0005-0000-0000-0000C03B0000}"/>
    <cellStyle name="Normal 70 5 3" xfId="15292" xr:uid="{00000000-0005-0000-0000-0000C13B0000}"/>
    <cellStyle name="Normal 70 5 4" xfId="15293" xr:uid="{00000000-0005-0000-0000-0000C23B0000}"/>
    <cellStyle name="Normal 70 5 5" xfId="15294" xr:uid="{00000000-0005-0000-0000-0000C33B0000}"/>
    <cellStyle name="Normal 70 5 6" xfId="15295" xr:uid="{00000000-0005-0000-0000-0000C43B0000}"/>
    <cellStyle name="Normal 70 5 7" xfId="15296" xr:uid="{00000000-0005-0000-0000-0000C53B0000}"/>
    <cellStyle name="Normal 70 5 8" xfId="15297" xr:uid="{00000000-0005-0000-0000-0000C63B0000}"/>
    <cellStyle name="Normal 70 5 9" xfId="15298" xr:uid="{00000000-0005-0000-0000-0000C73B0000}"/>
    <cellStyle name="Normal 70 6" xfId="15299" xr:uid="{00000000-0005-0000-0000-0000C83B0000}"/>
    <cellStyle name="Normal 70 6 10" xfId="15300" xr:uid="{00000000-0005-0000-0000-0000C93B0000}"/>
    <cellStyle name="Normal 70 6 11" xfId="15301" xr:uid="{00000000-0005-0000-0000-0000CA3B0000}"/>
    <cellStyle name="Normal 70 6 12" xfId="15302" xr:uid="{00000000-0005-0000-0000-0000CB3B0000}"/>
    <cellStyle name="Normal 70 6 13" xfId="15303" xr:uid="{00000000-0005-0000-0000-0000CC3B0000}"/>
    <cellStyle name="Normal 70 6 2" xfId="15304" xr:uid="{00000000-0005-0000-0000-0000CD3B0000}"/>
    <cellStyle name="Normal 70 6 2 10" xfId="15305" xr:uid="{00000000-0005-0000-0000-0000CE3B0000}"/>
    <cellStyle name="Normal 70 6 2 11" xfId="15306" xr:uid="{00000000-0005-0000-0000-0000CF3B0000}"/>
    <cellStyle name="Normal 70 6 2 2" xfId="15307" xr:uid="{00000000-0005-0000-0000-0000D03B0000}"/>
    <cellStyle name="Normal 70 6 2 3" xfId="15308" xr:uid="{00000000-0005-0000-0000-0000D13B0000}"/>
    <cellStyle name="Normal 70 6 2 4" xfId="15309" xr:uid="{00000000-0005-0000-0000-0000D23B0000}"/>
    <cellStyle name="Normal 70 6 2 5" xfId="15310" xr:uid="{00000000-0005-0000-0000-0000D33B0000}"/>
    <cellStyle name="Normal 70 6 2 6" xfId="15311" xr:uid="{00000000-0005-0000-0000-0000D43B0000}"/>
    <cellStyle name="Normal 70 6 2 7" xfId="15312" xr:uid="{00000000-0005-0000-0000-0000D53B0000}"/>
    <cellStyle name="Normal 70 6 2 8" xfId="15313" xr:uid="{00000000-0005-0000-0000-0000D63B0000}"/>
    <cellStyle name="Normal 70 6 2 9" xfId="15314" xr:uid="{00000000-0005-0000-0000-0000D73B0000}"/>
    <cellStyle name="Normal 70 6 3" xfId="15315" xr:uid="{00000000-0005-0000-0000-0000D83B0000}"/>
    <cellStyle name="Normal 70 6 4" xfId="15316" xr:uid="{00000000-0005-0000-0000-0000D93B0000}"/>
    <cellStyle name="Normal 70 6 5" xfId="15317" xr:uid="{00000000-0005-0000-0000-0000DA3B0000}"/>
    <cellStyle name="Normal 70 6 6" xfId="15318" xr:uid="{00000000-0005-0000-0000-0000DB3B0000}"/>
    <cellStyle name="Normal 70 6 7" xfId="15319" xr:uid="{00000000-0005-0000-0000-0000DC3B0000}"/>
    <cellStyle name="Normal 70 6 8" xfId="15320" xr:uid="{00000000-0005-0000-0000-0000DD3B0000}"/>
    <cellStyle name="Normal 70 6 9" xfId="15321" xr:uid="{00000000-0005-0000-0000-0000DE3B0000}"/>
    <cellStyle name="Normal 70 7" xfId="15322" xr:uid="{00000000-0005-0000-0000-0000DF3B0000}"/>
    <cellStyle name="Normal 70 7 10" xfId="15323" xr:uid="{00000000-0005-0000-0000-0000E03B0000}"/>
    <cellStyle name="Normal 70 7 11" xfId="15324" xr:uid="{00000000-0005-0000-0000-0000E13B0000}"/>
    <cellStyle name="Normal 70 7 12" xfId="15325" xr:uid="{00000000-0005-0000-0000-0000E23B0000}"/>
    <cellStyle name="Normal 70 7 13" xfId="15326" xr:uid="{00000000-0005-0000-0000-0000E33B0000}"/>
    <cellStyle name="Normal 70 7 2" xfId="15327" xr:uid="{00000000-0005-0000-0000-0000E43B0000}"/>
    <cellStyle name="Normal 70 7 2 10" xfId="15328" xr:uid="{00000000-0005-0000-0000-0000E53B0000}"/>
    <cellStyle name="Normal 70 7 2 11" xfId="15329" xr:uid="{00000000-0005-0000-0000-0000E63B0000}"/>
    <cellStyle name="Normal 70 7 2 2" xfId="15330" xr:uid="{00000000-0005-0000-0000-0000E73B0000}"/>
    <cellStyle name="Normal 70 7 2 3" xfId="15331" xr:uid="{00000000-0005-0000-0000-0000E83B0000}"/>
    <cellStyle name="Normal 70 7 2 4" xfId="15332" xr:uid="{00000000-0005-0000-0000-0000E93B0000}"/>
    <cellStyle name="Normal 70 7 2 5" xfId="15333" xr:uid="{00000000-0005-0000-0000-0000EA3B0000}"/>
    <cellStyle name="Normal 70 7 2 6" xfId="15334" xr:uid="{00000000-0005-0000-0000-0000EB3B0000}"/>
    <cellStyle name="Normal 70 7 2 7" xfId="15335" xr:uid="{00000000-0005-0000-0000-0000EC3B0000}"/>
    <cellStyle name="Normal 70 7 2 8" xfId="15336" xr:uid="{00000000-0005-0000-0000-0000ED3B0000}"/>
    <cellStyle name="Normal 70 7 2 9" xfId="15337" xr:uid="{00000000-0005-0000-0000-0000EE3B0000}"/>
    <cellStyle name="Normal 70 7 3" xfId="15338" xr:uid="{00000000-0005-0000-0000-0000EF3B0000}"/>
    <cellStyle name="Normal 70 7 4" xfId="15339" xr:uid="{00000000-0005-0000-0000-0000F03B0000}"/>
    <cellStyle name="Normal 70 7 5" xfId="15340" xr:uid="{00000000-0005-0000-0000-0000F13B0000}"/>
    <cellStyle name="Normal 70 7 6" xfId="15341" xr:uid="{00000000-0005-0000-0000-0000F23B0000}"/>
    <cellStyle name="Normal 70 7 7" xfId="15342" xr:uid="{00000000-0005-0000-0000-0000F33B0000}"/>
    <cellStyle name="Normal 70 7 8" xfId="15343" xr:uid="{00000000-0005-0000-0000-0000F43B0000}"/>
    <cellStyle name="Normal 70 7 9" xfId="15344" xr:uid="{00000000-0005-0000-0000-0000F53B0000}"/>
    <cellStyle name="Normal 70 8" xfId="15345" xr:uid="{00000000-0005-0000-0000-0000F63B0000}"/>
    <cellStyle name="Normal 70 8 10" xfId="15346" xr:uid="{00000000-0005-0000-0000-0000F73B0000}"/>
    <cellStyle name="Normal 70 8 11" xfId="15347" xr:uid="{00000000-0005-0000-0000-0000F83B0000}"/>
    <cellStyle name="Normal 70 8 12" xfId="15348" xr:uid="{00000000-0005-0000-0000-0000F93B0000}"/>
    <cellStyle name="Normal 70 8 13" xfId="15349" xr:uid="{00000000-0005-0000-0000-0000FA3B0000}"/>
    <cellStyle name="Normal 70 8 2" xfId="15350" xr:uid="{00000000-0005-0000-0000-0000FB3B0000}"/>
    <cellStyle name="Normal 70 8 2 10" xfId="15351" xr:uid="{00000000-0005-0000-0000-0000FC3B0000}"/>
    <cellStyle name="Normal 70 8 2 11" xfId="15352" xr:uid="{00000000-0005-0000-0000-0000FD3B0000}"/>
    <cellStyle name="Normal 70 8 2 2" xfId="15353" xr:uid="{00000000-0005-0000-0000-0000FE3B0000}"/>
    <cellStyle name="Normal 70 8 2 3" xfId="15354" xr:uid="{00000000-0005-0000-0000-0000FF3B0000}"/>
    <cellStyle name="Normal 70 8 2 4" xfId="15355" xr:uid="{00000000-0005-0000-0000-0000003C0000}"/>
    <cellStyle name="Normal 70 8 2 5" xfId="15356" xr:uid="{00000000-0005-0000-0000-0000013C0000}"/>
    <cellStyle name="Normal 70 8 2 6" xfId="15357" xr:uid="{00000000-0005-0000-0000-0000023C0000}"/>
    <cellStyle name="Normal 70 8 2 7" xfId="15358" xr:uid="{00000000-0005-0000-0000-0000033C0000}"/>
    <cellStyle name="Normal 70 8 2 8" xfId="15359" xr:uid="{00000000-0005-0000-0000-0000043C0000}"/>
    <cellStyle name="Normal 70 8 2 9" xfId="15360" xr:uid="{00000000-0005-0000-0000-0000053C0000}"/>
    <cellStyle name="Normal 70 8 3" xfId="15361" xr:uid="{00000000-0005-0000-0000-0000063C0000}"/>
    <cellStyle name="Normal 70 8 4" xfId="15362" xr:uid="{00000000-0005-0000-0000-0000073C0000}"/>
    <cellStyle name="Normal 70 8 5" xfId="15363" xr:uid="{00000000-0005-0000-0000-0000083C0000}"/>
    <cellStyle name="Normal 70 8 6" xfId="15364" xr:uid="{00000000-0005-0000-0000-0000093C0000}"/>
    <cellStyle name="Normal 70 8 7" xfId="15365" xr:uid="{00000000-0005-0000-0000-00000A3C0000}"/>
    <cellStyle name="Normal 70 8 8" xfId="15366" xr:uid="{00000000-0005-0000-0000-00000B3C0000}"/>
    <cellStyle name="Normal 70 8 9" xfId="15367" xr:uid="{00000000-0005-0000-0000-00000C3C0000}"/>
    <cellStyle name="Normal 70 9" xfId="15368" xr:uid="{00000000-0005-0000-0000-00000D3C0000}"/>
    <cellStyle name="Normal 70 9 10" xfId="15369" xr:uid="{00000000-0005-0000-0000-00000E3C0000}"/>
    <cellStyle name="Normal 70 9 11" xfId="15370" xr:uid="{00000000-0005-0000-0000-00000F3C0000}"/>
    <cellStyle name="Normal 70 9 12" xfId="15371" xr:uid="{00000000-0005-0000-0000-0000103C0000}"/>
    <cellStyle name="Normal 70 9 13" xfId="15372" xr:uid="{00000000-0005-0000-0000-0000113C0000}"/>
    <cellStyle name="Normal 70 9 2" xfId="15373" xr:uid="{00000000-0005-0000-0000-0000123C0000}"/>
    <cellStyle name="Normal 70 9 2 10" xfId="15374" xr:uid="{00000000-0005-0000-0000-0000133C0000}"/>
    <cellStyle name="Normal 70 9 2 11" xfId="15375" xr:uid="{00000000-0005-0000-0000-0000143C0000}"/>
    <cellStyle name="Normal 70 9 2 2" xfId="15376" xr:uid="{00000000-0005-0000-0000-0000153C0000}"/>
    <cellStyle name="Normal 70 9 2 3" xfId="15377" xr:uid="{00000000-0005-0000-0000-0000163C0000}"/>
    <cellStyle name="Normal 70 9 2 4" xfId="15378" xr:uid="{00000000-0005-0000-0000-0000173C0000}"/>
    <cellStyle name="Normal 70 9 2 5" xfId="15379" xr:uid="{00000000-0005-0000-0000-0000183C0000}"/>
    <cellStyle name="Normal 70 9 2 6" xfId="15380" xr:uid="{00000000-0005-0000-0000-0000193C0000}"/>
    <cellStyle name="Normal 70 9 2 7" xfId="15381" xr:uid="{00000000-0005-0000-0000-00001A3C0000}"/>
    <cellStyle name="Normal 70 9 2 8" xfId="15382" xr:uid="{00000000-0005-0000-0000-00001B3C0000}"/>
    <cellStyle name="Normal 70 9 2 9" xfId="15383" xr:uid="{00000000-0005-0000-0000-00001C3C0000}"/>
    <cellStyle name="Normal 70 9 3" xfId="15384" xr:uid="{00000000-0005-0000-0000-00001D3C0000}"/>
    <cellStyle name="Normal 70 9 4" xfId="15385" xr:uid="{00000000-0005-0000-0000-00001E3C0000}"/>
    <cellStyle name="Normal 70 9 5" xfId="15386" xr:uid="{00000000-0005-0000-0000-00001F3C0000}"/>
    <cellStyle name="Normal 70 9 6" xfId="15387" xr:uid="{00000000-0005-0000-0000-0000203C0000}"/>
    <cellStyle name="Normal 70 9 7" xfId="15388" xr:uid="{00000000-0005-0000-0000-0000213C0000}"/>
    <cellStyle name="Normal 70 9 8" xfId="15389" xr:uid="{00000000-0005-0000-0000-0000223C0000}"/>
    <cellStyle name="Normal 70 9 9" xfId="15390" xr:uid="{00000000-0005-0000-0000-0000233C0000}"/>
    <cellStyle name="Normal 71" xfId="15391" xr:uid="{00000000-0005-0000-0000-0000243C0000}"/>
    <cellStyle name="Normal 71 10" xfId="15392" xr:uid="{00000000-0005-0000-0000-0000253C0000}"/>
    <cellStyle name="Normal 71 10 10" xfId="15393" xr:uid="{00000000-0005-0000-0000-0000263C0000}"/>
    <cellStyle name="Normal 71 10 11" xfId="15394" xr:uid="{00000000-0005-0000-0000-0000273C0000}"/>
    <cellStyle name="Normal 71 10 12" xfId="15395" xr:uid="{00000000-0005-0000-0000-0000283C0000}"/>
    <cellStyle name="Normal 71 10 13" xfId="15396" xr:uid="{00000000-0005-0000-0000-0000293C0000}"/>
    <cellStyle name="Normal 71 10 2" xfId="15397" xr:uid="{00000000-0005-0000-0000-00002A3C0000}"/>
    <cellStyle name="Normal 71 10 2 10" xfId="15398" xr:uid="{00000000-0005-0000-0000-00002B3C0000}"/>
    <cellStyle name="Normal 71 10 2 11" xfId="15399" xr:uid="{00000000-0005-0000-0000-00002C3C0000}"/>
    <cellStyle name="Normal 71 10 2 2" xfId="15400" xr:uid="{00000000-0005-0000-0000-00002D3C0000}"/>
    <cellStyle name="Normal 71 10 2 3" xfId="15401" xr:uid="{00000000-0005-0000-0000-00002E3C0000}"/>
    <cellStyle name="Normal 71 10 2 4" xfId="15402" xr:uid="{00000000-0005-0000-0000-00002F3C0000}"/>
    <cellStyle name="Normal 71 10 2 5" xfId="15403" xr:uid="{00000000-0005-0000-0000-0000303C0000}"/>
    <cellStyle name="Normal 71 10 2 6" xfId="15404" xr:uid="{00000000-0005-0000-0000-0000313C0000}"/>
    <cellStyle name="Normal 71 10 2 7" xfId="15405" xr:uid="{00000000-0005-0000-0000-0000323C0000}"/>
    <cellStyle name="Normal 71 10 2 8" xfId="15406" xr:uid="{00000000-0005-0000-0000-0000333C0000}"/>
    <cellStyle name="Normal 71 10 2 9" xfId="15407" xr:uid="{00000000-0005-0000-0000-0000343C0000}"/>
    <cellStyle name="Normal 71 10 3" xfId="15408" xr:uid="{00000000-0005-0000-0000-0000353C0000}"/>
    <cellStyle name="Normal 71 10 4" xfId="15409" xr:uid="{00000000-0005-0000-0000-0000363C0000}"/>
    <cellStyle name="Normal 71 10 5" xfId="15410" xr:uid="{00000000-0005-0000-0000-0000373C0000}"/>
    <cellStyle name="Normal 71 10 6" xfId="15411" xr:uid="{00000000-0005-0000-0000-0000383C0000}"/>
    <cellStyle name="Normal 71 10 7" xfId="15412" xr:uid="{00000000-0005-0000-0000-0000393C0000}"/>
    <cellStyle name="Normal 71 10 8" xfId="15413" xr:uid="{00000000-0005-0000-0000-00003A3C0000}"/>
    <cellStyle name="Normal 71 10 9" xfId="15414" xr:uid="{00000000-0005-0000-0000-00003B3C0000}"/>
    <cellStyle name="Normal 71 11" xfId="15415" xr:uid="{00000000-0005-0000-0000-00003C3C0000}"/>
    <cellStyle name="Normal 71 11 10" xfId="15416" xr:uid="{00000000-0005-0000-0000-00003D3C0000}"/>
    <cellStyle name="Normal 71 11 11" xfId="15417" xr:uid="{00000000-0005-0000-0000-00003E3C0000}"/>
    <cellStyle name="Normal 71 11 12" xfId="15418" xr:uid="{00000000-0005-0000-0000-00003F3C0000}"/>
    <cellStyle name="Normal 71 11 13" xfId="15419" xr:uid="{00000000-0005-0000-0000-0000403C0000}"/>
    <cellStyle name="Normal 71 11 2" xfId="15420" xr:uid="{00000000-0005-0000-0000-0000413C0000}"/>
    <cellStyle name="Normal 71 11 2 10" xfId="15421" xr:uid="{00000000-0005-0000-0000-0000423C0000}"/>
    <cellStyle name="Normal 71 11 2 11" xfId="15422" xr:uid="{00000000-0005-0000-0000-0000433C0000}"/>
    <cellStyle name="Normal 71 11 2 2" xfId="15423" xr:uid="{00000000-0005-0000-0000-0000443C0000}"/>
    <cellStyle name="Normal 71 11 2 3" xfId="15424" xr:uid="{00000000-0005-0000-0000-0000453C0000}"/>
    <cellStyle name="Normal 71 11 2 4" xfId="15425" xr:uid="{00000000-0005-0000-0000-0000463C0000}"/>
    <cellStyle name="Normal 71 11 2 5" xfId="15426" xr:uid="{00000000-0005-0000-0000-0000473C0000}"/>
    <cellStyle name="Normal 71 11 2 6" xfId="15427" xr:uid="{00000000-0005-0000-0000-0000483C0000}"/>
    <cellStyle name="Normal 71 11 2 7" xfId="15428" xr:uid="{00000000-0005-0000-0000-0000493C0000}"/>
    <cellStyle name="Normal 71 11 2 8" xfId="15429" xr:uid="{00000000-0005-0000-0000-00004A3C0000}"/>
    <cellStyle name="Normal 71 11 2 9" xfId="15430" xr:uid="{00000000-0005-0000-0000-00004B3C0000}"/>
    <cellStyle name="Normal 71 11 3" xfId="15431" xr:uid="{00000000-0005-0000-0000-00004C3C0000}"/>
    <cellStyle name="Normal 71 11 4" xfId="15432" xr:uid="{00000000-0005-0000-0000-00004D3C0000}"/>
    <cellStyle name="Normal 71 11 5" xfId="15433" xr:uid="{00000000-0005-0000-0000-00004E3C0000}"/>
    <cellStyle name="Normal 71 11 6" xfId="15434" xr:uid="{00000000-0005-0000-0000-00004F3C0000}"/>
    <cellStyle name="Normal 71 11 7" xfId="15435" xr:uid="{00000000-0005-0000-0000-0000503C0000}"/>
    <cellStyle name="Normal 71 11 8" xfId="15436" xr:uid="{00000000-0005-0000-0000-0000513C0000}"/>
    <cellStyle name="Normal 71 11 9" xfId="15437" xr:uid="{00000000-0005-0000-0000-0000523C0000}"/>
    <cellStyle name="Normal 71 12" xfId="15438" xr:uid="{00000000-0005-0000-0000-0000533C0000}"/>
    <cellStyle name="Normal 71 12 10" xfId="15439" xr:uid="{00000000-0005-0000-0000-0000543C0000}"/>
    <cellStyle name="Normal 71 12 11" xfId="15440" xr:uid="{00000000-0005-0000-0000-0000553C0000}"/>
    <cellStyle name="Normal 71 12 12" xfId="15441" xr:uid="{00000000-0005-0000-0000-0000563C0000}"/>
    <cellStyle name="Normal 71 12 13" xfId="15442" xr:uid="{00000000-0005-0000-0000-0000573C0000}"/>
    <cellStyle name="Normal 71 12 2" xfId="15443" xr:uid="{00000000-0005-0000-0000-0000583C0000}"/>
    <cellStyle name="Normal 71 12 2 10" xfId="15444" xr:uid="{00000000-0005-0000-0000-0000593C0000}"/>
    <cellStyle name="Normal 71 12 2 11" xfId="15445" xr:uid="{00000000-0005-0000-0000-00005A3C0000}"/>
    <cellStyle name="Normal 71 12 2 2" xfId="15446" xr:uid="{00000000-0005-0000-0000-00005B3C0000}"/>
    <cellStyle name="Normal 71 12 2 3" xfId="15447" xr:uid="{00000000-0005-0000-0000-00005C3C0000}"/>
    <cellStyle name="Normal 71 12 2 4" xfId="15448" xr:uid="{00000000-0005-0000-0000-00005D3C0000}"/>
    <cellStyle name="Normal 71 12 2 5" xfId="15449" xr:uid="{00000000-0005-0000-0000-00005E3C0000}"/>
    <cellStyle name="Normal 71 12 2 6" xfId="15450" xr:uid="{00000000-0005-0000-0000-00005F3C0000}"/>
    <cellStyle name="Normal 71 12 2 7" xfId="15451" xr:uid="{00000000-0005-0000-0000-0000603C0000}"/>
    <cellStyle name="Normal 71 12 2 8" xfId="15452" xr:uid="{00000000-0005-0000-0000-0000613C0000}"/>
    <cellStyle name="Normal 71 12 2 9" xfId="15453" xr:uid="{00000000-0005-0000-0000-0000623C0000}"/>
    <cellStyle name="Normal 71 12 3" xfId="15454" xr:uid="{00000000-0005-0000-0000-0000633C0000}"/>
    <cellStyle name="Normal 71 12 4" xfId="15455" xr:uid="{00000000-0005-0000-0000-0000643C0000}"/>
    <cellStyle name="Normal 71 12 5" xfId="15456" xr:uid="{00000000-0005-0000-0000-0000653C0000}"/>
    <cellStyle name="Normal 71 12 6" xfId="15457" xr:uid="{00000000-0005-0000-0000-0000663C0000}"/>
    <cellStyle name="Normal 71 12 7" xfId="15458" xr:uid="{00000000-0005-0000-0000-0000673C0000}"/>
    <cellStyle name="Normal 71 12 8" xfId="15459" xr:uid="{00000000-0005-0000-0000-0000683C0000}"/>
    <cellStyle name="Normal 71 12 9" xfId="15460" xr:uid="{00000000-0005-0000-0000-0000693C0000}"/>
    <cellStyle name="Normal 71 13" xfId="15461" xr:uid="{00000000-0005-0000-0000-00006A3C0000}"/>
    <cellStyle name="Normal 71 13 10" xfId="15462" xr:uid="{00000000-0005-0000-0000-00006B3C0000}"/>
    <cellStyle name="Normal 71 13 11" xfId="15463" xr:uid="{00000000-0005-0000-0000-00006C3C0000}"/>
    <cellStyle name="Normal 71 13 12" xfId="15464" xr:uid="{00000000-0005-0000-0000-00006D3C0000}"/>
    <cellStyle name="Normal 71 13 13" xfId="15465" xr:uid="{00000000-0005-0000-0000-00006E3C0000}"/>
    <cellStyle name="Normal 71 13 2" xfId="15466" xr:uid="{00000000-0005-0000-0000-00006F3C0000}"/>
    <cellStyle name="Normal 71 13 2 10" xfId="15467" xr:uid="{00000000-0005-0000-0000-0000703C0000}"/>
    <cellStyle name="Normal 71 13 2 11" xfId="15468" xr:uid="{00000000-0005-0000-0000-0000713C0000}"/>
    <cellStyle name="Normal 71 13 2 2" xfId="15469" xr:uid="{00000000-0005-0000-0000-0000723C0000}"/>
    <cellStyle name="Normal 71 13 2 3" xfId="15470" xr:uid="{00000000-0005-0000-0000-0000733C0000}"/>
    <cellStyle name="Normal 71 13 2 4" xfId="15471" xr:uid="{00000000-0005-0000-0000-0000743C0000}"/>
    <cellStyle name="Normal 71 13 2 5" xfId="15472" xr:uid="{00000000-0005-0000-0000-0000753C0000}"/>
    <cellStyle name="Normal 71 13 2 6" xfId="15473" xr:uid="{00000000-0005-0000-0000-0000763C0000}"/>
    <cellStyle name="Normal 71 13 2 7" xfId="15474" xr:uid="{00000000-0005-0000-0000-0000773C0000}"/>
    <cellStyle name="Normal 71 13 2 8" xfId="15475" xr:uid="{00000000-0005-0000-0000-0000783C0000}"/>
    <cellStyle name="Normal 71 13 2 9" xfId="15476" xr:uid="{00000000-0005-0000-0000-0000793C0000}"/>
    <cellStyle name="Normal 71 13 3" xfId="15477" xr:uid="{00000000-0005-0000-0000-00007A3C0000}"/>
    <cellStyle name="Normal 71 13 4" xfId="15478" xr:uid="{00000000-0005-0000-0000-00007B3C0000}"/>
    <cellStyle name="Normal 71 13 5" xfId="15479" xr:uid="{00000000-0005-0000-0000-00007C3C0000}"/>
    <cellStyle name="Normal 71 13 6" xfId="15480" xr:uid="{00000000-0005-0000-0000-00007D3C0000}"/>
    <cellStyle name="Normal 71 13 7" xfId="15481" xr:uid="{00000000-0005-0000-0000-00007E3C0000}"/>
    <cellStyle name="Normal 71 13 8" xfId="15482" xr:uid="{00000000-0005-0000-0000-00007F3C0000}"/>
    <cellStyle name="Normal 71 13 9" xfId="15483" xr:uid="{00000000-0005-0000-0000-0000803C0000}"/>
    <cellStyle name="Normal 71 14" xfId="15484" xr:uid="{00000000-0005-0000-0000-0000813C0000}"/>
    <cellStyle name="Normal 71 14 10" xfId="15485" xr:uid="{00000000-0005-0000-0000-0000823C0000}"/>
    <cellStyle name="Normal 71 14 11" xfId="15486" xr:uid="{00000000-0005-0000-0000-0000833C0000}"/>
    <cellStyle name="Normal 71 14 2" xfId="15487" xr:uid="{00000000-0005-0000-0000-0000843C0000}"/>
    <cellStyle name="Normal 71 14 3" xfId="15488" xr:uid="{00000000-0005-0000-0000-0000853C0000}"/>
    <cellStyle name="Normal 71 14 4" xfId="15489" xr:uid="{00000000-0005-0000-0000-0000863C0000}"/>
    <cellStyle name="Normal 71 14 5" xfId="15490" xr:uid="{00000000-0005-0000-0000-0000873C0000}"/>
    <cellStyle name="Normal 71 14 6" xfId="15491" xr:uid="{00000000-0005-0000-0000-0000883C0000}"/>
    <cellStyle name="Normal 71 14 7" xfId="15492" xr:uid="{00000000-0005-0000-0000-0000893C0000}"/>
    <cellStyle name="Normal 71 14 8" xfId="15493" xr:uid="{00000000-0005-0000-0000-00008A3C0000}"/>
    <cellStyle name="Normal 71 14 9" xfId="15494" xr:uid="{00000000-0005-0000-0000-00008B3C0000}"/>
    <cellStyle name="Normal 71 15" xfId="15495" xr:uid="{00000000-0005-0000-0000-00008C3C0000}"/>
    <cellStyle name="Normal 71 16" xfId="15496" xr:uid="{00000000-0005-0000-0000-00008D3C0000}"/>
    <cellStyle name="Normal 71 17" xfId="15497" xr:uid="{00000000-0005-0000-0000-00008E3C0000}"/>
    <cellStyle name="Normal 71 18" xfId="15498" xr:uid="{00000000-0005-0000-0000-00008F3C0000}"/>
    <cellStyle name="Normal 71 19" xfId="15499" xr:uid="{00000000-0005-0000-0000-0000903C0000}"/>
    <cellStyle name="Normal 71 2" xfId="15500" xr:uid="{00000000-0005-0000-0000-0000913C0000}"/>
    <cellStyle name="Normal 71 2 10" xfId="15501" xr:uid="{00000000-0005-0000-0000-0000923C0000}"/>
    <cellStyle name="Normal 71 2 11" xfId="15502" xr:uid="{00000000-0005-0000-0000-0000933C0000}"/>
    <cellStyle name="Normal 71 2 12" xfId="15503" xr:uid="{00000000-0005-0000-0000-0000943C0000}"/>
    <cellStyle name="Normal 71 2 13" xfId="15504" xr:uid="{00000000-0005-0000-0000-0000953C0000}"/>
    <cellStyle name="Normal 71 2 2" xfId="15505" xr:uid="{00000000-0005-0000-0000-0000963C0000}"/>
    <cellStyle name="Normal 71 2 2 10" xfId="15506" xr:uid="{00000000-0005-0000-0000-0000973C0000}"/>
    <cellStyle name="Normal 71 2 2 11" xfId="15507" xr:uid="{00000000-0005-0000-0000-0000983C0000}"/>
    <cellStyle name="Normal 71 2 2 2" xfId="15508" xr:uid="{00000000-0005-0000-0000-0000993C0000}"/>
    <cellStyle name="Normal 71 2 2 3" xfId="15509" xr:uid="{00000000-0005-0000-0000-00009A3C0000}"/>
    <cellStyle name="Normal 71 2 2 4" xfId="15510" xr:uid="{00000000-0005-0000-0000-00009B3C0000}"/>
    <cellStyle name="Normal 71 2 2 5" xfId="15511" xr:uid="{00000000-0005-0000-0000-00009C3C0000}"/>
    <cellStyle name="Normal 71 2 2 6" xfId="15512" xr:uid="{00000000-0005-0000-0000-00009D3C0000}"/>
    <cellStyle name="Normal 71 2 2 7" xfId="15513" xr:uid="{00000000-0005-0000-0000-00009E3C0000}"/>
    <cellStyle name="Normal 71 2 2 8" xfId="15514" xr:uid="{00000000-0005-0000-0000-00009F3C0000}"/>
    <cellStyle name="Normal 71 2 2 9" xfId="15515" xr:uid="{00000000-0005-0000-0000-0000A03C0000}"/>
    <cellStyle name="Normal 71 2 3" xfId="15516" xr:uid="{00000000-0005-0000-0000-0000A13C0000}"/>
    <cellStyle name="Normal 71 2 4" xfId="15517" xr:uid="{00000000-0005-0000-0000-0000A23C0000}"/>
    <cellStyle name="Normal 71 2 5" xfId="15518" xr:uid="{00000000-0005-0000-0000-0000A33C0000}"/>
    <cellStyle name="Normal 71 2 6" xfId="15519" xr:uid="{00000000-0005-0000-0000-0000A43C0000}"/>
    <cellStyle name="Normal 71 2 7" xfId="15520" xr:uid="{00000000-0005-0000-0000-0000A53C0000}"/>
    <cellStyle name="Normal 71 2 8" xfId="15521" xr:uid="{00000000-0005-0000-0000-0000A63C0000}"/>
    <cellStyle name="Normal 71 2 9" xfId="15522" xr:uid="{00000000-0005-0000-0000-0000A73C0000}"/>
    <cellStyle name="Normal 71 20" xfId="15523" xr:uid="{00000000-0005-0000-0000-0000A83C0000}"/>
    <cellStyle name="Normal 71 21" xfId="15524" xr:uid="{00000000-0005-0000-0000-0000A93C0000}"/>
    <cellStyle name="Normal 71 22" xfId="15525" xr:uid="{00000000-0005-0000-0000-0000AA3C0000}"/>
    <cellStyle name="Normal 71 23" xfId="15526" xr:uid="{00000000-0005-0000-0000-0000AB3C0000}"/>
    <cellStyle name="Normal 71 24" xfId="15527" xr:uid="{00000000-0005-0000-0000-0000AC3C0000}"/>
    <cellStyle name="Normal 71 25" xfId="15528" xr:uid="{00000000-0005-0000-0000-0000AD3C0000}"/>
    <cellStyle name="Normal 71 3" xfId="15529" xr:uid="{00000000-0005-0000-0000-0000AE3C0000}"/>
    <cellStyle name="Normal 71 3 10" xfId="15530" xr:uid="{00000000-0005-0000-0000-0000AF3C0000}"/>
    <cellStyle name="Normal 71 3 11" xfId="15531" xr:uid="{00000000-0005-0000-0000-0000B03C0000}"/>
    <cellStyle name="Normal 71 3 12" xfId="15532" xr:uid="{00000000-0005-0000-0000-0000B13C0000}"/>
    <cellStyle name="Normal 71 3 13" xfId="15533" xr:uid="{00000000-0005-0000-0000-0000B23C0000}"/>
    <cellStyle name="Normal 71 3 2" xfId="15534" xr:uid="{00000000-0005-0000-0000-0000B33C0000}"/>
    <cellStyle name="Normal 71 3 2 10" xfId="15535" xr:uid="{00000000-0005-0000-0000-0000B43C0000}"/>
    <cellStyle name="Normal 71 3 2 11" xfId="15536" xr:uid="{00000000-0005-0000-0000-0000B53C0000}"/>
    <cellStyle name="Normal 71 3 2 2" xfId="15537" xr:uid="{00000000-0005-0000-0000-0000B63C0000}"/>
    <cellStyle name="Normal 71 3 2 3" xfId="15538" xr:uid="{00000000-0005-0000-0000-0000B73C0000}"/>
    <cellStyle name="Normal 71 3 2 4" xfId="15539" xr:uid="{00000000-0005-0000-0000-0000B83C0000}"/>
    <cellStyle name="Normal 71 3 2 5" xfId="15540" xr:uid="{00000000-0005-0000-0000-0000B93C0000}"/>
    <cellStyle name="Normal 71 3 2 6" xfId="15541" xr:uid="{00000000-0005-0000-0000-0000BA3C0000}"/>
    <cellStyle name="Normal 71 3 2 7" xfId="15542" xr:uid="{00000000-0005-0000-0000-0000BB3C0000}"/>
    <cellStyle name="Normal 71 3 2 8" xfId="15543" xr:uid="{00000000-0005-0000-0000-0000BC3C0000}"/>
    <cellStyle name="Normal 71 3 2 9" xfId="15544" xr:uid="{00000000-0005-0000-0000-0000BD3C0000}"/>
    <cellStyle name="Normal 71 3 3" xfId="15545" xr:uid="{00000000-0005-0000-0000-0000BE3C0000}"/>
    <cellStyle name="Normal 71 3 4" xfId="15546" xr:uid="{00000000-0005-0000-0000-0000BF3C0000}"/>
    <cellStyle name="Normal 71 3 5" xfId="15547" xr:uid="{00000000-0005-0000-0000-0000C03C0000}"/>
    <cellStyle name="Normal 71 3 6" xfId="15548" xr:uid="{00000000-0005-0000-0000-0000C13C0000}"/>
    <cellStyle name="Normal 71 3 7" xfId="15549" xr:uid="{00000000-0005-0000-0000-0000C23C0000}"/>
    <cellStyle name="Normal 71 3 8" xfId="15550" xr:uid="{00000000-0005-0000-0000-0000C33C0000}"/>
    <cellStyle name="Normal 71 3 9" xfId="15551" xr:uid="{00000000-0005-0000-0000-0000C43C0000}"/>
    <cellStyle name="Normal 71 4" xfId="15552" xr:uid="{00000000-0005-0000-0000-0000C53C0000}"/>
    <cellStyle name="Normal 71 4 10" xfId="15553" xr:uid="{00000000-0005-0000-0000-0000C63C0000}"/>
    <cellStyle name="Normal 71 4 11" xfId="15554" xr:uid="{00000000-0005-0000-0000-0000C73C0000}"/>
    <cellStyle name="Normal 71 4 12" xfId="15555" xr:uid="{00000000-0005-0000-0000-0000C83C0000}"/>
    <cellStyle name="Normal 71 4 13" xfId="15556" xr:uid="{00000000-0005-0000-0000-0000C93C0000}"/>
    <cellStyle name="Normal 71 4 2" xfId="15557" xr:uid="{00000000-0005-0000-0000-0000CA3C0000}"/>
    <cellStyle name="Normal 71 4 2 10" xfId="15558" xr:uid="{00000000-0005-0000-0000-0000CB3C0000}"/>
    <cellStyle name="Normal 71 4 2 11" xfId="15559" xr:uid="{00000000-0005-0000-0000-0000CC3C0000}"/>
    <cellStyle name="Normal 71 4 2 2" xfId="15560" xr:uid="{00000000-0005-0000-0000-0000CD3C0000}"/>
    <cellStyle name="Normal 71 4 2 3" xfId="15561" xr:uid="{00000000-0005-0000-0000-0000CE3C0000}"/>
    <cellStyle name="Normal 71 4 2 4" xfId="15562" xr:uid="{00000000-0005-0000-0000-0000CF3C0000}"/>
    <cellStyle name="Normal 71 4 2 5" xfId="15563" xr:uid="{00000000-0005-0000-0000-0000D03C0000}"/>
    <cellStyle name="Normal 71 4 2 6" xfId="15564" xr:uid="{00000000-0005-0000-0000-0000D13C0000}"/>
    <cellStyle name="Normal 71 4 2 7" xfId="15565" xr:uid="{00000000-0005-0000-0000-0000D23C0000}"/>
    <cellStyle name="Normal 71 4 2 8" xfId="15566" xr:uid="{00000000-0005-0000-0000-0000D33C0000}"/>
    <cellStyle name="Normal 71 4 2 9" xfId="15567" xr:uid="{00000000-0005-0000-0000-0000D43C0000}"/>
    <cellStyle name="Normal 71 4 3" xfId="15568" xr:uid="{00000000-0005-0000-0000-0000D53C0000}"/>
    <cellStyle name="Normal 71 4 4" xfId="15569" xr:uid="{00000000-0005-0000-0000-0000D63C0000}"/>
    <cellStyle name="Normal 71 4 5" xfId="15570" xr:uid="{00000000-0005-0000-0000-0000D73C0000}"/>
    <cellStyle name="Normal 71 4 6" xfId="15571" xr:uid="{00000000-0005-0000-0000-0000D83C0000}"/>
    <cellStyle name="Normal 71 4 7" xfId="15572" xr:uid="{00000000-0005-0000-0000-0000D93C0000}"/>
    <cellStyle name="Normal 71 4 8" xfId="15573" xr:uid="{00000000-0005-0000-0000-0000DA3C0000}"/>
    <cellStyle name="Normal 71 4 9" xfId="15574" xr:uid="{00000000-0005-0000-0000-0000DB3C0000}"/>
    <cellStyle name="Normal 71 5" xfId="15575" xr:uid="{00000000-0005-0000-0000-0000DC3C0000}"/>
    <cellStyle name="Normal 71 5 10" xfId="15576" xr:uid="{00000000-0005-0000-0000-0000DD3C0000}"/>
    <cellStyle name="Normal 71 5 11" xfId="15577" xr:uid="{00000000-0005-0000-0000-0000DE3C0000}"/>
    <cellStyle name="Normal 71 5 12" xfId="15578" xr:uid="{00000000-0005-0000-0000-0000DF3C0000}"/>
    <cellStyle name="Normal 71 5 13" xfId="15579" xr:uid="{00000000-0005-0000-0000-0000E03C0000}"/>
    <cellStyle name="Normal 71 5 2" xfId="15580" xr:uid="{00000000-0005-0000-0000-0000E13C0000}"/>
    <cellStyle name="Normal 71 5 2 10" xfId="15581" xr:uid="{00000000-0005-0000-0000-0000E23C0000}"/>
    <cellStyle name="Normal 71 5 2 11" xfId="15582" xr:uid="{00000000-0005-0000-0000-0000E33C0000}"/>
    <cellStyle name="Normal 71 5 2 2" xfId="15583" xr:uid="{00000000-0005-0000-0000-0000E43C0000}"/>
    <cellStyle name="Normal 71 5 2 3" xfId="15584" xr:uid="{00000000-0005-0000-0000-0000E53C0000}"/>
    <cellStyle name="Normal 71 5 2 4" xfId="15585" xr:uid="{00000000-0005-0000-0000-0000E63C0000}"/>
    <cellStyle name="Normal 71 5 2 5" xfId="15586" xr:uid="{00000000-0005-0000-0000-0000E73C0000}"/>
    <cellStyle name="Normal 71 5 2 6" xfId="15587" xr:uid="{00000000-0005-0000-0000-0000E83C0000}"/>
    <cellStyle name="Normal 71 5 2 7" xfId="15588" xr:uid="{00000000-0005-0000-0000-0000E93C0000}"/>
    <cellStyle name="Normal 71 5 2 8" xfId="15589" xr:uid="{00000000-0005-0000-0000-0000EA3C0000}"/>
    <cellStyle name="Normal 71 5 2 9" xfId="15590" xr:uid="{00000000-0005-0000-0000-0000EB3C0000}"/>
    <cellStyle name="Normal 71 5 3" xfId="15591" xr:uid="{00000000-0005-0000-0000-0000EC3C0000}"/>
    <cellStyle name="Normal 71 5 4" xfId="15592" xr:uid="{00000000-0005-0000-0000-0000ED3C0000}"/>
    <cellStyle name="Normal 71 5 5" xfId="15593" xr:uid="{00000000-0005-0000-0000-0000EE3C0000}"/>
    <cellStyle name="Normal 71 5 6" xfId="15594" xr:uid="{00000000-0005-0000-0000-0000EF3C0000}"/>
    <cellStyle name="Normal 71 5 7" xfId="15595" xr:uid="{00000000-0005-0000-0000-0000F03C0000}"/>
    <cellStyle name="Normal 71 5 8" xfId="15596" xr:uid="{00000000-0005-0000-0000-0000F13C0000}"/>
    <cellStyle name="Normal 71 5 9" xfId="15597" xr:uid="{00000000-0005-0000-0000-0000F23C0000}"/>
    <cellStyle name="Normal 71 6" xfId="15598" xr:uid="{00000000-0005-0000-0000-0000F33C0000}"/>
    <cellStyle name="Normal 71 6 10" xfId="15599" xr:uid="{00000000-0005-0000-0000-0000F43C0000}"/>
    <cellStyle name="Normal 71 6 11" xfId="15600" xr:uid="{00000000-0005-0000-0000-0000F53C0000}"/>
    <cellStyle name="Normal 71 6 12" xfId="15601" xr:uid="{00000000-0005-0000-0000-0000F63C0000}"/>
    <cellStyle name="Normal 71 6 13" xfId="15602" xr:uid="{00000000-0005-0000-0000-0000F73C0000}"/>
    <cellStyle name="Normal 71 6 2" xfId="15603" xr:uid="{00000000-0005-0000-0000-0000F83C0000}"/>
    <cellStyle name="Normal 71 6 2 10" xfId="15604" xr:uid="{00000000-0005-0000-0000-0000F93C0000}"/>
    <cellStyle name="Normal 71 6 2 11" xfId="15605" xr:uid="{00000000-0005-0000-0000-0000FA3C0000}"/>
    <cellStyle name="Normal 71 6 2 2" xfId="15606" xr:uid="{00000000-0005-0000-0000-0000FB3C0000}"/>
    <cellStyle name="Normal 71 6 2 3" xfId="15607" xr:uid="{00000000-0005-0000-0000-0000FC3C0000}"/>
    <cellStyle name="Normal 71 6 2 4" xfId="15608" xr:uid="{00000000-0005-0000-0000-0000FD3C0000}"/>
    <cellStyle name="Normal 71 6 2 5" xfId="15609" xr:uid="{00000000-0005-0000-0000-0000FE3C0000}"/>
    <cellStyle name="Normal 71 6 2 6" xfId="15610" xr:uid="{00000000-0005-0000-0000-0000FF3C0000}"/>
    <cellStyle name="Normal 71 6 2 7" xfId="15611" xr:uid="{00000000-0005-0000-0000-0000003D0000}"/>
    <cellStyle name="Normal 71 6 2 8" xfId="15612" xr:uid="{00000000-0005-0000-0000-0000013D0000}"/>
    <cellStyle name="Normal 71 6 2 9" xfId="15613" xr:uid="{00000000-0005-0000-0000-0000023D0000}"/>
    <cellStyle name="Normal 71 6 3" xfId="15614" xr:uid="{00000000-0005-0000-0000-0000033D0000}"/>
    <cellStyle name="Normal 71 6 4" xfId="15615" xr:uid="{00000000-0005-0000-0000-0000043D0000}"/>
    <cellStyle name="Normal 71 6 5" xfId="15616" xr:uid="{00000000-0005-0000-0000-0000053D0000}"/>
    <cellStyle name="Normal 71 6 6" xfId="15617" xr:uid="{00000000-0005-0000-0000-0000063D0000}"/>
    <cellStyle name="Normal 71 6 7" xfId="15618" xr:uid="{00000000-0005-0000-0000-0000073D0000}"/>
    <cellStyle name="Normal 71 6 8" xfId="15619" xr:uid="{00000000-0005-0000-0000-0000083D0000}"/>
    <cellStyle name="Normal 71 6 9" xfId="15620" xr:uid="{00000000-0005-0000-0000-0000093D0000}"/>
    <cellStyle name="Normal 71 7" xfId="15621" xr:uid="{00000000-0005-0000-0000-00000A3D0000}"/>
    <cellStyle name="Normal 71 7 10" xfId="15622" xr:uid="{00000000-0005-0000-0000-00000B3D0000}"/>
    <cellStyle name="Normal 71 7 11" xfId="15623" xr:uid="{00000000-0005-0000-0000-00000C3D0000}"/>
    <cellStyle name="Normal 71 7 12" xfId="15624" xr:uid="{00000000-0005-0000-0000-00000D3D0000}"/>
    <cellStyle name="Normal 71 7 13" xfId="15625" xr:uid="{00000000-0005-0000-0000-00000E3D0000}"/>
    <cellStyle name="Normal 71 7 2" xfId="15626" xr:uid="{00000000-0005-0000-0000-00000F3D0000}"/>
    <cellStyle name="Normal 71 7 2 10" xfId="15627" xr:uid="{00000000-0005-0000-0000-0000103D0000}"/>
    <cellStyle name="Normal 71 7 2 11" xfId="15628" xr:uid="{00000000-0005-0000-0000-0000113D0000}"/>
    <cellStyle name="Normal 71 7 2 2" xfId="15629" xr:uid="{00000000-0005-0000-0000-0000123D0000}"/>
    <cellStyle name="Normal 71 7 2 3" xfId="15630" xr:uid="{00000000-0005-0000-0000-0000133D0000}"/>
    <cellStyle name="Normal 71 7 2 4" xfId="15631" xr:uid="{00000000-0005-0000-0000-0000143D0000}"/>
    <cellStyle name="Normal 71 7 2 5" xfId="15632" xr:uid="{00000000-0005-0000-0000-0000153D0000}"/>
    <cellStyle name="Normal 71 7 2 6" xfId="15633" xr:uid="{00000000-0005-0000-0000-0000163D0000}"/>
    <cellStyle name="Normal 71 7 2 7" xfId="15634" xr:uid="{00000000-0005-0000-0000-0000173D0000}"/>
    <cellStyle name="Normal 71 7 2 8" xfId="15635" xr:uid="{00000000-0005-0000-0000-0000183D0000}"/>
    <cellStyle name="Normal 71 7 2 9" xfId="15636" xr:uid="{00000000-0005-0000-0000-0000193D0000}"/>
    <cellStyle name="Normal 71 7 3" xfId="15637" xr:uid="{00000000-0005-0000-0000-00001A3D0000}"/>
    <cellStyle name="Normal 71 7 4" xfId="15638" xr:uid="{00000000-0005-0000-0000-00001B3D0000}"/>
    <cellStyle name="Normal 71 7 5" xfId="15639" xr:uid="{00000000-0005-0000-0000-00001C3D0000}"/>
    <cellStyle name="Normal 71 7 6" xfId="15640" xr:uid="{00000000-0005-0000-0000-00001D3D0000}"/>
    <cellStyle name="Normal 71 7 7" xfId="15641" xr:uid="{00000000-0005-0000-0000-00001E3D0000}"/>
    <cellStyle name="Normal 71 7 8" xfId="15642" xr:uid="{00000000-0005-0000-0000-00001F3D0000}"/>
    <cellStyle name="Normal 71 7 9" xfId="15643" xr:uid="{00000000-0005-0000-0000-0000203D0000}"/>
    <cellStyle name="Normal 71 8" xfId="15644" xr:uid="{00000000-0005-0000-0000-0000213D0000}"/>
    <cellStyle name="Normal 71 8 10" xfId="15645" xr:uid="{00000000-0005-0000-0000-0000223D0000}"/>
    <cellStyle name="Normal 71 8 11" xfId="15646" xr:uid="{00000000-0005-0000-0000-0000233D0000}"/>
    <cellStyle name="Normal 71 8 12" xfId="15647" xr:uid="{00000000-0005-0000-0000-0000243D0000}"/>
    <cellStyle name="Normal 71 8 13" xfId="15648" xr:uid="{00000000-0005-0000-0000-0000253D0000}"/>
    <cellStyle name="Normal 71 8 2" xfId="15649" xr:uid="{00000000-0005-0000-0000-0000263D0000}"/>
    <cellStyle name="Normal 71 8 2 10" xfId="15650" xr:uid="{00000000-0005-0000-0000-0000273D0000}"/>
    <cellStyle name="Normal 71 8 2 11" xfId="15651" xr:uid="{00000000-0005-0000-0000-0000283D0000}"/>
    <cellStyle name="Normal 71 8 2 2" xfId="15652" xr:uid="{00000000-0005-0000-0000-0000293D0000}"/>
    <cellStyle name="Normal 71 8 2 3" xfId="15653" xr:uid="{00000000-0005-0000-0000-00002A3D0000}"/>
    <cellStyle name="Normal 71 8 2 4" xfId="15654" xr:uid="{00000000-0005-0000-0000-00002B3D0000}"/>
    <cellStyle name="Normal 71 8 2 5" xfId="15655" xr:uid="{00000000-0005-0000-0000-00002C3D0000}"/>
    <cellStyle name="Normal 71 8 2 6" xfId="15656" xr:uid="{00000000-0005-0000-0000-00002D3D0000}"/>
    <cellStyle name="Normal 71 8 2 7" xfId="15657" xr:uid="{00000000-0005-0000-0000-00002E3D0000}"/>
    <cellStyle name="Normal 71 8 2 8" xfId="15658" xr:uid="{00000000-0005-0000-0000-00002F3D0000}"/>
    <cellStyle name="Normal 71 8 2 9" xfId="15659" xr:uid="{00000000-0005-0000-0000-0000303D0000}"/>
    <cellStyle name="Normal 71 8 3" xfId="15660" xr:uid="{00000000-0005-0000-0000-0000313D0000}"/>
    <cellStyle name="Normal 71 8 4" xfId="15661" xr:uid="{00000000-0005-0000-0000-0000323D0000}"/>
    <cellStyle name="Normal 71 8 5" xfId="15662" xr:uid="{00000000-0005-0000-0000-0000333D0000}"/>
    <cellStyle name="Normal 71 8 6" xfId="15663" xr:uid="{00000000-0005-0000-0000-0000343D0000}"/>
    <cellStyle name="Normal 71 8 7" xfId="15664" xr:uid="{00000000-0005-0000-0000-0000353D0000}"/>
    <cellStyle name="Normal 71 8 8" xfId="15665" xr:uid="{00000000-0005-0000-0000-0000363D0000}"/>
    <cellStyle name="Normal 71 8 9" xfId="15666" xr:uid="{00000000-0005-0000-0000-0000373D0000}"/>
    <cellStyle name="Normal 71 9" xfId="15667" xr:uid="{00000000-0005-0000-0000-0000383D0000}"/>
    <cellStyle name="Normal 71 9 10" xfId="15668" xr:uid="{00000000-0005-0000-0000-0000393D0000}"/>
    <cellStyle name="Normal 71 9 11" xfId="15669" xr:uid="{00000000-0005-0000-0000-00003A3D0000}"/>
    <cellStyle name="Normal 71 9 12" xfId="15670" xr:uid="{00000000-0005-0000-0000-00003B3D0000}"/>
    <cellStyle name="Normal 71 9 13" xfId="15671" xr:uid="{00000000-0005-0000-0000-00003C3D0000}"/>
    <cellStyle name="Normal 71 9 2" xfId="15672" xr:uid="{00000000-0005-0000-0000-00003D3D0000}"/>
    <cellStyle name="Normal 71 9 2 10" xfId="15673" xr:uid="{00000000-0005-0000-0000-00003E3D0000}"/>
    <cellStyle name="Normal 71 9 2 11" xfId="15674" xr:uid="{00000000-0005-0000-0000-00003F3D0000}"/>
    <cellStyle name="Normal 71 9 2 2" xfId="15675" xr:uid="{00000000-0005-0000-0000-0000403D0000}"/>
    <cellStyle name="Normal 71 9 2 3" xfId="15676" xr:uid="{00000000-0005-0000-0000-0000413D0000}"/>
    <cellStyle name="Normal 71 9 2 4" xfId="15677" xr:uid="{00000000-0005-0000-0000-0000423D0000}"/>
    <cellStyle name="Normal 71 9 2 5" xfId="15678" xr:uid="{00000000-0005-0000-0000-0000433D0000}"/>
    <cellStyle name="Normal 71 9 2 6" xfId="15679" xr:uid="{00000000-0005-0000-0000-0000443D0000}"/>
    <cellStyle name="Normal 71 9 2 7" xfId="15680" xr:uid="{00000000-0005-0000-0000-0000453D0000}"/>
    <cellStyle name="Normal 71 9 2 8" xfId="15681" xr:uid="{00000000-0005-0000-0000-0000463D0000}"/>
    <cellStyle name="Normal 71 9 2 9" xfId="15682" xr:uid="{00000000-0005-0000-0000-0000473D0000}"/>
    <cellStyle name="Normal 71 9 3" xfId="15683" xr:uid="{00000000-0005-0000-0000-0000483D0000}"/>
    <cellStyle name="Normal 71 9 4" xfId="15684" xr:uid="{00000000-0005-0000-0000-0000493D0000}"/>
    <cellStyle name="Normal 71 9 5" xfId="15685" xr:uid="{00000000-0005-0000-0000-00004A3D0000}"/>
    <cellStyle name="Normal 71 9 6" xfId="15686" xr:uid="{00000000-0005-0000-0000-00004B3D0000}"/>
    <cellStyle name="Normal 71 9 7" xfId="15687" xr:uid="{00000000-0005-0000-0000-00004C3D0000}"/>
    <cellStyle name="Normal 71 9 8" xfId="15688" xr:uid="{00000000-0005-0000-0000-00004D3D0000}"/>
    <cellStyle name="Normal 71 9 9" xfId="15689" xr:uid="{00000000-0005-0000-0000-00004E3D0000}"/>
    <cellStyle name="Normal 72" xfId="15690" xr:uid="{00000000-0005-0000-0000-00004F3D0000}"/>
    <cellStyle name="Normal 72 10" xfId="15691" xr:uid="{00000000-0005-0000-0000-0000503D0000}"/>
    <cellStyle name="Normal 72 10 10" xfId="15692" xr:uid="{00000000-0005-0000-0000-0000513D0000}"/>
    <cellStyle name="Normal 72 10 11" xfId="15693" xr:uid="{00000000-0005-0000-0000-0000523D0000}"/>
    <cellStyle name="Normal 72 10 12" xfId="15694" xr:uid="{00000000-0005-0000-0000-0000533D0000}"/>
    <cellStyle name="Normal 72 10 13" xfId="15695" xr:uid="{00000000-0005-0000-0000-0000543D0000}"/>
    <cellStyle name="Normal 72 10 2" xfId="15696" xr:uid="{00000000-0005-0000-0000-0000553D0000}"/>
    <cellStyle name="Normal 72 10 2 10" xfId="15697" xr:uid="{00000000-0005-0000-0000-0000563D0000}"/>
    <cellStyle name="Normal 72 10 2 11" xfId="15698" xr:uid="{00000000-0005-0000-0000-0000573D0000}"/>
    <cellStyle name="Normal 72 10 2 2" xfId="15699" xr:uid="{00000000-0005-0000-0000-0000583D0000}"/>
    <cellStyle name="Normal 72 10 2 3" xfId="15700" xr:uid="{00000000-0005-0000-0000-0000593D0000}"/>
    <cellStyle name="Normal 72 10 2 4" xfId="15701" xr:uid="{00000000-0005-0000-0000-00005A3D0000}"/>
    <cellStyle name="Normal 72 10 2 5" xfId="15702" xr:uid="{00000000-0005-0000-0000-00005B3D0000}"/>
    <cellStyle name="Normal 72 10 2 6" xfId="15703" xr:uid="{00000000-0005-0000-0000-00005C3D0000}"/>
    <cellStyle name="Normal 72 10 2 7" xfId="15704" xr:uid="{00000000-0005-0000-0000-00005D3D0000}"/>
    <cellStyle name="Normal 72 10 2 8" xfId="15705" xr:uid="{00000000-0005-0000-0000-00005E3D0000}"/>
    <cellStyle name="Normal 72 10 2 9" xfId="15706" xr:uid="{00000000-0005-0000-0000-00005F3D0000}"/>
    <cellStyle name="Normal 72 10 3" xfId="15707" xr:uid="{00000000-0005-0000-0000-0000603D0000}"/>
    <cellStyle name="Normal 72 10 4" xfId="15708" xr:uid="{00000000-0005-0000-0000-0000613D0000}"/>
    <cellStyle name="Normal 72 10 5" xfId="15709" xr:uid="{00000000-0005-0000-0000-0000623D0000}"/>
    <cellStyle name="Normal 72 10 6" xfId="15710" xr:uid="{00000000-0005-0000-0000-0000633D0000}"/>
    <cellStyle name="Normal 72 10 7" xfId="15711" xr:uid="{00000000-0005-0000-0000-0000643D0000}"/>
    <cellStyle name="Normal 72 10 8" xfId="15712" xr:uid="{00000000-0005-0000-0000-0000653D0000}"/>
    <cellStyle name="Normal 72 10 9" xfId="15713" xr:uid="{00000000-0005-0000-0000-0000663D0000}"/>
    <cellStyle name="Normal 72 11" xfId="15714" xr:uid="{00000000-0005-0000-0000-0000673D0000}"/>
    <cellStyle name="Normal 72 11 10" xfId="15715" xr:uid="{00000000-0005-0000-0000-0000683D0000}"/>
    <cellStyle name="Normal 72 11 11" xfId="15716" xr:uid="{00000000-0005-0000-0000-0000693D0000}"/>
    <cellStyle name="Normal 72 11 12" xfId="15717" xr:uid="{00000000-0005-0000-0000-00006A3D0000}"/>
    <cellStyle name="Normal 72 11 13" xfId="15718" xr:uid="{00000000-0005-0000-0000-00006B3D0000}"/>
    <cellStyle name="Normal 72 11 2" xfId="15719" xr:uid="{00000000-0005-0000-0000-00006C3D0000}"/>
    <cellStyle name="Normal 72 11 2 10" xfId="15720" xr:uid="{00000000-0005-0000-0000-00006D3D0000}"/>
    <cellStyle name="Normal 72 11 2 11" xfId="15721" xr:uid="{00000000-0005-0000-0000-00006E3D0000}"/>
    <cellStyle name="Normal 72 11 2 2" xfId="15722" xr:uid="{00000000-0005-0000-0000-00006F3D0000}"/>
    <cellStyle name="Normal 72 11 2 3" xfId="15723" xr:uid="{00000000-0005-0000-0000-0000703D0000}"/>
    <cellStyle name="Normal 72 11 2 4" xfId="15724" xr:uid="{00000000-0005-0000-0000-0000713D0000}"/>
    <cellStyle name="Normal 72 11 2 5" xfId="15725" xr:uid="{00000000-0005-0000-0000-0000723D0000}"/>
    <cellStyle name="Normal 72 11 2 6" xfId="15726" xr:uid="{00000000-0005-0000-0000-0000733D0000}"/>
    <cellStyle name="Normal 72 11 2 7" xfId="15727" xr:uid="{00000000-0005-0000-0000-0000743D0000}"/>
    <cellStyle name="Normal 72 11 2 8" xfId="15728" xr:uid="{00000000-0005-0000-0000-0000753D0000}"/>
    <cellStyle name="Normal 72 11 2 9" xfId="15729" xr:uid="{00000000-0005-0000-0000-0000763D0000}"/>
    <cellStyle name="Normal 72 11 3" xfId="15730" xr:uid="{00000000-0005-0000-0000-0000773D0000}"/>
    <cellStyle name="Normal 72 11 4" xfId="15731" xr:uid="{00000000-0005-0000-0000-0000783D0000}"/>
    <cellStyle name="Normal 72 11 5" xfId="15732" xr:uid="{00000000-0005-0000-0000-0000793D0000}"/>
    <cellStyle name="Normal 72 11 6" xfId="15733" xr:uid="{00000000-0005-0000-0000-00007A3D0000}"/>
    <cellStyle name="Normal 72 11 7" xfId="15734" xr:uid="{00000000-0005-0000-0000-00007B3D0000}"/>
    <cellStyle name="Normal 72 11 8" xfId="15735" xr:uid="{00000000-0005-0000-0000-00007C3D0000}"/>
    <cellStyle name="Normal 72 11 9" xfId="15736" xr:uid="{00000000-0005-0000-0000-00007D3D0000}"/>
    <cellStyle name="Normal 72 12" xfId="15737" xr:uid="{00000000-0005-0000-0000-00007E3D0000}"/>
    <cellStyle name="Normal 72 12 10" xfId="15738" xr:uid="{00000000-0005-0000-0000-00007F3D0000}"/>
    <cellStyle name="Normal 72 12 11" xfId="15739" xr:uid="{00000000-0005-0000-0000-0000803D0000}"/>
    <cellStyle name="Normal 72 12 12" xfId="15740" xr:uid="{00000000-0005-0000-0000-0000813D0000}"/>
    <cellStyle name="Normal 72 12 13" xfId="15741" xr:uid="{00000000-0005-0000-0000-0000823D0000}"/>
    <cellStyle name="Normal 72 12 2" xfId="15742" xr:uid="{00000000-0005-0000-0000-0000833D0000}"/>
    <cellStyle name="Normal 72 12 2 10" xfId="15743" xr:uid="{00000000-0005-0000-0000-0000843D0000}"/>
    <cellStyle name="Normal 72 12 2 11" xfId="15744" xr:uid="{00000000-0005-0000-0000-0000853D0000}"/>
    <cellStyle name="Normal 72 12 2 2" xfId="15745" xr:uid="{00000000-0005-0000-0000-0000863D0000}"/>
    <cellStyle name="Normal 72 12 2 3" xfId="15746" xr:uid="{00000000-0005-0000-0000-0000873D0000}"/>
    <cellStyle name="Normal 72 12 2 4" xfId="15747" xr:uid="{00000000-0005-0000-0000-0000883D0000}"/>
    <cellStyle name="Normal 72 12 2 5" xfId="15748" xr:uid="{00000000-0005-0000-0000-0000893D0000}"/>
    <cellStyle name="Normal 72 12 2 6" xfId="15749" xr:uid="{00000000-0005-0000-0000-00008A3D0000}"/>
    <cellStyle name="Normal 72 12 2 7" xfId="15750" xr:uid="{00000000-0005-0000-0000-00008B3D0000}"/>
    <cellStyle name="Normal 72 12 2 8" xfId="15751" xr:uid="{00000000-0005-0000-0000-00008C3D0000}"/>
    <cellStyle name="Normal 72 12 2 9" xfId="15752" xr:uid="{00000000-0005-0000-0000-00008D3D0000}"/>
    <cellStyle name="Normal 72 12 3" xfId="15753" xr:uid="{00000000-0005-0000-0000-00008E3D0000}"/>
    <cellStyle name="Normal 72 12 4" xfId="15754" xr:uid="{00000000-0005-0000-0000-00008F3D0000}"/>
    <cellStyle name="Normal 72 12 5" xfId="15755" xr:uid="{00000000-0005-0000-0000-0000903D0000}"/>
    <cellStyle name="Normal 72 12 6" xfId="15756" xr:uid="{00000000-0005-0000-0000-0000913D0000}"/>
    <cellStyle name="Normal 72 12 7" xfId="15757" xr:uid="{00000000-0005-0000-0000-0000923D0000}"/>
    <cellStyle name="Normal 72 12 8" xfId="15758" xr:uid="{00000000-0005-0000-0000-0000933D0000}"/>
    <cellStyle name="Normal 72 12 9" xfId="15759" xr:uid="{00000000-0005-0000-0000-0000943D0000}"/>
    <cellStyle name="Normal 72 13" xfId="15760" xr:uid="{00000000-0005-0000-0000-0000953D0000}"/>
    <cellStyle name="Normal 72 13 10" xfId="15761" xr:uid="{00000000-0005-0000-0000-0000963D0000}"/>
    <cellStyle name="Normal 72 13 11" xfId="15762" xr:uid="{00000000-0005-0000-0000-0000973D0000}"/>
    <cellStyle name="Normal 72 13 12" xfId="15763" xr:uid="{00000000-0005-0000-0000-0000983D0000}"/>
    <cellStyle name="Normal 72 13 13" xfId="15764" xr:uid="{00000000-0005-0000-0000-0000993D0000}"/>
    <cellStyle name="Normal 72 13 2" xfId="15765" xr:uid="{00000000-0005-0000-0000-00009A3D0000}"/>
    <cellStyle name="Normal 72 13 2 10" xfId="15766" xr:uid="{00000000-0005-0000-0000-00009B3D0000}"/>
    <cellStyle name="Normal 72 13 2 11" xfId="15767" xr:uid="{00000000-0005-0000-0000-00009C3D0000}"/>
    <cellStyle name="Normal 72 13 2 2" xfId="15768" xr:uid="{00000000-0005-0000-0000-00009D3D0000}"/>
    <cellStyle name="Normal 72 13 2 3" xfId="15769" xr:uid="{00000000-0005-0000-0000-00009E3D0000}"/>
    <cellStyle name="Normal 72 13 2 4" xfId="15770" xr:uid="{00000000-0005-0000-0000-00009F3D0000}"/>
    <cellStyle name="Normal 72 13 2 5" xfId="15771" xr:uid="{00000000-0005-0000-0000-0000A03D0000}"/>
    <cellStyle name="Normal 72 13 2 6" xfId="15772" xr:uid="{00000000-0005-0000-0000-0000A13D0000}"/>
    <cellStyle name="Normal 72 13 2 7" xfId="15773" xr:uid="{00000000-0005-0000-0000-0000A23D0000}"/>
    <cellStyle name="Normal 72 13 2 8" xfId="15774" xr:uid="{00000000-0005-0000-0000-0000A33D0000}"/>
    <cellStyle name="Normal 72 13 2 9" xfId="15775" xr:uid="{00000000-0005-0000-0000-0000A43D0000}"/>
    <cellStyle name="Normal 72 13 3" xfId="15776" xr:uid="{00000000-0005-0000-0000-0000A53D0000}"/>
    <cellStyle name="Normal 72 13 4" xfId="15777" xr:uid="{00000000-0005-0000-0000-0000A63D0000}"/>
    <cellStyle name="Normal 72 13 5" xfId="15778" xr:uid="{00000000-0005-0000-0000-0000A73D0000}"/>
    <cellStyle name="Normal 72 13 6" xfId="15779" xr:uid="{00000000-0005-0000-0000-0000A83D0000}"/>
    <cellStyle name="Normal 72 13 7" xfId="15780" xr:uid="{00000000-0005-0000-0000-0000A93D0000}"/>
    <cellStyle name="Normal 72 13 8" xfId="15781" xr:uid="{00000000-0005-0000-0000-0000AA3D0000}"/>
    <cellStyle name="Normal 72 13 9" xfId="15782" xr:uid="{00000000-0005-0000-0000-0000AB3D0000}"/>
    <cellStyle name="Normal 72 14" xfId="15783" xr:uid="{00000000-0005-0000-0000-0000AC3D0000}"/>
    <cellStyle name="Normal 72 14 10" xfId="15784" xr:uid="{00000000-0005-0000-0000-0000AD3D0000}"/>
    <cellStyle name="Normal 72 14 11" xfId="15785" xr:uid="{00000000-0005-0000-0000-0000AE3D0000}"/>
    <cellStyle name="Normal 72 14 2" xfId="15786" xr:uid="{00000000-0005-0000-0000-0000AF3D0000}"/>
    <cellStyle name="Normal 72 14 3" xfId="15787" xr:uid="{00000000-0005-0000-0000-0000B03D0000}"/>
    <cellStyle name="Normal 72 14 4" xfId="15788" xr:uid="{00000000-0005-0000-0000-0000B13D0000}"/>
    <cellStyle name="Normal 72 14 5" xfId="15789" xr:uid="{00000000-0005-0000-0000-0000B23D0000}"/>
    <cellStyle name="Normal 72 14 6" xfId="15790" xr:uid="{00000000-0005-0000-0000-0000B33D0000}"/>
    <cellStyle name="Normal 72 14 7" xfId="15791" xr:uid="{00000000-0005-0000-0000-0000B43D0000}"/>
    <cellStyle name="Normal 72 14 8" xfId="15792" xr:uid="{00000000-0005-0000-0000-0000B53D0000}"/>
    <cellStyle name="Normal 72 14 9" xfId="15793" xr:uid="{00000000-0005-0000-0000-0000B63D0000}"/>
    <cellStyle name="Normal 72 15" xfId="15794" xr:uid="{00000000-0005-0000-0000-0000B73D0000}"/>
    <cellStyle name="Normal 72 16" xfId="15795" xr:uid="{00000000-0005-0000-0000-0000B83D0000}"/>
    <cellStyle name="Normal 72 17" xfId="15796" xr:uid="{00000000-0005-0000-0000-0000B93D0000}"/>
    <cellStyle name="Normal 72 18" xfId="15797" xr:uid="{00000000-0005-0000-0000-0000BA3D0000}"/>
    <cellStyle name="Normal 72 19" xfId="15798" xr:uid="{00000000-0005-0000-0000-0000BB3D0000}"/>
    <cellStyle name="Normal 72 2" xfId="15799" xr:uid="{00000000-0005-0000-0000-0000BC3D0000}"/>
    <cellStyle name="Normal 72 2 10" xfId="15800" xr:uid="{00000000-0005-0000-0000-0000BD3D0000}"/>
    <cellStyle name="Normal 72 2 11" xfId="15801" xr:uid="{00000000-0005-0000-0000-0000BE3D0000}"/>
    <cellStyle name="Normal 72 2 12" xfId="15802" xr:uid="{00000000-0005-0000-0000-0000BF3D0000}"/>
    <cellStyle name="Normal 72 2 13" xfId="15803" xr:uid="{00000000-0005-0000-0000-0000C03D0000}"/>
    <cellStyle name="Normal 72 2 2" xfId="15804" xr:uid="{00000000-0005-0000-0000-0000C13D0000}"/>
    <cellStyle name="Normal 72 2 2 10" xfId="15805" xr:uid="{00000000-0005-0000-0000-0000C23D0000}"/>
    <cellStyle name="Normal 72 2 2 11" xfId="15806" xr:uid="{00000000-0005-0000-0000-0000C33D0000}"/>
    <cellStyle name="Normal 72 2 2 2" xfId="15807" xr:uid="{00000000-0005-0000-0000-0000C43D0000}"/>
    <cellStyle name="Normal 72 2 2 3" xfId="15808" xr:uid="{00000000-0005-0000-0000-0000C53D0000}"/>
    <cellStyle name="Normal 72 2 2 4" xfId="15809" xr:uid="{00000000-0005-0000-0000-0000C63D0000}"/>
    <cellStyle name="Normal 72 2 2 5" xfId="15810" xr:uid="{00000000-0005-0000-0000-0000C73D0000}"/>
    <cellStyle name="Normal 72 2 2 6" xfId="15811" xr:uid="{00000000-0005-0000-0000-0000C83D0000}"/>
    <cellStyle name="Normal 72 2 2 7" xfId="15812" xr:uid="{00000000-0005-0000-0000-0000C93D0000}"/>
    <cellStyle name="Normal 72 2 2 8" xfId="15813" xr:uid="{00000000-0005-0000-0000-0000CA3D0000}"/>
    <cellStyle name="Normal 72 2 2 9" xfId="15814" xr:uid="{00000000-0005-0000-0000-0000CB3D0000}"/>
    <cellStyle name="Normal 72 2 3" xfId="15815" xr:uid="{00000000-0005-0000-0000-0000CC3D0000}"/>
    <cellStyle name="Normal 72 2 4" xfId="15816" xr:uid="{00000000-0005-0000-0000-0000CD3D0000}"/>
    <cellStyle name="Normal 72 2 5" xfId="15817" xr:uid="{00000000-0005-0000-0000-0000CE3D0000}"/>
    <cellStyle name="Normal 72 2 6" xfId="15818" xr:uid="{00000000-0005-0000-0000-0000CF3D0000}"/>
    <cellStyle name="Normal 72 2 7" xfId="15819" xr:uid="{00000000-0005-0000-0000-0000D03D0000}"/>
    <cellStyle name="Normal 72 2 8" xfId="15820" xr:uid="{00000000-0005-0000-0000-0000D13D0000}"/>
    <cellStyle name="Normal 72 2 9" xfId="15821" xr:uid="{00000000-0005-0000-0000-0000D23D0000}"/>
    <cellStyle name="Normal 72 20" xfId="15822" xr:uid="{00000000-0005-0000-0000-0000D33D0000}"/>
    <cellStyle name="Normal 72 21" xfId="15823" xr:uid="{00000000-0005-0000-0000-0000D43D0000}"/>
    <cellStyle name="Normal 72 22" xfId="15824" xr:uid="{00000000-0005-0000-0000-0000D53D0000}"/>
    <cellStyle name="Normal 72 23" xfId="15825" xr:uid="{00000000-0005-0000-0000-0000D63D0000}"/>
    <cellStyle name="Normal 72 24" xfId="15826" xr:uid="{00000000-0005-0000-0000-0000D73D0000}"/>
    <cellStyle name="Normal 72 25" xfId="15827" xr:uid="{00000000-0005-0000-0000-0000D83D0000}"/>
    <cellStyle name="Normal 72 3" xfId="15828" xr:uid="{00000000-0005-0000-0000-0000D93D0000}"/>
    <cellStyle name="Normal 72 3 10" xfId="15829" xr:uid="{00000000-0005-0000-0000-0000DA3D0000}"/>
    <cellStyle name="Normal 72 3 11" xfId="15830" xr:uid="{00000000-0005-0000-0000-0000DB3D0000}"/>
    <cellStyle name="Normal 72 3 12" xfId="15831" xr:uid="{00000000-0005-0000-0000-0000DC3D0000}"/>
    <cellStyle name="Normal 72 3 13" xfId="15832" xr:uid="{00000000-0005-0000-0000-0000DD3D0000}"/>
    <cellStyle name="Normal 72 3 2" xfId="15833" xr:uid="{00000000-0005-0000-0000-0000DE3D0000}"/>
    <cellStyle name="Normal 72 3 2 10" xfId="15834" xr:uid="{00000000-0005-0000-0000-0000DF3D0000}"/>
    <cellStyle name="Normal 72 3 2 11" xfId="15835" xr:uid="{00000000-0005-0000-0000-0000E03D0000}"/>
    <cellStyle name="Normal 72 3 2 2" xfId="15836" xr:uid="{00000000-0005-0000-0000-0000E13D0000}"/>
    <cellStyle name="Normal 72 3 2 3" xfId="15837" xr:uid="{00000000-0005-0000-0000-0000E23D0000}"/>
    <cellStyle name="Normal 72 3 2 4" xfId="15838" xr:uid="{00000000-0005-0000-0000-0000E33D0000}"/>
    <cellStyle name="Normal 72 3 2 5" xfId="15839" xr:uid="{00000000-0005-0000-0000-0000E43D0000}"/>
    <cellStyle name="Normal 72 3 2 6" xfId="15840" xr:uid="{00000000-0005-0000-0000-0000E53D0000}"/>
    <cellStyle name="Normal 72 3 2 7" xfId="15841" xr:uid="{00000000-0005-0000-0000-0000E63D0000}"/>
    <cellStyle name="Normal 72 3 2 8" xfId="15842" xr:uid="{00000000-0005-0000-0000-0000E73D0000}"/>
    <cellStyle name="Normal 72 3 2 9" xfId="15843" xr:uid="{00000000-0005-0000-0000-0000E83D0000}"/>
    <cellStyle name="Normal 72 3 3" xfId="15844" xr:uid="{00000000-0005-0000-0000-0000E93D0000}"/>
    <cellStyle name="Normal 72 3 4" xfId="15845" xr:uid="{00000000-0005-0000-0000-0000EA3D0000}"/>
    <cellStyle name="Normal 72 3 5" xfId="15846" xr:uid="{00000000-0005-0000-0000-0000EB3D0000}"/>
    <cellStyle name="Normal 72 3 6" xfId="15847" xr:uid="{00000000-0005-0000-0000-0000EC3D0000}"/>
    <cellStyle name="Normal 72 3 7" xfId="15848" xr:uid="{00000000-0005-0000-0000-0000ED3D0000}"/>
    <cellStyle name="Normal 72 3 8" xfId="15849" xr:uid="{00000000-0005-0000-0000-0000EE3D0000}"/>
    <cellStyle name="Normal 72 3 9" xfId="15850" xr:uid="{00000000-0005-0000-0000-0000EF3D0000}"/>
    <cellStyle name="Normal 72 4" xfId="15851" xr:uid="{00000000-0005-0000-0000-0000F03D0000}"/>
    <cellStyle name="Normal 72 4 10" xfId="15852" xr:uid="{00000000-0005-0000-0000-0000F13D0000}"/>
    <cellStyle name="Normal 72 4 11" xfId="15853" xr:uid="{00000000-0005-0000-0000-0000F23D0000}"/>
    <cellStyle name="Normal 72 4 12" xfId="15854" xr:uid="{00000000-0005-0000-0000-0000F33D0000}"/>
    <cellStyle name="Normal 72 4 13" xfId="15855" xr:uid="{00000000-0005-0000-0000-0000F43D0000}"/>
    <cellStyle name="Normal 72 4 2" xfId="15856" xr:uid="{00000000-0005-0000-0000-0000F53D0000}"/>
    <cellStyle name="Normal 72 4 2 10" xfId="15857" xr:uid="{00000000-0005-0000-0000-0000F63D0000}"/>
    <cellStyle name="Normal 72 4 2 11" xfId="15858" xr:uid="{00000000-0005-0000-0000-0000F73D0000}"/>
    <cellStyle name="Normal 72 4 2 2" xfId="15859" xr:uid="{00000000-0005-0000-0000-0000F83D0000}"/>
    <cellStyle name="Normal 72 4 2 3" xfId="15860" xr:uid="{00000000-0005-0000-0000-0000F93D0000}"/>
    <cellStyle name="Normal 72 4 2 4" xfId="15861" xr:uid="{00000000-0005-0000-0000-0000FA3D0000}"/>
    <cellStyle name="Normal 72 4 2 5" xfId="15862" xr:uid="{00000000-0005-0000-0000-0000FB3D0000}"/>
    <cellStyle name="Normal 72 4 2 6" xfId="15863" xr:uid="{00000000-0005-0000-0000-0000FC3D0000}"/>
    <cellStyle name="Normal 72 4 2 7" xfId="15864" xr:uid="{00000000-0005-0000-0000-0000FD3D0000}"/>
    <cellStyle name="Normal 72 4 2 8" xfId="15865" xr:uid="{00000000-0005-0000-0000-0000FE3D0000}"/>
    <cellStyle name="Normal 72 4 2 9" xfId="15866" xr:uid="{00000000-0005-0000-0000-0000FF3D0000}"/>
    <cellStyle name="Normal 72 4 3" xfId="15867" xr:uid="{00000000-0005-0000-0000-0000003E0000}"/>
    <cellStyle name="Normal 72 4 4" xfId="15868" xr:uid="{00000000-0005-0000-0000-0000013E0000}"/>
    <cellStyle name="Normal 72 4 5" xfId="15869" xr:uid="{00000000-0005-0000-0000-0000023E0000}"/>
    <cellStyle name="Normal 72 4 6" xfId="15870" xr:uid="{00000000-0005-0000-0000-0000033E0000}"/>
    <cellStyle name="Normal 72 4 7" xfId="15871" xr:uid="{00000000-0005-0000-0000-0000043E0000}"/>
    <cellStyle name="Normal 72 4 8" xfId="15872" xr:uid="{00000000-0005-0000-0000-0000053E0000}"/>
    <cellStyle name="Normal 72 4 9" xfId="15873" xr:uid="{00000000-0005-0000-0000-0000063E0000}"/>
    <cellStyle name="Normal 72 5" xfId="15874" xr:uid="{00000000-0005-0000-0000-0000073E0000}"/>
    <cellStyle name="Normal 72 5 10" xfId="15875" xr:uid="{00000000-0005-0000-0000-0000083E0000}"/>
    <cellStyle name="Normal 72 5 11" xfId="15876" xr:uid="{00000000-0005-0000-0000-0000093E0000}"/>
    <cellStyle name="Normal 72 5 12" xfId="15877" xr:uid="{00000000-0005-0000-0000-00000A3E0000}"/>
    <cellStyle name="Normal 72 5 13" xfId="15878" xr:uid="{00000000-0005-0000-0000-00000B3E0000}"/>
    <cellStyle name="Normal 72 5 2" xfId="15879" xr:uid="{00000000-0005-0000-0000-00000C3E0000}"/>
    <cellStyle name="Normal 72 5 2 10" xfId="15880" xr:uid="{00000000-0005-0000-0000-00000D3E0000}"/>
    <cellStyle name="Normal 72 5 2 11" xfId="15881" xr:uid="{00000000-0005-0000-0000-00000E3E0000}"/>
    <cellStyle name="Normal 72 5 2 2" xfId="15882" xr:uid="{00000000-0005-0000-0000-00000F3E0000}"/>
    <cellStyle name="Normal 72 5 2 3" xfId="15883" xr:uid="{00000000-0005-0000-0000-0000103E0000}"/>
    <cellStyle name="Normal 72 5 2 4" xfId="15884" xr:uid="{00000000-0005-0000-0000-0000113E0000}"/>
    <cellStyle name="Normal 72 5 2 5" xfId="15885" xr:uid="{00000000-0005-0000-0000-0000123E0000}"/>
    <cellStyle name="Normal 72 5 2 6" xfId="15886" xr:uid="{00000000-0005-0000-0000-0000133E0000}"/>
    <cellStyle name="Normal 72 5 2 7" xfId="15887" xr:uid="{00000000-0005-0000-0000-0000143E0000}"/>
    <cellStyle name="Normal 72 5 2 8" xfId="15888" xr:uid="{00000000-0005-0000-0000-0000153E0000}"/>
    <cellStyle name="Normal 72 5 2 9" xfId="15889" xr:uid="{00000000-0005-0000-0000-0000163E0000}"/>
    <cellStyle name="Normal 72 5 3" xfId="15890" xr:uid="{00000000-0005-0000-0000-0000173E0000}"/>
    <cellStyle name="Normal 72 5 4" xfId="15891" xr:uid="{00000000-0005-0000-0000-0000183E0000}"/>
    <cellStyle name="Normal 72 5 5" xfId="15892" xr:uid="{00000000-0005-0000-0000-0000193E0000}"/>
    <cellStyle name="Normal 72 5 6" xfId="15893" xr:uid="{00000000-0005-0000-0000-00001A3E0000}"/>
    <cellStyle name="Normal 72 5 7" xfId="15894" xr:uid="{00000000-0005-0000-0000-00001B3E0000}"/>
    <cellStyle name="Normal 72 5 8" xfId="15895" xr:uid="{00000000-0005-0000-0000-00001C3E0000}"/>
    <cellStyle name="Normal 72 5 9" xfId="15896" xr:uid="{00000000-0005-0000-0000-00001D3E0000}"/>
    <cellStyle name="Normal 72 6" xfId="15897" xr:uid="{00000000-0005-0000-0000-00001E3E0000}"/>
    <cellStyle name="Normal 72 6 10" xfId="15898" xr:uid="{00000000-0005-0000-0000-00001F3E0000}"/>
    <cellStyle name="Normal 72 6 11" xfId="15899" xr:uid="{00000000-0005-0000-0000-0000203E0000}"/>
    <cellStyle name="Normal 72 6 12" xfId="15900" xr:uid="{00000000-0005-0000-0000-0000213E0000}"/>
    <cellStyle name="Normal 72 6 13" xfId="15901" xr:uid="{00000000-0005-0000-0000-0000223E0000}"/>
    <cellStyle name="Normal 72 6 2" xfId="15902" xr:uid="{00000000-0005-0000-0000-0000233E0000}"/>
    <cellStyle name="Normal 72 6 2 10" xfId="15903" xr:uid="{00000000-0005-0000-0000-0000243E0000}"/>
    <cellStyle name="Normal 72 6 2 11" xfId="15904" xr:uid="{00000000-0005-0000-0000-0000253E0000}"/>
    <cellStyle name="Normal 72 6 2 2" xfId="15905" xr:uid="{00000000-0005-0000-0000-0000263E0000}"/>
    <cellStyle name="Normal 72 6 2 3" xfId="15906" xr:uid="{00000000-0005-0000-0000-0000273E0000}"/>
    <cellStyle name="Normal 72 6 2 4" xfId="15907" xr:uid="{00000000-0005-0000-0000-0000283E0000}"/>
    <cellStyle name="Normal 72 6 2 5" xfId="15908" xr:uid="{00000000-0005-0000-0000-0000293E0000}"/>
    <cellStyle name="Normal 72 6 2 6" xfId="15909" xr:uid="{00000000-0005-0000-0000-00002A3E0000}"/>
    <cellStyle name="Normal 72 6 2 7" xfId="15910" xr:uid="{00000000-0005-0000-0000-00002B3E0000}"/>
    <cellStyle name="Normal 72 6 2 8" xfId="15911" xr:uid="{00000000-0005-0000-0000-00002C3E0000}"/>
    <cellStyle name="Normal 72 6 2 9" xfId="15912" xr:uid="{00000000-0005-0000-0000-00002D3E0000}"/>
    <cellStyle name="Normal 72 6 3" xfId="15913" xr:uid="{00000000-0005-0000-0000-00002E3E0000}"/>
    <cellStyle name="Normal 72 6 4" xfId="15914" xr:uid="{00000000-0005-0000-0000-00002F3E0000}"/>
    <cellStyle name="Normal 72 6 5" xfId="15915" xr:uid="{00000000-0005-0000-0000-0000303E0000}"/>
    <cellStyle name="Normal 72 6 6" xfId="15916" xr:uid="{00000000-0005-0000-0000-0000313E0000}"/>
    <cellStyle name="Normal 72 6 7" xfId="15917" xr:uid="{00000000-0005-0000-0000-0000323E0000}"/>
    <cellStyle name="Normal 72 6 8" xfId="15918" xr:uid="{00000000-0005-0000-0000-0000333E0000}"/>
    <cellStyle name="Normal 72 6 9" xfId="15919" xr:uid="{00000000-0005-0000-0000-0000343E0000}"/>
    <cellStyle name="Normal 72 7" xfId="15920" xr:uid="{00000000-0005-0000-0000-0000353E0000}"/>
    <cellStyle name="Normal 72 7 10" xfId="15921" xr:uid="{00000000-0005-0000-0000-0000363E0000}"/>
    <cellStyle name="Normal 72 7 11" xfId="15922" xr:uid="{00000000-0005-0000-0000-0000373E0000}"/>
    <cellStyle name="Normal 72 7 12" xfId="15923" xr:uid="{00000000-0005-0000-0000-0000383E0000}"/>
    <cellStyle name="Normal 72 7 13" xfId="15924" xr:uid="{00000000-0005-0000-0000-0000393E0000}"/>
    <cellStyle name="Normal 72 7 2" xfId="15925" xr:uid="{00000000-0005-0000-0000-00003A3E0000}"/>
    <cellStyle name="Normal 72 7 2 10" xfId="15926" xr:uid="{00000000-0005-0000-0000-00003B3E0000}"/>
    <cellStyle name="Normal 72 7 2 11" xfId="15927" xr:uid="{00000000-0005-0000-0000-00003C3E0000}"/>
    <cellStyle name="Normal 72 7 2 2" xfId="15928" xr:uid="{00000000-0005-0000-0000-00003D3E0000}"/>
    <cellStyle name="Normal 72 7 2 3" xfId="15929" xr:uid="{00000000-0005-0000-0000-00003E3E0000}"/>
    <cellStyle name="Normal 72 7 2 4" xfId="15930" xr:uid="{00000000-0005-0000-0000-00003F3E0000}"/>
    <cellStyle name="Normal 72 7 2 5" xfId="15931" xr:uid="{00000000-0005-0000-0000-0000403E0000}"/>
    <cellStyle name="Normal 72 7 2 6" xfId="15932" xr:uid="{00000000-0005-0000-0000-0000413E0000}"/>
    <cellStyle name="Normal 72 7 2 7" xfId="15933" xr:uid="{00000000-0005-0000-0000-0000423E0000}"/>
    <cellStyle name="Normal 72 7 2 8" xfId="15934" xr:uid="{00000000-0005-0000-0000-0000433E0000}"/>
    <cellStyle name="Normal 72 7 2 9" xfId="15935" xr:uid="{00000000-0005-0000-0000-0000443E0000}"/>
    <cellStyle name="Normal 72 7 3" xfId="15936" xr:uid="{00000000-0005-0000-0000-0000453E0000}"/>
    <cellStyle name="Normal 72 7 4" xfId="15937" xr:uid="{00000000-0005-0000-0000-0000463E0000}"/>
    <cellStyle name="Normal 72 7 5" xfId="15938" xr:uid="{00000000-0005-0000-0000-0000473E0000}"/>
    <cellStyle name="Normal 72 7 6" xfId="15939" xr:uid="{00000000-0005-0000-0000-0000483E0000}"/>
    <cellStyle name="Normal 72 7 7" xfId="15940" xr:uid="{00000000-0005-0000-0000-0000493E0000}"/>
    <cellStyle name="Normal 72 7 8" xfId="15941" xr:uid="{00000000-0005-0000-0000-00004A3E0000}"/>
    <cellStyle name="Normal 72 7 9" xfId="15942" xr:uid="{00000000-0005-0000-0000-00004B3E0000}"/>
    <cellStyle name="Normal 72 8" xfId="15943" xr:uid="{00000000-0005-0000-0000-00004C3E0000}"/>
    <cellStyle name="Normal 72 8 10" xfId="15944" xr:uid="{00000000-0005-0000-0000-00004D3E0000}"/>
    <cellStyle name="Normal 72 8 11" xfId="15945" xr:uid="{00000000-0005-0000-0000-00004E3E0000}"/>
    <cellStyle name="Normal 72 8 12" xfId="15946" xr:uid="{00000000-0005-0000-0000-00004F3E0000}"/>
    <cellStyle name="Normal 72 8 13" xfId="15947" xr:uid="{00000000-0005-0000-0000-0000503E0000}"/>
    <cellStyle name="Normal 72 8 2" xfId="15948" xr:uid="{00000000-0005-0000-0000-0000513E0000}"/>
    <cellStyle name="Normal 72 8 2 10" xfId="15949" xr:uid="{00000000-0005-0000-0000-0000523E0000}"/>
    <cellStyle name="Normal 72 8 2 11" xfId="15950" xr:uid="{00000000-0005-0000-0000-0000533E0000}"/>
    <cellStyle name="Normal 72 8 2 2" xfId="15951" xr:uid="{00000000-0005-0000-0000-0000543E0000}"/>
    <cellStyle name="Normal 72 8 2 3" xfId="15952" xr:uid="{00000000-0005-0000-0000-0000553E0000}"/>
    <cellStyle name="Normal 72 8 2 4" xfId="15953" xr:uid="{00000000-0005-0000-0000-0000563E0000}"/>
    <cellStyle name="Normal 72 8 2 5" xfId="15954" xr:uid="{00000000-0005-0000-0000-0000573E0000}"/>
    <cellStyle name="Normal 72 8 2 6" xfId="15955" xr:uid="{00000000-0005-0000-0000-0000583E0000}"/>
    <cellStyle name="Normal 72 8 2 7" xfId="15956" xr:uid="{00000000-0005-0000-0000-0000593E0000}"/>
    <cellStyle name="Normal 72 8 2 8" xfId="15957" xr:uid="{00000000-0005-0000-0000-00005A3E0000}"/>
    <cellStyle name="Normal 72 8 2 9" xfId="15958" xr:uid="{00000000-0005-0000-0000-00005B3E0000}"/>
    <cellStyle name="Normal 72 8 3" xfId="15959" xr:uid="{00000000-0005-0000-0000-00005C3E0000}"/>
    <cellStyle name="Normal 72 8 4" xfId="15960" xr:uid="{00000000-0005-0000-0000-00005D3E0000}"/>
    <cellStyle name="Normal 72 8 5" xfId="15961" xr:uid="{00000000-0005-0000-0000-00005E3E0000}"/>
    <cellStyle name="Normal 72 8 6" xfId="15962" xr:uid="{00000000-0005-0000-0000-00005F3E0000}"/>
    <cellStyle name="Normal 72 8 7" xfId="15963" xr:uid="{00000000-0005-0000-0000-0000603E0000}"/>
    <cellStyle name="Normal 72 8 8" xfId="15964" xr:uid="{00000000-0005-0000-0000-0000613E0000}"/>
    <cellStyle name="Normal 72 8 9" xfId="15965" xr:uid="{00000000-0005-0000-0000-0000623E0000}"/>
    <cellStyle name="Normal 72 9" xfId="15966" xr:uid="{00000000-0005-0000-0000-0000633E0000}"/>
    <cellStyle name="Normal 72 9 10" xfId="15967" xr:uid="{00000000-0005-0000-0000-0000643E0000}"/>
    <cellStyle name="Normal 72 9 11" xfId="15968" xr:uid="{00000000-0005-0000-0000-0000653E0000}"/>
    <cellStyle name="Normal 72 9 12" xfId="15969" xr:uid="{00000000-0005-0000-0000-0000663E0000}"/>
    <cellStyle name="Normal 72 9 13" xfId="15970" xr:uid="{00000000-0005-0000-0000-0000673E0000}"/>
    <cellStyle name="Normal 72 9 2" xfId="15971" xr:uid="{00000000-0005-0000-0000-0000683E0000}"/>
    <cellStyle name="Normal 72 9 2 10" xfId="15972" xr:uid="{00000000-0005-0000-0000-0000693E0000}"/>
    <cellStyle name="Normal 72 9 2 11" xfId="15973" xr:uid="{00000000-0005-0000-0000-00006A3E0000}"/>
    <cellStyle name="Normal 72 9 2 2" xfId="15974" xr:uid="{00000000-0005-0000-0000-00006B3E0000}"/>
    <cellStyle name="Normal 72 9 2 3" xfId="15975" xr:uid="{00000000-0005-0000-0000-00006C3E0000}"/>
    <cellStyle name="Normal 72 9 2 4" xfId="15976" xr:uid="{00000000-0005-0000-0000-00006D3E0000}"/>
    <cellStyle name="Normal 72 9 2 5" xfId="15977" xr:uid="{00000000-0005-0000-0000-00006E3E0000}"/>
    <cellStyle name="Normal 72 9 2 6" xfId="15978" xr:uid="{00000000-0005-0000-0000-00006F3E0000}"/>
    <cellStyle name="Normal 72 9 2 7" xfId="15979" xr:uid="{00000000-0005-0000-0000-0000703E0000}"/>
    <cellStyle name="Normal 72 9 2 8" xfId="15980" xr:uid="{00000000-0005-0000-0000-0000713E0000}"/>
    <cellStyle name="Normal 72 9 2 9" xfId="15981" xr:uid="{00000000-0005-0000-0000-0000723E0000}"/>
    <cellStyle name="Normal 72 9 3" xfId="15982" xr:uid="{00000000-0005-0000-0000-0000733E0000}"/>
    <cellStyle name="Normal 72 9 4" xfId="15983" xr:uid="{00000000-0005-0000-0000-0000743E0000}"/>
    <cellStyle name="Normal 72 9 5" xfId="15984" xr:uid="{00000000-0005-0000-0000-0000753E0000}"/>
    <cellStyle name="Normal 72 9 6" xfId="15985" xr:uid="{00000000-0005-0000-0000-0000763E0000}"/>
    <cellStyle name="Normal 72 9 7" xfId="15986" xr:uid="{00000000-0005-0000-0000-0000773E0000}"/>
    <cellStyle name="Normal 72 9 8" xfId="15987" xr:uid="{00000000-0005-0000-0000-0000783E0000}"/>
    <cellStyle name="Normal 72 9 9" xfId="15988" xr:uid="{00000000-0005-0000-0000-0000793E0000}"/>
    <cellStyle name="Normal 73" xfId="15989" xr:uid="{00000000-0005-0000-0000-00007A3E0000}"/>
    <cellStyle name="Normal 73 10" xfId="15990" xr:uid="{00000000-0005-0000-0000-00007B3E0000}"/>
    <cellStyle name="Normal 73 10 10" xfId="15991" xr:uid="{00000000-0005-0000-0000-00007C3E0000}"/>
    <cellStyle name="Normal 73 10 11" xfId="15992" xr:uid="{00000000-0005-0000-0000-00007D3E0000}"/>
    <cellStyle name="Normal 73 10 12" xfId="15993" xr:uid="{00000000-0005-0000-0000-00007E3E0000}"/>
    <cellStyle name="Normal 73 10 13" xfId="15994" xr:uid="{00000000-0005-0000-0000-00007F3E0000}"/>
    <cellStyle name="Normal 73 10 2" xfId="15995" xr:uid="{00000000-0005-0000-0000-0000803E0000}"/>
    <cellStyle name="Normal 73 10 2 10" xfId="15996" xr:uid="{00000000-0005-0000-0000-0000813E0000}"/>
    <cellStyle name="Normal 73 10 2 11" xfId="15997" xr:uid="{00000000-0005-0000-0000-0000823E0000}"/>
    <cellStyle name="Normal 73 10 2 2" xfId="15998" xr:uid="{00000000-0005-0000-0000-0000833E0000}"/>
    <cellStyle name="Normal 73 10 2 3" xfId="15999" xr:uid="{00000000-0005-0000-0000-0000843E0000}"/>
    <cellStyle name="Normal 73 10 2 4" xfId="16000" xr:uid="{00000000-0005-0000-0000-0000853E0000}"/>
    <cellStyle name="Normal 73 10 2 5" xfId="16001" xr:uid="{00000000-0005-0000-0000-0000863E0000}"/>
    <cellStyle name="Normal 73 10 2 6" xfId="16002" xr:uid="{00000000-0005-0000-0000-0000873E0000}"/>
    <cellStyle name="Normal 73 10 2 7" xfId="16003" xr:uid="{00000000-0005-0000-0000-0000883E0000}"/>
    <cellStyle name="Normal 73 10 2 8" xfId="16004" xr:uid="{00000000-0005-0000-0000-0000893E0000}"/>
    <cellStyle name="Normal 73 10 2 9" xfId="16005" xr:uid="{00000000-0005-0000-0000-00008A3E0000}"/>
    <cellStyle name="Normal 73 10 3" xfId="16006" xr:uid="{00000000-0005-0000-0000-00008B3E0000}"/>
    <cellStyle name="Normal 73 10 4" xfId="16007" xr:uid="{00000000-0005-0000-0000-00008C3E0000}"/>
    <cellStyle name="Normal 73 10 5" xfId="16008" xr:uid="{00000000-0005-0000-0000-00008D3E0000}"/>
    <cellStyle name="Normal 73 10 6" xfId="16009" xr:uid="{00000000-0005-0000-0000-00008E3E0000}"/>
    <cellStyle name="Normal 73 10 7" xfId="16010" xr:uid="{00000000-0005-0000-0000-00008F3E0000}"/>
    <cellStyle name="Normal 73 10 8" xfId="16011" xr:uid="{00000000-0005-0000-0000-0000903E0000}"/>
    <cellStyle name="Normal 73 10 9" xfId="16012" xr:uid="{00000000-0005-0000-0000-0000913E0000}"/>
    <cellStyle name="Normal 73 11" xfId="16013" xr:uid="{00000000-0005-0000-0000-0000923E0000}"/>
    <cellStyle name="Normal 73 11 10" xfId="16014" xr:uid="{00000000-0005-0000-0000-0000933E0000}"/>
    <cellStyle name="Normal 73 11 11" xfId="16015" xr:uid="{00000000-0005-0000-0000-0000943E0000}"/>
    <cellStyle name="Normal 73 11 12" xfId="16016" xr:uid="{00000000-0005-0000-0000-0000953E0000}"/>
    <cellStyle name="Normal 73 11 13" xfId="16017" xr:uid="{00000000-0005-0000-0000-0000963E0000}"/>
    <cellStyle name="Normal 73 11 2" xfId="16018" xr:uid="{00000000-0005-0000-0000-0000973E0000}"/>
    <cellStyle name="Normal 73 11 2 10" xfId="16019" xr:uid="{00000000-0005-0000-0000-0000983E0000}"/>
    <cellStyle name="Normal 73 11 2 11" xfId="16020" xr:uid="{00000000-0005-0000-0000-0000993E0000}"/>
    <cellStyle name="Normal 73 11 2 2" xfId="16021" xr:uid="{00000000-0005-0000-0000-00009A3E0000}"/>
    <cellStyle name="Normal 73 11 2 3" xfId="16022" xr:uid="{00000000-0005-0000-0000-00009B3E0000}"/>
    <cellStyle name="Normal 73 11 2 4" xfId="16023" xr:uid="{00000000-0005-0000-0000-00009C3E0000}"/>
    <cellStyle name="Normal 73 11 2 5" xfId="16024" xr:uid="{00000000-0005-0000-0000-00009D3E0000}"/>
    <cellStyle name="Normal 73 11 2 6" xfId="16025" xr:uid="{00000000-0005-0000-0000-00009E3E0000}"/>
    <cellStyle name="Normal 73 11 2 7" xfId="16026" xr:uid="{00000000-0005-0000-0000-00009F3E0000}"/>
    <cellStyle name="Normal 73 11 2 8" xfId="16027" xr:uid="{00000000-0005-0000-0000-0000A03E0000}"/>
    <cellStyle name="Normal 73 11 2 9" xfId="16028" xr:uid="{00000000-0005-0000-0000-0000A13E0000}"/>
    <cellStyle name="Normal 73 11 3" xfId="16029" xr:uid="{00000000-0005-0000-0000-0000A23E0000}"/>
    <cellStyle name="Normal 73 11 4" xfId="16030" xr:uid="{00000000-0005-0000-0000-0000A33E0000}"/>
    <cellStyle name="Normal 73 11 5" xfId="16031" xr:uid="{00000000-0005-0000-0000-0000A43E0000}"/>
    <cellStyle name="Normal 73 11 6" xfId="16032" xr:uid="{00000000-0005-0000-0000-0000A53E0000}"/>
    <cellStyle name="Normal 73 11 7" xfId="16033" xr:uid="{00000000-0005-0000-0000-0000A63E0000}"/>
    <cellStyle name="Normal 73 11 8" xfId="16034" xr:uid="{00000000-0005-0000-0000-0000A73E0000}"/>
    <cellStyle name="Normal 73 11 9" xfId="16035" xr:uid="{00000000-0005-0000-0000-0000A83E0000}"/>
    <cellStyle name="Normal 73 12" xfId="16036" xr:uid="{00000000-0005-0000-0000-0000A93E0000}"/>
    <cellStyle name="Normal 73 12 10" xfId="16037" xr:uid="{00000000-0005-0000-0000-0000AA3E0000}"/>
    <cellStyle name="Normal 73 12 11" xfId="16038" xr:uid="{00000000-0005-0000-0000-0000AB3E0000}"/>
    <cellStyle name="Normal 73 12 12" xfId="16039" xr:uid="{00000000-0005-0000-0000-0000AC3E0000}"/>
    <cellStyle name="Normal 73 12 13" xfId="16040" xr:uid="{00000000-0005-0000-0000-0000AD3E0000}"/>
    <cellStyle name="Normal 73 12 2" xfId="16041" xr:uid="{00000000-0005-0000-0000-0000AE3E0000}"/>
    <cellStyle name="Normal 73 12 2 10" xfId="16042" xr:uid="{00000000-0005-0000-0000-0000AF3E0000}"/>
    <cellStyle name="Normal 73 12 2 11" xfId="16043" xr:uid="{00000000-0005-0000-0000-0000B03E0000}"/>
    <cellStyle name="Normal 73 12 2 2" xfId="16044" xr:uid="{00000000-0005-0000-0000-0000B13E0000}"/>
    <cellStyle name="Normal 73 12 2 3" xfId="16045" xr:uid="{00000000-0005-0000-0000-0000B23E0000}"/>
    <cellStyle name="Normal 73 12 2 4" xfId="16046" xr:uid="{00000000-0005-0000-0000-0000B33E0000}"/>
    <cellStyle name="Normal 73 12 2 5" xfId="16047" xr:uid="{00000000-0005-0000-0000-0000B43E0000}"/>
    <cellStyle name="Normal 73 12 2 6" xfId="16048" xr:uid="{00000000-0005-0000-0000-0000B53E0000}"/>
    <cellStyle name="Normal 73 12 2 7" xfId="16049" xr:uid="{00000000-0005-0000-0000-0000B63E0000}"/>
    <cellStyle name="Normal 73 12 2 8" xfId="16050" xr:uid="{00000000-0005-0000-0000-0000B73E0000}"/>
    <cellStyle name="Normal 73 12 2 9" xfId="16051" xr:uid="{00000000-0005-0000-0000-0000B83E0000}"/>
    <cellStyle name="Normal 73 12 3" xfId="16052" xr:uid="{00000000-0005-0000-0000-0000B93E0000}"/>
    <cellStyle name="Normal 73 12 4" xfId="16053" xr:uid="{00000000-0005-0000-0000-0000BA3E0000}"/>
    <cellStyle name="Normal 73 12 5" xfId="16054" xr:uid="{00000000-0005-0000-0000-0000BB3E0000}"/>
    <cellStyle name="Normal 73 12 6" xfId="16055" xr:uid="{00000000-0005-0000-0000-0000BC3E0000}"/>
    <cellStyle name="Normal 73 12 7" xfId="16056" xr:uid="{00000000-0005-0000-0000-0000BD3E0000}"/>
    <cellStyle name="Normal 73 12 8" xfId="16057" xr:uid="{00000000-0005-0000-0000-0000BE3E0000}"/>
    <cellStyle name="Normal 73 12 9" xfId="16058" xr:uid="{00000000-0005-0000-0000-0000BF3E0000}"/>
    <cellStyle name="Normal 73 13" xfId="16059" xr:uid="{00000000-0005-0000-0000-0000C03E0000}"/>
    <cellStyle name="Normal 73 13 10" xfId="16060" xr:uid="{00000000-0005-0000-0000-0000C13E0000}"/>
    <cellStyle name="Normal 73 13 11" xfId="16061" xr:uid="{00000000-0005-0000-0000-0000C23E0000}"/>
    <cellStyle name="Normal 73 13 12" xfId="16062" xr:uid="{00000000-0005-0000-0000-0000C33E0000}"/>
    <cellStyle name="Normal 73 13 13" xfId="16063" xr:uid="{00000000-0005-0000-0000-0000C43E0000}"/>
    <cellStyle name="Normal 73 13 2" xfId="16064" xr:uid="{00000000-0005-0000-0000-0000C53E0000}"/>
    <cellStyle name="Normal 73 13 2 10" xfId="16065" xr:uid="{00000000-0005-0000-0000-0000C63E0000}"/>
    <cellStyle name="Normal 73 13 2 11" xfId="16066" xr:uid="{00000000-0005-0000-0000-0000C73E0000}"/>
    <cellStyle name="Normal 73 13 2 2" xfId="16067" xr:uid="{00000000-0005-0000-0000-0000C83E0000}"/>
    <cellStyle name="Normal 73 13 2 3" xfId="16068" xr:uid="{00000000-0005-0000-0000-0000C93E0000}"/>
    <cellStyle name="Normal 73 13 2 4" xfId="16069" xr:uid="{00000000-0005-0000-0000-0000CA3E0000}"/>
    <cellStyle name="Normal 73 13 2 5" xfId="16070" xr:uid="{00000000-0005-0000-0000-0000CB3E0000}"/>
    <cellStyle name="Normal 73 13 2 6" xfId="16071" xr:uid="{00000000-0005-0000-0000-0000CC3E0000}"/>
    <cellStyle name="Normal 73 13 2 7" xfId="16072" xr:uid="{00000000-0005-0000-0000-0000CD3E0000}"/>
    <cellStyle name="Normal 73 13 2 8" xfId="16073" xr:uid="{00000000-0005-0000-0000-0000CE3E0000}"/>
    <cellStyle name="Normal 73 13 2 9" xfId="16074" xr:uid="{00000000-0005-0000-0000-0000CF3E0000}"/>
    <cellStyle name="Normal 73 13 3" xfId="16075" xr:uid="{00000000-0005-0000-0000-0000D03E0000}"/>
    <cellStyle name="Normal 73 13 4" xfId="16076" xr:uid="{00000000-0005-0000-0000-0000D13E0000}"/>
    <cellStyle name="Normal 73 13 5" xfId="16077" xr:uid="{00000000-0005-0000-0000-0000D23E0000}"/>
    <cellStyle name="Normal 73 13 6" xfId="16078" xr:uid="{00000000-0005-0000-0000-0000D33E0000}"/>
    <cellStyle name="Normal 73 13 7" xfId="16079" xr:uid="{00000000-0005-0000-0000-0000D43E0000}"/>
    <cellStyle name="Normal 73 13 8" xfId="16080" xr:uid="{00000000-0005-0000-0000-0000D53E0000}"/>
    <cellStyle name="Normal 73 13 9" xfId="16081" xr:uid="{00000000-0005-0000-0000-0000D63E0000}"/>
    <cellStyle name="Normal 73 14" xfId="16082" xr:uid="{00000000-0005-0000-0000-0000D73E0000}"/>
    <cellStyle name="Normal 73 14 10" xfId="16083" xr:uid="{00000000-0005-0000-0000-0000D83E0000}"/>
    <cellStyle name="Normal 73 14 11" xfId="16084" xr:uid="{00000000-0005-0000-0000-0000D93E0000}"/>
    <cellStyle name="Normal 73 14 2" xfId="16085" xr:uid="{00000000-0005-0000-0000-0000DA3E0000}"/>
    <cellStyle name="Normal 73 14 3" xfId="16086" xr:uid="{00000000-0005-0000-0000-0000DB3E0000}"/>
    <cellStyle name="Normal 73 14 4" xfId="16087" xr:uid="{00000000-0005-0000-0000-0000DC3E0000}"/>
    <cellStyle name="Normal 73 14 5" xfId="16088" xr:uid="{00000000-0005-0000-0000-0000DD3E0000}"/>
    <cellStyle name="Normal 73 14 6" xfId="16089" xr:uid="{00000000-0005-0000-0000-0000DE3E0000}"/>
    <cellStyle name="Normal 73 14 7" xfId="16090" xr:uid="{00000000-0005-0000-0000-0000DF3E0000}"/>
    <cellStyle name="Normal 73 14 8" xfId="16091" xr:uid="{00000000-0005-0000-0000-0000E03E0000}"/>
    <cellStyle name="Normal 73 14 9" xfId="16092" xr:uid="{00000000-0005-0000-0000-0000E13E0000}"/>
    <cellStyle name="Normal 73 15" xfId="16093" xr:uid="{00000000-0005-0000-0000-0000E23E0000}"/>
    <cellStyle name="Normal 73 16" xfId="16094" xr:uid="{00000000-0005-0000-0000-0000E33E0000}"/>
    <cellStyle name="Normal 73 17" xfId="16095" xr:uid="{00000000-0005-0000-0000-0000E43E0000}"/>
    <cellStyle name="Normal 73 18" xfId="16096" xr:uid="{00000000-0005-0000-0000-0000E53E0000}"/>
    <cellStyle name="Normal 73 19" xfId="16097" xr:uid="{00000000-0005-0000-0000-0000E63E0000}"/>
    <cellStyle name="Normal 73 2" xfId="16098" xr:uid="{00000000-0005-0000-0000-0000E73E0000}"/>
    <cellStyle name="Normal 73 2 10" xfId="16099" xr:uid="{00000000-0005-0000-0000-0000E83E0000}"/>
    <cellStyle name="Normal 73 2 11" xfId="16100" xr:uid="{00000000-0005-0000-0000-0000E93E0000}"/>
    <cellStyle name="Normal 73 2 12" xfId="16101" xr:uid="{00000000-0005-0000-0000-0000EA3E0000}"/>
    <cellStyle name="Normal 73 2 13" xfId="16102" xr:uid="{00000000-0005-0000-0000-0000EB3E0000}"/>
    <cellStyle name="Normal 73 2 2" xfId="16103" xr:uid="{00000000-0005-0000-0000-0000EC3E0000}"/>
    <cellStyle name="Normal 73 2 2 10" xfId="16104" xr:uid="{00000000-0005-0000-0000-0000ED3E0000}"/>
    <cellStyle name="Normal 73 2 2 11" xfId="16105" xr:uid="{00000000-0005-0000-0000-0000EE3E0000}"/>
    <cellStyle name="Normal 73 2 2 2" xfId="16106" xr:uid="{00000000-0005-0000-0000-0000EF3E0000}"/>
    <cellStyle name="Normal 73 2 2 3" xfId="16107" xr:uid="{00000000-0005-0000-0000-0000F03E0000}"/>
    <cellStyle name="Normal 73 2 2 4" xfId="16108" xr:uid="{00000000-0005-0000-0000-0000F13E0000}"/>
    <cellStyle name="Normal 73 2 2 5" xfId="16109" xr:uid="{00000000-0005-0000-0000-0000F23E0000}"/>
    <cellStyle name="Normal 73 2 2 6" xfId="16110" xr:uid="{00000000-0005-0000-0000-0000F33E0000}"/>
    <cellStyle name="Normal 73 2 2 7" xfId="16111" xr:uid="{00000000-0005-0000-0000-0000F43E0000}"/>
    <cellStyle name="Normal 73 2 2 8" xfId="16112" xr:uid="{00000000-0005-0000-0000-0000F53E0000}"/>
    <cellStyle name="Normal 73 2 2 9" xfId="16113" xr:uid="{00000000-0005-0000-0000-0000F63E0000}"/>
    <cellStyle name="Normal 73 2 3" xfId="16114" xr:uid="{00000000-0005-0000-0000-0000F73E0000}"/>
    <cellStyle name="Normal 73 2 4" xfId="16115" xr:uid="{00000000-0005-0000-0000-0000F83E0000}"/>
    <cellStyle name="Normal 73 2 5" xfId="16116" xr:uid="{00000000-0005-0000-0000-0000F93E0000}"/>
    <cellStyle name="Normal 73 2 6" xfId="16117" xr:uid="{00000000-0005-0000-0000-0000FA3E0000}"/>
    <cellStyle name="Normal 73 2 7" xfId="16118" xr:uid="{00000000-0005-0000-0000-0000FB3E0000}"/>
    <cellStyle name="Normal 73 2 8" xfId="16119" xr:uid="{00000000-0005-0000-0000-0000FC3E0000}"/>
    <cellStyle name="Normal 73 2 9" xfId="16120" xr:uid="{00000000-0005-0000-0000-0000FD3E0000}"/>
    <cellStyle name="Normal 73 20" xfId="16121" xr:uid="{00000000-0005-0000-0000-0000FE3E0000}"/>
    <cellStyle name="Normal 73 21" xfId="16122" xr:uid="{00000000-0005-0000-0000-0000FF3E0000}"/>
    <cellStyle name="Normal 73 22" xfId="16123" xr:uid="{00000000-0005-0000-0000-0000003F0000}"/>
    <cellStyle name="Normal 73 23" xfId="16124" xr:uid="{00000000-0005-0000-0000-0000013F0000}"/>
    <cellStyle name="Normal 73 24" xfId="16125" xr:uid="{00000000-0005-0000-0000-0000023F0000}"/>
    <cellStyle name="Normal 73 25" xfId="16126" xr:uid="{00000000-0005-0000-0000-0000033F0000}"/>
    <cellStyle name="Normal 73 3" xfId="16127" xr:uid="{00000000-0005-0000-0000-0000043F0000}"/>
    <cellStyle name="Normal 73 3 10" xfId="16128" xr:uid="{00000000-0005-0000-0000-0000053F0000}"/>
    <cellStyle name="Normal 73 3 11" xfId="16129" xr:uid="{00000000-0005-0000-0000-0000063F0000}"/>
    <cellStyle name="Normal 73 3 12" xfId="16130" xr:uid="{00000000-0005-0000-0000-0000073F0000}"/>
    <cellStyle name="Normal 73 3 13" xfId="16131" xr:uid="{00000000-0005-0000-0000-0000083F0000}"/>
    <cellStyle name="Normal 73 3 2" xfId="16132" xr:uid="{00000000-0005-0000-0000-0000093F0000}"/>
    <cellStyle name="Normal 73 3 2 10" xfId="16133" xr:uid="{00000000-0005-0000-0000-00000A3F0000}"/>
    <cellStyle name="Normal 73 3 2 11" xfId="16134" xr:uid="{00000000-0005-0000-0000-00000B3F0000}"/>
    <cellStyle name="Normal 73 3 2 2" xfId="16135" xr:uid="{00000000-0005-0000-0000-00000C3F0000}"/>
    <cellStyle name="Normal 73 3 2 3" xfId="16136" xr:uid="{00000000-0005-0000-0000-00000D3F0000}"/>
    <cellStyle name="Normal 73 3 2 4" xfId="16137" xr:uid="{00000000-0005-0000-0000-00000E3F0000}"/>
    <cellStyle name="Normal 73 3 2 5" xfId="16138" xr:uid="{00000000-0005-0000-0000-00000F3F0000}"/>
    <cellStyle name="Normal 73 3 2 6" xfId="16139" xr:uid="{00000000-0005-0000-0000-0000103F0000}"/>
    <cellStyle name="Normal 73 3 2 7" xfId="16140" xr:uid="{00000000-0005-0000-0000-0000113F0000}"/>
    <cellStyle name="Normal 73 3 2 8" xfId="16141" xr:uid="{00000000-0005-0000-0000-0000123F0000}"/>
    <cellStyle name="Normal 73 3 2 9" xfId="16142" xr:uid="{00000000-0005-0000-0000-0000133F0000}"/>
    <cellStyle name="Normal 73 3 3" xfId="16143" xr:uid="{00000000-0005-0000-0000-0000143F0000}"/>
    <cellStyle name="Normal 73 3 4" xfId="16144" xr:uid="{00000000-0005-0000-0000-0000153F0000}"/>
    <cellStyle name="Normal 73 3 5" xfId="16145" xr:uid="{00000000-0005-0000-0000-0000163F0000}"/>
    <cellStyle name="Normal 73 3 6" xfId="16146" xr:uid="{00000000-0005-0000-0000-0000173F0000}"/>
    <cellStyle name="Normal 73 3 7" xfId="16147" xr:uid="{00000000-0005-0000-0000-0000183F0000}"/>
    <cellStyle name="Normal 73 3 8" xfId="16148" xr:uid="{00000000-0005-0000-0000-0000193F0000}"/>
    <cellStyle name="Normal 73 3 9" xfId="16149" xr:uid="{00000000-0005-0000-0000-00001A3F0000}"/>
    <cellStyle name="Normal 73 4" xfId="16150" xr:uid="{00000000-0005-0000-0000-00001B3F0000}"/>
    <cellStyle name="Normal 73 4 10" xfId="16151" xr:uid="{00000000-0005-0000-0000-00001C3F0000}"/>
    <cellStyle name="Normal 73 4 11" xfId="16152" xr:uid="{00000000-0005-0000-0000-00001D3F0000}"/>
    <cellStyle name="Normal 73 4 12" xfId="16153" xr:uid="{00000000-0005-0000-0000-00001E3F0000}"/>
    <cellStyle name="Normal 73 4 13" xfId="16154" xr:uid="{00000000-0005-0000-0000-00001F3F0000}"/>
    <cellStyle name="Normal 73 4 2" xfId="16155" xr:uid="{00000000-0005-0000-0000-0000203F0000}"/>
    <cellStyle name="Normal 73 4 2 10" xfId="16156" xr:uid="{00000000-0005-0000-0000-0000213F0000}"/>
    <cellStyle name="Normal 73 4 2 11" xfId="16157" xr:uid="{00000000-0005-0000-0000-0000223F0000}"/>
    <cellStyle name="Normal 73 4 2 2" xfId="16158" xr:uid="{00000000-0005-0000-0000-0000233F0000}"/>
    <cellStyle name="Normal 73 4 2 3" xfId="16159" xr:uid="{00000000-0005-0000-0000-0000243F0000}"/>
    <cellStyle name="Normal 73 4 2 4" xfId="16160" xr:uid="{00000000-0005-0000-0000-0000253F0000}"/>
    <cellStyle name="Normal 73 4 2 5" xfId="16161" xr:uid="{00000000-0005-0000-0000-0000263F0000}"/>
    <cellStyle name="Normal 73 4 2 6" xfId="16162" xr:uid="{00000000-0005-0000-0000-0000273F0000}"/>
    <cellStyle name="Normal 73 4 2 7" xfId="16163" xr:uid="{00000000-0005-0000-0000-0000283F0000}"/>
    <cellStyle name="Normal 73 4 2 8" xfId="16164" xr:uid="{00000000-0005-0000-0000-0000293F0000}"/>
    <cellStyle name="Normal 73 4 2 9" xfId="16165" xr:uid="{00000000-0005-0000-0000-00002A3F0000}"/>
    <cellStyle name="Normal 73 4 3" xfId="16166" xr:uid="{00000000-0005-0000-0000-00002B3F0000}"/>
    <cellStyle name="Normal 73 4 4" xfId="16167" xr:uid="{00000000-0005-0000-0000-00002C3F0000}"/>
    <cellStyle name="Normal 73 4 5" xfId="16168" xr:uid="{00000000-0005-0000-0000-00002D3F0000}"/>
    <cellStyle name="Normal 73 4 6" xfId="16169" xr:uid="{00000000-0005-0000-0000-00002E3F0000}"/>
    <cellStyle name="Normal 73 4 7" xfId="16170" xr:uid="{00000000-0005-0000-0000-00002F3F0000}"/>
    <cellStyle name="Normal 73 4 8" xfId="16171" xr:uid="{00000000-0005-0000-0000-0000303F0000}"/>
    <cellStyle name="Normal 73 4 9" xfId="16172" xr:uid="{00000000-0005-0000-0000-0000313F0000}"/>
    <cellStyle name="Normal 73 5" xfId="16173" xr:uid="{00000000-0005-0000-0000-0000323F0000}"/>
    <cellStyle name="Normal 73 5 10" xfId="16174" xr:uid="{00000000-0005-0000-0000-0000333F0000}"/>
    <cellStyle name="Normal 73 5 11" xfId="16175" xr:uid="{00000000-0005-0000-0000-0000343F0000}"/>
    <cellStyle name="Normal 73 5 12" xfId="16176" xr:uid="{00000000-0005-0000-0000-0000353F0000}"/>
    <cellStyle name="Normal 73 5 13" xfId="16177" xr:uid="{00000000-0005-0000-0000-0000363F0000}"/>
    <cellStyle name="Normal 73 5 2" xfId="16178" xr:uid="{00000000-0005-0000-0000-0000373F0000}"/>
    <cellStyle name="Normal 73 5 2 10" xfId="16179" xr:uid="{00000000-0005-0000-0000-0000383F0000}"/>
    <cellStyle name="Normal 73 5 2 11" xfId="16180" xr:uid="{00000000-0005-0000-0000-0000393F0000}"/>
    <cellStyle name="Normal 73 5 2 2" xfId="16181" xr:uid="{00000000-0005-0000-0000-00003A3F0000}"/>
    <cellStyle name="Normal 73 5 2 3" xfId="16182" xr:uid="{00000000-0005-0000-0000-00003B3F0000}"/>
    <cellStyle name="Normal 73 5 2 4" xfId="16183" xr:uid="{00000000-0005-0000-0000-00003C3F0000}"/>
    <cellStyle name="Normal 73 5 2 5" xfId="16184" xr:uid="{00000000-0005-0000-0000-00003D3F0000}"/>
    <cellStyle name="Normal 73 5 2 6" xfId="16185" xr:uid="{00000000-0005-0000-0000-00003E3F0000}"/>
    <cellStyle name="Normal 73 5 2 7" xfId="16186" xr:uid="{00000000-0005-0000-0000-00003F3F0000}"/>
    <cellStyle name="Normal 73 5 2 8" xfId="16187" xr:uid="{00000000-0005-0000-0000-0000403F0000}"/>
    <cellStyle name="Normal 73 5 2 9" xfId="16188" xr:uid="{00000000-0005-0000-0000-0000413F0000}"/>
    <cellStyle name="Normal 73 5 3" xfId="16189" xr:uid="{00000000-0005-0000-0000-0000423F0000}"/>
    <cellStyle name="Normal 73 5 4" xfId="16190" xr:uid="{00000000-0005-0000-0000-0000433F0000}"/>
    <cellStyle name="Normal 73 5 5" xfId="16191" xr:uid="{00000000-0005-0000-0000-0000443F0000}"/>
    <cellStyle name="Normal 73 5 6" xfId="16192" xr:uid="{00000000-0005-0000-0000-0000453F0000}"/>
    <cellStyle name="Normal 73 5 7" xfId="16193" xr:uid="{00000000-0005-0000-0000-0000463F0000}"/>
    <cellStyle name="Normal 73 5 8" xfId="16194" xr:uid="{00000000-0005-0000-0000-0000473F0000}"/>
    <cellStyle name="Normal 73 5 9" xfId="16195" xr:uid="{00000000-0005-0000-0000-0000483F0000}"/>
    <cellStyle name="Normal 73 6" xfId="16196" xr:uid="{00000000-0005-0000-0000-0000493F0000}"/>
    <cellStyle name="Normal 73 6 10" xfId="16197" xr:uid="{00000000-0005-0000-0000-00004A3F0000}"/>
    <cellStyle name="Normal 73 6 11" xfId="16198" xr:uid="{00000000-0005-0000-0000-00004B3F0000}"/>
    <cellStyle name="Normal 73 6 12" xfId="16199" xr:uid="{00000000-0005-0000-0000-00004C3F0000}"/>
    <cellStyle name="Normal 73 6 13" xfId="16200" xr:uid="{00000000-0005-0000-0000-00004D3F0000}"/>
    <cellStyle name="Normal 73 6 2" xfId="16201" xr:uid="{00000000-0005-0000-0000-00004E3F0000}"/>
    <cellStyle name="Normal 73 6 2 10" xfId="16202" xr:uid="{00000000-0005-0000-0000-00004F3F0000}"/>
    <cellStyle name="Normal 73 6 2 11" xfId="16203" xr:uid="{00000000-0005-0000-0000-0000503F0000}"/>
    <cellStyle name="Normal 73 6 2 2" xfId="16204" xr:uid="{00000000-0005-0000-0000-0000513F0000}"/>
    <cellStyle name="Normal 73 6 2 3" xfId="16205" xr:uid="{00000000-0005-0000-0000-0000523F0000}"/>
    <cellStyle name="Normal 73 6 2 4" xfId="16206" xr:uid="{00000000-0005-0000-0000-0000533F0000}"/>
    <cellStyle name="Normal 73 6 2 5" xfId="16207" xr:uid="{00000000-0005-0000-0000-0000543F0000}"/>
    <cellStyle name="Normal 73 6 2 6" xfId="16208" xr:uid="{00000000-0005-0000-0000-0000553F0000}"/>
    <cellStyle name="Normal 73 6 2 7" xfId="16209" xr:uid="{00000000-0005-0000-0000-0000563F0000}"/>
    <cellStyle name="Normal 73 6 2 8" xfId="16210" xr:uid="{00000000-0005-0000-0000-0000573F0000}"/>
    <cellStyle name="Normal 73 6 2 9" xfId="16211" xr:uid="{00000000-0005-0000-0000-0000583F0000}"/>
    <cellStyle name="Normal 73 6 3" xfId="16212" xr:uid="{00000000-0005-0000-0000-0000593F0000}"/>
    <cellStyle name="Normal 73 6 4" xfId="16213" xr:uid="{00000000-0005-0000-0000-00005A3F0000}"/>
    <cellStyle name="Normal 73 6 5" xfId="16214" xr:uid="{00000000-0005-0000-0000-00005B3F0000}"/>
    <cellStyle name="Normal 73 6 6" xfId="16215" xr:uid="{00000000-0005-0000-0000-00005C3F0000}"/>
    <cellStyle name="Normal 73 6 7" xfId="16216" xr:uid="{00000000-0005-0000-0000-00005D3F0000}"/>
    <cellStyle name="Normal 73 6 8" xfId="16217" xr:uid="{00000000-0005-0000-0000-00005E3F0000}"/>
    <cellStyle name="Normal 73 6 9" xfId="16218" xr:uid="{00000000-0005-0000-0000-00005F3F0000}"/>
    <cellStyle name="Normal 73 7" xfId="16219" xr:uid="{00000000-0005-0000-0000-0000603F0000}"/>
    <cellStyle name="Normal 73 7 10" xfId="16220" xr:uid="{00000000-0005-0000-0000-0000613F0000}"/>
    <cellStyle name="Normal 73 7 11" xfId="16221" xr:uid="{00000000-0005-0000-0000-0000623F0000}"/>
    <cellStyle name="Normal 73 7 12" xfId="16222" xr:uid="{00000000-0005-0000-0000-0000633F0000}"/>
    <cellStyle name="Normal 73 7 13" xfId="16223" xr:uid="{00000000-0005-0000-0000-0000643F0000}"/>
    <cellStyle name="Normal 73 7 2" xfId="16224" xr:uid="{00000000-0005-0000-0000-0000653F0000}"/>
    <cellStyle name="Normal 73 7 2 10" xfId="16225" xr:uid="{00000000-0005-0000-0000-0000663F0000}"/>
    <cellStyle name="Normal 73 7 2 11" xfId="16226" xr:uid="{00000000-0005-0000-0000-0000673F0000}"/>
    <cellStyle name="Normal 73 7 2 2" xfId="16227" xr:uid="{00000000-0005-0000-0000-0000683F0000}"/>
    <cellStyle name="Normal 73 7 2 3" xfId="16228" xr:uid="{00000000-0005-0000-0000-0000693F0000}"/>
    <cellStyle name="Normal 73 7 2 4" xfId="16229" xr:uid="{00000000-0005-0000-0000-00006A3F0000}"/>
    <cellStyle name="Normal 73 7 2 5" xfId="16230" xr:uid="{00000000-0005-0000-0000-00006B3F0000}"/>
    <cellStyle name="Normal 73 7 2 6" xfId="16231" xr:uid="{00000000-0005-0000-0000-00006C3F0000}"/>
    <cellStyle name="Normal 73 7 2 7" xfId="16232" xr:uid="{00000000-0005-0000-0000-00006D3F0000}"/>
    <cellStyle name="Normal 73 7 2 8" xfId="16233" xr:uid="{00000000-0005-0000-0000-00006E3F0000}"/>
    <cellStyle name="Normal 73 7 2 9" xfId="16234" xr:uid="{00000000-0005-0000-0000-00006F3F0000}"/>
    <cellStyle name="Normal 73 7 3" xfId="16235" xr:uid="{00000000-0005-0000-0000-0000703F0000}"/>
    <cellStyle name="Normal 73 7 4" xfId="16236" xr:uid="{00000000-0005-0000-0000-0000713F0000}"/>
    <cellStyle name="Normal 73 7 5" xfId="16237" xr:uid="{00000000-0005-0000-0000-0000723F0000}"/>
    <cellStyle name="Normal 73 7 6" xfId="16238" xr:uid="{00000000-0005-0000-0000-0000733F0000}"/>
    <cellStyle name="Normal 73 7 7" xfId="16239" xr:uid="{00000000-0005-0000-0000-0000743F0000}"/>
    <cellStyle name="Normal 73 7 8" xfId="16240" xr:uid="{00000000-0005-0000-0000-0000753F0000}"/>
    <cellStyle name="Normal 73 7 9" xfId="16241" xr:uid="{00000000-0005-0000-0000-0000763F0000}"/>
    <cellStyle name="Normal 73 8" xfId="16242" xr:uid="{00000000-0005-0000-0000-0000773F0000}"/>
    <cellStyle name="Normal 73 8 10" xfId="16243" xr:uid="{00000000-0005-0000-0000-0000783F0000}"/>
    <cellStyle name="Normal 73 8 11" xfId="16244" xr:uid="{00000000-0005-0000-0000-0000793F0000}"/>
    <cellStyle name="Normal 73 8 12" xfId="16245" xr:uid="{00000000-0005-0000-0000-00007A3F0000}"/>
    <cellStyle name="Normal 73 8 13" xfId="16246" xr:uid="{00000000-0005-0000-0000-00007B3F0000}"/>
    <cellStyle name="Normal 73 8 2" xfId="16247" xr:uid="{00000000-0005-0000-0000-00007C3F0000}"/>
    <cellStyle name="Normal 73 8 2 10" xfId="16248" xr:uid="{00000000-0005-0000-0000-00007D3F0000}"/>
    <cellStyle name="Normal 73 8 2 11" xfId="16249" xr:uid="{00000000-0005-0000-0000-00007E3F0000}"/>
    <cellStyle name="Normal 73 8 2 2" xfId="16250" xr:uid="{00000000-0005-0000-0000-00007F3F0000}"/>
    <cellStyle name="Normal 73 8 2 3" xfId="16251" xr:uid="{00000000-0005-0000-0000-0000803F0000}"/>
    <cellStyle name="Normal 73 8 2 4" xfId="16252" xr:uid="{00000000-0005-0000-0000-0000813F0000}"/>
    <cellStyle name="Normal 73 8 2 5" xfId="16253" xr:uid="{00000000-0005-0000-0000-0000823F0000}"/>
    <cellStyle name="Normal 73 8 2 6" xfId="16254" xr:uid="{00000000-0005-0000-0000-0000833F0000}"/>
    <cellStyle name="Normal 73 8 2 7" xfId="16255" xr:uid="{00000000-0005-0000-0000-0000843F0000}"/>
    <cellStyle name="Normal 73 8 2 8" xfId="16256" xr:uid="{00000000-0005-0000-0000-0000853F0000}"/>
    <cellStyle name="Normal 73 8 2 9" xfId="16257" xr:uid="{00000000-0005-0000-0000-0000863F0000}"/>
    <cellStyle name="Normal 73 8 3" xfId="16258" xr:uid="{00000000-0005-0000-0000-0000873F0000}"/>
    <cellStyle name="Normal 73 8 4" xfId="16259" xr:uid="{00000000-0005-0000-0000-0000883F0000}"/>
    <cellStyle name="Normal 73 8 5" xfId="16260" xr:uid="{00000000-0005-0000-0000-0000893F0000}"/>
    <cellStyle name="Normal 73 8 6" xfId="16261" xr:uid="{00000000-0005-0000-0000-00008A3F0000}"/>
    <cellStyle name="Normal 73 8 7" xfId="16262" xr:uid="{00000000-0005-0000-0000-00008B3F0000}"/>
    <cellStyle name="Normal 73 8 8" xfId="16263" xr:uid="{00000000-0005-0000-0000-00008C3F0000}"/>
    <cellStyle name="Normal 73 8 9" xfId="16264" xr:uid="{00000000-0005-0000-0000-00008D3F0000}"/>
    <cellStyle name="Normal 73 9" xfId="16265" xr:uid="{00000000-0005-0000-0000-00008E3F0000}"/>
    <cellStyle name="Normal 73 9 10" xfId="16266" xr:uid="{00000000-0005-0000-0000-00008F3F0000}"/>
    <cellStyle name="Normal 73 9 11" xfId="16267" xr:uid="{00000000-0005-0000-0000-0000903F0000}"/>
    <cellStyle name="Normal 73 9 12" xfId="16268" xr:uid="{00000000-0005-0000-0000-0000913F0000}"/>
    <cellStyle name="Normal 73 9 13" xfId="16269" xr:uid="{00000000-0005-0000-0000-0000923F0000}"/>
    <cellStyle name="Normal 73 9 2" xfId="16270" xr:uid="{00000000-0005-0000-0000-0000933F0000}"/>
    <cellStyle name="Normal 73 9 2 10" xfId="16271" xr:uid="{00000000-0005-0000-0000-0000943F0000}"/>
    <cellStyle name="Normal 73 9 2 11" xfId="16272" xr:uid="{00000000-0005-0000-0000-0000953F0000}"/>
    <cellStyle name="Normal 73 9 2 2" xfId="16273" xr:uid="{00000000-0005-0000-0000-0000963F0000}"/>
    <cellStyle name="Normal 73 9 2 3" xfId="16274" xr:uid="{00000000-0005-0000-0000-0000973F0000}"/>
    <cellStyle name="Normal 73 9 2 4" xfId="16275" xr:uid="{00000000-0005-0000-0000-0000983F0000}"/>
    <cellStyle name="Normal 73 9 2 5" xfId="16276" xr:uid="{00000000-0005-0000-0000-0000993F0000}"/>
    <cellStyle name="Normal 73 9 2 6" xfId="16277" xr:uid="{00000000-0005-0000-0000-00009A3F0000}"/>
    <cellStyle name="Normal 73 9 2 7" xfId="16278" xr:uid="{00000000-0005-0000-0000-00009B3F0000}"/>
    <cellStyle name="Normal 73 9 2 8" xfId="16279" xr:uid="{00000000-0005-0000-0000-00009C3F0000}"/>
    <cellStyle name="Normal 73 9 2 9" xfId="16280" xr:uid="{00000000-0005-0000-0000-00009D3F0000}"/>
    <cellStyle name="Normal 73 9 3" xfId="16281" xr:uid="{00000000-0005-0000-0000-00009E3F0000}"/>
    <cellStyle name="Normal 73 9 4" xfId="16282" xr:uid="{00000000-0005-0000-0000-00009F3F0000}"/>
    <cellStyle name="Normal 73 9 5" xfId="16283" xr:uid="{00000000-0005-0000-0000-0000A03F0000}"/>
    <cellStyle name="Normal 73 9 6" xfId="16284" xr:uid="{00000000-0005-0000-0000-0000A13F0000}"/>
    <cellStyle name="Normal 73 9 7" xfId="16285" xr:uid="{00000000-0005-0000-0000-0000A23F0000}"/>
    <cellStyle name="Normal 73 9 8" xfId="16286" xr:uid="{00000000-0005-0000-0000-0000A33F0000}"/>
    <cellStyle name="Normal 73 9 9" xfId="16287" xr:uid="{00000000-0005-0000-0000-0000A43F0000}"/>
    <cellStyle name="Normal 74" xfId="16288" xr:uid="{00000000-0005-0000-0000-0000A53F0000}"/>
    <cellStyle name="Normal 74 10" xfId="16289" xr:uid="{00000000-0005-0000-0000-0000A63F0000}"/>
    <cellStyle name="Normal 74 10 10" xfId="16290" xr:uid="{00000000-0005-0000-0000-0000A73F0000}"/>
    <cellStyle name="Normal 74 10 11" xfId="16291" xr:uid="{00000000-0005-0000-0000-0000A83F0000}"/>
    <cellStyle name="Normal 74 10 12" xfId="16292" xr:uid="{00000000-0005-0000-0000-0000A93F0000}"/>
    <cellStyle name="Normal 74 10 13" xfId="16293" xr:uid="{00000000-0005-0000-0000-0000AA3F0000}"/>
    <cellStyle name="Normal 74 10 2" xfId="16294" xr:uid="{00000000-0005-0000-0000-0000AB3F0000}"/>
    <cellStyle name="Normal 74 10 2 10" xfId="16295" xr:uid="{00000000-0005-0000-0000-0000AC3F0000}"/>
    <cellStyle name="Normal 74 10 2 11" xfId="16296" xr:uid="{00000000-0005-0000-0000-0000AD3F0000}"/>
    <cellStyle name="Normal 74 10 2 2" xfId="16297" xr:uid="{00000000-0005-0000-0000-0000AE3F0000}"/>
    <cellStyle name="Normal 74 10 2 3" xfId="16298" xr:uid="{00000000-0005-0000-0000-0000AF3F0000}"/>
    <cellStyle name="Normal 74 10 2 4" xfId="16299" xr:uid="{00000000-0005-0000-0000-0000B03F0000}"/>
    <cellStyle name="Normal 74 10 2 5" xfId="16300" xr:uid="{00000000-0005-0000-0000-0000B13F0000}"/>
    <cellStyle name="Normal 74 10 2 6" xfId="16301" xr:uid="{00000000-0005-0000-0000-0000B23F0000}"/>
    <cellStyle name="Normal 74 10 2 7" xfId="16302" xr:uid="{00000000-0005-0000-0000-0000B33F0000}"/>
    <cellStyle name="Normal 74 10 2 8" xfId="16303" xr:uid="{00000000-0005-0000-0000-0000B43F0000}"/>
    <cellStyle name="Normal 74 10 2 9" xfId="16304" xr:uid="{00000000-0005-0000-0000-0000B53F0000}"/>
    <cellStyle name="Normal 74 10 3" xfId="16305" xr:uid="{00000000-0005-0000-0000-0000B63F0000}"/>
    <cellStyle name="Normal 74 10 4" xfId="16306" xr:uid="{00000000-0005-0000-0000-0000B73F0000}"/>
    <cellStyle name="Normal 74 10 5" xfId="16307" xr:uid="{00000000-0005-0000-0000-0000B83F0000}"/>
    <cellStyle name="Normal 74 10 6" xfId="16308" xr:uid="{00000000-0005-0000-0000-0000B93F0000}"/>
    <cellStyle name="Normal 74 10 7" xfId="16309" xr:uid="{00000000-0005-0000-0000-0000BA3F0000}"/>
    <cellStyle name="Normal 74 10 8" xfId="16310" xr:uid="{00000000-0005-0000-0000-0000BB3F0000}"/>
    <cellStyle name="Normal 74 10 9" xfId="16311" xr:uid="{00000000-0005-0000-0000-0000BC3F0000}"/>
    <cellStyle name="Normal 74 11" xfId="16312" xr:uid="{00000000-0005-0000-0000-0000BD3F0000}"/>
    <cellStyle name="Normal 74 11 10" xfId="16313" xr:uid="{00000000-0005-0000-0000-0000BE3F0000}"/>
    <cellStyle name="Normal 74 11 11" xfId="16314" xr:uid="{00000000-0005-0000-0000-0000BF3F0000}"/>
    <cellStyle name="Normal 74 11 12" xfId="16315" xr:uid="{00000000-0005-0000-0000-0000C03F0000}"/>
    <cellStyle name="Normal 74 11 13" xfId="16316" xr:uid="{00000000-0005-0000-0000-0000C13F0000}"/>
    <cellStyle name="Normal 74 11 2" xfId="16317" xr:uid="{00000000-0005-0000-0000-0000C23F0000}"/>
    <cellStyle name="Normal 74 11 2 10" xfId="16318" xr:uid="{00000000-0005-0000-0000-0000C33F0000}"/>
    <cellStyle name="Normal 74 11 2 11" xfId="16319" xr:uid="{00000000-0005-0000-0000-0000C43F0000}"/>
    <cellStyle name="Normal 74 11 2 2" xfId="16320" xr:uid="{00000000-0005-0000-0000-0000C53F0000}"/>
    <cellStyle name="Normal 74 11 2 3" xfId="16321" xr:uid="{00000000-0005-0000-0000-0000C63F0000}"/>
    <cellStyle name="Normal 74 11 2 4" xfId="16322" xr:uid="{00000000-0005-0000-0000-0000C73F0000}"/>
    <cellStyle name="Normal 74 11 2 5" xfId="16323" xr:uid="{00000000-0005-0000-0000-0000C83F0000}"/>
    <cellStyle name="Normal 74 11 2 6" xfId="16324" xr:uid="{00000000-0005-0000-0000-0000C93F0000}"/>
    <cellStyle name="Normal 74 11 2 7" xfId="16325" xr:uid="{00000000-0005-0000-0000-0000CA3F0000}"/>
    <cellStyle name="Normal 74 11 2 8" xfId="16326" xr:uid="{00000000-0005-0000-0000-0000CB3F0000}"/>
    <cellStyle name="Normal 74 11 2 9" xfId="16327" xr:uid="{00000000-0005-0000-0000-0000CC3F0000}"/>
    <cellStyle name="Normal 74 11 3" xfId="16328" xr:uid="{00000000-0005-0000-0000-0000CD3F0000}"/>
    <cellStyle name="Normal 74 11 4" xfId="16329" xr:uid="{00000000-0005-0000-0000-0000CE3F0000}"/>
    <cellStyle name="Normal 74 11 5" xfId="16330" xr:uid="{00000000-0005-0000-0000-0000CF3F0000}"/>
    <cellStyle name="Normal 74 11 6" xfId="16331" xr:uid="{00000000-0005-0000-0000-0000D03F0000}"/>
    <cellStyle name="Normal 74 11 7" xfId="16332" xr:uid="{00000000-0005-0000-0000-0000D13F0000}"/>
    <cellStyle name="Normal 74 11 8" xfId="16333" xr:uid="{00000000-0005-0000-0000-0000D23F0000}"/>
    <cellStyle name="Normal 74 11 9" xfId="16334" xr:uid="{00000000-0005-0000-0000-0000D33F0000}"/>
    <cellStyle name="Normal 74 12" xfId="16335" xr:uid="{00000000-0005-0000-0000-0000D43F0000}"/>
    <cellStyle name="Normal 74 12 10" xfId="16336" xr:uid="{00000000-0005-0000-0000-0000D53F0000}"/>
    <cellStyle name="Normal 74 12 11" xfId="16337" xr:uid="{00000000-0005-0000-0000-0000D63F0000}"/>
    <cellStyle name="Normal 74 12 12" xfId="16338" xr:uid="{00000000-0005-0000-0000-0000D73F0000}"/>
    <cellStyle name="Normal 74 12 13" xfId="16339" xr:uid="{00000000-0005-0000-0000-0000D83F0000}"/>
    <cellStyle name="Normal 74 12 2" xfId="16340" xr:uid="{00000000-0005-0000-0000-0000D93F0000}"/>
    <cellStyle name="Normal 74 12 2 10" xfId="16341" xr:uid="{00000000-0005-0000-0000-0000DA3F0000}"/>
    <cellStyle name="Normal 74 12 2 11" xfId="16342" xr:uid="{00000000-0005-0000-0000-0000DB3F0000}"/>
    <cellStyle name="Normal 74 12 2 2" xfId="16343" xr:uid="{00000000-0005-0000-0000-0000DC3F0000}"/>
    <cellStyle name="Normal 74 12 2 3" xfId="16344" xr:uid="{00000000-0005-0000-0000-0000DD3F0000}"/>
    <cellStyle name="Normal 74 12 2 4" xfId="16345" xr:uid="{00000000-0005-0000-0000-0000DE3F0000}"/>
    <cellStyle name="Normal 74 12 2 5" xfId="16346" xr:uid="{00000000-0005-0000-0000-0000DF3F0000}"/>
    <cellStyle name="Normal 74 12 2 6" xfId="16347" xr:uid="{00000000-0005-0000-0000-0000E03F0000}"/>
    <cellStyle name="Normal 74 12 2 7" xfId="16348" xr:uid="{00000000-0005-0000-0000-0000E13F0000}"/>
    <cellStyle name="Normal 74 12 2 8" xfId="16349" xr:uid="{00000000-0005-0000-0000-0000E23F0000}"/>
    <cellStyle name="Normal 74 12 2 9" xfId="16350" xr:uid="{00000000-0005-0000-0000-0000E33F0000}"/>
    <cellStyle name="Normal 74 12 3" xfId="16351" xr:uid="{00000000-0005-0000-0000-0000E43F0000}"/>
    <cellStyle name="Normal 74 12 4" xfId="16352" xr:uid="{00000000-0005-0000-0000-0000E53F0000}"/>
    <cellStyle name="Normal 74 12 5" xfId="16353" xr:uid="{00000000-0005-0000-0000-0000E63F0000}"/>
    <cellStyle name="Normal 74 12 6" xfId="16354" xr:uid="{00000000-0005-0000-0000-0000E73F0000}"/>
    <cellStyle name="Normal 74 12 7" xfId="16355" xr:uid="{00000000-0005-0000-0000-0000E83F0000}"/>
    <cellStyle name="Normal 74 12 8" xfId="16356" xr:uid="{00000000-0005-0000-0000-0000E93F0000}"/>
    <cellStyle name="Normal 74 12 9" xfId="16357" xr:uid="{00000000-0005-0000-0000-0000EA3F0000}"/>
    <cellStyle name="Normal 74 13" xfId="16358" xr:uid="{00000000-0005-0000-0000-0000EB3F0000}"/>
    <cellStyle name="Normal 74 13 10" xfId="16359" xr:uid="{00000000-0005-0000-0000-0000EC3F0000}"/>
    <cellStyle name="Normal 74 13 11" xfId="16360" xr:uid="{00000000-0005-0000-0000-0000ED3F0000}"/>
    <cellStyle name="Normal 74 13 12" xfId="16361" xr:uid="{00000000-0005-0000-0000-0000EE3F0000}"/>
    <cellStyle name="Normal 74 13 13" xfId="16362" xr:uid="{00000000-0005-0000-0000-0000EF3F0000}"/>
    <cellStyle name="Normal 74 13 2" xfId="16363" xr:uid="{00000000-0005-0000-0000-0000F03F0000}"/>
    <cellStyle name="Normal 74 13 2 10" xfId="16364" xr:uid="{00000000-0005-0000-0000-0000F13F0000}"/>
    <cellStyle name="Normal 74 13 2 11" xfId="16365" xr:uid="{00000000-0005-0000-0000-0000F23F0000}"/>
    <cellStyle name="Normal 74 13 2 2" xfId="16366" xr:uid="{00000000-0005-0000-0000-0000F33F0000}"/>
    <cellStyle name="Normal 74 13 2 3" xfId="16367" xr:uid="{00000000-0005-0000-0000-0000F43F0000}"/>
    <cellStyle name="Normal 74 13 2 4" xfId="16368" xr:uid="{00000000-0005-0000-0000-0000F53F0000}"/>
    <cellStyle name="Normal 74 13 2 5" xfId="16369" xr:uid="{00000000-0005-0000-0000-0000F63F0000}"/>
    <cellStyle name="Normal 74 13 2 6" xfId="16370" xr:uid="{00000000-0005-0000-0000-0000F73F0000}"/>
    <cellStyle name="Normal 74 13 2 7" xfId="16371" xr:uid="{00000000-0005-0000-0000-0000F83F0000}"/>
    <cellStyle name="Normal 74 13 2 8" xfId="16372" xr:uid="{00000000-0005-0000-0000-0000F93F0000}"/>
    <cellStyle name="Normal 74 13 2 9" xfId="16373" xr:uid="{00000000-0005-0000-0000-0000FA3F0000}"/>
    <cellStyle name="Normal 74 13 3" xfId="16374" xr:uid="{00000000-0005-0000-0000-0000FB3F0000}"/>
    <cellStyle name="Normal 74 13 4" xfId="16375" xr:uid="{00000000-0005-0000-0000-0000FC3F0000}"/>
    <cellStyle name="Normal 74 13 5" xfId="16376" xr:uid="{00000000-0005-0000-0000-0000FD3F0000}"/>
    <cellStyle name="Normal 74 13 6" xfId="16377" xr:uid="{00000000-0005-0000-0000-0000FE3F0000}"/>
    <cellStyle name="Normal 74 13 7" xfId="16378" xr:uid="{00000000-0005-0000-0000-0000FF3F0000}"/>
    <cellStyle name="Normal 74 13 8" xfId="16379" xr:uid="{00000000-0005-0000-0000-000000400000}"/>
    <cellStyle name="Normal 74 13 9" xfId="16380" xr:uid="{00000000-0005-0000-0000-000001400000}"/>
    <cellStyle name="Normal 74 14" xfId="16381" xr:uid="{00000000-0005-0000-0000-000002400000}"/>
    <cellStyle name="Normal 74 14 10" xfId="16382" xr:uid="{00000000-0005-0000-0000-000003400000}"/>
    <cellStyle name="Normal 74 14 11" xfId="16383" xr:uid="{00000000-0005-0000-0000-000004400000}"/>
    <cellStyle name="Normal 74 14 2" xfId="16384" xr:uid="{00000000-0005-0000-0000-000005400000}"/>
    <cellStyle name="Normal 74 14 3" xfId="16385" xr:uid="{00000000-0005-0000-0000-000006400000}"/>
    <cellStyle name="Normal 74 14 4" xfId="16386" xr:uid="{00000000-0005-0000-0000-000007400000}"/>
    <cellStyle name="Normal 74 14 5" xfId="16387" xr:uid="{00000000-0005-0000-0000-000008400000}"/>
    <cellStyle name="Normal 74 14 6" xfId="16388" xr:uid="{00000000-0005-0000-0000-000009400000}"/>
    <cellStyle name="Normal 74 14 7" xfId="16389" xr:uid="{00000000-0005-0000-0000-00000A400000}"/>
    <cellStyle name="Normal 74 14 8" xfId="16390" xr:uid="{00000000-0005-0000-0000-00000B400000}"/>
    <cellStyle name="Normal 74 14 9" xfId="16391" xr:uid="{00000000-0005-0000-0000-00000C400000}"/>
    <cellStyle name="Normal 74 15" xfId="16392" xr:uid="{00000000-0005-0000-0000-00000D400000}"/>
    <cellStyle name="Normal 74 16" xfId="16393" xr:uid="{00000000-0005-0000-0000-00000E400000}"/>
    <cellStyle name="Normal 74 17" xfId="16394" xr:uid="{00000000-0005-0000-0000-00000F400000}"/>
    <cellStyle name="Normal 74 18" xfId="16395" xr:uid="{00000000-0005-0000-0000-000010400000}"/>
    <cellStyle name="Normal 74 19" xfId="16396" xr:uid="{00000000-0005-0000-0000-000011400000}"/>
    <cellStyle name="Normal 74 2" xfId="16397" xr:uid="{00000000-0005-0000-0000-000012400000}"/>
    <cellStyle name="Normal 74 2 10" xfId="16398" xr:uid="{00000000-0005-0000-0000-000013400000}"/>
    <cellStyle name="Normal 74 2 11" xfId="16399" xr:uid="{00000000-0005-0000-0000-000014400000}"/>
    <cellStyle name="Normal 74 2 12" xfId="16400" xr:uid="{00000000-0005-0000-0000-000015400000}"/>
    <cellStyle name="Normal 74 2 13" xfId="16401" xr:uid="{00000000-0005-0000-0000-000016400000}"/>
    <cellStyle name="Normal 74 2 2" xfId="16402" xr:uid="{00000000-0005-0000-0000-000017400000}"/>
    <cellStyle name="Normal 74 2 2 10" xfId="16403" xr:uid="{00000000-0005-0000-0000-000018400000}"/>
    <cellStyle name="Normal 74 2 2 11" xfId="16404" xr:uid="{00000000-0005-0000-0000-000019400000}"/>
    <cellStyle name="Normal 74 2 2 2" xfId="16405" xr:uid="{00000000-0005-0000-0000-00001A400000}"/>
    <cellStyle name="Normal 74 2 2 3" xfId="16406" xr:uid="{00000000-0005-0000-0000-00001B400000}"/>
    <cellStyle name="Normal 74 2 2 4" xfId="16407" xr:uid="{00000000-0005-0000-0000-00001C400000}"/>
    <cellStyle name="Normal 74 2 2 5" xfId="16408" xr:uid="{00000000-0005-0000-0000-00001D400000}"/>
    <cellStyle name="Normal 74 2 2 6" xfId="16409" xr:uid="{00000000-0005-0000-0000-00001E400000}"/>
    <cellStyle name="Normal 74 2 2 7" xfId="16410" xr:uid="{00000000-0005-0000-0000-00001F400000}"/>
    <cellStyle name="Normal 74 2 2 8" xfId="16411" xr:uid="{00000000-0005-0000-0000-000020400000}"/>
    <cellStyle name="Normal 74 2 2 9" xfId="16412" xr:uid="{00000000-0005-0000-0000-000021400000}"/>
    <cellStyle name="Normal 74 2 3" xfId="16413" xr:uid="{00000000-0005-0000-0000-000022400000}"/>
    <cellStyle name="Normal 74 2 4" xfId="16414" xr:uid="{00000000-0005-0000-0000-000023400000}"/>
    <cellStyle name="Normal 74 2 5" xfId="16415" xr:uid="{00000000-0005-0000-0000-000024400000}"/>
    <cellStyle name="Normal 74 2 6" xfId="16416" xr:uid="{00000000-0005-0000-0000-000025400000}"/>
    <cellStyle name="Normal 74 2 7" xfId="16417" xr:uid="{00000000-0005-0000-0000-000026400000}"/>
    <cellStyle name="Normal 74 2 8" xfId="16418" xr:uid="{00000000-0005-0000-0000-000027400000}"/>
    <cellStyle name="Normal 74 2 9" xfId="16419" xr:uid="{00000000-0005-0000-0000-000028400000}"/>
    <cellStyle name="Normal 74 20" xfId="16420" xr:uid="{00000000-0005-0000-0000-000029400000}"/>
    <cellStyle name="Normal 74 21" xfId="16421" xr:uid="{00000000-0005-0000-0000-00002A400000}"/>
    <cellStyle name="Normal 74 22" xfId="16422" xr:uid="{00000000-0005-0000-0000-00002B400000}"/>
    <cellStyle name="Normal 74 23" xfId="16423" xr:uid="{00000000-0005-0000-0000-00002C400000}"/>
    <cellStyle name="Normal 74 24" xfId="16424" xr:uid="{00000000-0005-0000-0000-00002D400000}"/>
    <cellStyle name="Normal 74 25" xfId="16425" xr:uid="{00000000-0005-0000-0000-00002E400000}"/>
    <cellStyle name="Normal 74 3" xfId="16426" xr:uid="{00000000-0005-0000-0000-00002F400000}"/>
    <cellStyle name="Normal 74 3 10" xfId="16427" xr:uid="{00000000-0005-0000-0000-000030400000}"/>
    <cellStyle name="Normal 74 3 11" xfId="16428" xr:uid="{00000000-0005-0000-0000-000031400000}"/>
    <cellStyle name="Normal 74 3 12" xfId="16429" xr:uid="{00000000-0005-0000-0000-000032400000}"/>
    <cellStyle name="Normal 74 3 13" xfId="16430" xr:uid="{00000000-0005-0000-0000-000033400000}"/>
    <cellStyle name="Normal 74 3 2" xfId="16431" xr:uid="{00000000-0005-0000-0000-000034400000}"/>
    <cellStyle name="Normal 74 3 2 10" xfId="16432" xr:uid="{00000000-0005-0000-0000-000035400000}"/>
    <cellStyle name="Normal 74 3 2 11" xfId="16433" xr:uid="{00000000-0005-0000-0000-000036400000}"/>
    <cellStyle name="Normal 74 3 2 2" xfId="16434" xr:uid="{00000000-0005-0000-0000-000037400000}"/>
    <cellStyle name="Normal 74 3 2 3" xfId="16435" xr:uid="{00000000-0005-0000-0000-000038400000}"/>
    <cellStyle name="Normal 74 3 2 4" xfId="16436" xr:uid="{00000000-0005-0000-0000-000039400000}"/>
    <cellStyle name="Normal 74 3 2 5" xfId="16437" xr:uid="{00000000-0005-0000-0000-00003A400000}"/>
    <cellStyle name="Normal 74 3 2 6" xfId="16438" xr:uid="{00000000-0005-0000-0000-00003B400000}"/>
    <cellStyle name="Normal 74 3 2 7" xfId="16439" xr:uid="{00000000-0005-0000-0000-00003C400000}"/>
    <cellStyle name="Normal 74 3 2 8" xfId="16440" xr:uid="{00000000-0005-0000-0000-00003D400000}"/>
    <cellStyle name="Normal 74 3 2 9" xfId="16441" xr:uid="{00000000-0005-0000-0000-00003E400000}"/>
    <cellStyle name="Normal 74 3 3" xfId="16442" xr:uid="{00000000-0005-0000-0000-00003F400000}"/>
    <cellStyle name="Normal 74 3 4" xfId="16443" xr:uid="{00000000-0005-0000-0000-000040400000}"/>
    <cellStyle name="Normal 74 3 5" xfId="16444" xr:uid="{00000000-0005-0000-0000-000041400000}"/>
    <cellStyle name="Normal 74 3 6" xfId="16445" xr:uid="{00000000-0005-0000-0000-000042400000}"/>
    <cellStyle name="Normal 74 3 7" xfId="16446" xr:uid="{00000000-0005-0000-0000-000043400000}"/>
    <cellStyle name="Normal 74 3 8" xfId="16447" xr:uid="{00000000-0005-0000-0000-000044400000}"/>
    <cellStyle name="Normal 74 3 9" xfId="16448" xr:uid="{00000000-0005-0000-0000-000045400000}"/>
    <cellStyle name="Normal 74 4" xfId="16449" xr:uid="{00000000-0005-0000-0000-000046400000}"/>
    <cellStyle name="Normal 74 4 10" xfId="16450" xr:uid="{00000000-0005-0000-0000-000047400000}"/>
    <cellStyle name="Normal 74 4 11" xfId="16451" xr:uid="{00000000-0005-0000-0000-000048400000}"/>
    <cellStyle name="Normal 74 4 12" xfId="16452" xr:uid="{00000000-0005-0000-0000-000049400000}"/>
    <cellStyle name="Normal 74 4 13" xfId="16453" xr:uid="{00000000-0005-0000-0000-00004A400000}"/>
    <cellStyle name="Normal 74 4 2" xfId="16454" xr:uid="{00000000-0005-0000-0000-00004B400000}"/>
    <cellStyle name="Normal 74 4 2 10" xfId="16455" xr:uid="{00000000-0005-0000-0000-00004C400000}"/>
    <cellStyle name="Normal 74 4 2 11" xfId="16456" xr:uid="{00000000-0005-0000-0000-00004D400000}"/>
    <cellStyle name="Normal 74 4 2 2" xfId="16457" xr:uid="{00000000-0005-0000-0000-00004E400000}"/>
    <cellStyle name="Normal 74 4 2 3" xfId="16458" xr:uid="{00000000-0005-0000-0000-00004F400000}"/>
    <cellStyle name="Normal 74 4 2 4" xfId="16459" xr:uid="{00000000-0005-0000-0000-000050400000}"/>
    <cellStyle name="Normal 74 4 2 5" xfId="16460" xr:uid="{00000000-0005-0000-0000-000051400000}"/>
    <cellStyle name="Normal 74 4 2 6" xfId="16461" xr:uid="{00000000-0005-0000-0000-000052400000}"/>
    <cellStyle name="Normal 74 4 2 7" xfId="16462" xr:uid="{00000000-0005-0000-0000-000053400000}"/>
    <cellStyle name="Normal 74 4 2 8" xfId="16463" xr:uid="{00000000-0005-0000-0000-000054400000}"/>
    <cellStyle name="Normal 74 4 2 9" xfId="16464" xr:uid="{00000000-0005-0000-0000-000055400000}"/>
    <cellStyle name="Normal 74 4 3" xfId="16465" xr:uid="{00000000-0005-0000-0000-000056400000}"/>
    <cellStyle name="Normal 74 4 4" xfId="16466" xr:uid="{00000000-0005-0000-0000-000057400000}"/>
    <cellStyle name="Normal 74 4 5" xfId="16467" xr:uid="{00000000-0005-0000-0000-000058400000}"/>
    <cellStyle name="Normal 74 4 6" xfId="16468" xr:uid="{00000000-0005-0000-0000-000059400000}"/>
    <cellStyle name="Normal 74 4 7" xfId="16469" xr:uid="{00000000-0005-0000-0000-00005A400000}"/>
    <cellStyle name="Normal 74 4 8" xfId="16470" xr:uid="{00000000-0005-0000-0000-00005B400000}"/>
    <cellStyle name="Normal 74 4 9" xfId="16471" xr:uid="{00000000-0005-0000-0000-00005C400000}"/>
    <cellStyle name="Normal 74 5" xfId="16472" xr:uid="{00000000-0005-0000-0000-00005D400000}"/>
    <cellStyle name="Normal 74 5 10" xfId="16473" xr:uid="{00000000-0005-0000-0000-00005E400000}"/>
    <cellStyle name="Normal 74 5 11" xfId="16474" xr:uid="{00000000-0005-0000-0000-00005F400000}"/>
    <cellStyle name="Normal 74 5 12" xfId="16475" xr:uid="{00000000-0005-0000-0000-000060400000}"/>
    <cellStyle name="Normal 74 5 13" xfId="16476" xr:uid="{00000000-0005-0000-0000-000061400000}"/>
    <cellStyle name="Normal 74 5 2" xfId="16477" xr:uid="{00000000-0005-0000-0000-000062400000}"/>
    <cellStyle name="Normal 74 5 2 10" xfId="16478" xr:uid="{00000000-0005-0000-0000-000063400000}"/>
    <cellStyle name="Normal 74 5 2 11" xfId="16479" xr:uid="{00000000-0005-0000-0000-000064400000}"/>
    <cellStyle name="Normal 74 5 2 2" xfId="16480" xr:uid="{00000000-0005-0000-0000-000065400000}"/>
    <cellStyle name="Normal 74 5 2 3" xfId="16481" xr:uid="{00000000-0005-0000-0000-000066400000}"/>
    <cellStyle name="Normal 74 5 2 4" xfId="16482" xr:uid="{00000000-0005-0000-0000-000067400000}"/>
    <cellStyle name="Normal 74 5 2 5" xfId="16483" xr:uid="{00000000-0005-0000-0000-000068400000}"/>
    <cellStyle name="Normal 74 5 2 6" xfId="16484" xr:uid="{00000000-0005-0000-0000-000069400000}"/>
    <cellStyle name="Normal 74 5 2 7" xfId="16485" xr:uid="{00000000-0005-0000-0000-00006A400000}"/>
    <cellStyle name="Normal 74 5 2 8" xfId="16486" xr:uid="{00000000-0005-0000-0000-00006B400000}"/>
    <cellStyle name="Normal 74 5 2 9" xfId="16487" xr:uid="{00000000-0005-0000-0000-00006C400000}"/>
    <cellStyle name="Normal 74 5 3" xfId="16488" xr:uid="{00000000-0005-0000-0000-00006D400000}"/>
    <cellStyle name="Normal 74 5 4" xfId="16489" xr:uid="{00000000-0005-0000-0000-00006E400000}"/>
    <cellStyle name="Normal 74 5 5" xfId="16490" xr:uid="{00000000-0005-0000-0000-00006F400000}"/>
    <cellStyle name="Normal 74 5 6" xfId="16491" xr:uid="{00000000-0005-0000-0000-000070400000}"/>
    <cellStyle name="Normal 74 5 7" xfId="16492" xr:uid="{00000000-0005-0000-0000-000071400000}"/>
    <cellStyle name="Normal 74 5 8" xfId="16493" xr:uid="{00000000-0005-0000-0000-000072400000}"/>
    <cellStyle name="Normal 74 5 9" xfId="16494" xr:uid="{00000000-0005-0000-0000-000073400000}"/>
    <cellStyle name="Normal 74 6" xfId="16495" xr:uid="{00000000-0005-0000-0000-000074400000}"/>
    <cellStyle name="Normal 74 6 10" xfId="16496" xr:uid="{00000000-0005-0000-0000-000075400000}"/>
    <cellStyle name="Normal 74 6 11" xfId="16497" xr:uid="{00000000-0005-0000-0000-000076400000}"/>
    <cellStyle name="Normal 74 6 12" xfId="16498" xr:uid="{00000000-0005-0000-0000-000077400000}"/>
    <cellStyle name="Normal 74 6 13" xfId="16499" xr:uid="{00000000-0005-0000-0000-000078400000}"/>
    <cellStyle name="Normal 74 6 2" xfId="16500" xr:uid="{00000000-0005-0000-0000-000079400000}"/>
    <cellStyle name="Normal 74 6 2 10" xfId="16501" xr:uid="{00000000-0005-0000-0000-00007A400000}"/>
    <cellStyle name="Normal 74 6 2 11" xfId="16502" xr:uid="{00000000-0005-0000-0000-00007B400000}"/>
    <cellStyle name="Normal 74 6 2 2" xfId="16503" xr:uid="{00000000-0005-0000-0000-00007C400000}"/>
    <cellStyle name="Normal 74 6 2 3" xfId="16504" xr:uid="{00000000-0005-0000-0000-00007D400000}"/>
    <cellStyle name="Normal 74 6 2 4" xfId="16505" xr:uid="{00000000-0005-0000-0000-00007E400000}"/>
    <cellStyle name="Normal 74 6 2 5" xfId="16506" xr:uid="{00000000-0005-0000-0000-00007F400000}"/>
    <cellStyle name="Normal 74 6 2 6" xfId="16507" xr:uid="{00000000-0005-0000-0000-000080400000}"/>
    <cellStyle name="Normal 74 6 2 7" xfId="16508" xr:uid="{00000000-0005-0000-0000-000081400000}"/>
    <cellStyle name="Normal 74 6 2 8" xfId="16509" xr:uid="{00000000-0005-0000-0000-000082400000}"/>
    <cellStyle name="Normal 74 6 2 9" xfId="16510" xr:uid="{00000000-0005-0000-0000-000083400000}"/>
    <cellStyle name="Normal 74 6 3" xfId="16511" xr:uid="{00000000-0005-0000-0000-000084400000}"/>
    <cellStyle name="Normal 74 6 4" xfId="16512" xr:uid="{00000000-0005-0000-0000-000085400000}"/>
    <cellStyle name="Normal 74 6 5" xfId="16513" xr:uid="{00000000-0005-0000-0000-000086400000}"/>
    <cellStyle name="Normal 74 6 6" xfId="16514" xr:uid="{00000000-0005-0000-0000-000087400000}"/>
    <cellStyle name="Normal 74 6 7" xfId="16515" xr:uid="{00000000-0005-0000-0000-000088400000}"/>
    <cellStyle name="Normal 74 6 8" xfId="16516" xr:uid="{00000000-0005-0000-0000-000089400000}"/>
    <cellStyle name="Normal 74 6 9" xfId="16517" xr:uid="{00000000-0005-0000-0000-00008A400000}"/>
    <cellStyle name="Normal 74 7" xfId="16518" xr:uid="{00000000-0005-0000-0000-00008B400000}"/>
    <cellStyle name="Normal 74 7 10" xfId="16519" xr:uid="{00000000-0005-0000-0000-00008C400000}"/>
    <cellStyle name="Normal 74 7 11" xfId="16520" xr:uid="{00000000-0005-0000-0000-00008D400000}"/>
    <cellStyle name="Normal 74 7 12" xfId="16521" xr:uid="{00000000-0005-0000-0000-00008E400000}"/>
    <cellStyle name="Normal 74 7 13" xfId="16522" xr:uid="{00000000-0005-0000-0000-00008F400000}"/>
    <cellStyle name="Normal 74 7 2" xfId="16523" xr:uid="{00000000-0005-0000-0000-000090400000}"/>
    <cellStyle name="Normal 74 7 2 10" xfId="16524" xr:uid="{00000000-0005-0000-0000-000091400000}"/>
    <cellStyle name="Normal 74 7 2 11" xfId="16525" xr:uid="{00000000-0005-0000-0000-000092400000}"/>
    <cellStyle name="Normal 74 7 2 2" xfId="16526" xr:uid="{00000000-0005-0000-0000-000093400000}"/>
    <cellStyle name="Normal 74 7 2 3" xfId="16527" xr:uid="{00000000-0005-0000-0000-000094400000}"/>
    <cellStyle name="Normal 74 7 2 4" xfId="16528" xr:uid="{00000000-0005-0000-0000-000095400000}"/>
    <cellStyle name="Normal 74 7 2 5" xfId="16529" xr:uid="{00000000-0005-0000-0000-000096400000}"/>
    <cellStyle name="Normal 74 7 2 6" xfId="16530" xr:uid="{00000000-0005-0000-0000-000097400000}"/>
    <cellStyle name="Normal 74 7 2 7" xfId="16531" xr:uid="{00000000-0005-0000-0000-000098400000}"/>
    <cellStyle name="Normal 74 7 2 8" xfId="16532" xr:uid="{00000000-0005-0000-0000-000099400000}"/>
    <cellStyle name="Normal 74 7 2 9" xfId="16533" xr:uid="{00000000-0005-0000-0000-00009A400000}"/>
    <cellStyle name="Normal 74 7 3" xfId="16534" xr:uid="{00000000-0005-0000-0000-00009B400000}"/>
    <cellStyle name="Normal 74 7 4" xfId="16535" xr:uid="{00000000-0005-0000-0000-00009C400000}"/>
    <cellStyle name="Normal 74 7 5" xfId="16536" xr:uid="{00000000-0005-0000-0000-00009D400000}"/>
    <cellStyle name="Normal 74 7 6" xfId="16537" xr:uid="{00000000-0005-0000-0000-00009E400000}"/>
    <cellStyle name="Normal 74 7 7" xfId="16538" xr:uid="{00000000-0005-0000-0000-00009F400000}"/>
    <cellStyle name="Normal 74 7 8" xfId="16539" xr:uid="{00000000-0005-0000-0000-0000A0400000}"/>
    <cellStyle name="Normal 74 7 9" xfId="16540" xr:uid="{00000000-0005-0000-0000-0000A1400000}"/>
    <cellStyle name="Normal 74 8" xfId="16541" xr:uid="{00000000-0005-0000-0000-0000A2400000}"/>
    <cellStyle name="Normal 74 8 10" xfId="16542" xr:uid="{00000000-0005-0000-0000-0000A3400000}"/>
    <cellStyle name="Normal 74 8 11" xfId="16543" xr:uid="{00000000-0005-0000-0000-0000A4400000}"/>
    <cellStyle name="Normal 74 8 12" xfId="16544" xr:uid="{00000000-0005-0000-0000-0000A5400000}"/>
    <cellStyle name="Normal 74 8 13" xfId="16545" xr:uid="{00000000-0005-0000-0000-0000A6400000}"/>
    <cellStyle name="Normal 74 8 2" xfId="16546" xr:uid="{00000000-0005-0000-0000-0000A7400000}"/>
    <cellStyle name="Normal 74 8 2 10" xfId="16547" xr:uid="{00000000-0005-0000-0000-0000A8400000}"/>
    <cellStyle name="Normal 74 8 2 11" xfId="16548" xr:uid="{00000000-0005-0000-0000-0000A9400000}"/>
    <cellStyle name="Normal 74 8 2 2" xfId="16549" xr:uid="{00000000-0005-0000-0000-0000AA400000}"/>
    <cellStyle name="Normal 74 8 2 3" xfId="16550" xr:uid="{00000000-0005-0000-0000-0000AB400000}"/>
    <cellStyle name="Normal 74 8 2 4" xfId="16551" xr:uid="{00000000-0005-0000-0000-0000AC400000}"/>
    <cellStyle name="Normal 74 8 2 5" xfId="16552" xr:uid="{00000000-0005-0000-0000-0000AD400000}"/>
    <cellStyle name="Normal 74 8 2 6" xfId="16553" xr:uid="{00000000-0005-0000-0000-0000AE400000}"/>
    <cellStyle name="Normal 74 8 2 7" xfId="16554" xr:uid="{00000000-0005-0000-0000-0000AF400000}"/>
    <cellStyle name="Normal 74 8 2 8" xfId="16555" xr:uid="{00000000-0005-0000-0000-0000B0400000}"/>
    <cellStyle name="Normal 74 8 2 9" xfId="16556" xr:uid="{00000000-0005-0000-0000-0000B1400000}"/>
    <cellStyle name="Normal 74 8 3" xfId="16557" xr:uid="{00000000-0005-0000-0000-0000B2400000}"/>
    <cellStyle name="Normal 74 8 4" xfId="16558" xr:uid="{00000000-0005-0000-0000-0000B3400000}"/>
    <cellStyle name="Normal 74 8 5" xfId="16559" xr:uid="{00000000-0005-0000-0000-0000B4400000}"/>
    <cellStyle name="Normal 74 8 6" xfId="16560" xr:uid="{00000000-0005-0000-0000-0000B5400000}"/>
    <cellStyle name="Normal 74 8 7" xfId="16561" xr:uid="{00000000-0005-0000-0000-0000B6400000}"/>
    <cellStyle name="Normal 74 8 8" xfId="16562" xr:uid="{00000000-0005-0000-0000-0000B7400000}"/>
    <cellStyle name="Normal 74 8 9" xfId="16563" xr:uid="{00000000-0005-0000-0000-0000B8400000}"/>
    <cellStyle name="Normal 74 9" xfId="16564" xr:uid="{00000000-0005-0000-0000-0000B9400000}"/>
    <cellStyle name="Normal 74 9 10" xfId="16565" xr:uid="{00000000-0005-0000-0000-0000BA400000}"/>
    <cellStyle name="Normal 74 9 11" xfId="16566" xr:uid="{00000000-0005-0000-0000-0000BB400000}"/>
    <cellStyle name="Normal 74 9 12" xfId="16567" xr:uid="{00000000-0005-0000-0000-0000BC400000}"/>
    <cellStyle name="Normal 74 9 13" xfId="16568" xr:uid="{00000000-0005-0000-0000-0000BD400000}"/>
    <cellStyle name="Normal 74 9 2" xfId="16569" xr:uid="{00000000-0005-0000-0000-0000BE400000}"/>
    <cellStyle name="Normal 74 9 2 10" xfId="16570" xr:uid="{00000000-0005-0000-0000-0000BF400000}"/>
    <cellStyle name="Normal 74 9 2 11" xfId="16571" xr:uid="{00000000-0005-0000-0000-0000C0400000}"/>
    <cellStyle name="Normal 74 9 2 2" xfId="16572" xr:uid="{00000000-0005-0000-0000-0000C1400000}"/>
    <cellStyle name="Normal 74 9 2 3" xfId="16573" xr:uid="{00000000-0005-0000-0000-0000C2400000}"/>
    <cellStyle name="Normal 74 9 2 4" xfId="16574" xr:uid="{00000000-0005-0000-0000-0000C3400000}"/>
    <cellStyle name="Normal 74 9 2 5" xfId="16575" xr:uid="{00000000-0005-0000-0000-0000C4400000}"/>
    <cellStyle name="Normal 74 9 2 6" xfId="16576" xr:uid="{00000000-0005-0000-0000-0000C5400000}"/>
    <cellStyle name="Normal 74 9 2 7" xfId="16577" xr:uid="{00000000-0005-0000-0000-0000C6400000}"/>
    <cellStyle name="Normal 74 9 2 8" xfId="16578" xr:uid="{00000000-0005-0000-0000-0000C7400000}"/>
    <cellStyle name="Normal 74 9 2 9" xfId="16579" xr:uid="{00000000-0005-0000-0000-0000C8400000}"/>
    <cellStyle name="Normal 74 9 3" xfId="16580" xr:uid="{00000000-0005-0000-0000-0000C9400000}"/>
    <cellStyle name="Normal 74 9 4" xfId="16581" xr:uid="{00000000-0005-0000-0000-0000CA400000}"/>
    <cellStyle name="Normal 74 9 5" xfId="16582" xr:uid="{00000000-0005-0000-0000-0000CB400000}"/>
    <cellStyle name="Normal 74 9 6" xfId="16583" xr:uid="{00000000-0005-0000-0000-0000CC400000}"/>
    <cellStyle name="Normal 74 9 7" xfId="16584" xr:uid="{00000000-0005-0000-0000-0000CD400000}"/>
    <cellStyle name="Normal 74 9 8" xfId="16585" xr:uid="{00000000-0005-0000-0000-0000CE400000}"/>
    <cellStyle name="Normal 74 9 9" xfId="16586" xr:uid="{00000000-0005-0000-0000-0000CF400000}"/>
    <cellStyle name="Normal 75" xfId="16587" xr:uid="{00000000-0005-0000-0000-0000D0400000}"/>
    <cellStyle name="Normal 75 10" xfId="16588" xr:uid="{00000000-0005-0000-0000-0000D1400000}"/>
    <cellStyle name="Normal 75 10 10" xfId="16589" xr:uid="{00000000-0005-0000-0000-0000D2400000}"/>
    <cellStyle name="Normal 75 10 11" xfId="16590" xr:uid="{00000000-0005-0000-0000-0000D3400000}"/>
    <cellStyle name="Normal 75 10 12" xfId="16591" xr:uid="{00000000-0005-0000-0000-0000D4400000}"/>
    <cellStyle name="Normal 75 10 13" xfId="16592" xr:uid="{00000000-0005-0000-0000-0000D5400000}"/>
    <cellStyle name="Normal 75 10 2" xfId="16593" xr:uid="{00000000-0005-0000-0000-0000D6400000}"/>
    <cellStyle name="Normal 75 10 2 10" xfId="16594" xr:uid="{00000000-0005-0000-0000-0000D7400000}"/>
    <cellStyle name="Normal 75 10 2 11" xfId="16595" xr:uid="{00000000-0005-0000-0000-0000D8400000}"/>
    <cellStyle name="Normal 75 10 2 2" xfId="16596" xr:uid="{00000000-0005-0000-0000-0000D9400000}"/>
    <cellStyle name="Normal 75 10 2 3" xfId="16597" xr:uid="{00000000-0005-0000-0000-0000DA400000}"/>
    <cellStyle name="Normal 75 10 2 4" xfId="16598" xr:uid="{00000000-0005-0000-0000-0000DB400000}"/>
    <cellStyle name="Normal 75 10 2 5" xfId="16599" xr:uid="{00000000-0005-0000-0000-0000DC400000}"/>
    <cellStyle name="Normal 75 10 2 6" xfId="16600" xr:uid="{00000000-0005-0000-0000-0000DD400000}"/>
    <cellStyle name="Normal 75 10 2 7" xfId="16601" xr:uid="{00000000-0005-0000-0000-0000DE400000}"/>
    <cellStyle name="Normal 75 10 2 8" xfId="16602" xr:uid="{00000000-0005-0000-0000-0000DF400000}"/>
    <cellStyle name="Normal 75 10 2 9" xfId="16603" xr:uid="{00000000-0005-0000-0000-0000E0400000}"/>
    <cellStyle name="Normal 75 10 3" xfId="16604" xr:uid="{00000000-0005-0000-0000-0000E1400000}"/>
    <cellStyle name="Normal 75 10 4" xfId="16605" xr:uid="{00000000-0005-0000-0000-0000E2400000}"/>
    <cellStyle name="Normal 75 10 5" xfId="16606" xr:uid="{00000000-0005-0000-0000-0000E3400000}"/>
    <cellStyle name="Normal 75 10 6" xfId="16607" xr:uid="{00000000-0005-0000-0000-0000E4400000}"/>
    <cellStyle name="Normal 75 10 7" xfId="16608" xr:uid="{00000000-0005-0000-0000-0000E5400000}"/>
    <cellStyle name="Normal 75 10 8" xfId="16609" xr:uid="{00000000-0005-0000-0000-0000E6400000}"/>
    <cellStyle name="Normal 75 10 9" xfId="16610" xr:uid="{00000000-0005-0000-0000-0000E7400000}"/>
    <cellStyle name="Normal 75 11" xfId="16611" xr:uid="{00000000-0005-0000-0000-0000E8400000}"/>
    <cellStyle name="Normal 75 11 10" xfId="16612" xr:uid="{00000000-0005-0000-0000-0000E9400000}"/>
    <cellStyle name="Normal 75 11 11" xfId="16613" xr:uid="{00000000-0005-0000-0000-0000EA400000}"/>
    <cellStyle name="Normal 75 11 12" xfId="16614" xr:uid="{00000000-0005-0000-0000-0000EB400000}"/>
    <cellStyle name="Normal 75 11 13" xfId="16615" xr:uid="{00000000-0005-0000-0000-0000EC400000}"/>
    <cellStyle name="Normal 75 11 2" xfId="16616" xr:uid="{00000000-0005-0000-0000-0000ED400000}"/>
    <cellStyle name="Normal 75 11 2 10" xfId="16617" xr:uid="{00000000-0005-0000-0000-0000EE400000}"/>
    <cellStyle name="Normal 75 11 2 11" xfId="16618" xr:uid="{00000000-0005-0000-0000-0000EF400000}"/>
    <cellStyle name="Normal 75 11 2 2" xfId="16619" xr:uid="{00000000-0005-0000-0000-0000F0400000}"/>
    <cellStyle name="Normal 75 11 2 3" xfId="16620" xr:uid="{00000000-0005-0000-0000-0000F1400000}"/>
    <cellStyle name="Normal 75 11 2 4" xfId="16621" xr:uid="{00000000-0005-0000-0000-0000F2400000}"/>
    <cellStyle name="Normal 75 11 2 5" xfId="16622" xr:uid="{00000000-0005-0000-0000-0000F3400000}"/>
    <cellStyle name="Normal 75 11 2 6" xfId="16623" xr:uid="{00000000-0005-0000-0000-0000F4400000}"/>
    <cellStyle name="Normal 75 11 2 7" xfId="16624" xr:uid="{00000000-0005-0000-0000-0000F5400000}"/>
    <cellStyle name="Normal 75 11 2 8" xfId="16625" xr:uid="{00000000-0005-0000-0000-0000F6400000}"/>
    <cellStyle name="Normal 75 11 2 9" xfId="16626" xr:uid="{00000000-0005-0000-0000-0000F7400000}"/>
    <cellStyle name="Normal 75 11 3" xfId="16627" xr:uid="{00000000-0005-0000-0000-0000F8400000}"/>
    <cellStyle name="Normal 75 11 4" xfId="16628" xr:uid="{00000000-0005-0000-0000-0000F9400000}"/>
    <cellStyle name="Normal 75 11 5" xfId="16629" xr:uid="{00000000-0005-0000-0000-0000FA400000}"/>
    <cellStyle name="Normal 75 11 6" xfId="16630" xr:uid="{00000000-0005-0000-0000-0000FB400000}"/>
    <cellStyle name="Normal 75 11 7" xfId="16631" xr:uid="{00000000-0005-0000-0000-0000FC400000}"/>
    <cellStyle name="Normal 75 11 8" xfId="16632" xr:uid="{00000000-0005-0000-0000-0000FD400000}"/>
    <cellStyle name="Normal 75 11 9" xfId="16633" xr:uid="{00000000-0005-0000-0000-0000FE400000}"/>
    <cellStyle name="Normal 75 12" xfId="16634" xr:uid="{00000000-0005-0000-0000-0000FF400000}"/>
    <cellStyle name="Normal 75 12 10" xfId="16635" xr:uid="{00000000-0005-0000-0000-000000410000}"/>
    <cellStyle name="Normal 75 12 11" xfId="16636" xr:uid="{00000000-0005-0000-0000-000001410000}"/>
    <cellStyle name="Normal 75 12 12" xfId="16637" xr:uid="{00000000-0005-0000-0000-000002410000}"/>
    <cellStyle name="Normal 75 12 13" xfId="16638" xr:uid="{00000000-0005-0000-0000-000003410000}"/>
    <cellStyle name="Normal 75 12 2" xfId="16639" xr:uid="{00000000-0005-0000-0000-000004410000}"/>
    <cellStyle name="Normal 75 12 2 10" xfId="16640" xr:uid="{00000000-0005-0000-0000-000005410000}"/>
    <cellStyle name="Normal 75 12 2 11" xfId="16641" xr:uid="{00000000-0005-0000-0000-000006410000}"/>
    <cellStyle name="Normal 75 12 2 2" xfId="16642" xr:uid="{00000000-0005-0000-0000-000007410000}"/>
    <cellStyle name="Normal 75 12 2 3" xfId="16643" xr:uid="{00000000-0005-0000-0000-000008410000}"/>
    <cellStyle name="Normal 75 12 2 4" xfId="16644" xr:uid="{00000000-0005-0000-0000-000009410000}"/>
    <cellStyle name="Normal 75 12 2 5" xfId="16645" xr:uid="{00000000-0005-0000-0000-00000A410000}"/>
    <cellStyle name="Normal 75 12 2 6" xfId="16646" xr:uid="{00000000-0005-0000-0000-00000B410000}"/>
    <cellStyle name="Normal 75 12 2 7" xfId="16647" xr:uid="{00000000-0005-0000-0000-00000C410000}"/>
    <cellStyle name="Normal 75 12 2 8" xfId="16648" xr:uid="{00000000-0005-0000-0000-00000D410000}"/>
    <cellStyle name="Normal 75 12 2 9" xfId="16649" xr:uid="{00000000-0005-0000-0000-00000E410000}"/>
    <cellStyle name="Normal 75 12 3" xfId="16650" xr:uid="{00000000-0005-0000-0000-00000F410000}"/>
    <cellStyle name="Normal 75 12 4" xfId="16651" xr:uid="{00000000-0005-0000-0000-000010410000}"/>
    <cellStyle name="Normal 75 12 5" xfId="16652" xr:uid="{00000000-0005-0000-0000-000011410000}"/>
    <cellStyle name="Normal 75 12 6" xfId="16653" xr:uid="{00000000-0005-0000-0000-000012410000}"/>
    <cellStyle name="Normal 75 12 7" xfId="16654" xr:uid="{00000000-0005-0000-0000-000013410000}"/>
    <cellStyle name="Normal 75 12 8" xfId="16655" xr:uid="{00000000-0005-0000-0000-000014410000}"/>
    <cellStyle name="Normal 75 12 9" xfId="16656" xr:uid="{00000000-0005-0000-0000-000015410000}"/>
    <cellStyle name="Normal 75 13" xfId="16657" xr:uid="{00000000-0005-0000-0000-000016410000}"/>
    <cellStyle name="Normal 75 13 10" xfId="16658" xr:uid="{00000000-0005-0000-0000-000017410000}"/>
    <cellStyle name="Normal 75 13 11" xfId="16659" xr:uid="{00000000-0005-0000-0000-000018410000}"/>
    <cellStyle name="Normal 75 13 12" xfId="16660" xr:uid="{00000000-0005-0000-0000-000019410000}"/>
    <cellStyle name="Normal 75 13 13" xfId="16661" xr:uid="{00000000-0005-0000-0000-00001A410000}"/>
    <cellStyle name="Normal 75 13 2" xfId="16662" xr:uid="{00000000-0005-0000-0000-00001B410000}"/>
    <cellStyle name="Normal 75 13 2 10" xfId="16663" xr:uid="{00000000-0005-0000-0000-00001C410000}"/>
    <cellStyle name="Normal 75 13 2 11" xfId="16664" xr:uid="{00000000-0005-0000-0000-00001D410000}"/>
    <cellStyle name="Normal 75 13 2 2" xfId="16665" xr:uid="{00000000-0005-0000-0000-00001E410000}"/>
    <cellStyle name="Normal 75 13 2 3" xfId="16666" xr:uid="{00000000-0005-0000-0000-00001F410000}"/>
    <cellStyle name="Normal 75 13 2 4" xfId="16667" xr:uid="{00000000-0005-0000-0000-000020410000}"/>
    <cellStyle name="Normal 75 13 2 5" xfId="16668" xr:uid="{00000000-0005-0000-0000-000021410000}"/>
    <cellStyle name="Normal 75 13 2 6" xfId="16669" xr:uid="{00000000-0005-0000-0000-000022410000}"/>
    <cellStyle name="Normal 75 13 2 7" xfId="16670" xr:uid="{00000000-0005-0000-0000-000023410000}"/>
    <cellStyle name="Normal 75 13 2 8" xfId="16671" xr:uid="{00000000-0005-0000-0000-000024410000}"/>
    <cellStyle name="Normal 75 13 2 9" xfId="16672" xr:uid="{00000000-0005-0000-0000-000025410000}"/>
    <cellStyle name="Normal 75 13 3" xfId="16673" xr:uid="{00000000-0005-0000-0000-000026410000}"/>
    <cellStyle name="Normal 75 13 4" xfId="16674" xr:uid="{00000000-0005-0000-0000-000027410000}"/>
    <cellStyle name="Normal 75 13 5" xfId="16675" xr:uid="{00000000-0005-0000-0000-000028410000}"/>
    <cellStyle name="Normal 75 13 6" xfId="16676" xr:uid="{00000000-0005-0000-0000-000029410000}"/>
    <cellStyle name="Normal 75 13 7" xfId="16677" xr:uid="{00000000-0005-0000-0000-00002A410000}"/>
    <cellStyle name="Normal 75 13 8" xfId="16678" xr:uid="{00000000-0005-0000-0000-00002B410000}"/>
    <cellStyle name="Normal 75 13 9" xfId="16679" xr:uid="{00000000-0005-0000-0000-00002C410000}"/>
    <cellStyle name="Normal 75 14" xfId="16680" xr:uid="{00000000-0005-0000-0000-00002D410000}"/>
    <cellStyle name="Normal 75 14 10" xfId="16681" xr:uid="{00000000-0005-0000-0000-00002E410000}"/>
    <cellStyle name="Normal 75 14 11" xfId="16682" xr:uid="{00000000-0005-0000-0000-00002F410000}"/>
    <cellStyle name="Normal 75 14 2" xfId="16683" xr:uid="{00000000-0005-0000-0000-000030410000}"/>
    <cellStyle name="Normal 75 14 3" xfId="16684" xr:uid="{00000000-0005-0000-0000-000031410000}"/>
    <cellStyle name="Normal 75 14 4" xfId="16685" xr:uid="{00000000-0005-0000-0000-000032410000}"/>
    <cellStyle name="Normal 75 14 5" xfId="16686" xr:uid="{00000000-0005-0000-0000-000033410000}"/>
    <cellStyle name="Normal 75 14 6" xfId="16687" xr:uid="{00000000-0005-0000-0000-000034410000}"/>
    <cellStyle name="Normal 75 14 7" xfId="16688" xr:uid="{00000000-0005-0000-0000-000035410000}"/>
    <cellStyle name="Normal 75 14 8" xfId="16689" xr:uid="{00000000-0005-0000-0000-000036410000}"/>
    <cellStyle name="Normal 75 14 9" xfId="16690" xr:uid="{00000000-0005-0000-0000-000037410000}"/>
    <cellStyle name="Normal 75 15" xfId="16691" xr:uid="{00000000-0005-0000-0000-000038410000}"/>
    <cellStyle name="Normal 75 16" xfId="16692" xr:uid="{00000000-0005-0000-0000-000039410000}"/>
    <cellStyle name="Normal 75 17" xfId="16693" xr:uid="{00000000-0005-0000-0000-00003A410000}"/>
    <cellStyle name="Normal 75 18" xfId="16694" xr:uid="{00000000-0005-0000-0000-00003B410000}"/>
    <cellStyle name="Normal 75 19" xfId="16695" xr:uid="{00000000-0005-0000-0000-00003C410000}"/>
    <cellStyle name="Normal 75 2" xfId="16696" xr:uid="{00000000-0005-0000-0000-00003D410000}"/>
    <cellStyle name="Normal 75 2 10" xfId="16697" xr:uid="{00000000-0005-0000-0000-00003E410000}"/>
    <cellStyle name="Normal 75 2 11" xfId="16698" xr:uid="{00000000-0005-0000-0000-00003F410000}"/>
    <cellStyle name="Normal 75 2 12" xfId="16699" xr:uid="{00000000-0005-0000-0000-000040410000}"/>
    <cellStyle name="Normal 75 2 13" xfId="16700" xr:uid="{00000000-0005-0000-0000-000041410000}"/>
    <cellStyle name="Normal 75 2 2" xfId="16701" xr:uid="{00000000-0005-0000-0000-000042410000}"/>
    <cellStyle name="Normal 75 2 2 10" xfId="16702" xr:uid="{00000000-0005-0000-0000-000043410000}"/>
    <cellStyle name="Normal 75 2 2 11" xfId="16703" xr:uid="{00000000-0005-0000-0000-000044410000}"/>
    <cellStyle name="Normal 75 2 2 2" xfId="16704" xr:uid="{00000000-0005-0000-0000-000045410000}"/>
    <cellStyle name="Normal 75 2 2 3" xfId="16705" xr:uid="{00000000-0005-0000-0000-000046410000}"/>
    <cellStyle name="Normal 75 2 2 4" xfId="16706" xr:uid="{00000000-0005-0000-0000-000047410000}"/>
    <cellStyle name="Normal 75 2 2 5" xfId="16707" xr:uid="{00000000-0005-0000-0000-000048410000}"/>
    <cellStyle name="Normal 75 2 2 6" xfId="16708" xr:uid="{00000000-0005-0000-0000-000049410000}"/>
    <cellStyle name="Normal 75 2 2 7" xfId="16709" xr:uid="{00000000-0005-0000-0000-00004A410000}"/>
    <cellStyle name="Normal 75 2 2 8" xfId="16710" xr:uid="{00000000-0005-0000-0000-00004B410000}"/>
    <cellStyle name="Normal 75 2 2 9" xfId="16711" xr:uid="{00000000-0005-0000-0000-00004C410000}"/>
    <cellStyle name="Normal 75 2 3" xfId="16712" xr:uid="{00000000-0005-0000-0000-00004D410000}"/>
    <cellStyle name="Normal 75 2 4" xfId="16713" xr:uid="{00000000-0005-0000-0000-00004E410000}"/>
    <cellStyle name="Normal 75 2 5" xfId="16714" xr:uid="{00000000-0005-0000-0000-00004F410000}"/>
    <cellStyle name="Normal 75 2 6" xfId="16715" xr:uid="{00000000-0005-0000-0000-000050410000}"/>
    <cellStyle name="Normal 75 2 7" xfId="16716" xr:uid="{00000000-0005-0000-0000-000051410000}"/>
    <cellStyle name="Normal 75 2 8" xfId="16717" xr:uid="{00000000-0005-0000-0000-000052410000}"/>
    <cellStyle name="Normal 75 2 9" xfId="16718" xr:uid="{00000000-0005-0000-0000-000053410000}"/>
    <cellStyle name="Normal 75 20" xfId="16719" xr:uid="{00000000-0005-0000-0000-000054410000}"/>
    <cellStyle name="Normal 75 21" xfId="16720" xr:uid="{00000000-0005-0000-0000-000055410000}"/>
    <cellStyle name="Normal 75 22" xfId="16721" xr:uid="{00000000-0005-0000-0000-000056410000}"/>
    <cellStyle name="Normal 75 23" xfId="16722" xr:uid="{00000000-0005-0000-0000-000057410000}"/>
    <cellStyle name="Normal 75 24" xfId="16723" xr:uid="{00000000-0005-0000-0000-000058410000}"/>
    <cellStyle name="Normal 75 25" xfId="16724" xr:uid="{00000000-0005-0000-0000-000059410000}"/>
    <cellStyle name="Normal 75 3" xfId="16725" xr:uid="{00000000-0005-0000-0000-00005A410000}"/>
    <cellStyle name="Normal 75 3 10" xfId="16726" xr:uid="{00000000-0005-0000-0000-00005B410000}"/>
    <cellStyle name="Normal 75 3 11" xfId="16727" xr:uid="{00000000-0005-0000-0000-00005C410000}"/>
    <cellStyle name="Normal 75 3 12" xfId="16728" xr:uid="{00000000-0005-0000-0000-00005D410000}"/>
    <cellStyle name="Normal 75 3 13" xfId="16729" xr:uid="{00000000-0005-0000-0000-00005E410000}"/>
    <cellStyle name="Normal 75 3 2" xfId="16730" xr:uid="{00000000-0005-0000-0000-00005F410000}"/>
    <cellStyle name="Normal 75 3 2 10" xfId="16731" xr:uid="{00000000-0005-0000-0000-000060410000}"/>
    <cellStyle name="Normal 75 3 2 11" xfId="16732" xr:uid="{00000000-0005-0000-0000-000061410000}"/>
    <cellStyle name="Normal 75 3 2 2" xfId="16733" xr:uid="{00000000-0005-0000-0000-000062410000}"/>
    <cellStyle name="Normal 75 3 2 3" xfId="16734" xr:uid="{00000000-0005-0000-0000-000063410000}"/>
    <cellStyle name="Normal 75 3 2 4" xfId="16735" xr:uid="{00000000-0005-0000-0000-000064410000}"/>
    <cellStyle name="Normal 75 3 2 5" xfId="16736" xr:uid="{00000000-0005-0000-0000-000065410000}"/>
    <cellStyle name="Normal 75 3 2 6" xfId="16737" xr:uid="{00000000-0005-0000-0000-000066410000}"/>
    <cellStyle name="Normal 75 3 2 7" xfId="16738" xr:uid="{00000000-0005-0000-0000-000067410000}"/>
    <cellStyle name="Normal 75 3 2 8" xfId="16739" xr:uid="{00000000-0005-0000-0000-000068410000}"/>
    <cellStyle name="Normal 75 3 2 9" xfId="16740" xr:uid="{00000000-0005-0000-0000-000069410000}"/>
    <cellStyle name="Normal 75 3 3" xfId="16741" xr:uid="{00000000-0005-0000-0000-00006A410000}"/>
    <cellStyle name="Normal 75 3 4" xfId="16742" xr:uid="{00000000-0005-0000-0000-00006B410000}"/>
    <cellStyle name="Normal 75 3 5" xfId="16743" xr:uid="{00000000-0005-0000-0000-00006C410000}"/>
    <cellStyle name="Normal 75 3 6" xfId="16744" xr:uid="{00000000-0005-0000-0000-00006D410000}"/>
    <cellStyle name="Normal 75 3 7" xfId="16745" xr:uid="{00000000-0005-0000-0000-00006E410000}"/>
    <cellStyle name="Normal 75 3 8" xfId="16746" xr:uid="{00000000-0005-0000-0000-00006F410000}"/>
    <cellStyle name="Normal 75 3 9" xfId="16747" xr:uid="{00000000-0005-0000-0000-000070410000}"/>
    <cellStyle name="Normal 75 4" xfId="16748" xr:uid="{00000000-0005-0000-0000-000071410000}"/>
    <cellStyle name="Normal 75 4 10" xfId="16749" xr:uid="{00000000-0005-0000-0000-000072410000}"/>
    <cellStyle name="Normal 75 4 11" xfId="16750" xr:uid="{00000000-0005-0000-0000-000073410000}"/>
    <cellStyle name="Normal 75 4 12" xfId="16751" xr:uid="{00000000-0005-0000-0000-000074410000}"/>
    <cellStyle name="Normal 75 4 13" xfId="16752" xr:uid="{00000000-0005-0000-0000-000075410000}"/>
    <cellStyle name="Normal 75 4 2" xfId="16753" xr:uid="{00000000-0005-0000-0000-000076410000}"/>
    <cellStyle name="Normal 75 4 2 10" xfId="16754" xr:uid="{00000000-0005-0000-0000-000077410000}"/>
    <cellStyle name="Normal 75 4 2 11" xfId="16755" xr:uid="{00000000-0005-0000-0000-000078410000}"/>
    <cellStyle name="Normal 75 4 2 2" xfId="16756" xr:uid="{00000000-0005-0000-0000-000079410000}"/>
    <cellStyle name="Normal 75 4 2 3" xfId="16757" xr:uid="{00000000-0005-0000-0000-00007A410000}"/>
    <cellStyle name="Normal 75 4 2 4" xfId="16758" xr:uid="{00000000-0005-0000-0000-00007B410000}"/>
    <cellStyle name="Normal 75 4 2 5" xfId="16759" xr:uid="{00000000-0005-0000-0000-00007C410000}"/>
    <cellStyle name="Normal 75 4 2 6" xfId="16760" xr:uid="{00000000-0005-0000-0000-00007D410000}"/>
    <cellStyle name="Normal 75 4 2 7" xfId="16761" xr:uid="{00000000-0005-0000-0000-00007E410000}"/>
    <cellStyle name="Normal 75 4 2 8" xfId="16762" xr:uid="{00000000-0005-0000-0000-00007F410000}"/>
    <cellStyle name="Normal 75 4 2 9" xfId="16763" xr:uid="{00000000-0005-0000-0000-000080410000}"/>
    <cellStyle name="Normal 75 4 3" xfId="16764" xr:uid="{00000000-0005-0000-0000-000081410000}"/>
    <cellStyle name="Normal 75 4 4" xfId="16765" xr:uid="{00000000-0005-0000-0000-000082410000}"/>
    <cellStyle name="Normal 75 4 5" xfId="16766" xr:uid="{00000000-0005-0000-0000-000083410000}"/>
    <cellStyle name="Normal 75 4 6" xfId="16767" xr:uid="{00000000-0005-0000-0000-000084410000}"/>
    <cellStyle name="Normal 75 4 7" xfId="16768" xr:uid="{00000000-0005-0000-0000-000085410000}"/>
    <cellStyle name="Normal 75 4 8" xfId="16769" xr:uid="{00000000-0005-0000-0000-000086410000}"/>
    <cellStyle name="Normal 75 4 9" xfId="16770" xr:uid="{00000000-0005-0000-0000-000087410000}"/>
    <cellStyle name="Normal 75 5" xfId="16771" xr:uid="{00000000-0005-0000-0000-000088410000}"/>
    <cellStyle name="Normal 75 5 10" xfId="16772" xr:uid="{00000000-0005-0000-0000-000089410000}"/>
    <cellStyle name="Normal 75 5 11" xfId="16773" xr:uid="{00000000-0005-0000-0000-00008A410000}"/>
    <cellStyle name="Normal 75 5 12" xfId="16774" xr:uid="{00000000-0005-0000-0000-00008B410000}"/>
    <cellStyle name="Normal 75 5 13" xfId="16775" xr:uid="{00000000-0005-0000-0000-00008C410000}"/>
    <cellStyle name="Normal 75 5 2" xfId="16776" xr:uid="{00000000-0005-0000-0000-00008D410000}"/>
    <cellStyle name="Normal 75 5 2 10" xfId="16777" xr:uid="{00000000-0005-0000-0000-00008E410000}"/>
    <cellStyle name="Normal 75 5 2 11" xfId="16778" xr:uid="{00000000-0005-0000-0000-00008F410000}"/>
    <cellStyle name="Normal 75 5 2 2" xfId="16779" xr:uid="{00000000-0005-0000-0000-000090410000}"/>
    <cellStyle name="Normal 75 5 2 3" xfId="16780" xr:uid="{00000000-0005-0000-0000-000091410000}"/>
    <cellStyle name="Normal 75 5 2 4" xfId="16781" xr:uid="{00000000-0005-0000-0000-000092410000}"/>
    <cellStyle name="Normal 75 5 2 5" xfId="16782" xr:uid="{00000000-0005-0000-0000-000093410000}"/>
    <cellStyle name="Normal 75 5 2 6" xfId="16783" xr:uid="{00000000-0005-0000-0000-000094410000}"/>
    <cellStyle name="Normal 75 5 2 7" xfId="16784" xr:uid="{00000000-0005-0000-0000-000095410000}"/>
    <cellStyle name="Normal 75 5 2 8" xfId="16785" xr:uid="{00000000-0005-0000-0000-000096410000}"/>
    <cellStyle name="Normal 75 5 2 9" xfId="16786" xr:uid="{00000000-0005-0000-0000-000097410000}"/>
    <cellStyle name="Normal 75 5 3" xfId="16787" xr:uid="{00000000-0005-0000-0000-000098410000}"/>
    <cellStyle name="Normal 75 5 4" xfId="16788" xr:uid="{00000000-0005-0000-0000-000099410000}"/>
    <cellStyle name="Normal 75 5 5" xfId="16789" xr:uid="{00000000-0005-0000-0000-00009A410000}"/>
    <cellStyle name="Normal 75 5 6" xfId="16790" xr:uid="{00000000-0005-0000-0000-00009B410000}"/>
    <cellStyle name="Normal 75 5 7" xfId="16791" xr:uid="{00000000-0005-0000-0000-00009C410000}"/>
    <cellStyle name="Normal 75 5 8" xfId="16792" xr:uid="{00000000-0005-0000-0000-00009D410000}"/>
    <cellStyle name="Normal 75 5 9" xfId="16793" xr:uid="{00000000-0005-0000-0000-00009E410000}"/>
    <cellStyle name="Normal 75 6" xfId="16794" xr:uid="{00000000-0005-0000-0000-00009F410000}"/>
    <cellStyle name="Normal 75 6 10" xfId="16795" xr:uid="{00000000-0005-0000-0000-0000A0410000}"/>
    <cellStyle name="Normal 75 6 11" xfId="16796" xr:uid="{00000000-0005-0000-0000-0000A1410000}"/>
    <cellStyle name="Normal 75 6 12" xfId="16797" xr:uid="{00000000-0005-0000-0000-0000A2410000}"/>
    <cellStyle name="Normal 75 6 13" xfId="16798" xr:uid="{00000000-0005-0000-0000-0000A3410000}"/>
    <cellStyle name="Normal 75 6 2" xfId="16799" xr:uid="{00000000-0005-0000-0000-0000A4410000}"/>
    <cellStyle name="Normal 75 6 2 10" xfId="16800" xr:uid="{00000000-0005-0000-0000-0000A5410000}"/>
    <cellStyle name="Normal 75 6 2 11" xfId="16801" xr:uid="{00000000-0005-0000-0000-0000A6410000}"/>
    <cellStyle name="Normal 75 6 2 2" xfId="16802" xr:uid="{00000000-0005-0000-0000-0000A7410000}"/>
    <cellStyle name="Normal 75 6 2 3" xfId="16803" xr:uid="{00000000-0005-0000-0000-0000A8410000}"/>
    <cellStyle name="Normal 75 6 2 4" xfId="16804" xr:uid="{00000000-0005-0000-0000-0000A9410000}"/>
    <cellStyle name="Normal 75 6 2 5" xfId="16805" xr:uid="{00000000-0005-0000-0000-0000AA410000}"/>
    <cellStyle name="Normal 75 6 2 6" xfId="16806" xr:uid="{00000000-0005-0000-0000-0000AB410000}"/>
    <cellStyle name="Normal 75 6 2 7" xfId="16807" xr:uid="{00000000-0005-0000-0000-0000AC410000}"/>
    <cellStyle name="Normal 75 6 2 8" xfId="16808" xr:uid="{00000000-0005-0000-0000-0000AD410000}"/>
    <cellStyle name="Normal 75 6 2 9" xfId="16809" xr:uid="{00000000-0005-0000-0000-0000AE410000}"/>
    <cellStyle name="Normal 75 6 3" xfId="16810" xr:uid="{00000000-0005-0000-0000-0000AF410000}"/>
    <cellStyle name="Normal 75 6 4" xfId="16811" xr:uid="{00000000-0005-0000-0000-0000B0410000}"/>
    <cellStyle name="Normal 75 6 5" xfId="16812" xr:uid="{00000000-0005-0000-0000-0000B1410000}"/>
    <cellStyle name="Normal 75 6 6" xfId="16813" xr:uid="{00000000-0005-0000-0000-0000B2410000}"/>
    <cellStyle name="Normal 75 6 7" xfId="16814" xr:uid="{00000000-0005-0000-0000-0000B3410000}"/>
    <cellStyle name="Normal 75 6 8" xfId="16815" xr:uid="{00000000-0005-0000-0000-0000B4410000}"/>
    <cellStyle name="Normal 75 6 9" xfId="16816" xr:uid="{00000000-0005-0000-0000-0000B5410000}"/>
    <cellStyle name="Normal 75 7" xfId="16817" xr:uid="{00000000-0005-0000-0000-0000B6410000}"/>
    <cellStyle name="Normal 75 7 10" xfId="16818" xr:uid="{00000000-0005-0000-0000-0000B7410000}"/>
    <cellStyle name="Normal 75 7 11" xfId="16819" xr:uid="{00000000-0005-0000-0000-0000B8410000}"/>
    <cellStyle name="Normal 75 7 12" xfId="16820" xr:uid="{00000000-0005-0000-0000-0000B9410000}"/>
    <cellStyle name="Normal 75 7 13" xfId="16821" xr:uid="{00000000-0005-0000-0000-0000BA410000}"/>
    <cellStyle name="Normal 75 7 2" xfId="16822" xr:uid="{00000000-0005-0000-0000-0000BB410000}"/>
    <cellStyle name="Normal 75 7 2 10" xfId="16823" xr:uid="{00000000-0005-0000-0000-0000BC410000}"/>
    <cellStyle name="Normal 75 7 2 11" xfId="16824" xr:uid="{00000000-0005-0000-0000-0000BD410000}"/>
    <cellStyle name="Normal 75 7 2 2" xfId="16825" xr:uid="{00000000-0005-0000-0000-0000BE410000}"/>
    <cellStyle name="Normal 75 7 2 3" xfId="16826" xr:uid="{00000000-0005-0000-0000-0000BF410000}"/>
    <cellStyle name="Normal 75 7 2 4" xfId="16827" xr:uid="{00000000-0005-0000-0000-0000C0410000}"/>
    <cellStyle name="Normal 75 7 2 5" xfId="16828" xr:uid="{00000000-0005-0000-0000-0000C1410000}"/>
    <cellStyle name="Normal 75 7 2 6" xfId="16829" xr:uid="{00000000-0005-0000-0000-0000C2410000}"/>
    <cellStyle name="Normal 75 7 2 7" xfId="16830" xr:uid="{00000000-0005-0000-0000-0000C3410000}"/>
    <cellStyle name="Normal 75 7 2 8" xfId="16831" xr:uid="{00000000-0005-0000-0000-0000C4410000}"/>
    <cellStyle name="Normal 75 7 2 9" xfId="16832" xr:uid="{00000000-0005-0000-0000-0000C5410000}"/>
    <cellStyle name="Normal 75 7 3" xfId="16833" xr:uid="{00000000-0005-0000-0000-0000C6410000}"/>
    <cellStyle name="Normal 75 7 4" xfId="16834" xr:uid="{00000000-0005-0000-0000-0000C7410000}"/>
    <cellStyle name="Normal 75 7 5" xfId="16835" xr:uid="{00000000-0005-0000-0000-0000C8410000}"/>
    <cellStyle name="Normal 75 7 6" xfId="16836" xr:uid="{00000000-0005-0000-0000-0000C9410000}"/>
    <cellStyle name="Normal 75 7 7" xfId="16837" xr:uid="{00000000-0005-0000-0000-0000CA410000}"/>
    <cellStyle name="Normal 75 7 8" xfId="16838" xr:uid="{00000000-0005-0000-0000-0000CB410000}"/>
    <cellStyle name="Normal 75 7 9" xfId="16839" xr:uid="{00000000-0005-0000-0000-0000CC410000}"/>
    <cellStyle name="Normal 75 8" xfId="16840" xr:uid="{00000000-0005-0000-0000-0000CD410000}"/>
    <cellStyle name="Normal 75 8 10" xfId="16841" xr:uid="{00000000-0005-0000-0000-0000CE410000}"/>
    <cellStyle name="Normal 75 8 11" xfId="16842" xr:uid="{00000000-0005-0000-0000-0000CF410000}"/>
    <cellStyle name="Normal 75 8 12" xfId="16843" xr:uid="{00000000-0005-0000-0000-0000D0410000}"/>
    <cellStyle name="Normal 75 8 13" xfId="16844" xr:uid="{00000000-0005-0000-0000-0000D1410000}"/>
    <cellStyle name="Normal 75 8 2" xfId="16845" xr:uid="{00000000-0005-0000-0000-0000D2410000}"/>
    <cellStyle name="Normal 75 8 2 10" xfId="16846" xr:uid="{00000000-0005-0000-0000-0000D3410000}"/>
    <cellStyle name="Normal 75 8 2 11" xfId="16847" xr:uid="{00000000-0005-0000-0000-0000D4410000}"/>
    <cellStyle name="Normal 75 8 2 2" xfId="16848" xr:uid="{00000000-0005-0000-0000-0000D5410000}"/>
    <cellStyle name="Normal 75 8 2 3" xfId="16849" xr:uid="{00000000-0005-0000-0000-0000D6410000}"/>
    <cellStyle name="Normal 75 8 2 4" xfId="16850" xr:uid="{00000000-0005-0000-0000-0000D7410000}"/>
    <cellStyle name="Normal 75 8 2 5" xfId="16851" xr:uid="{00000000-0005-0000-0000-0000D8410000}"/>
    <cellStyle name="Normal 75 8 2 6" xfId="16852" xr:uid="{00000000-0005-0000-0000-0000D9410000}"/>
    <cellStyle name="Normal 75 8 2 7" xfId="16853" xr:uid="{00000000-0005-0000-0000-0000DA410000}"/>
    <cellStyle name="Normal 75 8 2 8" xfId="16854" xr:uid="{00000000-0005-0000-0000-0000DB410000}"/>
    <cellStyle name="Normal 75 8 2 9" xfId="16855" xr:uid="{00000000-0005-0000-0000-0000DC410000}"/>
    <cellStyle name="Normal 75 8 3" xfId="16856" xr:uid="{00000000-0005-0000-0000-0000DD410000}"/>
    <cellStyle name="Normal 75 8 4" xfId="16857" xr:uid="{00000000-0005-0000-0000-0000DE410000}"/>
    <cellStyle name="Normal 75 8 5" xfId="16858" xr:uid="{00000000-0005-0000-0000-0000DF410000}"/>
    <cellStyle name="Normal 75 8 6" xfId="16859" xr:uid="{00000000-0005-0000-0000-0000E0410000}"/>
    <cellStyle name="Normal 75 8 7" xfId="16860" xr:uid="{00000000-0005-0000-0000-0000E1410000}"/>
    <cellStyle name="Normal 75 8 8" xfId="16861" xr:uid="{00000000-0005-0000-0000-0000E2410000}"/>
    <cellStyle name="Normal 75 8 9" xfId="16862" xr:uid="{00000000-0005-0000-0000-0000E3410000}"/>
    <cellStyle name="Normal 75 9" xfId="16863" xr:uid="{00000000-0005-0000-0000-0000E4410000}"/>
    <cellStyle name="Normal 75 9 10" xfId="16864" xr:uid="{00000000-0005-0000-0000-0000E5410000}"/>
    <cellStyle name="Normal 75 9 11" xfId="16865" xr:uid="{00000000-0005-0000-0000-0000E6410000}"/>
    <cellStyle name="Normal 75 9 12" xfId="16866" xr:uid="{00000000-0005-0000-0000-0000E7410000}"/>
    <cellStyle name="Normal 75 9 13" xfId="16867" xr:uid="{00000000-0005-0000-0000-0000E8410000}"/>
    <cellStyle name="Normal 75 9 2" xfId="16868" xr:uid="{00000000-0005-0000-0000-0000E9410000}"/>
    <cellStyle name="Normal 75 9 2 10" xfId="16869" xr:uid="{00000000-0005-0000-0000-0000EA410000}"/>
    <cellStyle name="Normal 75 9 2 11" xfId="16870" xr:uid="{00000000-0005-0000-0000-0000EB410000}"/>
    <cellStyle name="Normal 75 9 2 2" xfId="16871" xr:uid="{00000000-0005-0000-0000-0000EC410000}"/>
    <cellStyle name="Normal 75 9 2 3" xfId="16872" xr:uid="{00000000-0005-0000-0000-0000ED410000}"/>
    <cellStyle name="Normal 75 9 2 4" xfId="16873" xr:uid="{00000000-0005-0000-0000-0000EE410000}"/>
    <cellStyle name="Normal 75 9 2 5" xfId="16874" xr:uid="{00000000-0005-0000-0000-0000EF410000}"/>
    <cellStyle name="Normal 75 9 2 6" xfId="16875" xr:uid="{00000000-0005-0000-0000-0000F0410000}"/>
    <cellStyle name="Normal 75 9 2 7" xfId="16876" xr:uid="{00000000-0005-0000-0000-0000F1410000}"/>
    <cellStyle name="Normal 75 9 2 8" xfId="16877" xr:uid="{00000000-0005-0000-0000-0000F2410000}"/>
    <cellStyle name="Normal 75 9 2 9" xfId="16878" xr:uid="{00000000-0005-0000-0000-0000F3410000}"/>
    <cellStyle name="Normal 75 9 3" xfId="16879" xr:uid="{00000000-0005-0000-0000-0000F4410000}"/>
    <cellStyle name="Normal 75 9 4" xfId="16880" xr:uid="{00000000-0005-0000-0000-0000F5410000}"/>
    <cellStyle name="Normal 75 9 5" xfId="16881" xr:uid="{00000000-0005-0000-0000-0000F6410000}"/>
    <cellStyle name="Normal 75 9 6" xfId="16882" xr:uid="{00000000-0005-0000-0000-0000F7410000}"/>
    <cellStyle name="Normal 75 9 7" xfId="16883" xr:uid="{00000000-0005-0000-0000-0000F8410000}"/>
    <cellStyle name="Normal 75 9 8" xfId="16884" xr:uid="{00000000-0005-0000-0000-0000F9410000}"/>
    <cellStyle name="Normal 75 9 9" xfId="16885" xr:uid="{00000000-0005-0000-0000-0000FA410000}"/>
    <cellStyle name="Normal 76" xfId="16886" xr:uid="{00000000-0005-0000-0000-0000FB410000}"/>
    <cellStyle name="Normal 76 10" xfId="16887" xr:uid="{00000000-0005-0000-0000-0000FC410000}"/>
    <cellStyle name="Normal 76 10 10" xfId="16888" xr:uid="{00000000-0005-0000-0000-0000FD410000}"/>
    <cellStyle name="Normal 76 10 11" xfId="16889" xr:uid="{00000000-0005-0000-0000-0000FE410000}"/>
    <cellStyle name="Normal 76 10 12" xfId="16890" xr:uid="{00000000-0005-0000-0000-0000FF410000}"/>
    <cellStyle name="Normal 76 10 13" xfId="16891" xr:uid="{00000000-0005-0000-0000-000000420000}"/>
    <cellStyle name="Normal 76 10 2" xfId="16892" xr:uid="{00000000-0005-0000-0000-000001420000}"/>
    <cellStyle name="Normal 76 10 2 10" xfId="16893" xr:uid="{00000000-0005-0000-0000-000002420000}"/>
    <cellStyle name="Normal 76 10 2 11" xfId="16894" xr:uid="{00000000-0005-0000-0000-000003420000}"/>
    <cellStyle name="Normal 76 10 2 2" xfId="16895" xr:uid="{00000000-0005-0000-0000-000004420000}"/>
    <cellStyle name="Normal 76 10 2 3" xfId="16896" xr:uid="{00000000-0005-0000-0000-000005420000}"/>
    <cellStyle name="Normal 76 10 2 4" xfId="16897" xr:uid="{00000000-0005-0000-0000-000006420000}"/>
    <cellStyle name="Normal 76 10 2 5" xfId="16898" xr:uid="{00000000-0005-0000-0000-000007420000}"/>
    <cellStyle name="Normal 76 10 2 6" xfId="16899" xr:uid="{00000000-0005-0000-0000-000008420000}"/>
    <cellStyle name="Normal 76 10 2 7" xfId="16900" xr:uid="{00000000-0005-0000-0000-000009420000}"/>
    <cellStyle name="Normal 76 10 2 8" xfId="16901" xr:uid="{00000000-0005-0000-0000-00000A420000}"/>
    <cellStyle name="Normal 76 10 2 9" xfId="16902" xr:uid="{00000000-0005-0000-0000-00000B420000}"/>
    <cellStyle name="Normal 76 10 3" xfId="16903" xr:uid="{00000000-0005-0000-0000-00000C420000}"/>
    <cellStyle name="Normal 76 10 4" xfId="16904" xr:uid="{00000000-0005-0000-0000-00000D420000}"/>
    <cellStyle name="Normal 76 10 5" xfId="16905" xr:uid="{00000000-0005-0000-0000-00000E420000}"/>
    <cellStyle name="Normal 76 10 6" xfId="16906" xr:uid="{00000000-0005-0000-0000-00000F420000}"/>
    <cellStyle name="Normal 76 10 7" xfId="16907" xr:uid="{00000000-0005-0000-0000-000010420000}"/>
    <cellStyle name="Normal 76 10 8" xfId="16908" xr:uid="{00000000-0005-0000-0000-000011420000}"/>
    <cellStyle name="Normal 76 10 9" xfId="16909" xr:uid="{00000000-0005-0000-0000-000012420000}"/>
    <cellStyle name="Normal 76 11" xfId="16910" xr:uid="{00000000-0005-0000-0000-000013420000}"/>
    <cellStyle name="Normal 76 11 10" xfId="16911" xr:uid="{00000000-0005-0000-0000-000014420000}"/>
    <cellStyle name="Normal 76 11 11" xfId="16912" xr:uid="{00000000-0005-0000-0000-000015420000}"/>
    <cellStyle name="Normal 76 11 12" xfId="16913" xr:uid="{00000000-0005-0000-0000-000016420000}"/>
    <cellStyle name="Normal 76 11 13" xfId="16914" xr:uid="{00000000-0005-0000-0000-000017420000}"/>
    <cellStyle name="Normal 76 11 2" xfId="16915" xr:uid="{00000000-0005-0000-0000-000018420000}"/>
    <cellStyle name="Normal 76 11 2 10" xfId="16916" xr:uid="{00000000-0005-0000-0000-000019420000}"/>
    <cellStyle name="Normal 76 11 2 11" xfId="16917" xr:uid="{00000000-0005-0000-0000-00001A420000}"/>
    <cellStyle name="Normal 76 11 2 2" xfId="16918" xr:uid="{00000000-0005-0000-0000-00001B420000}"/>
    <cellStyle name="Normal 76 11 2 3" xfId="16919" xr:uid="{00000000-0005-0000-0000-00001C420000}"/>
    <cellStyle name="Normal 76 11 2 4" xfId="16920" xr:uid="{00000000-0005-0000-0000-00001D420000}"/>
    <cellStyle name="Normal 76 11 2 5" xfId="16921" xr:uid="{00000000-0005-0000-0000-00001E420000}"/>
    <cellStyle name="Normal 76 11 2 6" xfId="16922" xr:uid="{00000000-0005-0000-0000-00001F420000}"/>
    <cellStyle name="Normal 76 11 2 7" xfId="16923" xr:uid="{00000000-0005-0000-0000-000020420000}"/>
    <cellStyle name="Normal 76 11 2 8" xfId="16924" xr:uid="{00000000-0005-0000-0000-000021420000}"/>
    <cellStyle name="Normal 76 11 2 9" xfId="16925" xr:uid="{00000000-0005-0000-0000-000022420000}"/>
    <cellStyle name="Normal 76 11 3" xfId="16926" xr:uid="{00000000-0005-0000-0000-000023420000}"/>
    <cellStyle name="Normal 76 11 4" xfId="16927" xr:uid="{00000000-0005-0000-0000-000024420000}"/>
    <cellStyle name="Normal 76 11 5" xfId="16928" xr:uid="{00000000-0005-0000-0000-000025420000}"/>
    <cellStyle name="Normal 76 11 6" xfId="16929" xr:uid="{00000000-0005-0000-0000-000026420000}"/>
    <cellStyle name="Normal 76 11 7" xfId="16930" xr:uid="{00000000-0005-0000-0000-000027420000}"/>
    <cellStyle name="Normal 76 11 8" xfId="16931" xr:uid="{00000000-0005-0000-0000-000028420000}"/>
    <cellStyle name="Normal 76 11 9" xfId="16932" xr:uid="{00000000-0005-0000-0000-000029420000}"/>
    <cellStyle name="Normal 76 12" xfId="16933" xr:uid="{00000000-0005-0000-0000-00002A420000}"/>
    <cellStyle name="Normal 76 12 10" xfId="16934" xr:uid="{00000000-0005-0000-0000-00002B420000}"/>
    <cellStyle name="Normal 76 12 11" xfId="16935" xr:uid="{00000000-0005-0000-0000-00002C420000}"/>
    <cellStyle name="Normal 76 12 12" xfId="16936" xr:uid="{00000000-0005-0000-0000-00002D420000}"/>
    <cellStyle name="Normal 76 12 13" xfId="16937" xr:uid="{00000000-0005-0000-0000-00002E420000}"/>
    <cellStyle name="Normal 76 12 2" xfId="16938" xr:uid="{00000000-0005-0000-0000-00002F420000}"/>
    <cellStyle name="Normal 76 12 2 10" xfId="16939" xr:uid="{00000000-0005-0000-0000-000030420000}"/>
    <cellStyle name="Normal 76 12 2 11" xfId="16940" xr:uid="{00000000-0005-0000-0000-000031420000}"/>
    <cellStyle name="Normal 76 12 2 2" xfId="16941" xr:uid="{00000000-0005-0000-0000-000032420000}"/>
    <cellStyle name="Normal 76 12 2 3" xfId="16942" xr:uid="{00000000-0005-0000-0000-000033420000}"/>
    <cellStyle name="Normal 76 12 2 4" xfId="16943" xr:uid="{00000000-0005-0000-0000-000034420000}"/>
    <cellStyle name="Normal 76 12 2 5" xfId="16944" xr:uid="{00000000-0005-0000-0000-000035420000}"/>
    <cellStyle name="Normal 76 12 2 6" xfId="16945" xr:uid="{00000000-0005-0000-0000-000036420000}"/>
    <cellStyle name="Normal 76 12 2 7" xfId="16946" xr:uid="{00000000-0005-0000-0000-000037420000}"/>
    <cellStyle name="Normal 76 12 2 8" xfId="16947" xr:uid="{00000000-0005-0000-0000-000038420000}"/>
    <cellStyle name="Normal 76 12 2 9" xfId="16948" xr:uid="{00000000-0005-0000-0000-000039420000}"/>
    <cellStyle name="Normal 76 12 3" xfId="16949" xr:uid="{00000000-0005-0000-0000-00003A420000}"/>
    <cellStyle name="Normal 76 12 4" xfId="16950" xr:uid="{00000000-0005-0000-0000-00003B420000}"/>
    <cellStyle name="Normal 76 12 5" xfId="16951" xr:uid="{00000000-0005-0000-0000-00003C420000}"/>
    <cellStyle name="Normal 76 12 6" xfId="16952" xr:uid="{00000000-0005-0000-0000-00003D420000}"/>
    <cellStyle name="Normal 76 12 7" xfId="16953" xr:uid="{00000000-0005-0000-0000-00003E420000}"/>
    <cellStyle name="Normal 76 12 8" xfId="16954" xr:uid="{00000000-0005-0000-0000-00003F420000}"/>
    <cellStyle name="Normal 76 12 9" xfId="16955" xr:uid="{00000000-0005-0000-0000-000040420000}"/>
    <cellStyle name="Normal 76 13" xfId="16956" xr:uid="{00000000-0005-0000-0000-000041420000}"/>
    <cellStyle name="Normal 76 13 10" xfId="16957" xr:uid="{00000000-0005-0000-0000-000042420000}"/>
    <cellStyle name="Normal 76 13 11" xfId="16958" xr:uid="{00000000-0005-0000-0000-000043420000}"/>
    <cellStyle name="Normal 76 13 12" xfId="16959" xr:uid="{00000000-0005-0000-0000-000044420000}"/>
    <cellStyle name="Normal 76 13 13" xfId="16960" xr:uid="{00000000-0005-0000-0000-000045420000}"/>
    <cellStyle name="Normal 76 13 2" xfId="16961" xr:uid="{00000000-0005-0000-0000-000046420000}"/>
    <cellStyle name="Normal 76 13 2 10" xfId="16962" xr:uid="{00000000-0005-0000-0000-000047420000}"/>
    <cellStyle name="Normal 76 13 2 11" xfId="16963" xr:uid="{00000000-0005-0000-0000-000048420000}"/>
    <cellStyle name="Normal 76 13 2 2" xfId="16964" xr:uid="{00000000-0005-0000-0000-000049420000}"/>
    <cellStyle name="Normal 76 13 2 3" xfId="16965" xr:uid="{00000000-0005-0000-0000-00004A420000}"/>
    <cellStyle name="Normal 76 13 2 4" xfId="16966" xr:uid="{00000000-0005-0000-0000-00004B420000}"/>
    <cellStyle name="Normal 76 13 2 5" xfId="16967" xr:uid="{00000000-0005-0000-0000-00004C420000}"/>
    <cellStyle name="Normal 76 13 2 6" xfId="16968" xr:uid="{00000000-0005-0000-0000-00004D420000}"/>
    <cellStyle name="Normal 76 13 2 7" xfId="16969" xr:uid="{00000000-0005-0000-0000-00004E420000}"/>
    <cellStyle name="Normal 76 13 2 8" xfId="16970" xr:uid="{00000000-0005-0000-0000-00004F420000}"/>
    <cellStyle name="Normal 76 13 2 9" xfId="16971" xr:uid="{00000000-0005-0000-0000-000050420000}"/>
    <cellStyle name="Normal 76 13 3" xfId="16972" xr:uid="{00000000-0005-0000-0000-000051420000}"/>
    <cellStyle name="Normal 76 13 4" xfId="16973" xr:uid="{00000000-0005-0000-0000-000052420000}"/>
    <cellStyle name="Normal 76 13 5" xfId="16974" xr:uid="{00000000-0005-0000-0000-000053420000}"/>
    <cellStyle name="Normal 76 13 6" xfId="16975" xr:uid="{00000000-0005-0000-0000-000054420000}"/>
    <cellStyle name="Normal 76 13 7" xfId="16976" xr:uid="{00000000-0005-0000-0000-000055420000}"/>
    <cellStyle name="Normal 76 13 8" xfId="16977" xr:uid="{00000000-0005-0000-0000-000056420000}"/>
    <cellStyle name="Normal 76 13 9" xfId="16978" xr:uid="{00000000-0005-0000-0000-000057420000}"/>
    <cellStyle name="Normal 76 14" xfId="16979" xr:uid="{00000000-0005-0000-0000-000058420000}"/>
    <cellStyle name="Normal 76 14 10" xfId="16980" xr:uid="{00000000-0005-0000-0000-000059420000}"/>
    <cellStyle name="Normal 76 14 11" xfId="16981" xr:uid="{00000000-0005-0000-0000-00005A420000}"/>
    <cellStyle name="Normal 76 14 2" xfId="16982" xr:uid="{00000000-0005-0000-0000-00005B420000}"/>
    <cellStyle name="Normal 76 14 3" xfId="16983" xr:uid="{00000000-0005-0000-0000-00005C420000}"/>
    <cellStyle name="Normal 76 14 4" xfId="16984" xr:uid="{00000000-0005-0000-0000-00005D420000}"/>
    <cellStyle name="Normal 76 14 5" xfId="16985" xr:uid="{00000000-0005-0000-0000-00005E420000}"/>
    <cellStyle name="Normal 76 14 6" xfId="16986" xr:uid="{00000000-0005-0000-0000-00005F420000}"/>
    <cellStyle name="Normal 76 14 7" xfId="16987" xr:uid="{00000000-0005-0000-0000-000060420000}"/>
    <cellStyle name="Normal 76 14 8" xfId="16988" xr:uid="{00000000-0005-0000-0000-000061420000}"/>
    <cellStyle name="Normal 76 14 9" xfId="16989" xr:uid="{00000000-0005-0000-0000-000062420000}"/>
    <cellStyle name="Normal 76 15" xfId="16990" xr:uid="{00000000-0005-0000-0000-000063420000}"/>
    <cellStyle name="Normal 76 16" xfId="16991" xr:uid="{00000000-0005-0000-0000-000064420000}"/>
    <cellStyle name="Normal 76 17" xfId="16992" xr:uid="{00000000-0005-0000-0000-000065420000}"/>
    <cellStyle name="Normal 76 18" xfId="16993" xr:uid="{00000000-0005-0000-0000-000066420000}"/>
    <cellStyle name="Normal 76 19" xfId="16994" xr:uid="{00000000-0005-0000-0000-000067420000}"/>
    <cellStyle name="Normal 76 2" xfId="16995" xr:uid="{00000000-0005-0000-0000-000068420000}"/>
    <cellStyle name="Normal 76 2 10" xfId="16996" xr:uid="{00000000-0005-0000-0000-000069420000}"/>
    <cellStyle name="Normal 76 2 11" xfId="16997" xr:uid="{00000000-0005-0000-0000-00006A420000}"/>
    <cellStyle name="Normal 76 2 12" xfId="16998" xr:uid="{00000000-0005-0000-0000-00006B420000}"/>
    <cellStyle name="Normal 76 2 13" xfId="16999" xr:uid="{00000000-0005-0000-0000-00006C420000}"/>
    <cellStyle name="Normal 76 2 2" xfId="17000" xr:uid="{00000000-0005-0000-0000-00006D420000}"/>
    <cellStyle name="Normal 76 2 2 10" xfId="17001" xr:uid="{00000000-0005-0000-0000-00006E420000}"/>
    <cellStyle name="Normal 76 2 2 11" xfId="17002" xr:uid="{00000000-0005-0000-0000-00006F420000}"/>
    <cellStyle name="Normal 76 2 2 2" xfId="17003" xr:uid="{00000000-0005-0000-0000-000070420000}"/>
    <cellStyle name="Normal 76 2 2 3" xfId="17004" xr:uid="{00000000-0005-0000-0000-000071420000}"/>
    <cellStyle name="Normal 76 2 2 4" xfId="17005" xr:uid="{00000000-0005-0000-0000-000072420000}"/>
    <cellStyle name="Normal 76 2 2 5" xfId="17006" xr:uid="{00000000-0005-0000-0000-000073420000}"/>
    <cellStyle name="Normal 76 2 2 6" xfId="17007" xr:uid="{00000000-0005-0000-0000-000074420000}"/>
    <cellStyle name="Normal 76 2 2 7" xfId="17008" xr:uid="{00000000-0005-0000-0000-000075420000}"/>
    <cellStyle name="Normal 76 2 2 8" xfId="17009" xr:uid="{00000000-0005-0000-0000-000076420000}"/>
    <cellStyle name="Normal 76 2 2 9" xfId="17010" xr:uid="{00000000-0005-0000-0000-000077420000}"/>
    <cellStyle name="Normal 76 2 3" xfId="17011" xr:uid="{00000000-0005-0000-0000-000078420000}"/>
    <cellStyle name="Normal 76 2 4" xfId="17012" xr:uid="{00000000-0005-0000-0000-000079420000}"/>
    <cellStyle name="Normal 76 2 5" xfId="17013" xr:uid="{00000000-0005-0000-0000-00007A420000}"/>
    <cellStyle name="Normal 76 2 6" xfId="17014" xr:uid="{00000000-0005-0000-0000-00007B420000}"/>
    <cellStyle name="Normal 76 2 7" xfId="17015" xr:uid="{00000000-0005-0000-0000-00007C420000}"/>
    <cellStyle name="Normal 76 2 8" xfId="17016" xr:uid="{00000000-0005-0000-0000-00007D420000}"/>
    <cellStyle name="Normal 76 2 9" xfId="17017" xr:uid="{00000000-0005-0000-0000-00007E420000}"/>
    <cellStyle name="Normal 76 20" xfId="17018" xr:uid="{00000000-0005-0000-0000-00007F420000}"/>
    <cellStyle name="Normal 76 21" xfId="17019" xr:uid="{00000000-0005-0000-0000-000080420000}"/>
    <cellStyle name="Normal 76 22" xfId="17020" xr:uid="{00000000-0005-0000-0000-000081420000}"/>
    <cellStyle name="Normal 76 23" xfId="17021" xr:uid="{00000000-0005-0000-0000-000082420000}"/>
    <cellStyle name="Normal 76 24" xfId="17022" xr:uid="{00000000-0005-0000-0000-000083420000}"/>
    <cellStyle name="Normal 76 25" xfId="17023" xr:uid="{00000000-0005-0000-0000-000084420000}"/>
    <cellStyle name="Normal 76 3" xfId="17024" xr:uid="{00000000-0005-0000-0000-000085420000}"/>
    <cellStyle name="Normal 76 3 10" xfId="17025" xr:uid="{00000000-0005-0000-0000-000086420000}"/>
    <cellStyle name="Normal 76 3 11" xfId="17026" xr:uid="{00000000-0005-0000-0000-000087420000}"/>
    <cellStyle name="Normal 76 3 12" xfId="17027" xr:uid="{00000000-0005-0000-0000-000088420000}"/>
    <cellStyle name="Normal 76 3 13" xfId="17028" xr:uid="{00000000-0005-0000-0000-000089420000}"/>
    <cellStyle name="Normal 76 3 2" xfId="17029" xr:uid="{00000000-0005-0000-0000-00008A420000}"/>
    <cellStyle name="Normal 76 3 2 10" xfId="17030" xr:uid="{00000000-0005-0000-0000-00008B420000}"/>
    <cellStyle name="Normal 76 3 2 11" xfId="17031" xr:uid="{00000000-0005-0000-0000-00008C420000}"/>
    <cellStyle name="Normal 76 3 2 2" xfId="17032" xr:uid="{00000000-0005-0000-0000-00008D420000}"/>
    <cellStyle name="Normal 76 3 2 3" xfId="17033" xr:uid="{00000000-0005-0000-0000-00008E420000}"/>
    <cellStyle name="Normal 76 3 2 4" xfId="17034" xr:uid="{00000000-0005-0000-0000-00008F420000}"/>
    <cellStyle name="Normal 76 3 2 5" xfId="17035" xr:uid="{00000000-0005-0000-0000-000090420000}"/>
    <cellStyle name="Normal 76 3 2 6" xfId="17036" xr:uid="{00000000-0005-0000-0000-000091420000}"/>
    <cellStyle name="Normal 76 3 2 7" xfId="17037" xr:uid="{00000000-0005-0000-0000-000092420000}"/>
    <cellStyle name="Normal 76 3 2 8" xfId="17038" xr:uid="{00000000-0005-0000-0000-000093420000}"/>
    <cellStyle name="Normal 76 3 2 9" xfId="17039" xr:uid="{00000000-0005-0000-0000-000094420000}"/>
    <cellStyle name="Normal 76 3 3" xfId="17040" xr:uid="{00000000-0005-0000-0000-000095420000}"/>
    <cellStyle name="Normal 76 3 4" xfId="17041" xr:uid="{00000000-0005-0000-0000-000096420000}"/>
    <cellStyle name="Normal 76 3 5" xfId="17042" xr:uid="{00000000-0005-0000-0000-000097420000}"/>
    <cellStyle name="Normal 76 3 6" xfId="17043" xr:uid="{00000000-0005-0000-0000-000098420000}"/>
    <cellStyle name="Normal 76 3 7" xfId="17044" xr:uid="{00000000-0005-0000-0000-000099420000}"/>
    <cellStyle name="Normal 76 3 8" xfId="17045" xr:uid="{00000000-0005-0000-0000-00009A420000}"/>
    <cellStyle name="Normal 76 3 9" xfId="17046" xr:uid="{00000000-0005-0000-0000-00009B420000}"/>
    <cellStyle name="Normal 76 4" xfId="17047" xr:uid="{00000000-0005-0000-0000-00009C420000}"/>
    <cellStyle name="Normal 76 4 10" xfId="17048" xr:uid="{00000000-0005-0000-0000-00009D420000}"/>
    <cellStyle name="Normal 76 4 11" xfId="17049" xr:uid="{00000000-0005-0000-0000-00009E420000}"/>
    <cellStyle name="Normal 76 4 12" xfId="17050" xr:uid="{00000000-0005-0000-0000-00009F420000}"/>
    <cellStyle name="Normal 76 4 13" xfId="17051" xr:uid="{00000000-0005-0000-0000-0000A0420000}"/>
    <cellStyle name="Normal 76 4 2" xfId="17052" xr:uid="{00000000-0005-0000-0000-0000A1420000}"/>
    <cellStyle name="Normal 76 4 2 10" xfId="17053" xr:uid="{00000000-0005-0000-0000-0000A2420000}"/>
    <cellStyle name="Normal 76 4 2 11" xfId="17054" xr:uid="{00000000-0005-0000-0000-0000A3420000}"/>
    <cellStyle name="Normal 76 4 2 2" xfId="17055" xr:uid="{00000000-0005-0000-0000-0000A4420000}"/>
    <cellStyle name="Normal 76 4 2 3" xfId="17056" xr:uid="{00000000-0005-0000-0000-0000A5420000}"/>
    <cellStyle name="Normal 76 4 2 4" xfId="17057" xr:uid="{00000000-0005-0000-0000-0000A6420000}"/>
    <cellStyle name="Normal 76 4 2 5" xfId="17058" xr:uid="{00000000-0005-0000-0000-0000A7420000}"/>
    <cellStyle name="Normal 76 4 2 6" xfId="17059" xr:uid="{00000000-0005-0000-0000-0000A8420000}"/>
    <cellStyle name="Normal 76 4 2 7" xfId="17060" xr:uid="{00000000-0005-0000-0000-0000A9420000}"/>
    <cellStyle name="Normal 76 4 2 8" xfId="17061" xr:uid="{00000000-0005-0000-0000-0000AA420000}"/>
    <cellStyle name="Normal 76 4 2 9" xfId="17062" xr:uid="{00000000-0005-0000-0000-0000AB420000}"/>
    <cellStyle name="Normal 76 4 3" xfId="17063" xr:uid="{00000000-0005-0000-0000-0000AC420000}"/>
    <cellStyle name="Normal 76 4 4" xfId="17064" xr:uid="{00000000-0005-0000-0000-0000AD420000}"/>
    <cellStyle name="Normal 76 4 5" xfId="17065" xr:uid="{00000000-0005-0000-0000-0000AE420000}"/>
    <cellStyle name="Normal 76 4 6" xfId="17066" xr:uid="{00000000-0005-0000-0000-0000AF420000}"/>
    <cellStyle name="Normal 76 4 7" xfId="17067" xr:uid="{00000000-0005-0000-0000-0000B0420000}"/>
    <cellStyle name="Normal 76 4 8" xfId="17068" xr:uid="{00000000-0005-0000-0000-0000B1420000}"/>
    <cellStyle name="Normal 76 4 9" xfId="17069" xr:uid="{00000000-0005-0000-0000-0000B2420000}"/>
    <cellStyle name="Normal 76 5" xfId="17070" xr:uid="{00000000-0005-0000-0000-0000B3420000}"/>
    <cellStyle name="Normal 76 5 10" xfId="17071" xr:uid="{00000000-0005-0000-0000-0000B4420000}"/>
    <cellStyle name="Normal 76 5 11" xfId="17072" xr:uid="{00000000-0005-0000-0000-0000B5420000}"/>
    <cellStyle name="Normal 76 5 12" xfId="17073" xr:uid="{00000000-0005-0000-0000-0000B6420000}"/>
    <cellStyle name="Normal 76 5 13" xfId="17074" xr:uid="{00000000-0005-0000-0000-0000B7420000}"/>
    <cellStyle name="Normal 76 5 2" xfId="17075" xr:uid="{00000000-0005-0000-0000-0000B8420000}"/>
    <cellStyle name="Normal 76 5 2 10" xfId="17076" xr:uid="{00000000-0005-0000-0000-0000B9420000}"/>
    <cellStyle name="Normal 76 5 2 11" xfId="17077" xr:uid="{00000000-0005-0000-0000-0000BA420000}"/>
    <cellStyle name="Normal 76 5 2 2" xfId="17078" xr:uid="{00000000-0005-0000-0000-0000BB420000}"/>
    <cellStyle name="Normal 76 5 2 3" xfId="17079" xr:uid="{00000000-0005-0000-0000-0000BC420000}"/>
    <cellStyle name="Normal 76 5 2 4" xfId="17080" xr:uid="{00000000-0005-0000-0000-0000BD420000}"/>
    <cellStyle name="Normal 76 5 2 5" xfId="17081" xr:uid="{00000000-0005-0000-0000-0000BE420000}"/>
    <cellStyle name="Normal 76 5 2 6" xfId="17082" xr:uid="{00000000-0005-0000-0000-0000BF420000}"/>
    <cellStyle name="Normal 76 5 2 7" xfId="17083" xr:uid="{00000000-0005-0000-0000-0000C0420000}"/>
    <cellStyle name="Normal 76 5 2 8" xfId="17084" xr:uid="{00000000-0005-0000-0000-0000C1420000}"/>
    <cellStyle name="Normal 76 5 2 9" xfId="17085" xr:uid="{00000000-0005-0000-0000-0000C2420000}"/>
    <cellStyle name="Normal 76 5 3" xfId="17086" xr:uid="{00000000-0005-0000-0000-0000C3420000}"/>
    <cellStyle name="Normal 76 5 4" xfId="17087" xr:uid="{00000000-0005-0000-0000-0000C4420000}"/>
    <cellStyle name="Normal 76 5 5" xfId="17088" xr:uid="{00000000-0005-0000-0000-0000C5420000}"/>
    <cellStyle name="Normal 76 5 6" xfId="17089" xr:uid="{00000000-0005-0000-0000-0000C6420000}"/>
    <cellStyle name="Normal 76 5 7" xfId="17090" xr:uid="{00000000-0005-0000-0000-0000C7420000}"/>
    <cellStyle name="Normal 76 5 8" xfId="17091" xr:uid="{00000000-0005-0000-0000-0000C8420000}"/>
    <cellStyle name="Normal 76 5 9" xfId="17092" xr:uid="{00000000-0005-0000-0000-0000C9420000}"/>
    <cellStyle name="Normal 76 6" xfId="17093" xr:uid="{00000000-0005-0000-0000-0000CA420000}"/>
    <cellStyle name="Normal 76 6 10" xfId="17094" xr:uid="{00000000-0005-0000-0000-0000CB420000}"/>
    <cellStyle name="Normal 76 6 11" xfId="17095" xr:uid="{00000000-0005-0000-0000-0000CC420000}"/>
    <cellStyle name="Normal 76 6 12" xfId="17096" xr:uid="{00000000-0005-0000-0000-0000CD420000}"/>
    <cellStyle name="Normal 76 6 13" xfId="17097" xr:uid="{00000000-0005-0000-0000-0000CE420000}"/>
    <cellStyle name="Normal 76 6 2" xfId="17098" xr:uid="{00000000-0005-0000-0000-0000CF420000}"/>
    <cellStyle name="Normal 76 6 2 10" xfId="17099" xr:uid="{00000000-0005-0000-0000-0000D0420000}"/>
    <cellStyle name="Normal 76 6 2 11" xfId="17100" xr:uid="{00000000-0005-0000-0000-0000D1420000}"/>
    <cellStyle name="Normal 76 6 2 2" xfId="17101" xr:uid="{00000000-0005-0000-0000-0000D2420000}"/>
    <cellStyle name="Normal 76 6 2 3" xfId="17102" xr:uid="{00000000-0005-0000-0000-0000D3420000}"/>
    <cellStyle name="Normal 76 6 2 4" xfId="17103" xr:uid="{00000000-0005-0000-0000-0000D4420000}"/>
    <cellStyle name="Normal 76 6 2 5" xfId="17104" xr:uid="{00000000-0005-0000-0000-0000D5420000}"/>
    <cellStyle name="Normal 76 6 2 6" xfId="17105" xr:uid="{00000000-0005-0000-0000-0000D6420000}"/>
    <cellStyle name="Normal 76 6 2 7" xfId="17106" xr:uid="{00000000-0005-0000-0000-0000D7420000}"/>
    <cellStyle name="Normal 76 6 2 8" xfId="17107" xr:uid="{00000000-0005-0000-0000-0000D8420000}"/>
    <cellStyle name="Normal 76 6 2 9" xfId="17108" xr:uid="{00000000-0005-0000-0000-0000D9420000}"/>
    <cellStyle name="Normal 76 6 3" xfId="17109" xr:uid="{00000000-0005-0000-0000-0000DA420000}"/>
    <cellStyle name="Normal 76 6 4" xfId="17110" xr:uid="{00000000-0005-0000-0000-0000DB420000}"/>
    <cellStyle name="Normal 76 6 5" xfId="17111" xr:uid="{00000000-0005-0000-0000-0000DC420000}"/>
    <cellStyle name="Normal 76 6 6" xfId="17112" xr:uid="{00000000-0005-0000-0000-0000DD420000}"/>
    <cellStyle name="Normal 76 6 7" xfId="17113" xr:uid="{00000000-0005-0000-0000-0000DE420000}"/>
    <cellStyle name="Normal 76 6 8" xfId="17114" xr:uid="{00000000-0005-0000-0000-0000DF420000}"/>
    <cellStyle name="Normal 76 6 9" xfId="17115" xr:uid="{00000000-0005-0000-0000-0000E0420000}"/>
    <cellStyle name="Normal 76 7" xfId="17116" xr:uid="{00000000-0005-0000-0000-0000E1420000}"/>
    <cellStyle name="Normal 76 7 10" xfId="17117" xr:uid="{00000000-0005-0000-0000-0000E2420000}"/>
    <cellStyle name="Normal 76 7 11" xfId="17118" xr:uid="{00000000-0005-0000-0000-0000E3420000}"/>
    <cellStyle name="Normal 76 7 12" xfId="17119" xr:uid="{00000000-0005-0000-0000-0000E4420000}"/>
    <cellStyle name="Normal 76 7 13" xfId="17120" xr:uid="{00000000-0005-0000-0000-0000E5420000}"/>
    <cellStyle name="Normal 76 7 2" xfId="17121" xr:uid="{00000000-0005-0000-0000-0000E6420000}"/>
    <cellStyle name="Normal 76 7 2 10" xfId="17122" xr:uid="{00000000-0005-0000-0000-0000E7420000}"/>
    <cellStyle name="Normal 76 7 2 11" xfId="17123" xr:uid="{00000000-0005-0000-0000-0000E8420000}"/>
    <cellStyle name="Normal 76 7 2 2" xfId="17124" xr:uid="{00000000-0005-0000-0000-0000E9420000}"/>
    <cellStyle name="Normal 76 7 2 3" xfId="17125" xr:uid="{00000000-0005-0000-0000-0000EA420000}"/>
    <cellStyle name="Normal 76 7 2 4" xfId="17126" xr:uid="{00000000-0005-0000-0000-0000EB420000}"/>
    <cellStyle name="Normal 76 7 2 5" xfId="17127" xr:uid="{00000000-0005-0000-0000-0000EC420000}"/>
    <cellStyle name="Normal 76 7 2 6" xfId="17128" xr:uid="{00000000-0005-0000-0000-0000ED420000}"/>
    <cellStyle name="Normal 76 7 2 7" xfId="17129" xr:uid="{00000000-0005-0000-0000-0000EE420000}"/>
    <cellStyle name="Normal 76 7 2 8" xfId="17130" xr:uid="{00000000-0005-0000-0000-0000EF420000}"/>
    <cellStyle name="Normal 76 7 2 9" xfId="17131" xr:uid="{00000000-0005-0000-0000-0000F0420000}"/>
    <cellStyle name="Normal 76 7 3" xfId="17132" xr:uid="{00000000-0005-0000-0000-0000F1420000}"/>
    <cellStyle name="Normal 76 7 4" xfId="17133" xr:uid="{00000000-0005-0000-0000-0000F2420000}"/>
    <cellStyle name="Normal 76 7 5" xfId="17134" xr:uid="{00000000-0005-0000-0000-0000F3420000}"/>
    <cellStyle name="Normal 76 7 6" xfId="17135" xr:uid="{00000000-0005-0000-0000-0000F4420000}"/>
    <cellStyle name="Normal 76 7 7" xfId="17136" xr:uid="{00000000-0005-0000-0000-0000F5420000}"/>
    <cellStyle name="Normal 76 7 8" xfId="17137" xr:uid="{00000000-0005-0000-0000-0000F6420000}"/>
    <cellStyle name="Normal 76 7 9" xfId="17138" xr:uid="{00000000-0005-0000-0000-0000F7420000}"/>
    <cellStyle name="Normal 76 8" xfId="17139" xr:uid="{00000000-0005-0000-0000-0000F8420000}"/>
    <cellStyle name="Normal 76 8 10" xfId="17140" xr:uid="{00000000-0005-0000-0000-0000F9420000}"/>
    <cellStyle name="Normal 76 8 11" xfId="17141" xr:uid="{00000000-0005-0000-0000-0000FA420000}"/>
    <cellStyle name="Normal 76 8 12" xfId="17142" xr:uid="{00000000-0005-0000-0000-0000FB420000}"/>
    <cellStyle name="Normal 76 8 13" xfId="17143" xr:uid="{00000000-0005-0000-0000-0000FC420000}"/>
    <cellStyle name="Normal 76 8 2" xfId="17144" xr:uid="{00000000-0005-0000-0000-0000FD420000}"/>
    <cellStyle name="Normal 76 8 2 10" xfId="17145" xr:uid="{00000000-0005-0000-0000-0000FE420000}"/>
    <cellStyle name="Normal 76 8 2 11" xfId="17146" xr:uid="{00000000-0005-0000-0000-0000FF420000}"/>
    <cellStyle name="Normal 76 8 2 2" xfId="17147" xr:uid="{00000000-0005-0000-0000-000000430000}"/>
    <cellStyle name="Normal 76 8 2 3" xfId="17148" xr:uid="{00000000-0005-0000-0000-000001430000}"/>
    <cellStyle name="Normal 76 8 2 4" xfId="17149" xr:uid="{00000000-0005-0000-0000-000002430000}"/>
    <cellStyle name="Normal 76 8 2 5" xfId="17150" xr:uid="{00000000-0005-0000-0000-000003430000}"/>
    <cellStyle name="Normal 76 8 2 6" xfId="17151" xr:uid="{00000000-0005-0000-0000-000004430000}"/>
    <cellStyle name="Normal 76 8 2 7" xfId="17152" xr:uid="{00000000-0005-0000-0000-000005430000}"/>
    <cellStyle name="Normal 76 8 2 8" xfId="17153" xr:uid="{00000000-0005-0000-0000-000006430000}"/>
    <cellStyle name="Normal 76 8 2 9" xfId="17154" xr:uid="{00000000-0005-0000-0000-000007430000}"/>
    <cellStyle name="Normal 76 8 3" xfId="17155" xr:uid="{00000000-0005-0000-0000-000008430000}"/>
    <cellStyle name="Normal 76 8 4" xfId="17156" xr:uid="{00000000-0005-0000-0000-000009430000}"/>
    <cellStyle name="Normal 76 8 5" xfId="17157" xr:uid="{00000000-0005-0000-0000-00000A430000}"/>
    <cellStyle name="Normal 76 8 6" xfId="17158" xr:uid="{00000000-0005-0000-0000-00000B430000}"/>
    <cellStyle name="Normal 76 8 7" xfId="17159" xr:uid="{00000000-0005-0000-0000-00000C430000}"/>
    <cellStyle name="Normal 76 8 8" xfId="17160" xr:uid="{00000000-0005-0000-0000-00000D430000}"/>
    <cellStyle name="Normal 76 8 9" xfId="17161" xr:uid="{00000000-0005-0000-0000-00000E430000}"/>
    <cellStyle name="Normal 76 9" xfId="17162" xr:uid="{00000000-0005-0000-0000-00000F430000}"/>
    <cellStyle name="Normal 76 9 10" xfId="17163" xr:uid="{00000000-0005-0000-0000-000010430000}"/>
    <cellStyle name="Normal 76 9 11" xfId="17164" xr:uid="{00000000-0005-0000-0000-000011430000}"/>
    <cellStyle name="Normal 76 9 12" xfId="17165" xr:uid="{00000000-0005-0000-0000-000012430000}"/>
    <cellStyle name="Normal 76 9 13" xfId="17166" xr:uid="{00000000-0005-0000-0000-000013430000}"/>
    <cellStyle name="Normal 76 9 2" xfId="17167" xr:uid="{00000000-0005-0000-0000-000014430000}"/>
    <cellStyle name="Normal 76 9 2 10" xfId="17168" xr:uid="{00000000-0005-0000-0000-000015430000}"/>
    <cellStyle name="Normal 76 9 2 11" xfId="17169" xr:uid="{00000000-0005-0000-0000-000016430000}"/>
    <cellStyle name="Normal 76 9 2 2" xfId="17170" xr:uid="{00000000-0005-0000-0000-000017430000}"/>
    <cellStyle name="Normal 76 9 2 3" xfId="17171" xr:uid="{00000000-0005-0000-0000-000018430000}"/>
    <cellStyle name="Normal 76 9 2 4" xfId="17172" xr:uid="{00000000-0005-0000-0000-000019430000}"/>
    <cellStyle name="Normal 76 9 2 5" xfId="17173" xr:uid="{00000000-0005-0000-0000-00001A430000}"/>
    <cellStyle name="Normal 76 9 2 6" xfId="17174" xr:uid="{00000000-0005-0000-0000-00001B430000}"/>
    <cellStyle name="Normal 76 9 2 7" xfId="17175" xr:uid="{00000000-0005-0000-0000-00001C430000}"/>
    <cellStyle name="Normal 76 9 2 8" xfId="17176" xr:uid="{00000000-0005-0000-0000-00001D430000}"/>
    <cellStyle name="Normal 76 9 2 9" xfId="17177" xr:uid="{00000000-0005-0000-0000-00001E430000}"/>
    <cellStyle name="Normal 76 9 3" xfId="17178" xr:uid="{00000000-0005-0000-0000-00001F430000}"/>
    <cellStyle name="Normal 76 9 4" xfId="17179" xr:uid="{00000000-0005-0000-0000-000020430000}"/>
    <cellStyle name="Normal 76 9 5" xfId="17180" xr:uid="{00000000-0005-0000-0000-000021430000}"/>
    <cellStyle name="Normal 76 9 6" xfId="17181" xr:uid="{00000000-0005-0000-0000-000022430000}"/>
    <cellStyle name="Normal 76 9 7" xfId="17182" xr:uid="{00000000-0005-0000-0000-000023430000}"/>
    <cellStyle name="Normal 76 9 8" xfId="17183" xr:uid="{00000000-0005-0000-0000-000024430000}"/>
    <cellStyle name="Normal 76 9 9" xfId="17184" xr:uid="{00000000-0005-0000-0000-000025430000}"/>
    <cellStyle name="Normal 77" xfId="17185" xr:uid="{00000000-0005-0000-0000-000026430000}"/>
    <cellStyle name="Normal 77 10" xfId="17186" xr:uid="{00000000-0005-0000-0000-000027430000}"/>
    <cellStyle name="Normal 77 10 10" xfId="17187" xr:uid="{00000000-0005-0000-0000-000028430000}"/>
    <cellStyle name="Normal 77 10 11" xfId="17188" xr:uid="{00000000-0005-0000-0000-000029430000}"/>
    <cellStyle name="Normal 77 10 12" xfId="17189" xr:uid="{00000000-0005-0000-0000-00002A430000}"/>
    <cellStyle name="Normal 77 10 13" xfId="17190" xr:uid="{00000000-0005-0000-0000-00002B430000}"/>
    <cellStyle name="Normal 77 10 2" xfId="17191" xr:uid="{00000000-0005-0000-0000-00002C430000}"/>
    <cellStyle name="Normal 77 10 2 10" xfId="17192" xr:uid="{00000000-0005-0000-0000-00002D430000}"/>
    <cellStyle name="Normal 77 10 2 11" xfId="17193" xr:uid="{00000000-0005-0000-0000-00002E430000}"/>
    <cellStyle name="Normal 77 10 2 2" xfId="17194" xr:uid="{00000000-0005-0000-0000-00002F430000}"/>
    <cellStyle name="Normal 77 10 2 3" xfId="17195" xr:uid="{00000000-0005-0000-0000-000030430000}"/>
    <cellStyle name="Normal 77 10 2 4" xfId="17196" xr:uid="{00000000-0005-0000-0000-000031430000}"/>
    <cellStyle name="Normal 77 10 2 5" xfId="17197" xr:uid="{00000000-0005-0000-0000-000032430000}"/>
    <cellStyle name="Normal 77 10 2 6" xfId="17198" xr:uid="{00000000-0005-0000-0000-000033430000}"/>
    <cellStyle name="Normal 77 10 2 7" xfId="17199" xr:uid="{00000000-0005-0000-0000-000034430000}"/>
    <cellStyle name="Normal 77 10 2 8" xfId="17200" xr:uid="{00000000-0005-0000-0000-000035430000}"/>
    <cellStyle name="Normal 77 10 2 9" xfId="17201" xr:uid="{00000000-0005-0000-0000-000036430000}"/>
    <cellStyle name="Normal 77 10 3" xfId="17202" xr:uid="{00000000-0005-0000-0000-000037430000}"/>
    <cellStyle name="Normal 77 10 4" xfId="17203" xr:uid="{00000000-0005-0000-0000-000038430000}"/>
    <cellStyle name="Normal 77 10 5" xfId="17204" xr:uid="{00000000-0005-0000-0000-000039430000}"/>
    <cellStyle name="Normal 77 10 6" xfId="17205" xr:uid="{00000000-0005-0000-0000-00003A430000}"/>
    <cellStyle name="Normal 77 10 7" xfId="17206" xr:uid="{00000000-0005-0000-0000-00003B430000}"/>
    <cellStyle name="Normal 77 10 8" xfId="17207" xr:uid="{00000000-0005-0000-0000-00003C430000}"/>
    <cellStyle name="Normal 77 10 9" xfId="17208" xr:uid="{00000000-0005-0000-0000-00003D430000}"/>
    <cellStyle name="Normal 77 11" xfId="17209" xr:uid="{00000000-0005-0000-0000-00003E430000}"/>
    <cellStyle name="Normal 77 11 10" xfId="17210" xr:uid="{00000000-0005-0000-0000-00003F430000}"/>
    <cellStyle name="Normal 77 11 11" xfId="17211" xr:uid="{00000000-0005-0000-0000-000040430000}"/>
    <cellStyle name="Normal 77 11 12" xfId="17212" xr:uid="{00000000-0005-0000-0000-000041430000}"/>
    <cellStyle name="Normal 77 11 13" xfId="17213" xr:uid="{00000000-0005-0000-0000-000042430000}"/>
    <cellStyle name="Normal 77 11 2" xfId="17214" xr:uid="{00000000-0005-0000-0000-000043430000}"/>
    <cellStyle name="Normal 77 11 2 10" xfId="17215" xr:uid="{00000000-0005-0000-0000-000044430000}"/>
    <cellStyle name="Normal 77 11 2 11" xfId="17216" xr:uid="{00000000-0005-0000-0000-000045430000}"/>
    <cellStyle name="Normal 77 11 2 2" xfId="17217" xr:uid="{00000000-0005-0000-0000-000046430000}"/>
    <cellStyle name="Normal 77 11 2 3" xfId="17218" xr:uid="{00000000-0005-0000-0000-000047430000}"/>
    <cellStyle name="Normal 77 11 2 4" xfId="17219" xr:uid="{00000000-0005-0000-0000-000048430000}"/>
    <cellStyle name="Normal 77 11 2 5" xfId="17220" xr:uid="{00000000-0005-0000-0000-000049430000}"/>
    <cellStyle name="Normal 77 11 2 6" xfId="17221" xr:uid="{00000000-0005-0000-0000-00004A430000}"/>
    <cellStyle name="Normal 77 11 2 7" xfId="17222" xr:uid="{00000000-0005-0000-0000-00004B430000}"/>
    <cellStyle name="Normal 77 11 2 8" xfId="17223" xr:uid="{00000000-0005-0000-0000-00004C430000}"/>
    <cellStyle name="Normal 77 11 2 9" xfId="17224" xr:uid="{00000000-0005-0000-0000-00004D430000}"/>
    <cellStyle name="Normal 77 11 3" xfId="17225" xr:uid="{00000000-0005-0000-0000-00004E430000}"/>
    <cellStyle name="Normal 77 11 4" xfId="17226" xr:uid="{00000000-0005-0000-0000-00004F430000}"/>
    <cellStyle name="Normal 77 11 5" xfId="17227" xr:uid="{00000000-0005-0000-0000-000050430000}"/>
    <cellStyle name="Normal 77 11 6" xfId="17228" xr:uid="{00000000-0005-0000-0000-000051430000}"/>
    <cellStyle name="Normal 77 11 7" xfId="17229" xr:uid="{00000000-0005-0000-0000-000052430000}"/>
    <cellStyle name="Normal 77 11 8" xfId="17230" xr:uid="{00000000-0005-0000-0000-000053430000}"/>
    <cellStyle name="Normal 77 11 9" xfId="17231" xr:uid="{00000000-0005-0000-0000-000054430000}"/>
    <cellStyle name="Normal 77 12" xfId="17232" xr:uid="{00000000-0005-0000-0000-000055430000}"/>
    <cellStyle name="Normal 77 12 10" xfId="17233" xr:uid="{00000000-0005-0000-0000-000056430000}"/>
    <cellStyle name="Normal 77 12 11" xfId="17234" xr:uid="{00000000-0005-0000-0000-000057430000}"/>
    <cellStyle name="Normal 77 12 12" xfId="17235" xr:uid="{00000000-0005-0000-0000-000058430000}"/>
    <cellStyle name="Normal 77 12 13" xfId="17236" xr:uid="{00000000-0005-0000-0000-000059430000}"/>
    <cellStyle name="Normal 77 12 2" xfId="17237" xr:uid="{00000000-0005-0000-0000-00005A430000}"/>
    <cellStyle name="Normal 77 12 2 10" xfId="17238" xr:uid="{00000000-0005-0000-0000-00005B430000}"/>
    <cellStyle name="Normal 77 12 2 11" xfId="17239" xr:uid="{00000000-0005-0000-0000-00005C430000}"/>
    <cellStyle name="Normal 77 12 2 2" xfId="17240" xr:uid="{00000000-0005-0000-0000-00005D430000}"/>
    <cellStyle name="Normal 77 12 2 3" xfId="17241" xr:uid="{00000000-0005-0000-0000-00005E430000}"/>
    <cellStyle name="Normal 77 12 2 4" xfId="17242" xr:uid="{00000000-0005-0000-0000-00005F430000}"/>
    <cellStyle name="Normal 77 12 2 5" xfId="17243" xr:uid="{00000000-0005-0000-0000-000060430000}"/>
    <cellStyle name="Normal 77 12 2 6" xfId="17244" xr:uid="{00000000-0005-0000-0000-000061430000}"/>
    <cellStyle name="Normal 77 12 2 7" xfId="17245" xr:uid="{00000000-0005-0000-0000-000062430000}"/>
    <cellStyle name="Normal 77 12 2 8" xfId="17246" xr:uid="{00000000-0005-0000-0000-000063430000}"/>
    <cellStyle name="Normal 77 12 2 9" xfId="17247" xr:uid="{00000000-0005-0000-0000-000064430000}"/>
    <cellStyle name="Normal 77 12 3" xfId="17248" xr:uid="{00000000-0005-0000-0000-000065430000}"/>
    <cellStyle name="Normal 77 12 4" xfId="17249" xr:uid="{00000000-0005-0000-0000-000066430000}"/>
    <cellStyle name="Normal 77 12 5" xfId="17250" xr:uid="{00000000-0005-0000-0000-000067430000}"/>
    <cellStyle name="Normal 77 12 6" xfId="17251" xr:uid="{00000000-0005-0000-0000-000068430000}"/>
    <cellStyle name="Normal 77 12 7" xfId="17252" xr:uid="{00000000-0005-0000-0000-000069430000}"/>
    <cellStyle name="Normal 77 12 8" xfId="17253" xr:uid="{00000000-0005-0000-0000-00006A430000}"/>
    <cellStyle name="Normal 77 12 9" xfId="17254" xr:uid="{00000000-0005-0000-0000-00006B430000}"/>
    <cellStyle name="Normal 77 13" xfId="17255" xr:uid="{00000000-0005-0000-0000-00006C430000}"/>
    <cellStyle name="Normal 77 13 10" xfId="17256" xr:uid="{00000000-0005-0000-0000-00006D430000}"/>
    <cellStyle name="Normal 77 13 11" xfId="17257" xr:uid="{00000000-0005-0000-0000-00006E430000}"/>
    <cellStyle name="Normal 77 13 12" xfId="17258" xr:uid="{00000000-0005-0000-0000-00006F430000}"/>
    <cellStyle name="Normal 77 13 13" xfId="17259" xr:uid="{00000000-0005-0000-0000-000070430000}"/>
    <cellStyle name="Normal 77 13 2" xfId="17260" xr:uid="{00000000-0005-0000-0000-000071430000}"/>
    <cellStyle name="Normal 77 13 2 10" xfId="17261" xr:uid="{00000000-0005-0000-0000-000072430000}"/>
    <cellStyle name="Normal 77 13 2 11" xfId="17262" xr:uid="{00000000-0005-0000-0000-000073430000}"/>
    <cellStyle name="Normal 77 13 2 2" xfId="17263" xr:uid="{00000000-0005-0000-0000-000074430000}"/>
    <cellStyle name="Normal 77 13 2 3" xfId="17264" xr:uid="{00000000-0005-0000-0000-000075430000}"/>
    <cellStyle name="Normal 77 13 2 4" xfId="17265" xr:uid="{00000000-0005-0000-0000-000076430000}"/>
    <cellStyle name="Normal 77 13 2 5" xfId="17266" xr:uid="{00000000-0005-0000-0000-000077430000}"/>
    <cellStyle name="Normal 77 13 2 6" xfId="17267" xr:uid="{00000000-0005-0000-0000-000078430000}"/>
    <cellStyle name="Normal 77 13 2 7" xfId="17268" xr:uid="{00000000-0005-0000-0000-000079430000}"/>
    <cellStyle name="Normal 77 13 2 8" xfId="17269" xr:uid="{00000000-0005-0000-0000-00007A430000}"/>
    <cellStyle name="Normal 77 13 2 9" xfId="17270" xr:uid="{00000000-0005-0000-0000-00007B430000}"/>
    <cellStyle name="Normal 77 13 3" xfId="17271" xr:uid="{00000000-0005-0000-0000-00007C430000}"/>
    <cellStyle name="Normal 77 13 4" xfId="17272" xr:uid="{00000000-0005-0000-0000-00007D430000}"/>
    <cellStyle name="Normal 77 13 5" xfId="17273" xr:uid="{00000000-0005-0000-0000-00007E430000}"/>
    <cellStyle name="Normal 77 13 6" xfId="17274" xr:uid="{00000000-0005-0000-0000-00007F430000}"/>
    <cellStyle name="Normal 77 13 7" xfId="17275" xr:uid="{00000000-0005-0000-0000-000080430000}"/>
    <cellStyle name="Normal 77 13 8" xfId="17276" xr:uid="{00000000-0005-0000-0000-000081430000}"/>
    <cellStyle name="Normal 77 13 9" xfId="17277" xr:uid="{00000000-0005-0000-0000-000082430000}"/>
    <cellStyle name="Normal 77 14" xfId="17278" xr:uid="{00000000-0005-0000-0000-000083430000}"/>
    <cellStyle name="Normal 77 14 10" xfId="17279" xr:uid="{00000000-0005-0000-0000-000084430000}"/>
    <cellStyle name="Normal 77 14 11" xfId="17280" xr:uid="{00000000-0005-0000-0000-000085430000}"/>
    <cellStyle name="Normal 77 14 2" xfId="17281" xr:uid="{00000000-0005-0000-0000-000086430000}"/>
    <cellStyle name="Normal 77 14 3" xfId="17282" xr:uid="{00000000-0005-0000-0000-000087430000}"/>
    <cellStyle name="Normal 77 14 4" xfId="17283" xr:uid="{00000000-0005-0000-0000-000088430000}"/>
    <cellStyle name="Normal 77 14 5" xfId="17284" xr:uid="{00000000-0005-0000-0000-000089430000}"/>
    <cellStyle name="Normal 77 14 6" xfId="17285" xr:uid="{00000000-0005-0000-0000-00008A430000}"/>
    <cellStyle name="Normal 77 14 7" xfId="17286" xr:uid="{00000000-0005-0000-0000-00008B430000}"/>
    <cellStyle name="Normal 77 14 8" xfId="17287" xr:uid="{00000000-0005-0000-0000-00008C430000}"/>
    <cellStyle name="Normal 77 14 9" xfId="17288" xr:uid="{00000000-0005-0000-0000-00008D430000}"/>
    <cellStyle name="Normal 77 15" xfId="17289" xr:uid="{00000000-0005-0000-0000-00008E430000}"/>
    <cellStyle name="Normal 77 16" xfId="17290" xr:uid="{00000000-0005-0000-0000-00008F430000}"/>
    <cellStyle name="Normal 77 17" xfId="17291" xr:uid="{00000000-0005-0000-0000-000090430000}"/>
    <cellStyle name="Normal 77 18" xfId="17292" xr:uid="{00000000-0005-0000-0000-000091430000}"/>
    <cellStyle name="Normal 77 19" xfId="17293" xr:uid="{00000000-0005-0000-0000-000092430000}"/>
    <cellStyle name="Normal 77 2" xfId="17294" xr:uid="{00000000-0005-0000-0000-000093430000}"/>
    <cellStyle name="Normal 77 2 10" xfId="17295" xr:uid="{00000000-0005-0000-0000-000094430000}"/>
    <cellStyle name="Normal 77 2 11" xfId="17296" xr:uid="{00000000-0005-0000-0000-000095430000}"/>
    <cellStyle name="Normal 77 2 12" xfId="17297" xr:uid="{00000000-0005-0000-0000-000096430000}"/>
    <cellStyle name="Normal 77 2 13" xfId="17298" xr:uid="{00000000-0005-0000-0000-000097430000}"/>
    <cellStyle name="Normal 77 2 2" xfId="17299" xr:uid="{00000000-0005-0000-0000-000098430000}"/>
    <cellStyle name="Normal 77 2 2 10" xfId="17300" xr:uid="{00000000-0005-0000-0000-000099430000}"/>
    <cellStyle name="Normal 77 2 2 11" xfId="17301" xr:uid="{00000000-0005-0000-0000-00009A430000}"/>
    <cellStyle name="Normal 77 2 2 2" xfId="17302" xr:uid="{00000000-0005-0000-0000-00009B430000}"/>
    <cellStyle name="Normal 77 2 2 3" xfId="17303" xr:uid="{00000000-0005-0000-0000-00009C430000}"/>
    <cellStyle name="Normal 77 2 2 4" xfId="17304" xr:uid="{00000000-0005-0000-0000-00009D430000}"/>
    <cellStyle name="Normal 77 2 2 5" xfId="17305" xr:uid="{00000000-0005-0000-0000-00009E430000}"/>
    <cellStyle name="Normal 77 2 2 6" xfId="17306" xr:uid="{00000000-0005-0000-0000-00009F430000}"/>
    <cellStyle name="Normal 77 2 2 7" xfId="17307" xr:uid="{00000000-0005-0000-0000-0000A0430000}"/>
    <cellStyle name="Normal 77 2 2 8" xfId="17308" xr:uid="{00000000-0005-0000-0000-0000A1430000}"/>
    <cellStyle name="Normal 77 2 2 9" xfId="17309" xr:uid="{00000000-0005-0000-0000-0000A2430000}"/>
    <cellStyle name="Normal 77 2 3" xfId="17310" xr:uid="{00000000-0005-0000-0000-0000A3430000}"/>
    <cellStyle name="Normal 77 2 4" xfId="17311" xr:uid="{00000000-0005-0000-0000-0000A4430000}"/>
    <cellStyle name="Normal 77 2 5" xfId="17312" xr:uid="{00000000-0005-0000-0000-0000A5430000}"/>
    <cellStyle name="Normal 77 2 6" xfId="17313" xr:uid="{00000000-0005-0000-0000-0000A6430000}"/>
    <cellStyle name="Normal 77 2 7" xfId="17314" xr:uid="{00000000-0005-0000-0000-0000A7430000}"/>
    <cellStyle name="Normal 77 2 8" xfId="17315" xr:uid="{00000000-0005-0000-0000-0000A8430000}"/>
    <cellStyle name="Normal 77 2 9" xfId="17316" xr:uid="{00000000-0005-0000-0000-0000A9430000}"/>
    <cellStyle name="Normal 77 20" xfId="17317" xr:uid="{00000000-0005-0000-0000-0000AA430000}"/>
    <cellStyle name="Normal 77 21" xfId="17318" xr:uid="{00000000-0005-0000-0000-0000AB430000}"/>
    <cellStyle name="Normal 77 22" xfId="17319" xr:uid="{00000000-0005-0000-0000-0000AC430000}"/>
    <cellStyle name="Normal 77 23" xfId="17320" xr:uid="{00000000-0005-0000-0000-0000AD430000}"/>
    <cellStyle name="Normal 77 24" xfId="17321" xr:uid="{00000000-0005-0000-0000-0000AE430000}"/>
    <cellStyle name="Normal 77 25" xfId="17322" xr:uid="{00000000-0005-0000-0000-0000AF430000}"/>
    <cellStyle name="Normal 77 3" xfId="17323" xr:uid="{00000000-0005-0000-0000-0000B0430000}"/>
    <cellStyle name="Normal 77 3 10" xfId="17324" xr:uid="{00000000-0005-0000-0000-0000B1430000}"/>
    <cellStyle name="Normal 77 3 11" xfId="17325" xr:uid="{00000000-0005-0000-0000-0000B2430000}"/>
    <cellStyle name="Normal 77 3 12" xfId="17326" xr:uid="{00000000-0005-0000-0000-0000B3430000}"/>
    <cellStyle name="Normal 77 3 13" xfId="17327" xr:uid="{00000000-0005-0000-0000-0000B4430000}"/>
    <cellStyle name="Normal 77 3 2" xfId="17328" xr:uid="{00000000-0005-0000-0000-0000B5430000}"/>
    <cellStyle name="Normal 77 3 2 10" xfId="17329" xr:uid="{00000000-0005-0000-0000-0000B6430000}"/>
    <cellStyle name="Normal 77 3 2 11" xfId="17330" xr:uid="{00000000-0005-0000-0000-0000B7430000}"/>
    <cellStyle name="Normal 77 3 2 2" xfId="17331" xr:uid="{00000000-0005-0000-0000-0000B8430000}"/>
    <cellStyle name="Normal 77 3 2 3" xfId="17332" xr:uid="{00000000-0005-0000-0000-0000B9430000}"/>
    <cellStyle name="Normal 77 3 2 4" xfId="17333" xr:uid="{00000000-0005-0000-0000-0000BA430000}"/>
    <cellStyle name="Normal 77 3 2 5" xfId="17334" xr:uid="{00000000-0005-0000-0000-0000BB430000}"/>
    <cellStyle name="Normal 77 3 2 6" xfId="17335" xr:uid="{00000000-0005-0000-0000-0000BC430000}"/>
    <cellStyle name="Normal 77 3 2 7" xfId="17336" xr:uid="{00000000-0005-0000-0000-0000BD430000}"/>
    <cellStyle name="Normal 77 3 2 8" xfId="17337" xr:uid="{00000000-0005-0000-0000-0000BE430000}"/>
    <cellStyle name="Normal 77 3 2 9" xfId="17338" xr:uid="{00000000-0005-0000-0000-0000BF430000}"/>
    <cellStyle name="Normal 77 3 3" xfId="17339" xr:uid="{00000000-0005-0000-0000-0000C0430000}"/>
    <cellStyle name="Normal 77 3 4" xfId="17340" xr:uid="{00000000-0005-0000-0000-0000C1430000}"/>
    <cellStyle name="Normal 77 3 5" xfId="17341" xr:uid="{00000000-0005-0000-0000-0000C2430000}"/>
    <cellStyle name="Normal 77 3 6" xfId="17342" xr:uid="{00000000-0005-0000-0000-0000C3430000}"/>
    <cellStyle name="Normal 77 3 7" xfId="17343" xr:uid="{00000000-0005-0000-0000-0000C4430000}"/>
    <cellStyle name="Normal 77 3 8" xfId="17344" xr:uid="{00000000-0005-0000-0000-0000C5430000}"/>
    <cellStyle name="Normal 77 3 9" xfId="17345" xr:uid="{00000000-0005-0000-0000-0000C6430000}"/>
    <cellStyle name="Normal 77 4" xfId="17346" xr:uid="{00000000-0005-0000-0000-0000C7430000}"/>
    <cellStyle name="Normal 77 4 10" xfId="17347" xr:uid="{00000000-0005-0000-0000-0000C8430000}"/>
    <cellStyle name="Normal 77 4 11" xfId="17348" xr:uid="{00000000-0005-0000-0000-0000C9430000}"/>
    <cellStyle name="Normal 77 4 12" xfId="17349" xr:uid="{00000000-0005-0000-0000-0000CA430000}"/>
    <cellStyle name="Normal 77 4 13" xfId="17350" xr:uid="{00000000-0005-0000-0000-0000CB430000}"/>
    <cellStyle name="Normal 77 4 2" xfId="17351" xr:uid="{00000000-0005-0000-0000-0000CC430000}"/>
    <cellStyle name="Normal 77 4 2 10" xfId="17352" xr:uid="{00000000-0005-0000-0000-0000CD430000}"/>
    <cellStyle name="Normal 77 4 2 11" xfId="17353" xr:uid="{00000000-0005-0000-0000-0000CE430000}"/>
    <cellStyle name="Normal 77 4 2 2" xfId="17354" xr:uid="{00000000-0005-0000-0000-0000CF430000}"/>
    <cellStyle name="Normal 77 4 2 3" xfId="17355" xr:uid="{00000000-0005-0000-0000-0000D0430000}"/>
    <cellStyle name="Normal 77 4 2 4" xfId="17356" xr:uid="{00000000-0005-0000-0000-0000D1430000}"/>
    <cellStyle name="Normal 77 4 2 5" xfId="17357" xr:uid="{00000000-0005-0000-0000-0000D2430000}"/>
    <cellStyle name="Normal 77 4 2 6" xfId="17358" xr:uid="{00000000-0005-0000-0000-0000D3430000}"/>
    <cellStyle name="Normal 77 4 2 7" xfId="17359" xr:uid="{00000000-0005-0000-0000-0000D4430000}"/>
    <cellStyle name="Normal 77 4 2 8" xfId="17360" xr:uid="{00000000-0005-0000-0000-0000D5430000}"/>
    <cellStyle name="Normal 77 4 2 9" xfId="17361" xr:uid="{00000000-0005-0000-0000-0000D6430000}"/>
    <cellStyle name="Normal 77 4 3" xfId="17362" xr:uid="{00000000-0005-0000-0000-0000D7430000}"/>
    <cellStyle name="Normal 77 4 4" xfId="17363" xr:uid="{00000000-0005-0000-0000-0000D8430000}"/>
    <cellStyle name="Normal 77 4 5" xfId="17364" xr:uid="{00000000-0005-0000-0000-0000D9430000}"/>
    <cellStyle name="Normal 77 4 6" xfId="17365" xr:uid="{00000000-0005-0000-0000-0000DA430000}"/>
    <cellStyle name="Normal 77 4 7" xfId="17366" xr:uid="{00000000-0005-0000-0000-0000DB430000}"/>
    <cellStyle name="Normal 77 4 8" xfId="17367" xr:uid="{00000000-0005-0000-0000-0000DC430000}"/>
    <cellStyle name="Normal 77 4 9" xfId="17368" xr:uid="{00000000-0005-0000-0000-0000DD430000}"/>
    <cellStyle name="Normal 77 5" xfId="17369" xr:uid="{00000000-0005-0000-0000-0000DE430000}"/>
    <cellStyle name="Normal 77 5 10" xfId="17370" xr:uid="{00000000-0005-0000-0000-0000DF430000}"/>
    <cellStyle name="Normal 77 5 11" xfId="17371" xr:uid="{00000000-0005-0000-0000-0000E0430000}"/>
    <cellStyle name="Normal 77 5 12" xfId="17372" xr:uid="{00000000-0005-0000-0000-0000E1430000}"/>
    <cellStyle name="Normal 77 5 13" xfId="17373" xr:uid="{00000000-0005-0000-0000-0000E2430000}"/>
    <cellStyle name="Normal 77 5 2" xfId="17374" xr:uid="{00000000-0005-0000-0000-0000E3430000}"/>
    <cellStyle name="Normal 77 5 2 10" xfId="17375" xr:uid="{00000000-0005-0000-0000-0000E4430000}"/>
    <cellStyle name="Normal 77 5 2 11" xfId="17376" xr:uid="{00000000-0005-0000-0000-0000E5430000}"/>
    <cellStyle name="Normal 77 5 2 2" xfId="17377" xr:uid="{00000000-0005-0000-0000-0000E6430000}"/>
    <cellStyle name="Normal 77 5 2 3" xfId="17378" xr:uid="{00000000-0005-0000-0000-0000E7430000}"/>
    <cellStyle name="Normal 77 5 2 4" xfId="17379" xr:uid="{00000000-0005-0000-0000-0000E8430000}"/>
    <cellStyle name="Normal 77 5 2 5" xfId="17380" xr:uid="{00000000-0005-0000-0000-0000E9430000}"/>
    <cellStyle name="Normal 77 5 2 6" xfId="17381" xr:uid="{00000000-0005-0000-0000-0000EA430000}"/>
    <cellStyle name="Normal 77 5 2 7" xfId="17382" xr:uid="{00000000-0005-0000-0000-0000EB430000}"/>
    <cellStyle name="Normal 77 5 2 8" xfId="17383" xr:uid="{00000000-0005-0000-0000-0000EC430000}"/>
    <cellStyle name="Normal 77 5 2 9" xfId="17384" xr:uid="{00000000-0005-0000-0000-0000ED430000}"/>
    <cellStyle name="Normal 77 5 3" xfId="17385" xr:uid="{00000000-0005-0000-0000-0000EE430000}"/>
    <cellStyle name="Normal 77 5 4" xfId="17386" xr:uid="{00000000-0005-0000-0000-0000EF430000}"/>
    <cellStyle name="Normal 77 5 5" xfId="17387" xr:uid="{00000000-0005-0000-0000-0000F0430000}"/>
    <cellStyle name="Normal 77 5 6" xfId="17388" xr:uid="{00000000-0005-0000-0000-0000F1430000}"/>
    <cellStyle name="Normal 77 5 7" xfId="17389" xr:uid="{00000000-0005-0000-0000-0000F2430000}"/>
    <cellStyle name="Normal 77 5 8" xfId="17390" xr:uid="{00000000-0005-0000-0000-0000F3430000}"/>
    <cellStyle name="Normal 77 5 9" xfId="17391" xr:uid="{00000000-0005-0000-0000-0000F4430000}"/>
    <cellStyle name="Normal 77 6" xfId="17392" xr:uid="{00000000-0005-0000-0000-0000F5430000}"/>
    <cellStyle name="Normal 77 6 10" xfId="17393" xr:uid="{00000000-0005-0000-0000-0000F6430000}"/>
    <cellStyle name="Normal 77 6 11" xfId="17394" xr:uid="{00000000-0005-0000-0000-0000F7430000}"/>
    <cellStyle name="Normal 77 6 12" xfId="17395" xr:uid="{00000000-0005-0000-0000-0000F8430000}"/>
    <cellStyle name="Normal 77 6 13" xfId="17396" xr:uid="{00000000-0005-0000-0000-0000F9430000}"/>
    <cellStyle name="Normal 77 6 2" xfId="17397" xr:uid="{00000000-0005-0000-0000-0000FA430000}"/>
    <cellStyle name="Normal 77 6 2 10" xfId="17398" xr:uid="{00000000-0005-0000-0000-0000FB430000}"/>
    <cellStyle name="Normal 77 6 2 11" xfId="17399" xr:uid="{00000000-0005-0000-0000-0000FC430000}"/>
    <cellStyle name="Normal 77 6 2 2" xfId="17400" xr:uid="{00000000-0005-0000-0000-0000FD430000}"/>
    <cellStyle name="Normal 77 6 2 3" xfId="17401" xr:uid="{00000000-0005-0000-0000-0000FE430000}"/>
    <cellStyle name="Normal 77 6 2 4" xfId="17402" xr:uid="{00000000-0005-0000-0000-0000FF430000}"/>
    <cellStyle name="Normal 77 6 2 5" xfId="17403" xr:uid="{00000000-0005-0000-0000-000000440000}"/>
    <cellStyle name="Normal 77 6 2 6" xfId="17404" xr:uid="{00000000-0005-0000-0000-000001440000}"/>
    <cellStyle name="Normal 77 6 2 7" xfId="17405" xr:uid="{00000000-0005-0000-0000-000002440000}"/>
    <cellStyle name="Normal 77 6 2 8" xfId="17406" xr:uid="{00000000-0005-0000-0000-000003440000}"/>
    <cellStyle name="Normal 77 6 2 9" xfId="17407" xr:uid="{00000000-0005-0000-0000-000004440000}"/>
    <cellStyle name="Normal 77 6 3" xfId="17408" xr:uid="{00000000-0005-0000-0000-000005440000}"/>
    <cellStyle name="Normal 77 6 4" xfId="17409" xr:uid="{00000000-0005-0000-0000-000006440000}"/>
    <cellStyle name="Normal 77 6 5" xfId="17410" xr:uid="{00000000-0005-0000-0000-000007440000}"/>
    <cellStyle name="Normal 77 6 6" xfId="17411" xr:uid="{00000000-0005-0000-0000-000008440000}"/>
    <cellStyle name="Normal 77 6 7" xfId="17412" xr:uid="{00000000-0005-0000-0000-000009440000}"/>
    <cellStyle name="Normal 77 6 8" xfId="17413" xr:uid="{00000000-0005-0000-0000-00000A440000}"/>
    <cellStyle name="Normal 77 6 9" xfId="17414" xr:uid="{00000000-0005-0000-0000-00000B440000}"/>
    <cellStyle name="Normal 77 7" xfId="17415" xr:uid="{00000000-0005-0000-0000-00000C440000}"/>
    <cellStyle name="Normal 77 7 10" xfId="17416" xr:uid="{00000000-0005-0000-0000-00000D440000}"/>
    <cellStyle name="Normal 77 7 11" xfId="17417" xr:uid="{00000000-0005-0000-0000-00000E440000}"/>
    <cellStyle name="Normal 77 7 12" xfId="17418" xr:uid="{00000000-0005-0000-0000-00000F440000}"/>
    <cellStyle name="Normal 77 7 13" xfId="17419" xr:uid="{00000000-0005-0000-0000-000010440000}"/>
    <cellStyle name="Normal 77 7 2" xfId="17420" xr:uid="{00000000-0005-0000-0000-000011440000}"/>
    <cellStyle name="Normal 77 7 2 10" xfId="17421" xr:uid="{00000000-0005-0000-0000-000012440000}"/>
    <cellStyle name="Normal 77 7 2 11" xfId="17422" xr:uid="{00000000-0005-0000-0000-000013440000}"/>
    <cellStyle name="Normal 77 7 2 2" xfId="17423" xr:uid="{00000000-0005-0000-0000-000014440000}"/>
    <cellStyle name="Normal 77 7 2 3" xfId="17424" xr:uid="{00000000-0005-0000-0000-000015440000}"/>
    <cellStyle name="Normal 77 7 2 4" xfId="17425" xr:uid="{00000000-0005-0000-0000-000016440000}"/>
    <cellStyle name="Normal 77 7 2 5" xfId="17426" xr:uid="{00000000-0005-0000-0000-000017440000}"/>
    <cellStyle name="Normal 77 7 2 6" xfId="17427" xr:uid="{00000000-0005-0000-0000-000018440000}"/>
    <cellStyle name="Normal 77 7 2 7" xfId="17428" xr:uid="{00000000-0005-0000-0000-000019440000}"/>
    <cellStyle name="Normal 77 7 2 8" xfId="17429" xr:uid="{00000000-0005-0000-0000-00001A440000}"/>
    <cellStyle name="Normal 77 7 2 9" xfId="17430" xr:uid="{00000000-0005-0000-0000-00001B440000}"/>
    <cellStyle name="Normal 77 7 3" xfId="17431" xr:uid="{00000000-0005-0000-0000-00001C440000}"/>
    <cellStyle name="Normal 77 7 4" xfId="17432" xr:uid="{00000000-0005-0000-0000-00001D440000}"/>
    <cellStyle name="Normal 77 7 5" xfId="17433" xr:uid="{00000000-0005-0000-0000-00001E440000}"/>
    <cellStyle name="Normal 77 7 6" xfId="17434" xr:uid="{00000000-0005-0000-0000-00001F440000}"/>
    <cellStyle name="Normal 77 7 7" xfId="17435" xr:uid="{00000000-0005-0000-0000-000020440000}"/>
    <cellStyle name="Normal 77 7 8" xfId="17436" xr:uid="{00000000-0005-0000-0000-000021440000}"/>
    <cellStyle name="Normal 77 7 9" xfId="17437" xr:uid="{00000000-0005-0000-0000-000022440000}"/>
    <cellStyle name="Normal 77 8" xfId="17438" xr:uid="{00000000-0005-0000-0000-000023440000}"/>
    <cellStyle name="Normal 77 8 10" xfId="17439" xr:uid="{00000000-0005-0000-0000-000024440000}"/>
    <cellStyle name="Normal 77 8 11" xfId="17440" xr:uid="{00000000-0005-0000-0000-000025440000}"/>
    <cellStyle name="Normal 77 8 12" xfId="17441" xr:uid="{00000000-0005-0000-0000-000026440000}"/>
    <cellStyle name="Normal 77 8 13" xfId="17442" xr:uid="{00000000-0005-0000-0000-000027440000}"/>
    <cellStyle name="Normal 77 8 2" xfId="17443" xr:uid="{00000000-0005-0000-0000-000028440000}"/>
    <cellStyle name="Normal 77 8 2 10" xfId="17444" xr:uid="{00000000-0005-0000-0000-000029440000}"/>
    <cellStyle name="Normal 77 8 2 11" xfId="17445" xr:uid="{00000000-0005-0000-0000-00002A440000}"/>
    <cellStyle name="Normal 77 8 2 2" xfId="17446" xr:uid="{00000000-0005-0000-0000-00002B440000}"/>
    <cellStyle name="Normal 77 8 2 3" xfId="17447" xr:uid="{00000000-0005-0000-0000-00002C440000}"/>
    <cellStyle name="Normal 77 8 2 4" xfId="17448" xr:uid="{00000000-0005-0000-0000-00002D440000}"/>
    <cellStyle name="Normal 77 8 2 5" xfId="17449" xr:uid="{00000000-0005-0000-0000-00002E440000}"/>
    <cellStyle name="Normal 77 8 2 6" xfId="17450" xr:uid="{00000000-0005-0000-0000-00002F440000}"/>
    <cellStyle name="Normal 77 8 2 7" xfId="17451" xr:uid="{00000000-0005-0000-0000-000030440000}"/>
    <cellStyle name="Normal 77 8 2 8" xfId="17452" xr:uid="{00000000-0005-0000-0000-000031440000}"/>
    <cellStyle name="Normal 77 8 2 9" xfId="17453" xr:uid="{00000000-0005-0000-0000-000032440000}"/>
    <cellStyle name="Normal 77 8 3" xfId="17454" xr:uid="{00000000-0005-0000-0000-000033440000}"/>
    <cellStyle name="Normal 77 8 4" xfId="17455" xr:uid="{00000000-0005-0000-0000-000034440000}"/>
    <cellStyle name="Normal 77 8 5" xfId="17456" xr:uid="{00000000-0005-0000-0000-000035440000}"/>
    <cellStyle name="Normal 77 8 6" xfId="17457" xr:uid="{00000000-0005-0000-0000-000036440000}"/>
    <cellStyle name="Normal 77 8 7" xfId="17458" xr:uid="{00000000-0005-0000-0000-000037440000}"/>
    <cellStyle name="Normal 77 8 8" xfId="17459" xr:uid="{00000000-0005-0000-0000-000038440000}"/>
    <cellStyle name="Normal 77 8 9" xfId="17460" xr:uid="{00000000-0005-0000-0000-000039440000}"/>
    <cellStyle name="Normal 77 9" xfId="17461" xr:uid="{00000000-0005-0000-0000-00003A440000}"/>
    <cellStyle name="Normal 77 9 10" xfId="17462" xr:uid="{00000000-0005-0000-0000-00003B440000}"/>
    <cellStyle name="Normal 77 9 11" xfId="17463" xr:uid="{00000000-0005-0000-0000-00003C440000}"/>
    <cellStyle name="Normal 77 9 12" xfId="17464" xr:uid="{00000000-0005-0000-0000-00003D440000}"/>
    <cellStyle name="Normal 77 9 13" xfId="17465" xr:uid="{00000000-0005-0000-0000-00003E440000}"/>
    <cellStyle name="Normal 77 9 2" xfId="17466" xr:uid="{00000000-0005-0000-0000-00003F440000}"/>
    <cellStyle name="Normal 77 9 2 10" xfId="17467" xr:uid="{00000000-0005-0000-0000-000040440000}"/>
    <cellStyle name="Normal 77 9 2 11" xfId="17468" xr:uid="{00000000-0005-0000-0000-000041440000}"/>
    <cellStyle name="Normal 77 9 2 2" xfId="17469" xr:uid="{00000000-0005-0000-0000-000042440000}"/>
    <cellStyle name="Normal 77 9 2 3" xfId="17470" xr:uid="{00000000-0005-0000-0000-000043440000}"/>
    <cellStyle name="Normal 77 9 2 4" xfId="17471" xr:uid="{00000000-0005-0000-0000-000044440000}"/>
    <cellStyle name="Normal 77 9 2 5" xfId="17472" xr:uid="{00000000-0005-0000-0000-000045440000}"/>
    <cellStyle name="Normal 77 9 2 6" xfId="17473" xr:uid="{00000000-0005-0000-0000-000046440000}"/>
    <cellStyle name="Normal 77 9 2 7" xfId="17474" xr:uid="{00000000-0005-0000-0000-000047440000}"/>
    <cellStyle name="Normal 77 9 2 8" xfId="17475" xr:uid="{00000000-0005-0000-0000-000048440000}"/>
    <cellStyle name="Normal 77 9 2 9" xfId="17476" xr:uid="{00000000-0005-0000-0000-000049440000}"/>
    <cellStyle name="Normal 77 9 3" xfId="17477" xr:uid="{00000000-0005-0000-0000-00004A440000}"/>
    <cellStyle name="Normal 77 9 4" xfId="17478" xr:uid="{00000000-0005-0000-0000-00004B440000}"/>
    <cellStyle name="Normal 77 9 5" xfId="17479" xr:uid="{00000000-0005-0000-0000-00004C440000}"/>
    <cellStyle name="Normal 77 9 6" xfId="17480" xr:uid="{00000000-0005-0000-0000-00004D440000}"/>
    <cellStyle name="Normal 77 9 7" xfId="17481" xr:uid="{00000000-0005-0000-0000-00004E440000}"/>
    <cellStyle name="Normal 77 9 8" xfId="17482" xr:uid="{00000000-0005-0000-0000-00004F440000}"/>
    <cellStyle name="Normal 77 9 9" xfId="17483" xr:uid="{00000000-0005-0000-0000-000050440000}"/>
    <cellStyle name="Normal 78" xfId="17484" xr:uid="{00000000-0005-0000-0000-000051440000}"/>
    <cellStyle name="Normal 78 10" xfId="17485" xr:uid="{00000000-0005-0000-0000-000052440000}"/>
    <cellStyle name="Normal 78 10 10" xfId="17486" xr:uid="{00000000-0005-0000-0000-000053440000}"/>
    <cellStyle name="Normal 78 10 11" xfId="17487" xr:uid="{00000000-0005-0000-0000-000054440000}"/>
    <cellStyle name="Normal 78 10 12" xfId="17488" xr:uid="{00000000-0005-0000-0000-000055440000}"/>
    <cellStyle name="Normal 78 10 13" xfId="17489" xr:uid="{00000000-0005-0000-0000-000056440000}"/>
    <cellStyle name="Normal 78 10 2" xfId="17490" xr:uid="{00000000-0005-0000-0000-000057440000}"/>
    <cellStyle name="Normal 78 10 2 10" xfId="17491" xr:uid="{00000000-0005-0000-0000-000058440000}"/>
    <cellStyle name="Normal 78 10 2 11" xfId="17492" xr:uid="{00000000-0005-0000-0000-000059440000}"/>
    <cellStyle name="Normal 78 10 2 2" xfId="17493" xr:uid="{00000000-0005-0000-0000-00005A440000}"/>
    <cellStyle name="Normal 78 10 2 3" xfId="17494" xr:uid="{00000000-0005-0000-0000-00005B440000}"/>
    <cellStyle name="Normal 78 10 2 4" xfId="17495" xr:uid="{00000000-0005-0000-0000-00005C440000}"/>
    <cellStyle name="Normal 78 10 2 5" xfId="17496" xr:uid="{00000000-0005-0000-0000-00005D440000}"/>
    <cellStyle name="Normal 78 10 2 6" xfId="17497" xr:uid="{00000000-0005-0000-0000-00005E440000}"/>
    <cellStyle name="Normal 78 10 2 7" xfId="17498" xr:uid="{00000000-0005-0000-0000-00005F440000}"/>
    <cellStyle name="Normal 78 10 2 8" xfId="17499" xr:uid="{00000000-0005-0000-0000-000060440000}"/>
    <cellStyle name="Normal 78 10 2 9" xfId="17500" xr:uid="{00000000-0005-0000-0000-000061440000}"/>
    <cellStyle name="Normal 78 10 3" xfId="17501" xr:uid="{00000000-0005-0000-0000-000062440000}"/>
    <cellStyle name="Normal 78 10 4" xfId="17502" xr:uid="{00000000-0005-0000-0000-000063440000}"/>
    <cellStyle name="Normal 78 10 5" xfId="17503" xr:uid="{00000000-0005-0000-0000-000064440000}"/>
    <cellStyle name="Normal 78 10 6" xfId="17504" xr:uid="{00000000-0005-0000-0000-000065440000}"/>
    <cellStyle name="Normal 78 10 7" xfId="17505" xr:uid="{00000000-0005-0000-0000-000066440000}"/>
    <cellStyle name="Normal 78 10 8" xfId="17506" xr:uid="{00000000-0005-0000-0000-000067440000}"/>
    <cellStyle name="Normal 78 10 9" xfId="17507" xr:uid="{00000000-0005-0000-0000-000068440000}"/>
    <cellStyle name="Normal 78 11" xfId="17508" xr:uid="{00000000-0005-0000-0000-000069440000}"/>
    <cellStyle name="Normal 78 11 10" xfId="17509" xr:uid="{00000000-0005-0000-0000-00006A440000}"/>
    <cellStyle name="Normal 78 11 11" xfId="17510" xr:uid="{00000000-0005-0000-0000-00006B440000}"/>
    <cellStyle name="Normal 78 11 12" xfId="17511" xr:uid="{00000000-0005-0000-0000-00006C440000}"/>
    <cellStyle name="Normal 78 11 13" xfId="17512" xr:uid="{00000000-0005-0000-0000-00006D440000}"/>
    <cellStyle name="Normal 78 11 2" xfId="17513" xr:uid="{00000000-0005-0000-0000-00006E440000}"/>
    <cellStyle name="Normal 78 11 2 10" xfId="17514" xr:uid="{00000000-0005-0000-0000-00006F440000}"/>
    <cellStyle name="Normal 78 11 2 11" xfId="17515" xr:uid="{00000000-0005-0000-0000-000070440000}"/>
    <cellStyle name="Normal 78 11 2 2" xfId="17516" xr:uid="{00000000-0005-0000-0000-000071440000}"/>
    <cellStyle name="Normal 78 11 2 3" xfId="17517" xr:uid="{00000000-0005-0000-0000-000072440000}"/>
    <cellStyle name="Normal 78 11 2 4" xfId="17518" xr:uid="{00000000-0005-0000-0000-000073440000}"/>
    <cellStyle name="Normal 78 11 2 5" xfId="17519" xr:uid="{00000000-0005-0000-0000-000074440000}"/>
    <cellStyle name="Normal 78 11 2 6" xfId="17520" xr:uid="{00000000-0005-0000-0000-000075440000}"/>
    <cellStyle name="Normal 78 11 2 7" xfId="17521" xr:uid="{00000000-0005-0000-0000-000076440000}"/>
    <cellStyle name="Normal 78 11 2 8" xfId="17522" xr:uid="{00000000-0005-0000-0000-000077440000}"/>
    <cellStyle name="Normal 78 11 2 9" xfId="17523" xr:uid="{00000000-0005-0000-0000-000078440000}"/>
    <cellStyle name="Normal 78 11 3" xfId="17524" xr:uid="{00000000-0005-0000-0000-000079440000}"/>
    <cellStyle name="Normal 78 11 4" xfId="17525" xr:uid="{00000000-0005-0000-0000-00007A440000}"/>
    <cellStyle name="Normal 78 11 5" xfId="17526" xr:uid="{00000000-0005-0000-0000-00007B440000}"/>
    <cellStyle name="Normal 78 11 6" xfId="17527" xr:uid="{00000000-0005-0000-0000-00007C440000}"/>
    <cellStyle name="Normal 78 11 7" xfId="17528" xr:uid="{00000000-0005-0000-0000-00007D440000}"/>
    <cellStyle name="Normal 78 11 8" xfId="17529" xr:uid="{00000000-0005-0000-0000-00007E440000}"/>
    <cellStyle name="Normal 78 11 9" xfId="17530" xr:uid="{00000000-0005-0000-0000-00007F440000}"/>
    <cellStyle name="Normal 78 12" xfId="17531" xr:uid="{00000000-0005-0000-0000-000080440000}"/>
    <cellStyle name="Normal 78 12 10" xfId="17532" xr:uid="{00000000-0005-0000-0000-000081440000}"/>
    <cellStyle name="Normal 78 12 11" xfId="17533" xr:uid="{00000000-0005-0000-0000-000082440000}"/>
    <cellStyle name="Normal 78 12 12" xfId="17534" xr:uid="{00000000-0005-0000-0000-000083440000}"/>
    <cellStyle name="Normal 78 12 13" xfId="17535" xr:uid="{00000000-0005-0000-0000-000084440000}"/>
    <cellStyle name="Normal 78 12 2" xfId="17536" xr:uid="{00000000-0005-0000-0000-000085440000}"/>
    <cellStyle name="Normal 78 12 2 10" xfId="17537" xr:uid="{00000000-0005-0000-0000-000086440000}"/>
    <cellStyle name="Normal 78 12 2 11" xfId="17538" xr:uid="{00000000-0005-0000-0000-000087440000}"/>
    <cellStyle name="Normal 78 12 2 2" xfId="17539" xr:uid="{00000000-0005-0000-0000-000088440000}"/>
    <cellStyle name="Normal 78 12 2 3" xfId="17540" xr:uid="{00000000-0005-0000-0000-000089440000}"/>
    <cellStyle name="Normal 78 12 2 4" xfId="17541" xr:uid="{00000000-0005-0000-0000-00008A440000}"/>
    <cellStyle name="Normal 78 12 2 5" xfId="17542" xr:uid="{00000000-0005-0000-0000-00008B440000}"/>
    <cellStyle name="Normal 78 12 2 6" xfId="17543" xr:uid="{00000000-0005-0000-0000-00008C440000}"/>
    <cellStyle name="Normal 78 12 2 7" xfId="17544" xr:uid="{00000000-0005-0000-0000-00008D440000}"/>
    <cellStyle name="Normal 78 12 2 8" xfId="17545" xr:uid="{00000000-0005-0000-0000-00008E440000}"/>
    <cellStyle name="Normal 78 12 2 9" xfId="17546" xr:uid="{00000000-0005-0000-0000-00008F440000}"/>
    <cellStyle name="Normal 78 12 3" xfId="17547" xr:uid="{00000000-0005-0000-0000-000090440000}"/>
    <cellStyle name="Normal 78 12 4" xfId="17548" xr:uid="{00000000-0005-0000-0000-000091440000}"/>
    <cellStyle name="Normal 78 12 5" xfId="17549" xr:uid="{00000000-0005-0000-0000-000092440000}"/>
    <cellStyle name="Normal 78 12 6" xfId="17550" xr:uid="{00000000-0005-0000-0000-000093440000}"/>
    <cellStyle name="Normal 78 12 7" xfId="17551" xr:uid="{00000000-0005-0000-0000-000094440000}"/>
    <cellStyle name="Normal 78 12 8" xfId="17552" xr:uid="{00000000-0005-0000-0000-000095440000}"/>
    <cellStyle name="Normal 78 12 9" xfId="17553" xr:uid="{00000000-0005-0000-0000-000096440000}"/>
    <cellStyle name="Normal 78 13" xfId="17554" xr:uid="{00000000-0005-0000-0000-000097440000}"/>
    <cellStyle name="Normal 78 13 10" xfId="17555" xr:uid="{00000000-0005-0000-0000-000098440000}"/>
    <cellStyle name="Normal 78 13 11" xfId="17556" xr:uid="{00000000-0005-0000-0000-000099440000}"/>
    <cellStyle name="Normal 78 13 12" xfId="17557" xr:uid="{00000000-0005-0000-0000-00009A440000}"/>
    <cellStyle name="Normal 78 13 13" xfId="17558" xr:uid="{00000000-0005-0000-0000-00009B440000}"/>
    <cellStyle name="Normal 78 13 2" xfId="17559" xr:uid="{00000000-0005-0000-0000-00009C440000}"/>
    <cellStyle name="Normal 78 13 2 10" xfId="17560" xr:uid="{00000000-0005-0000-0000-00009D440000}"/>
    <cellStyle name="Normal 78 13 2 11" xfId="17561" xr:uid="{00000000-0005-0000-0000-00009E440000}"/>
    <cellStyle name="Normal 78 13 2 2" xfId="17562" xr:uid="{00000000-0005-0000-0000-00009F440000}"/>
    <cellStyle name="Normal 78 13 2 3" xfId="17563" xr:uid="{00000000-0005-0000-0000-0000A0440000}"/>
    <cellStyle name="Normal 78 13 2 4" xfId="17564" xr:uid="{00000000-0005-0000-0000-0000A1440000}"/>
    <cellStyle name="Normal 78 13 2 5" xfId="17565" xr:uid="{00000000-0005-0000-0000-0000A2440000}"/>
    <cellStyle name="Normal 78 13 2 6" xfId="17566" xr:uid="{00000000-0005-0000-0000-0000A3440000}"/>
    <cellStyle name="Normal 78 13 2 7" xfId="17567" xr:uid="{00000000-0005-0000-0000-0000A4440000}"/>
    <cellStyle name="Normal 78 13 2 8" xfId="17568" xr:uid="{00000000-0005-0000-0000-0000A5440000}"/>
    <cellStyle name="Normal 78 13 2 9" xfId="17569" xr:uid="{00000000-0005-0000-0000-0000A6440000}"/>
    <cellStyle name="Normal 78 13 3" xfId="17570" xr:uid="{00000000-0005-0000-0000-0000A7440000}"/>
    <cellStyle name="Normal 78 13 4" xfId="17571" xr:uid="{00000000-0005-0000-0000-0000A8440000}"/>
    <cellStyle name="Normal 78 13 5" xfId="17572" xr:uid="{00000000-0005-0000-0000-0000A9440000}"/>
    <cellStyle name="Normal 78 13 6" xfId="17573" xr:uid="{00000000-0005-0000-0000-0000AA440000}"/>
    <cellStyle name="Normal 78 13 7" xfId="17574" xr:uid="{00000000-0005-0000-0000-0000AB440000}"/>
    <cellStyle name="Normal 78 13 8" xfId="17575" xr:uid="{00000000-0005-0000-0000-0000AC440000}"/>
    <cellStyle name="Normal 78 13 9" xfId="17576" xr:uid="{00000000-0005-0000-0000-0000AD440000}"/>
    <cellStyle name="Normal 78 14" xfId="17577" xr:uid="{00000000-0005-0000-0000-0000AE440000}"/>
    <cellStyle name="Normal 78 14 10" xfId="17578" xr:uid="{00000000-0005-0000-0000-0000AF440000}"/>
    <cellStyle name="Normal 78 14 11" xfId="17579" xr:uid="{00000000-0005-0000-0000-0000B0440000}"/>
    <cellStyle name="Normal 78 14 2" xfId="17580" xr:uid="{00000000-0005-0000-0000-0000B1440000}"/>
    <cellStyle name="Normal 78 14 3" xfId="17581" xr:uid="{00000000-0005-0000-0000-0000B2440000}"/>
    <cellStyle name="Normal 78 14 4" xfId="17582" xr:uid="{00000000-0005-0000-0000-0000B3440000}"/>
    <cellStyle name="Normal 78 14 5" xfId="17583" xr:uid="{00000000-0005-0000-0000-0000B4440000}"/>
    <cellStyle name="Normal 78 14 6" xfId="17584" xr:uid="{00000000-0005-0000-0000-0000B5440000}"/>
    <cellStyle name="Normal 78 14 7" xfId="17585" xr:uid="{00000000-0005-0000-0000-0000B6440000}"/>
    <cellStyle name="Normal 78 14 8" xfId="17586" xr:uid="{00000000-0005-0000-0000-0000B7440000}"/>
    <cellStyle name="Normal 78 14 9" xfId="17587" xr:uid="{00000000-0005-0000-0000-0000B8440000}"/>
    <cellStyle name="Normal 78 15" xfId="17588" xr:uid="{00000000-0005-0000-0000-0000B9440000}"/>
    <cellStyle name="Normal 78 16" xfId="17589" xr:uid="{00000000-0005-0000-0000-0000BA440000}"/>
    <cellStyle name="Normal 78 17" xfId="17590" xr:uid="{00000000-0005-0000-0000-0000BB440000}"/>
    <cellStyle name="Normal 78 18" xfId="17591" xr:uid="{00000000-0005-0000-0000-0000BC440000}"/>
    <cellStyle name="Normal 78 19" xfId="17592" xr:uid="{00000000-0005-0000-0000-0000BD440000}"/>
    <cellStyle name="Normal 78 2" xfId="17593" xr:uid="{00000000-0005-0000-0000-0000BE440000}"/>
    <cellStyle name="Normal 78 2 10" xfId="17594" xr:uid="{00000000-0005-0000-0000-0000BF440000}"/>
    <cellStyle name="Normal 78 2 11" xfId="17595" xr:uid="{00000000-0005-0000-0000-0000C0440000}"/>
    <cellStyle name="Normal 78 2 12" xfId="17596" xr:uid="{00000000-0005-0000-0000-0000C1440000}"/>
    <cellStyle name="Normal 78 2 13" xfId="17597" xr:uid="{00000000-0005-0000-0000-0000C2440000}"/>
    <cellStyle name="Normal 78 2 2" xfId="17598" xr:uid="{00000000-0005-0000-0000-0000C3440000}"/>
    <cellStyle name="Normal 78 2 2 10" xfId="17599" xr:uid="{00000000-0005-0000-0000-0000C4440000}"/>
    <cellStyle name="Normal 78 2 2 11" xfId="17600" xr:uid="{00000000-0005-0000-0000-0000C5440000}"/>
    <cellStyle name="Normal 78 2 2 2" xfId="17601" xr:uid="{00000000-0005-0000-0000-0000C6440000}"/>
    <cellStyle name="Normal 78 2 2 3" xfId="17602" xr:uid="{00000000-0005-0000-0000-0000C7440000}"/>
    <cellStyle name="Normal 78 2 2 4" xfId="17603" xr:uid="{00000000-0005-0000-0000-0000C8440000}"/>
    <cellStyle name="Normal 78 2 2 5" xfId="17604" xr:uid="{00000000-0005-0000-0000-0000C9440000}"/>
    <cellStyle name="Normal 78 2 2 6" xfId="17605" xr:uid="{00000000-0005-0000-0000-0000CA440000}"/>
    <cellStyle name="Normal 78 2 2 7" xfId="17606" xr:uid="{00000000-0005-0000-0000-0000CB440000}"/>
    <cellStyle name="Normal 78 2 2 8" xfId="17607" xr:uid="{00000000-0005-0000-0000-0000CC440000}"/>
    <cellStyle name="Normal 78 2 2 9" xfId="17608" xr:uid="{00000000-0005-0000-0000-0000CD440000}"/>
    <cellStyle name="Normal 78 2 3" xfId="17609" xr:uid="{00000000-0005-0000-0000-0000CE440000}"/>
    <cellStyle name="Normal 78 2 4" xfId="17610" xr:uid="{00000000-0005-0000-0000-0000CF440000}"/>
    <cellStyle name="Normal 78 2 5" xfId="17611" xr:uid="{00000000-0005-0000-0000-0000D0440000}"/>
    <cellStyle name="Normal 78 2 6" xfId="17612" xr:uid="{00000000-0005-0000-0000-0000D1440000}"/>
    <cellStyle name="Normal 78 2 7" xfId="17613" xr:uid="{00000000-0005-0000-0000-0000D2440000}"/>
    <cellStyle name="Normal 78 2 8" xfId="17614" xr:uid="{00000000-0005-0000-0000-0000D3440000}"/>
    <cellStyle name="Normal 78 2 9" xfId="17615" xr:uid="{00000000-0005-0000-0000-0000D4440000}"/>
    <cellStyle name="Normal 78 20" xfId="17616" xr:uid="{00000000-0005-0000-0000-0000D5440000}"/>
    <cellStyle name="Normal 78 21" xfId="17617" xr:uid="{00000000-0005-0000-0000-0000D6440000}"/>
    <cellStyle name="Normal 78 22" xfId="17618" xr:uid="{00000000-0005-0000-0000-0000D7440000}"/>
    <cellStyle name="Normal 78 23" xfId="17619" xr:uid="{00000000-0005-0000-0000-0000D8440000}"/>
    <cellStyle name="Normal 78 24" xfId="17620" xr:uid="{00000000-0005-0000-0000-0000D9440000}"/>
    <cellStyle name="Normal 78 25" xfId="17621" xr:uid="{00000000-0005-0000-0000-0000DA440000}"/>
    <cellStyle name="Normal 78 3" xfId="17622" xr:uid="{00000000-0005-0000-0000-0000DB440000}"/>
    <cellStyle name="Normal 78 3 10" xfId="17623" xr:uid="{00000000-0005-0000-0000-0000DC440000}"/>
    <cellStyle name="Normal 78 3 11" xfId="17624" xr:uid="{00000000-0005-0000-0000-0000DD440000}"/>
    <cellStyle name="Normal 78 3 12" xfId="17625" xr:uid="{00000000-0005-0000-0000-0000DE440000}"/>
    <cellStyle name="Normal 78 3 13" xfId="17626" xr:uid="{00000000-0005-0000-0000-0000DF440000}"/>
    <cellStyle name="Normal 78 3 2" xfId="17627" xr:uid="{00000000-0005-0000-0000-0000E0440000}"/>
    <cellStyle name="Normal 78 3 2 10" xfId="17628" xr:uid="{00000000-0005-0000-0000-0000E1440000}"/>
    <cellStyle name="Normal 78 3 2 11" xfId="17629" xr:uid="{00000000-0005-0000-0000-0000E2440000}"/>
    <cellStyle name="Normal 78 3 2 2" xfId="17630" xr:uid="{00000000-0005-0000-0000-0000E3440000}"/>
    <cellStyle name="Normal 78 3 2 3" xfId="17631" xr:uid="{00000000-0005-0000-0000-0000E4440000}"/>
    <cellStyle name="Normal 78 3 2 4" xfId="17632" xr:uid="{00000000-0005-0000-0000-0000E5440000}"/>
    <cellStyle name="Normal 78 3 2 5" xfId="17633" xr:uid="{00000000-0005-0000-0000-0000E6440000}"/>
    <cellStyle name="Normal 78 3 2 6" xfId="17634" xr:uid="{00000000-0005-0000-0000-0000E7440000}"/>
    <cellStyle name="Normal 78 3 2 7" xfId="17635" xr:uid="{00000000-0005-0000-0000-0000E8440000}"/>
    <cellStyle name="Normal 78 3 2 8" xfId="17636" xr:uid="{00000000-0005-0000-0000-0000E9440000}"/>
    <cellStyle name="Normal 78 3 2 9" xfId="17637" xr:uid="{00000000-0005-0000-0000-0000EA440000}"/>
    <cellStyle name="Normal 78 3 3" xfId="17638" xr:uid="{00000000-0005-0000-0000-0000EB440000}"/>
    <cellStyle name="Normal 78 3 4" xfId="17639" xr:uid="{00000000-0005-0000-0000-0000EC440000}"/>
    <cellStyle name="Normal 78 3 5" xfId="17640" xr:uid="{00000000-0005-0000-0000-0000ED440000}"/>
    <cellStyle name="Normal 78 3 6" xfId="17641" xr:uid="{00000000-0005-0000-0000-0000EE440000}"/>
    <cellStyle name="Normal 78 3 7" xfId="17642" xr:uid="{00000000-0005-0000-0000-0000EF440000}"/>
    <cellStyle name="Normal 78 3 8" xfId="17643" xr:uid="{00000000-0005-0000-0000-0000F0440000}"/>
    <cellStyle name="Normal 78 3 9" xfId="17644" xr:uid="{00000000-0005-0000-0000-0000F1440000}"/>
    <cellStyle name="Normal 78 4" xfId="17645" xr:uid="{00000000-0005-0000-0000-0000F2440000}"/>
    <cellStyle name="Normal 78 4 10" xfId="17646" xr:uid="{00000000-0005-0000-0000-0000F3440000}"/>
    <cellStyle name="Normal 78 4 11" xfId="17647" xr:uid="{00000000-0005-0000-0000-0000F4440000}"/>
    <cellStyle name="Normal 78 4 12" xfId="17648" xr:uid="{00000000-0005-0000-0000-0000F5440000}"/>
    <cellStyle name="Normal 78 4 13" xfId="17649" xr:uid="{00000000-0005-0000-0000-0000F6440000}"/>
    <cellStyle name="Normal 78 4 2" xfId="17650" xr:uid="{00000000-0005-0000-0000-0000F7440000}"/>
    <cellStyle name="Normal 78 4 2 10" xfId="17651" xr:uid="{00000000-0005-0000-0000-0000F8440000}"/>
    <cellStyle name="Normal 78 4 2 11" xfId="17652" xr:uid="{00000000-0005-0000-0000-0000F9440000}"/>
    <cellStyle name="Normal 78 4 2 2" xfId="17653" xr:uid="{00000000-0005-0000-0000-0000FA440000}"/>
    <cellStyle name="Normal 78 4 2 3" xfId="17654" xr:uid="{00000000-0005-0000-0000-0000FB440000}"/>
    <cellStyle name="Normal 78 4 2 4" xfId="17655" xr:uid="{00000000-0005-0000-0000-0000FC440000}"/>
    <cellStyle name="Normal 78 4 2 5" xfId="17656" xr:uid="{00000000-0005-0000-0000-0000FD440000}"/>
    <cellStyle name="Normal 78 4 2 6" xfId="17657" xr:uid="{00000000-0005-0000-0000-0000FE440000}"/>
    <cellStyle name="Normal 78 4 2 7" xfId="17658" xr:uid="{00000000-0005-0000-0000-0000FF440000}"/>
    <cellStyle name="Normal 78 4 2 8" xfId="17659" xr:uid="{00000000-0005-0000-0000-000000450000}"/>
    <cellStyle name="Normal 78 4 2 9" xfId="17660" xr:uid="{00000000-0005-0000-0000-000001450000}"/>
    <cellStyle name="Normal 78 4 3" xfId="17661" xr:uid="{00000000-0005-0000-0000-000002450000}"/>
    <cellStyle name="Normal 78 4 4" xfId="17662" xr:uid="{00000000-0005-0000-0000-000003450000}"/>
    <cellStyle name="Normal 78 4 5" xfId="17663" xr:uid="{00000000-0005-0000-0000-000004450000}"/>
    <cellStyle name="Normal 78 4 6" xfId="17664" xr:uid="{00000000-0005-0000-0000-000005450000}"/>
    <cellStyle name="Normal 78 4 7" xfId="17665" xr:uid="{00000000-0005-0000-0000-000006450000}"/>
    <cellStyle name="Normal 78 4 8" xfId="17666" xr:uid="{00000000-0005-0000-0000-000007450000}"/>
    <cellStyle name="Normal 78 4 9" xfId="17667" xr:uid="{00000000-0005-0000-0000-000008450000}"/>
    <cellStyle name="Normal 78 5" xfId="17668" xr:uid="{00000000-0005-0000-0000-000009450000}"/>
    <cellStyle name="Normal 78 5 10" xfId="17669" xr:uid="{00000000-0005-0000-0000-00000A450000}"/>
    <cellStyle name="Normal 78 5 11" xfId="17670" xr:uid="{00000000-0005-0000-0000-00000B450000}"/>
    <cellStyle name="Normal 78 5 12" xfId="17671" xr:uid="{00000000-0005-0000-0000-00000C450000}"/>
    <cellStyle name="Normal 78 5 13" xfId="17672" xr:uid="{00000000-0005-0000-0000-00000D450000}"/>
    <cellStyle name="Normal 78 5 2" xfId="17673" xr:uid="{00000000-0005-0000-0000-00000E450000}"/>
    <cellStyle name="Normal 78 5 2 10" xfId="17674" xr:uid="{00000000-0005-0000-0000-00000F450000}"/>
    <cellStyle name="Normal 78 5 2 11" xfId="17675" xr:uid="{00000000-0005-0000-0000-000010450000}"/>
    <cellStyle name="Normal 78 5 2 2" xfId="17676" xr:uid="{00000000-0005-0000-0000-000011450000}"/>
    <cellStyle name="Normal 78 5 2 3" xfId="17677" xr:uid="{00000000-0005-0000-0000-000012450000}"/>
    <cellStyle name="Normal 78 5 2 4" xfId="17678" xr:uid="{00000000-0005-0000-0000-000013450000}"/>
    <cellStyle name="Normal 78 5 2 5" xfId="17679" xr:uid="{00000000-0005-0000-0000-000014450000}"/>
    <cellStyle name="Normal 78 5 2 6" xfId="17680" xr:uid="{00000000-0005-0000-0000-000015450000}"/>
    <cellStyle name="Normal 78 5 2 7" xfId="17681" xr:uid="{00000000-0005-0000-0000-000016450000}"/>
    <cellStyle name="Normal 78 5 2 8" xfId="17682" xr:uid="{00000000-0005-0000-0000-000017450000}"/>
    <cellStyle name="Normal 78 5 2 9" xfId="17683" xr:uid="{00000000-0005-0000-0000-000018450000}"/>
    <cellStyle name="Normal 78 5 3" xfId="17684" xr:uid="{00000000-0005-0000-0000-000019450000}"/>
    <cellStyle name="Normal 78 5 4" xfId="17685" xr:uid="{00000000-0005-0000-0000-00001A450000}"/>
    <cellStyle name="Normal 78 5 5" xfId="17686" xr:uid="{00000000-0005-0000-0000-00001B450000}"/>
    <cellStyle name="Normal 78 5 6" xfId="17687" xr:uid="{00000000-0005-0000-0000-00001C450000}"/>
    <cellStyle name="Normal 78 5 7" xfId="17688" xr:uid="{00000000-0005-0000-0000-00001D450000}"/>
    <cellStyle name="Normal 78 5 8" xfId="17689" xr:uid="{00000000-0005-0000-0000-00001E450000}"/>
    <cellStyle name="Normal 78 5 9" xfId="17690" xr:uid="{00000000-0005-0000-0000-00001F450000}"/>
    <cellStyle name="Normal 78 6" xfId="17691" xr:uid="{00000000-0005-0000-0000-000020450000}"/>
    <cellStyle name="Normal 78 6 10" xfId="17692" xr:uid="{00000000-0005-0000-0000-000021450000}"/>
    <cellStyle name="Normal 78 6 11" xfId="17693" xr:uid="{00000000-0005-0000-0000-000022450000}"/>
    <cellStyle name="Normal 78 6 12" xfId="17694" xr:uid="{00000000-0005-0000-0000-000023450000}"/>
    <cellStyle name="Normal 78 6 13" xfId="17695" xr:uid="{00000000-0005-0000-0000-000024450000}"/>
    <cellStyle name="Normal 78 6 2" xfId="17696" xr:uid="{00000000-0005-0000-0000-000025450000}"/>
    <cellStyle name="Normal 78 6 2 10" xfId="17697" xr:uid="{00000000-0005-0000-0000-000026450000}"/>
    <cellStyle name="Normal 78 6 2 11" xfId="17698" xr:uid="{00000000-0005-0000-0000-000027450000}"/>
    <cellStyle name="Normal 78 6 2 2" xfId="17699" xr:uid="{00000000-0005-0000-0000-000028450000}"/>
    <cellStyle name="Normal 78 6 2 3" xfId="17700" xr:uid="{00000000-0005-0000-0000-000029450000}"/>
    <cellStyle name="Normal 78 6 2 4" xfId="17701" xr:uid="{00000000-0005-0000-0000-00002A450000}"/>
    <cellStyle name="Normal 78 6 2 5" xfId="17702" xr:uid="{00000000-0005-0000-0000-00002B450000}"/>
    <cellStyle name="Normal 78 6 2 6" xfId="17703" xr:uid="{00000000-0005-0000-0000-00002C450000}"/>
    <cellStyle name="Normal 78 6 2 7" xfId="17704" xr:uid="{00000000-0005-0000-0000-00002D450000}"/>
    <cellStyle name="Normal 78 6 2 8" xfId="17705" xr:uid="{00000000-0005-0000-0000-00002E450000}"/>
    <cellStyle name="Normal 78 6 2 9" xfId="17706" xr:uid="{00000000-0005-0000-0000-00002F450000}"/>
    <cellStyle name="Normal 78 6 3" xfId="17707" xr:uid="{00000000-0005-0000-0000-000030450000}"/>
    <cellStyle name="Normal 78 6 4" xfId="17708" xr:uid="{00000000-0005-0000-0000-000031450000}"/>
    <cellStyle name="Normal 78 6 5" xfId="17709" xr:uid="{00000000-0005-0000-0000-000032450000}"/>
    <cellStyle name="Normal 78 6 6" xfId="17710" xr:uid="{00000000-0005-0000-0000-000033450000}"/>
    <cellStyle name="Normal 78 6 7" xfId="17711" xr:uid="{00000000-0005-0000-0000-000034450000}"/>
    <cellStyle name="Normal 78 6 8" xfId="17712" xr:uid="{00000000-0005-0000-0000-000035450000}"/>
    <cellStyle name="Normal 78 6 9" xfId="17713" xr:uid="{00000000-0005-0000-0000-000036450000}"/>
    <cellStyle name="Normal 78 7" xfId="17714" xr:uid="{00000000-0005-0000-0000-000037450000}"/>
    <cellStyle name="Normal 78 7 10" xfId="17715" xr:uid="{00000000-0005-0000-0000-000038450000}"/>
    <cellStyle name="Normal 78 7 11" xfId="17716" xr:uid="{00000000-0005-0000-0000-000039450000}"/>
    <cellStyle name="Normal 78 7 12" xfId="17717" xr:uid="{00000000-0005-0000-0000-00003A450000}"/>
    <cellStyle name="Normal 78 7 13" xfId="17718" xr:uid="{00000000-0005-0000-0000-00003B450000}"/>
    <cellStyle name="Normal 78 7 2" xfId="17719" xr:uid="{00000000-0005-0000-0000-00003C450000}"/>
    <cellStyle name="Normal 78 7 2 10" xfId="17720" xr:uid="{00000000-0005-0000-0000-00003D450000}"/>
    <cellStyle name="Normal 78 7 2 11" xfId="17721" xr:uid="{00000000-0005-0000-0000-00003E450000}"/>
    <cellStyle name="Normal 78 7 2 2" xfId="17722" xr:uid="{00000000-0005-0000-0000-00003F450000}"/>
    <cellStyle name="Normal 78 7 2 3" xfId="17723" xr:uid="{00000000-0005-0000-0000-000040450000}"/>
    <cellStyle name="Normal 78 7 2 4" xfId="17724" xr:uid="{00000000-0005-0000-0000-000041450000}"/>
    <cellStyle name="Normal 78 7 2 5" xfId="17725" xr:uid="{00000000-0005-0000-0000-000042450000}"/>
    <cellStyle name="Normal 78 7 2 6" xfId="17726" xr:uid="{00000000-0005-0000-0000-000043450000}"/>
    <cellStyle name="Normal 78 7 2 7" xfId="17727" xr:uid="{00000000-0005-0000-0000-000044450000}"/>
    <cellStyle name="Normal 78 7 2 8" xfId="17728" xr:uid="{00000000-0005-0000-0000-000045450000}"/>
    <cellStyle name="Normal 78 7 2 9" xfId="17729" xr:uid="{00000000-0005-0000-0000-000046450000}"/>
    <cellStyle name="Normal 78 7 3" xfId="17730" xr:uid="{00000000-0005-0000-0000-000047450000}"/>
    <cellStyle name="Normal 78 7 4" xfId="17731" xr:uid="{00000000-0005-0000-0000-000048450000}"/>
    <cellStyle name="Normal 78 7 5" xfId="17732" xr:uid="{00000000-0005-0000-0000-000049450000}"/>
    <cellStyle name="Normal 78 7 6" xfId="17733" xr:uid="{00000000-0005-0000-0000-00004A450000}"/>
    <cellStyle name="Normal 78 7 7" xfId="17734" xr:uid="{00000000-0005-0000-0000-00004B450000}"/>
    <cellStyle name="Normal 78 7 8" xfId="17735" xr:uid="{00000000-0005-0000-0000-00004C450000}"/>
    <cellStyle name="Normal 78 7 9" xfId="17736" xr:uid="{00000000-0005-0000-0000-00004D450000}"/>
    <cellStyle name="Normal 78 8" xfId="17737" xr:uid="{00000000-0005-0000-0000-00004E450000}"/>
    <cellStyle name="Normal 78 8 10" xfId="17738" xr:uid="{00000000-0005-0000-0000-00004F450000}"/>
    <cellStyle name="Normal 78 8 11" xfId="17739" xr:uid="{00000000-0005-0000-0000-000050450000}"/>
    <cellStyle name="Normal 78 8 12" xfId="17740" xr:uid="{00000000-0005-0000-0000-000051450000}"/>
    <cellStyle name="Normal 78 8 13" xfId="17741" xr:uid="{00000000-0005-0000-0000-000052450000}"/>
    <cellStyle name="Normal 78 8 2" xfId="17742" xr:uid="{00000000-0005-0000-0000-000053450000}"/>
    <cellStyle name="Normal 78 8 2 10" xfId="17743" xr:uid="{00000000-0005-0000-0000-000054450000}"/>
    <cellStyle name="Normal 78 8 2 11" xfId="17744" xr:uid="{00000000-0005-0000-0000-000055450000}"/>
    <cellStyle name="Normal 78 8 2 2" xfId="17745" xr:uid="{00000000-0005-0000-0000-000056450000}"/>
    <cellStyle name="Normal 78 8 2 3" xfId="17746" xr:uid="{00000000-0005-0000-0000-000057450000}"/>
    <cellStyle name="Normal 78 8 2 4" xfId="17747" xr:uid="{00000000-0005-0000-0000-000058450000}"/>
    <cellStyle name="Normal 78 8 2 5" xfId="17748" xr:uid="{00000000-0005-0000-0000-000059450000}"/>
    <cellStyle name="Normal 78 8 2 6" xfId="17749" xr:uid="{00000000-0005-0000-0000-00005A450000}"/>
    <cellStyle name="Normal 78 8 2 7" xfId="17750" xr:uid="{00000000-0005-0000-0000-00005B450000}"/>
    <cellStyle name="Normal 78 8 2 8" xfId="17751" xr:uid="{00000000-0005-0000-0000-00005C450000}"/>
    <cellStyle name="Normal 78 8 2 9" xfId="17752" xr:uid="{00000000-0005-0000-0000-00005D450000}"/>
    <cellStyle name="Normal 78 8 3" xfId="17753" xr:uid="{00000000-0005-0000-0000-00005E450000}"/>
    <cellStyle name="Normal 78 8 4" xfId="17754" xr:uid="{00000000-0005-0000-0000-00005F450000}"/>
    <cellStyle name="Normal 78 8 5" xfId="17755" xr:uid="{00000000-0005-0000-0000-000060450000}"/>
    <cellStyle name="Normal 78 8 6" xfId="17756" xr:uid="{00000000-0005-0000-0000-000061450000}"/>
    <cellStyle name="Normal 78 8 7" xfId="17757" xr:uid="{00000000-0005-0000-0000-000062450000}"/>
    <cellStyle name="Normal 78 8 8" xfId="17758" xr:uid="{00000000-0005-0000-0000-000063450000}"/>
    <cellStyle name="Normal 78 8 9" xfId="17759" xr:uid="{00000000-0005-0000-0000-000064450000}"/>
    <cellStyle name="Normal 78 9" xfId="17760" xr:uid="{00000000-0005-0000-0000-000065450000}"/>
    <cellStyle name="Normal 78 9 10" xfId="17761" xr:uid="{00000000-0005-0000-0000-000066450000}"/>
    <cellStyle name="Normal 78 9 11" xfId="17762" xr:uid="{00000000-0005-0000-0000-000067450000}"/>
    <cellStyle name="Normal 78 9 12" xfId="17763" xr:uid="{00000000-0005-0000-0000-000068450000}"/>
    <cellStyle name="Normal 78 9 13" xfId="17764" xr:uid="{00000000-0005-0000-0000-000069450000}"/>
    <cellStyle name="Normal 78 9 2" xfId="17765" xr:uid="{00000000-0005-0000-0000-00006A450000}"/>
    <cellStyle name="Normal 78 9 2 10" xfId="17766" xr:uid="{00000000-0005-0000-0000-00006B450000}"/>
    <cellStyle name="Normal 78 9 2 11" xfId="17767" xr:uid="{00000000-0005-0000-0000-00006C450000}"/>
    <cellStyle name="Normal 78 9 2 2" xfId="17768" xr:uid="{00000000-0005-0000-0000-00006D450000}"/>
    <cellStyle name="Normal 78 9 2 3" xfId="17769" xr:uid="{00000000-0005-0000-0000-00006E450000}"/>
    <cellStyle name="Normal 78 9 2 4" xfId="17770" xr:uid="{00000000-0005-0000-0000-00006F450000}"/>
    <cellStyle name="Normal 78 9 2 5" xfId="17771" xr:uid="{00000000-0005-0000-0000-000070450000}"/>
    <cellStyle name="Normal 78 9 2 6" xfId="17772" xr:uid="{00000000-0005-0000-0000-000071450000}"/>
    <cellStyle name="Normal 78 9 2 7" xfId="17773" xr:uid="{00000000-0005-0000-0000-000072450000}"/>
    <cellStyle name="Normal 78 9 2 8" xfId="17774" xr:uid="{00000000-0005-0000-0000-000073450000}"/>
    <cellStyle name="Normal 78 9 2 9" xfId="17775" xr:uid="{00000000-0005-0000-0000-000074450000}"/>
    <cellStyle name="Normal 78 9 3" xfId="17776" xr:uid="{00000000-0005-0000-0000-000075450000}"/>
    <cellStyle name="Normal 78 9 4" xfId="17777" xr:uid="{00000000-0005-0000-0000-000076450000}"/>
    <cellStyle name="Normal 78 9 5" xfId="17778" xr:uid="{00000000-0005-0000-0000-000077450000}"/>
    <cellStyle name="Normal 78 9 6" xfId="17779" xr:uid="{00000000-0005-0000-0000-000078450000}"/>
    <cellStyle name="Normal 78 9 7" xfId="17780" xr:uid="{00000000-0005-0000-0000-000079450000}"/>
    <cellStyle name="Normal 78 9 8" xfId="17781" xr:uid="{00000000-0005-0000-0000-00007A450000}"/>
    <cellStyle name="Normal 78 9 9" xfId="17782" xr:uid="{00000000-0005-0000-0000-00007B450000}"/>
    <cellStyle name="Normal 79" xfId="17783" xr:uid="{00000000-0005-0000-0000-00007C450000}"/>
    <cellStyle name="Normal 79 10" xfId="17784" xr:uid="{00000000-0005-0000-0000-00007D450000}"/>
    <cellStyle name="Normal 79 10 10" xfId="17785" xr:uid="{00000000-0005-0000-0000-00007E450000}"/>
    <cellStyle name="Normal 79 10 11" xfId="17786" xr:uid="{00000000-0005-0000-0000-00007F450000}"/>
    <cellStyle name="Normal 79 10 12" xfId="17787" xr:uid="{00000000-0005-0000-0000-000080450000}"/>
    <cellStyle name="Normal 79 10 13" xfId="17788" xr:uid="{00000000-0005-0000-0000-000081450000}"/>
    <cellStyle name="Normal 79 10 2" xfId="17789" xr:uid="{00000000-0005-0000-0000-000082450000}"/>
    <cellStyle name="Normal 79 10 2 10" xfId="17790" xr:uid="{00000000-0005-0000-0000-000083450000}"/>
    <cellStyle name="Normal 79 10 2 11" xfId="17791" xr:uid="{00000000-0005-0000-0000-000084450000}"/>
    <cellStyle name="Normal 79 10 2 2" xfId="17792" xr:uid="{00000000-0005-0000-0000-000085450000}"/>
    <cellStyle name="Normal 79 10 2 3" xfId="17793" xr:uid="{00000000-0005-0000-0000-000086450000}"/>
    <cellStyle name="Normal 79 10 2 4" xfId="17794" xr:uid="{00000000-0005-0000-0000-000087450000}"/>
    <cellStyle name="Normal 79 10 2 5" xfId="17795" xr:uid="{00000000-0005-0000-0000-000088450000}"/>
    <cellStyle name="Normal 79 10 2 6" xfId="17796" xr:uid="{00000000-0005-0000-0000-000089450000}"/>
    <cellStyle name="Normal 79 10 2 7" xfId="17797" xr:uid="{00000000-0005-0000-0000-00008A450000}"/>
    <cellStyle name="Normal 79 10 2 8" xfId="17798" xr:uid="{00000000-0005-0000-0000-00008B450000}"/>
    <cellStyle name="Normal 79 10 2 9" xfId="17799" xr:uid="{00000000-0005-0000-0000-00008C450000}"/>
    <cellStyle name="Normal 79 10 3" xfId="17800" xr:uid="{00000000-0005-0000-0000-00008D450000}"/>
    <cellStyle name="Normal 79 10 4" xfId="17801" xr:uid="{00000000-0005-0000-0000-00008E450000}"/>
    <cellStyle name="Normal 79 10 5" xfId="17802" xr:uid="{00000000-0005-0000-0000-00008F450000}"/>
    <cellStyle name="Normal 79 10 6" xfId="17803" xr:uid="{00000000-0005-0000-0000-000090450000}"/>
    <cellStyle name="Normal 79 10 7" xfId="17804" xr:uid="{00000000-0005-0000-0000-000091450000}"/>
    <cellStyle name="Normal 79 10 8" xfId="17805" xr:uid="{00000000-0005-0000-0000-000092450000}"/>
    <cellStyle name="Normal 79 10 9" xfId="17806" xr:uid="{00000000-0005-0000-0000-000093450000}"/>
    <cellStyle name="Normal 79 11" xfId="17807" xr:uid="{00000000-0005-0000-0000-000094450000}"/>
    <cellStyle name="Normal 79 11 10" xfId="17808" xr:uid="{00000000-0005-0000-0000-000095450000}"/>
    <cellStyle name="Normal 79 11 11" xfId="17809" xr:uid="{00000000-0005-0000-0000-000096450000}"/>
    <cellStyle name="Normal 79 11 12" xfId="17810" xr:uid="{00000000-0005-0000-0000-000097450000}"/>
    <cellStyle name="Normal 79 11 13" xfId="17811" xr:uid="{00000000-0005-0000-0000-000098450000}"/>
    <cellStyle name="Normal 79 11 2" xfId="17812" xr:uid="{00000000-0005-0000-0000-000099450000}"/>
    <cellStyle name="Normal 79 11 2 10" xfId="17813" xr:uid="{00000000-0005-0000-0000-00009A450000}"/>
    <cellStyle name="Normal 79 11 2 11" xfId="17814" xr:uid="{00000000-0005-0000-0000-00009B450000}"/>
    <cellStyle name="Normal 79 11 2 2" xfId="17815" xr:uid="{00000000-0005-0000-0000-00009C450000}"/>
    <cellStyle name="Normal 79 11 2 3" xfId="17816" xr:uid="{00000000-0005-0000-0000-00009D450000}"/>
    <cellStyle name="Normal 79 11 2 4" xfId="17817" xr:uid="{00000000-0005-0000-0000-00009E450000}"/>
    <cellStyle name="Normal 79 11 2 5" xfId="17818" xr:uid="{00000000-0005-0000-0000-00009F450000}"/>
    <cellStyle name="Normal 79 11 2 6" xfId="17819" xr:uid="{00000000-0005-0000-0000-0000A0450000}"/>
    <cellStyle name="Normal 79 11 2 7" xfId="17820" xr:uid="{00000000-0005-0000-0000-0000A1450000}"/>
    <cellStyle name="Normal 79 11 2 8" xfId="17821" xr:uid="{00000000-0005-0000-0000-0000A2450000}"/>
    <cellStyle name="Normal 79 11 2 9" xfId="17822" xr:uid="{00000000-0005-0000-0000-0000A3450000}"/>
    <cellStyle name="Normal 79 11 3" xfId="17823" xr:uid="{00000000-0005-0000-0000-0000A4450000}"/>
    <cellStyle name="Normal 79 11 4" xfId="17824" xr:uid="{00000000-0005-0000-0000-0000A5450000}"/>
    <cellStyle name="Normal 79 11 5" xfId="17825" xr:uid="{00000000-0005-0000-0000-0000A6450000}"/>
    <cellStyle name="Normal 79 11 6" xfId="17826" xr:uid="{00000000-0005-0000-0000-0000A7450000}"/>
    <cellStyle name="Normal 79 11 7" xfId="17827" xr:uid="{00000000-0005-0000-0000-0000A8450000}"/>
    <cellStyle name="Normal 79 11 8" xfId="17828" xr:uid="{00000000-0005-0000-0000-0000A9450000}"/>
    <cellStyle name="Normal 79 11 9" xfId="17829" xr:uid="{00000000-0005-0000-0000-0000AA450000}"/>
    <cellStyle name="Normal 79 12" xfId="17830" xr:uid="{00000000-0005-0000-0000-0000AB450000}"/>
    <cellStyle name="Normal 79 12 10" xfId="17831" xr:uid="{00000000-0005-0000-0000-0000AC450000}"/>
    <cellStyle name="Normal 79 12 11" xfId="17832" xr:uid="{00000000-0005-0000-0000-0000AD450000}"/>
    <cellStyle name="Normal 79 12 12" xfId="17833" xr:uid="{00000000-0005-0000-0000-0000AE450000}"/>
    <cellStyle name="Normal 79 12 13" xfId="17834" xr:uid="{00000000-0005-0000-0000-0000AF450000}"/>
    <cellStyle name="Normal 79 12 2" xfId="17835" xr:uid="{00000000-0005-0000-0000-0000B0450000}"/>
    <cellStyle name="Normal 79 12 2 10" xfId="17836" xr:uid="{00000000-0005-0000-0000-0000B1450000}"/>
    <cellStyle name="Normal 79 12 2 11" xfId="17837" xr:uid="{00000000-0005-0000-0000-0000B2450000}"/>
    <cellStyle name="Normal 79 12 2 2" xfId="17838" xr:uid="{00000000-0005-0000-0000-0000B3450000}"/>
    <cellStyle name="Normal 79 12 2 3" xfId="17839" xr:uid="{00000000-0005-0000-0000-0000B4450000}"/>
    <cellStyle name="Normal 79 12 2 4" xfId="17840" xr:uid="{00000000-0005-0000-0000-0000B5450000}"/>
    <cellStyle name="Normal 79 12 2 5" xfId="17841" xr:uid="{00000000-0005-0000-0000-0000B6450000}"/>
    <cellStyle name="Normal 79 12 2 6" xfId="17842" xr:uid="{00000000-0005-0000-0000-0000B7450000}"/>
    <cellStyle name="Normal 79 12 2 7" xfId="17843" xr:uid="{00000000-0005-0000-0000-0000B8450000}"/>
    <cellStyle name="Normal 79 12 2 8" xfId="17844" xr:uid="{00000000-0005-0000-0000-0000B9450000}"/>
    <cellStyle name="Normal 79 12 2 9" xfId="17845" xr:uid="{00000000-0005-0000-0000-0000BA450000}"/>
    <cellStyle name="Normal 79 12 3" xfId="17846" xr:uid="{00000000-0005-0000-0000-0000BB450000}"/>
    <cellStyle name="Normal 79 12 4" xfId="17847" xr:uid="{00000000-0005-0000-0000-0000BC450000}"/>
    <cellStyle name="Normal 79 12 5" xfId="17848" xr:uid="{00000000-0005-0000-0000-0000BD450000}"/>
    <cellStyle name="Normal 79 12 6" xfId="17849" xr:uid="{00000000-0005-0000-0000-0000BE450000}"/>
    <cellStyle name="Normal 79 12 7" xfId="17850" xr:uid="{00000000-0005-0000-0000-0000BF450000}"/>
    <cellStyle name="Normal 79 12 8" xfId="17851" xr:uid="{00000000-0005-0000-0000-0000C0450000}"/>
    <cellStyle name="Normal 79 12 9" xfId="17852" xr:uid="{00000000-0005-0000-0000-0000C1450000}"/>
    <cellStyle name="Normal 79 13" xfId="17853" xr:uid="{00000000-0005-0000-0000-0000C2450000}"/>
    <cellStyle name="Normal 79 13 10" xfId="17854" xr:uid="{00000000-0005-0000-0000-0000C3450000}"/>
    <cellStyle name="Normal 79 13 11" xfId="17855" xr:uid="{00000000-0005-0000-0000-0000C4450000}"/>
    <cellStyle name="Normal 79 13 12" xfId="17856" xr:uid="{00000000-0005-0000-0000-0000C5450000}"/>
    <cellStyle name="Normal 79 13 13" xfId="17857" xr:uid="{00000000-0005-0000-0000-0000C6450000}"/>
    <cellStyle name="Normal 79 13 2" xfId="17858" xr:uid="{00000000-0005-0000-0000-0000C7450000}"/>
    <cellStyle name="Normal 79 13 2 10" xfId="17859" xr:uid="{00000000-0005-0000-0000-0000C8450000}"/>
    <cellStyle name="Normal 79 13 2 11" xfId="17860" xr:uid="{00000000-0005-0000-0000-0000C9450000}"/>
    <cellStyle name="Normal 79 13 2 2" xfId="17861" xr:uid="{00000000-0005-0000-0000-0000CA450000}"/>
    <cellStyle name="Normal 79 13 2 3" xfId="17862" xr:uid="{00000000-0005-0000-0000-0000CB450000}"/>
    <cellStyle name="Normal 79 13 2 4" xfId="17863" xr:uid="{00000000-0005-0000-0000-0000CC450000}"/>
    <cellStyle name="Normal 79 13 2 5" xfId="17864" xr:uid="{00000000-0005-0000-0000-0000CD450000}"/>
    <cellStyle name="Normal 79 13 2 6" xfId="17865" xr:uid="{00000000-0005-0000-0000-0000CE450000}"/>
    <cellStyle name="Normal 79 13 2 7" xfId="17866" xr:uid="{00000000-0005-0000-0000-0000CF450000}"/>
    <cellStyle name="Normal 79 13 2 8" xfId="17867" xr:uid="{00000000-0005-0000-0000-0000D0450000}"/>
    <cellStyle name="Normal 79 13 2 9" xfId="17868" xr:uid="{00000000-0005-0000-0000-0000D1450000}"/>
    <cellStyle name="Normal 79 13 3" xfId="17869" xr:uid="{00000000-0005-0000-0000-0000D2450000}"/>
    <cellStyle name="Normal 79 13 4" xfId="17870" xr:uid="{00000000-0005-0000-0000-0000D3450000}"/>
    <cellStyle name="Normal 79 13 5" xfId="17871" xr:uid="{00000000-0005-0000-0000-0000D4450000}"/>
    <cellStyle name="Normal 79 13 6" xfId="17872" xr:uid="{00000000-0005-0000-0000-0000D5450000}"/>
    <cellStyle name="Normal 79 13 7" xfId="17873" xr:uid="{00000000-0005-0000-0000-0000D6450000}"/>
    <cellStyle name="Normal 79 13 8" xfId="17874" xr:uid="{00000000-0005-0000-0000-0000D7450000}"/>
    <cellStyle name="Normal 79 13 9" xfId="17875" xr:uid="{00000000-0005-0000-0000-0000D8450000}"/>
    <cellStyle name="Normal 79 14" xfId="17876" xr:uid="{00000000-0005-0000-0000-0000D9450000}"/>
    <cellStyle name="Normal 79 14 10" xfId="17877" xr:uid="{00000000-0005-0000-0000-0000DA450000}"/>
    <cellStyle name="Normal 79 14 11" xfId="17878" xr:uid="{00000000-0005-0000-0000-0000DB450000}"/>
    <cellStyle name="Normal 79 14 2" xfId="17879" xr:uid="{00000000-0005-0000-0000-0000DC450000}"/>
    <cellStyle name="Normal 79 14 3" xfId="17880" xr:uid="{00000000-0005-0000-0000-0000DD450000}"/>
    <cellStyle name="Normal 79 14 4" xfId="17881" xr:uid="{00000000-0005-0000-0000-0000DE450000}"/>
    <cellStyle name="Normal 79 14 5" xfId="17882" xr:uid="{00000000-0005-0000-0000-0000DF450000}"/>
    <cellStyle name="Normal 79 14 6" xfId="17883" xr:uid="{00000000-0005-0000-0000-0000E0450000}"/>
    <cellStyle name="Normal 79 14 7" xfId="17884" xr:uid="{00000000-0005-0000-0000-0000E1450000}"/>
    <cellStyle name="Normal 79 14 8" xfId="17885" xr:uid="{00000000-0005-0000-0000-0000E2450000}"/>
    <cellStyle name="Normal 79 14 9" xfId="17886" xr:uid="{00000000-0005-0000-0000-0000E3450000}"/>
    <cellStyle name="Normal 79 15" xfId="17887" xr:uid="{00000000-0005-0000-0000-0000E4450000}"/>
    <cellStyle name="Normal 79 16" xfId="17888" xr:uid="{00000000-0005-0000-0000-0000E5450000}"/>
    <cellStyle name="Normal 79 17" xfId="17889" xr:uid="{00000000-0005-0000-0000-0000E6450000}"/>
    <cellStyle name="Normal 79 18" xfId="17890" xr:uid="{00000000-0005-0000-0000-0000E7450000}"/>
    <cellStyle name="Normal 79 19" xfId="17891" xr:uid="{00000000-0005-0000-0000-0000E8450000}"/>
    <cellStyle name="Normal 79 2" xfId="17892" xr:uid="{00000000-0005-0000-0000-0000E9450000}"/>
    <cellStyle name="Normal 79 2 10" xfId="17893" xr:uid="{00000000-0005-0000-0000-0000EA450000}"/>
    <cellStyle name="Normal 79 2 11" xfId="17894" xr:uid="{00000000-0005-0000-0000-0000EB450000}"/>
    <cellStyle name="Normal 79 2 12" xfId="17895" xr:uid="{00000000-0005-0000-0000-0000EC450000}"/>
    <cellStyle name="Normal 79 2 13" xfId="17896" xr:uid="{00000000-0005-0000-0000-0000ED450000}"/>
    <cellStyle name="Normal 79 2 2" xfId="17897" xr:uid="{00000000-0005-0000-0000-0000EE450000}"/>
    <cellStyle name="Normal 79 2 2 10" xfId="17898" xr:uid="{00000000-0005-0000-0000-0000EF450000}"/>
    <cellStyle name="Normal 79 2 2 11" xfId="17899" xr:uid="{00000000-0005-0000-0000-0000F0450000}"/>
    <cellStyle name="Normal 79 2 2 2" xfId="17900" xr:uid="{00000000-0005-0000-0000-0000F1450000}"/>
    <cellStyle name="Normal 79 2 2 3" xfId="17901" xr:uid="{00000000-0005-0000-0000-0000F2450000}"/>
    <cellStyle name="Normal 79 2 2 4" xfId="17902" xr:uid="{00000000-0005-0000-0000-0000F3450000}"/>
    <cellStyle name="Normal 79 2 2 5" xfId="17903" xr:uid="{00000000-0005-0000-0000-0000F4450000}"/>
    <cellStyle name="Normal 79 2 2 6" xfId="17904" xr:uid="{00000000-0005-0000-0000-0000F5450000}"/>
    <cellStyle name="Normal 79 2 2 7" xfId="17905" xr:uid="{00000000-0005-0000-0000-0000F6450000}"/>
    <cellStyle name="Normal 79 2 2 8" xfId="17906" xr:uid="{00000000-0005-0000-0000-0000F7450000}"/>
    <cellStyle name="Normal 79 2 2 9" xfId="17907" xr:uid="{00000000-0005-0000-0000-0000F8450000}"/>
    <cellStyle name="Normal 79 2 3" xfId="17908" xr:uid="{00000000-0005-0000-0000-0000F9450000}"/>
    <cellStyle name="Normal 79 2 4" xfId="17909" xr:uid="{00000000-0005-0000-0000-0000FA450000}"/>
    <cellStyle name="Normal 79 2 5" xfId="17910" xr:uid="{00000000-0005-0000-0000-0000FB450000}"/>
    <cellStyle name="Normal 79 2 6" xfId="17911" xr:uid="{00000000-0005-0000-0000-0000FC450000}"/>
    <cellStyle name="Normal 79 2 7" xfId="17912" xr:uid="{00000000-0005-0000-0000-0000FD450000}"/>
    <cellStyle name="Normal 79 2 8" xfId="17913" xr:uid="{00000000-0005-0000-0000-0000FE450000}"/>
    <cellStyle name="Normal 79 2 9" xfId="17914" xr:uid="{00000000-0005-0000-0000-0000FF450000}"/>
    <cellStyle name="Normal 79 20" xfId="17915" xr:uid="{00000000-0005-0000-0000-000000460000}"/>
    <cellStyle name="Normal 79 21" xfId="17916" xr:uid="{00000000-0005-0000-0000-000001460000}"/>
    <cellStyle name="Normal 79 22" xfId="17917" xr:uid="{00000000-0005-0000-0000-000002460000}"/>
    <cellStyle name="Normal 79 23" xfId="17918" xr:uid="{00000000-0005-0000-0000-000003460000}"/>
    <cellStyle name="Normal 79 24" xfId="17919" xr:uid="{00000000-0005-0000-0000-000004460000}"/>
    <cellStyle name="Normal 79 25" xfId="17920" xr:uid="{00000000-0005-0000-0000-000005460000}"/>
    <cellStyle name="Normal 79 3" xfId="17921" xr:uid="{00000000-0005-0000-0000-000006460000}"/>
    <cellStyle name="Normal 79 3 10" xfId="17922" xr:uid="{00000000-0005-0000-0000-000007460000}"/>
    <cellStyle name="Normal 79 3 11" xfId="17923" xr:uid="{00000000-0005-0000-0000-000008460000}"/>
    <cellStyle name="Normal 79 3 12" xfId="17924" xr:uid="{00000000-0005-0000-0000-000009460000}"/>
    <cellStyle name="Normal 79 3 13" xfId="17925" xr:uid="{00000000-0005-0000-0000-00000A460000}"/>
    <cellStyle name="Normal 79 3 2" xfId="17926" xr:uid="{00000000-0005-0000-0000-00000B460000}"/>
    <cellStyle name="Normal 79 3 2 10" xfId="17927" xr:uid="{00000000-0005-0000-0000-00000C460000}"/>
    <cellStyle name="Normal 79 3 2 11" xfId="17928" xr:uid="{00000000-0005-0000-0000-00000D460000}"/>
    <cellStyle name="Normal 79 3 2 2" xfId="17929" xr:uid="{00000000-0005-0000-0000-00000E460000}"/>
    <cellStyle name="Normal 79 3 2 3" xfId="17930" xr:uid="{00000000-0005-0000-0000-00000F460000}"/>
    <cellStyle name="Normal 79 3 2 4" xfId="17931" xr:uid="{00000000-0005-0000-0000-000010460000}"/>
    <cellStyle name="Normal 79 3 2 5" xfId="17932" xr:uid="{00000000-0005-0000-0000-000011460000}"/>
    <cellStyle name="Normal 79 3 2 6" xfId="17933" xr:uid="{00000000-0005-0000-0000-000012460000}"/>
    <cellStyle name="Normal 79 3 2 7" xfId="17934" xr:uid="{00000000-0005-0000-0000-000013460000}"/>
    <cellStyle name="Normal 79 3 2 8" xfId="17935" xr:uid="{00000000-0005-0000-0000-000014460000}"/>
    <cellStyle name="Normal 79 3 2 9" xfId="17936" xr:uid="{00000000-0005-0000-0000-000015460000}"/>
    <cellStyle name="Normal 79 3 3" xfId="17937" xr:uid="{00000000-0005-0000-0000-000016460000}"/>
    <cellStyle name="Normal 79 3 4" xfId="17938" xr:uid="{00000000-0005-0000-0000-000017460000}"/>
    <cellStyle name="Normal 79 3 5" xfId="17939" xr:uid="{00000000-0005-0000-0000-000018460000}"/>
    <cellStyle name="Normal 79 3 6" xfId="17940" xr:uid="{00000000-0005-0000-0000-000019460000}"/>
    <cellStyle name="Normal 79 3 7" xfId="17941" xr:uid="{00000000-0005-0000-0000-00001A460000}"/>
    <cellStyle name="Normal 79 3 8" xfId="17942" xr:uid="{00000000-0005-0000-0000-00001B460000}"/>
    <cellStyle name="Normal 79 3 9" xfId="17943" xr:uid="{00000000-0005-0000-0000-00001C460000}"/>
    <cellStyle name="Normal 79 4" xfId="17944" xr:uid="{00000000-0005-0000-0000-00001D460000}"/>
    <cellStyle name="Normal 79 4 10" xfId="17945" xr:uid="{00000000-0005-0000-0000-00001E460000}"/>
    <cellStyle name="Normal 79 4 11" xfId="17946" xr:uid="{00000000-0005-0000-0000-00001F460000}"/>
    <cellStyle name="Normal 79 4 12" xfId="17947" xr:uid="{00000000-0005-0000-0000-000020460000}"/>
    <cellStyle name="Normal 79 4 13" xfId="17948" xr:uid="{00000000-0005-0000-0000-000021460000}"/>
    <cellStyle name="Normal 79 4 2" xfId="17949" xr:uid="{00000000-0005-0000-0000-000022460000}"/>
    <cellStyle name="Normal 79 4 2 10" xfId="17950" xr:uid="{00000000-0005-0000-0000-000023460000}"/>
    <cellStyle name="Normal 79 4 2 11" xfId="17951" xr:uid="{00000000-0005-0000-0000-000024460000}"/>
    <cellStyle name="Normal 79 4 2 2" xfId="17952" xr:uid="{00000000-0005-0000-0000-000025460000}"/>
    <cellStyle name="Normal 79 4 2 3" xfId="17953" xr:uid="{00000000-0005-0000-0000-000026460000}"/>
    <cellStyle name="Normal 79 4 2 4" xfId="17954" xr:uid="{00000000-0005-0000-0000-000027460000}"/>
    <cellStyle name="Normal 79 4 2 5" xfId="17955" xr:uid="{00000000-0005-0000-0000-000028460000}"/>
    <cellStyle name="Normal 79 4 2 6" xfId="17956" xr:uid="{00000000-0005-0000-0000-000029460000}"/>
    <cellStyle name="Normal 79 4 2 7" xfId="17957" xr:uid="{00000000-0005-0000-0000-00002A460000}"/>
    <cellStyle name="Normal 79 4 2 8" xfId="17958" xr:uid="{00000000-0005-0000-0000-00002B460000}"/>
    <cellStyle name="Normal 79 4 2 9" xfId="17959" xr:uid="{00000000-0005-0000-0000-00002C460000}"/>
    <cellStyle name="Normal 79 4 3" xfId="17960" xr:uid="{00000000-0005-0000-0000-00002D460000}"/>
    <cellStyle name="Normal 79 4 4" xfId="17961" xr:uid="{00000000-0005-0000-0000-00002E460000}"/>
    <cellStyle name="Normal 79 4 5" xfId="17962" xr:uid="{00000000-0005-0000-0000-00002F460000}"/>
    <cellStyle name="Normal 79 4 6" xfId="17963" xr:uid="{00000000-0005-0000-0000-000030460000}"/>
    <cellStyle name="Normal 79 4 7" xfId="17964" xr:uid="{00000000-0005-0000-0000-000031460000}"/>
    <cellStyle name="Normal 79 4 8" xfId="17965" xr:uid="{00000000-0005-0000-0000-000032460000}"/>
    <cellStyle name="Normal 79 4 9" xfId="17966" xr:uid="{00000000-0005-0000-0000-000033460000}"/>
    <cellStyle name="Normal 79 5" xfId="17967" xr:uid="{00000000-0005-0000-0000-000034460000}"/>
    <cellStyle name="Normal 79 5 10" xfId="17968" xr:uid="{00000000-0005-0000-0000-000035460000}"/>
    <cellStyle name="Normal 79 5 11" xfId="17969" xr:uid="{00000000-0005-0000-0000-000036460000}"/>
    <cellStyle name="Normal 79 5 12" xfId="17970" xr:uid="{00000000-0005-0000-0000-000037460000}"/>
    <cellStyle name="Normal 79 5 13" xfId="17971" xr:uid="{00000000-0005-0000-0000-000038460000}"/>
    <cellStyle name="Normal 79 5 2" xfId="17972" xr:uid="{00000000-0005-0000-0000-000039460000}"/>
    <cellStyle name="Normal 79 5 2 10" xfId="17973" xr:uid="{00000000-0005-0000-0000-00003A460000}"/>
    <cellStyle name="Normal 79 5 2 11" xfId="17974" xr:uid="{00000000-0005-0000-0000-00003B460000}"/>
    <cellStyle name="Normal 79 5 2 2" xfId="17975" xr:uid="{00000000-0005-0000-0000-00003C460000}"/>
    <cellStyle name="Normal 79 5 2 3" xfId="17976" xr:uid="{00000000-0005-0000-0000-00003D460000}"/>
    <cellStyle name="Normal 79 5 2 4" xfId="17977" xr:uid="{00000000-0005-0000-0000-00003E460000}"/>
    <cellStyle name="Normal 79 5 2 5" xfId="17978" xr:uid="{00000000-0005-0000-0000-00003F460000}"/>
    <cellStyle name="Normal 79 5 2 6" xfId="17979" xr:uid="{00000000-0005-0000-0000-000040460000}"/>
    <cellStyle name="Normal 79 5 2 7" xfId="17980" xr:uid="{00000000-0005-0000-0000-000041460000}"/>
    <cellStyle name="Normal 79 5 2 8" xfId="17981" xr:uid="{00000000-0005-0000-0000-000042460000}"/>
    <cellStyle name="Normal 79 5 2 9" xfId="17982" xr:uid="{00000000-0005-0000-0000-000043460000}"/>
    <cellStyle name="Normal 79 5 3" xfId="17983" xr:uid="{00000000-0005-0000-0000-000044460000}"/>
    <cellStyle name="Normal 79 5 4" xfId="17984" xr:uid="{00000000-0005-0000-0000-000045460000}"/>
    <cellStyle name="Normal 79 5 5" xfId="17985" xr:uid="{00000000-0005-0000-0000-000046460000}"/>
    <cellStyle name="Normal 79 5 6" xfId="17986" xr:uid="{00000000-0005-0000-0000-000047460000}"/>
    <cellStyle name="Normal 79 5 7" xfId="17987" xr:uid="{00000000-0005-0000-0000-000048460000}"/>
    <cellStyle name="Normal 79 5 8" xfId="17988" xr:uid="{00000000-0005-0000-0000-000049460000}"/>
    <cellStyle name="Normal 79 5 9" xfId="17989" xr:uid="{00000000-0005-0000-0000-00004A460000}"/>
    <cellStyle name="Normal 79 6" xfId="17990" xr:uid="{00000000-0005-0000-0000-00004B460000}"/>
    <cellStyle name="Normal 79 6 10" xfId="17991" xr:uid="{00000000-0005-0000-0000-00004C460000}"/>
    <cellStyle name="Normal 79 6 11" xfId="17992" xr:uid="{00000000-0005-0000-0000-00004D460000}"/>
    <cellStyle name="Normal 79 6 12" xfId="17993" xr:uid="{00000000-0005-0000-0000-00004E460000}"/>
    <cellStyle name="Normal 79 6 13" xfId="17994" xr:uid="{00000000-0005-0000-0000-00004F460000}"/>
    <cellStyle name="Normal 79 6 2" xfId="17995" xr:uid="{00000000-0005-0000-0000-000050460000}"/>
    <cellStyle name="Normal 79 6 2 10" xfId="17996" xr:uid="{00000000-0005-0000-0000-000051460000}"/>
    <cellStyle name="Normal 79 6 2 11" xfId="17997" xr:uid="{00000000-0005-0000-0000-000052460000}"/>
    <cellStyle name="Normal 79 6 2 2" xfId="17998" xr:uid="{00000000-0005-0000-0000-000053460000}"/>
    <cellStyle name="Normal 79 6 2 3" xfId="17999" xr:uid="{00000000-0005-0000-0000-000054460000}"/>
    <cellStyle name="Normal 79 6 2 4" xfId="18000" xr:uid="{00000000-0005-0000-0000-000055460000}"/>
    <cellStyle name="Normal 79 6 2 5" xfId="18001" xr:uid="{00000000-0005-0000-0000-000056460000}"/>
    <cellStyle name="Normal 79 6 2 6" xfId="18002" xr:uid="{00000000-0005-0000-0000-000057460000}"/>
    <cellStyle name="Normal 79 6 2 7" xfId="18003" xr:uid="{00000000-0005-0000-0000-000058460000}"/>
    <cellStyle name="Normal 79 6 2 8" xfId="18004" xr:uid="{00000000-0005-0000-0000-000059460000}"/>
    <cellStyle name="Normal 79 6 2 9" xfId="18005" xr:uid="{00000000-0005-0000-0000-00005A460000}"/>
    <cellStyle name="Normal 79 6 3" xfId="18006" xr:uid="{00000000-0005-0000-0000-00005B460000}"/>
    <cellStyle name="Normal 79 6 4" xfId="18007" xr:uid="{00000000-0005-0000-0000-00005C460000}"/>
    <cellStyle name="Normal 79 6 5" xfId="18008" xr:uid="{00000000-0005-0000-0000-00005D460000}"/>
    <cellStyle name="Normal 79 6 6" xfId="18009" xr:uid="{00000000-0005-0000-0000-00005E460000}"/>
    <cellStyle name="Normal 79 6 7" xfId="18010" xr:uid="{00000000-0005-0000-0000-00005F460000}"/>
    <cellStyle name="Normal 79 6 8" xfId="18011" xr:uid="{00000000-0005-0000-0000-000060460000}"/>
    <cellStyle name="Normal 79 6 9" xfId="18012" xr:uid="{00000000-0005-0000-0000-000061460000}"/>
    <cellStyle name="Normal 79 7" xfId="18013" xr:uid="{00000000-0005-0000-0000-000062460000}"/>
    <cellStyle name="Normal 79 7 10" xfId="18014" xr:uid="{00000000-0005-0000-0000-000063460000}"/>
    <cellStyle name="Normal 79 7 11" xfId="18015" xr:uid="{00000000-0005-0000-0000-000064460000}"/>
    <cellStyle name="Normal 79 7 12" xfId="18016" xr:uid="{00000000-0005-0000-0000-000065460000}"/>
    <cellStyle name="Normal 79 7 13" xfId="18017" xr:uid="{00000000-0005-0000-0000-000066460000}"/>
    <cellStyle name="Normal 79 7 2" xfId="18018" xr:uid="{00000000-0005-0000-0000-000067460000}"/>
    <cellStyle name="Normal 79 7 2 10" xfId="18019" xr:uid="{00000000-0005-0000-0000-000068460000}"/>
    <cellStyle name="Normal 79 7 2 11" xfId="18020" xr:uid="{00000000-0005-0000-0000-000069460000}"/>
    <cellStyle name="Normal 79 7 2 2" xfId="18021" xr:uid="{00000000-0005-0000-0000-00006A460000}"/>
    <cellStyle name="Normal 79 7 2 3" xfId="18022" xr:uid="{00000000-0005-0000-0000-00006B460000}"/>
    <cellStyle name="Normal 79 7 2 4" xfId="18023" xr:uid="{00000000-0005-0000-0000-00006C460000}"/>
    <cellStyle name="Normal 79 7 2 5" xfId="18024" xr:uid="{00000000-0005-0000-0000-00006D460000}"/>
    <cellStyle name="Normal 79 7 2 6" xfId="18025" xr:uid="{00000000-0005-0000-0000-00006E460000}"/>
    <cellStyle name="Normal 79 7 2 7" xfId="18026" xr:uid="{00000000-0005-0000-0000-00006F460000}"/>
    <cellStyle name="Normal 79 7 2 8" xfId="18027" xr:uid="{00000000-0005-0000-0000-000070460000}"/>
    <cellStyle name="Normal 79 7 2 9" xfId="18028" xr:uid="{00000000-0005-0000-0000-000071460000}"/>
    <cellStyle name="Normal 79 7 3" xfId="18029" xr:uid="{00000000-0005-0000-0000-000072460000}"/>
    <cellStyle name="Normal 79 7 4" xfId="18030" xr:uid="{00000000-0005-0000-0000-000073460000}"/>
    <cellStyle name="Normal 79 7 5" xfId="18031" xr:uid="{00000000-0005-0000-0000-000074460000}"/>
    <cellStyle name="Normal 79 7 6" xfId="18032" xr:uid="{00000000-0005-0000-0000-000075460000}"/>
    <cellStyle name="Normal 79 7 7" xfId="18033" xr:uid="{00000000-0005-0000-0000-000076460000}"/>
    <cellStyle name="Normal 79 7 8" xfId="18034" xr:uid="{00000000-0005-0000-0000-000077460000}"/>
    <cellStyle name="Normal 79 7 9" xfId="18035" xr:uid="{00000000-0005-0000-0000-000078460000}"/>
    <cellStyle name="Normal 79 8" xfId="18036" xr:uid="{00000000-0005-0000-0000-000079460000}"/>
    <cellStyle name="Normal 79 8 10" xfId="18037" xr:uid="{00000000-0005-0000-0000-00007A460000}"/>
    <cellStyle name="Normal 79 8 11" xfId="18038" xr:uid="{00000000-0005-0000-0000-00007B460000}"/>
    <cellStyle name="Normal 79 8 12" xfId="18039" xr:uid="{00000000-0005-0000-0000-00007C460000}"/>
    <cellStyle name="Normal 79 8 13" xfId="18040" xr:uid="{00000000-0005-0000-0000-00007D460000}"/>
    <cellStyle name="Normal 79 8 2" xfId="18041" xr:uid="{00000000-0005-0000-0000-00007E460000}"/>
    <cellStyle name="Normal 79 8 2 10" xfId="18042" xr:uid="{00000000-0005-0000-0000-00007F460000}"/>
    <cellStyle name="Normal 79 8 2 11" xfId="18043" xr:uid="{00000000-0005-0000-0000-000080460000}"/>
    <cellStyle name="Normal 79 8 2 2" xfId="18044" xr:uid="{00000000-0005-0000-0000-000081460000}"/>
    <cellStyle name="Normal 79 8 2 3" xfId="18045" xr:uid="{00000000-0005-0000-0000-000082460000}"/>
    <cellStyle name="Normal 79 8 2 4" xfId="18046" xr:uid="{00000000-0005-0000-0000-000083460000}"/>
    <cellStyle name="Normal 79 8 2 5" xfId="18047" xr:uid="{00000000-0005-0000-0000-000084460000}"/>
    <cellStyle name="Normal 79 8 2 6" xfId="18048" xr:uid="{00000000-0005-0000-0000-000085460000}"/>
    <cellStyle name="Normal 79 8 2 7" xfId="18049" xr:uid="{00000000-0005-0000-0000-000086460000}"/>
    <cellStyle name="Normal 79 8 2 8" xfId="18050" xr:uid="{00000000-0005-0000-0000-000087460000}"/>
    <cellStyle name="Normal 79 8 2 9" xfId="18051" xr:uid="{00000000-0005-0000-0000-000088460000}"/>
    <cellStyle name="Normal 79 8 3" xfId="18052" xr:uid="{00000000-0005-0000-0000-000089460000}"/>
    <cellStyle name="Normal 79 8 4" xfId="18053" xr:uid="{00000000-0005-0000-0000-00008A460000}"/>
    <cellStyle name="Normal 79 8 5" xfId="18054" xr:uid="{00000000-0005-0000-0000-00008B460000}"/>
    <cellStyle name="Normal 79 8 6" xfId="18055" xr:uid="{00000000-0005-0000-0000-00008C460000}"/>
    <cellStyle name="Normal 79 8 7" xfId="18056" xr:uid="{00000000-0005-0000-0000-00008D460000}"/>
    <cellStyle name="Normal 79 8 8" xfId="18057" xr:uid="{00000000-0005-0000-0000-00008E460000}"/>
    <cellStyle name="Normal 79 8 9" xfId="18058" xr:uid="{00000000-0005-0000-0000-00008F460000}"/>
    <cellStyle name="Normal 79 9" xfId="18059" xr:uid="{00000000-0005-0000-0000-000090460000}"/>
    <cellStyle name="Normal 79 9 10" xfId="18060" xr:uid="{00000000-0005-0000-0000-000091460000}"/>
    <cellStyle name="Normal 79 9 11" xfId="18061" xr:uid="{00000000-0005-0000-0000-000092460000}"/>
    <cellStyle name="Normal 79 9 12" xfId="18062" xr:uid="{00000000-0005-0000-0000-000093460000}"/>
    <cellStyle name="Normal 79 9 13" xfId="18063" xr:uid="{00000000-0005-0000-0000-000094460000}"/>
    <cellStyle name="Normal 79 9 2" xfId="18064" xr:uid="{00000000-0005-0000-0000-000095460000}"/>
    <cellStyle name="Normal 79 9 2 10" xfId="18065" xr:uid="{00000000-0005-0000-0000-000096460000}"/>
    <cellStyle name="Normal 79 9 2 11" xfId="18066" xr:uid="{00000000-0005-0000-0000-000097460000}"/>
    <cellStyle name="Normal 79 9 2 2" xfId="18067" xr:uid="{00000000-0005-0000-0000-000098460000}"/>
    <cellStyle name="Normal 79 9 2 3" xfId="18068" xr:uid="{00000000-0005-0000-0000-000099460000}"/>
    <cellStyle name="Normal 79 9 2 4" xfId="18069" xr:uid="{00000000-0005-0000-0000-00009A460000}"/>
    <cellStyle name="Normal 79 9 2 5" xfId="18070" xr:uid="{00000000-0005-0000-0000-00009B460000}"/>
    <cellStyle name="Normal 79 9 2 6" xfId="18071" xr:uid="{00000000-0005-0000-0000-00009C460000}"/>
    <cellStyle name="Normal 79 9 2 7" xfId="18072" xr:uid="{00000000-0005-0000-0000-00009D460000}"/>
    <cellStyle name="Normal 79 9 2 8" xfId="18073" xr:uid="{00000000-0005-0000-0000-00009E460000}"/>
    <cellStyle name="Normal 79 9 2 9" xfId="18074" xr:uid="{00000000-0005-0000-0000-00009F460000}"/>
    <cellStyle name="Normal 79 9 3" xfId="18075" xr:uid="{00000000-0005-0000-0000-0000A0460000}"/>
    <cellStyle name="Normal 79 9 4" xfId="18076" xr:uid="{00000000-0005-0000-0000-0000A1460000}"/>
    <cellStyle name="Normal 79 9 5" xfId="18077" xr:uid="{00000000-0005-0000-0000-0000A2460000}"/>
    <cellStyle name="Normal 79 9 6" xfId="18078" xr:uid="{00000000-0005-0000-0000-0000A3460000}"/>
    <cellStyle name="Normal 79 9 7" xfId="18079" xr:uid="{00000000-0005-0000-0000-0000A4460000}"/>
    <cellStyle name="Normal 79 9 8" xfId="18080" xr:uid="{00000000-0005-0000-0000-0000A5460000}"/>
    <cellStyle name="Normal 79 9 9" xfId="18081" xr:uid="{00000000-0005-0000-0000-0000A6460000}"/>
    <cellStyle name="Normal 8" xfId="18082" xr:uid="{00000000-0005-0000-0000-0000A7460000}"/>
    <cellStyle name="Normal 80" xfId="18083" xr:uid="{00000000-0005-0000-0000-0000A8460000}"/>
    <cellStyle name="Normal 80 10" xfId="18084" xr:uid="{00000000-0005-0000-0000-0000A9460000}"/>
    <cellStyle name="Normal 80 10 10" xfId="18085" xr:uid="{00000000-0005-0000-0000-0000AA460000}"/>
    <cellStyle name="Normal 80 10 11" xfId="18086" xr:uid="{00000000-0005-0000-0000-0000AB460000}"/>
    <cellStyle name="Normal 80 10 12" xfId="18087" xr:uid="{00000000-0005-0000-0000-0000AC460000}"/>
    <cellStyle name="Normal 80 10 13" xfId="18088" xr:uid="{00000000-0005-0000-0000-0000AD460000}"/>
    <cellStyle name="Normal 80 10 2" xfId="18089" xr:uid="{00000000-0005-0000-0000-0000AE460000}"/>
    <cellStyle name="Normal 80 10 2 10" xfId="18090" xr:uid="{00000000-0005-0000-0000-0000AF460000}"/>
    <cellStyle name="Normal 80 10 2 11" xfId="18091" xr:uid="{00000000-0005-0000-0000-0000B0460000}"/>
    <cellStyle name="Normal 80 10 2 2" xfId="18092" xr:uid="{00000000-0005-0000-0000-0000B1460000}"/>
    <cellStyle name="Normal 80 10 2 3" xfId="18093" xr:uid="{00000000-0005-0000-0000-0000B2460000}"/>
    <cellStyle name="Normal 80 10 2 4" xfId="18094" xr:uid="{00000000-0005-0000-0000-0000B3460000}"/>
    <cellStyle name="Normal 80 10 2 5" xfId="18095" xr:uid="{00000000-0005-0000-0000-0000B4460000}"/>
    <cellStyle name="Normal 80 10 2 6" xfId="18096" xr:uid="{00000000-0005-0000-0000-0000B5460000}"/>
    <cellStyle name="Normal 80 10 2 7" xfId="18097" xr:uid="{00000000-0005-0000-0000-0000B6460000}"/>
    <cellStyle name="Normal 80 10 2 8" xfId="18098" xr:uid="{00000000-0005-0000-0000-0000B7460000}"/>
    <cellStyle name="Normal 80 10 2 9" xfId="18099" xr:uid="{00000000-0005-0000-0000-0000B8460000}"/>
    <cellStyle name="Normal 80 10 3" xfId="18100" xr:uid="{00000000-0005-0000-0000-0000B9460000}"/>
    <cellStyle name="Normal 80 10 4" xfId="18101" xr:uid="{00000000-0005-0000-0000-0000BA460000}"/>
    <cellStyle name="Normal 80 10 5" xfId="18102" xr:uid="{00000000-0005-0000-0000-0000BB460000}"/>
    <cellStyle name="Normal 80 10 6" xfId="18103" xr:uid="{00000000-0005-0000-0000-0000BC460000}"/>
    <cellStyle name="Normal 80 10 7" xfId="18104" xr:uid="{00000000-0005-0000-0000-0000BD460000}"/>
    <cellStyle name="Normal 80 10 8" xfId="18105" xr:uid="{00000000-0005-0000-0000-0000BE460000}"/>
    <cellStyle name="Normal 80 10 9" xfId="18106" xr:uid="{00000000-0005-0000-0000-0000BF460000}"/>
    <cellStyle name="Normal 80 11" xfId="18107" xr:uid="{00000000-0005-0000-0000-0000C0460000}"/>
    <cellStyle name="Normal 80 11 10" xfId="18108" xr:uid="{00000000-0005-0000-0000-0000C1460000}"/>
    <cellStyle name="Normal 80 11 11" xfId="18109" xr:uid="{00000000-0005-0000-0000-0000C2460000}"/>
    <cellStyle name="Normal 80 11 12" xfId="18110" xr:uid="{00000000-0005-0000-0000-0000C3460000}"/>
    <cellStyle name="Normal 80 11 13" xfId="18111" xr:uid="{00000000-0005-0000-0000-0000C4460000}"/>
    <cellStyle name="Normal 80 11 2" xfId="18112" xr:uid="{00000000-0005-0000-0000-0000C5460000}"/>
    <cellStyle name="Normal 80 11 2 10" xfId="18113" xr:uid="{00000000-0005-0000-0000-0000C6460000}"/>
    <cellStyle name="Normal 80 11 2 11" xfId="18114" xr:uid="{00000000-0005-0000-0000-0000C7460000}"/>
    <cellStyle name="Normal 80 11 2 2" xfId="18115" xr:uid="{00000000-0005-0000-0000-0000C8460000}"/>
    <cellStyle name="Normal 80 11 2 3" xfId="18116" xr:uid="{00000000-0005-0000-0000-0000C9460000}"/>
    <cellStyle name="Normal 80 11 2 4" xfId="18117" xr:uid="{00000000-0005-0000-0000-0000CA460000}"/>
    <cellStyle name="Normal 80 11 2 5" xfId="18118" xr:uid="{00000000-0005-0000-0000-0000CB460000}"/>
    <cellStyle name="Normal 80 11 2 6" xfId="18119" xr:uid="{00000000-0005-0000-0000-0000CC460000}"/>
    <cellStyle name="Normal 80 11 2 7" xfId="18120" xr:uid="{00000000-0005-0000-0000-0000CD460000}"/>
    <cellStyle name="Normal 80 11 2 8" xfId="18121" xr:uid="{00000000-0005-0000-0000-0000CE460000}"/>
    <cellStyle name="Normal 80 11 2 9" xfId="18122" xr:uid="{00000000-0005-0000-0000-0000CF460000}"/>
    <cellStyle name="Normal 80 11 3" xfId="18123" xr:uid="{00000000-0005-0000-0000-0000D0460000}"/>
    <cellStyle name="Normal 80 11 4" xfId="18124" xr:uid="{00000000-0005-0000-0000-0000D1460000}"/>
    <cellStyle name="Normal 80 11 5" xfId="18125" xr:uid="{00000000-0005-0000-0000-0000D2460000}"/>
    <cellStyle name="Normal 80 11 6" xfId="18126" xr:uid="{00000000-0005-0000-0000-0000D3460000}"/>
    <cellStyle name="Normal 80 11 7" xfId="18127" xr:uid="{00000000-0005-0000-0000-0000D4460000}"/>
    <cellStyle name="Normal 80 11 8" xfId="18128" xr:uid="{00000000-0005-0000-0000-0000D5460000}"/>
    <cellStyle name="Normal 80 11 9" xfId="18129" xr:uid="{00000000-0005-0000-0000-0000D6460000}"/>
    <cellStyle name="Normal 80 12" xfId="18130" xr:uid="{00000000-0005-0000-0000-0000D7460000}"/>
    <cellStyle name="Normal 80 12 10" xfId="18131" xr:uid="{00000000-0005-0000-0000-0000D8460000}"/>
    <cellStyle name="Normal 80 12 11" xfId="18132" xr:uid="{00000000-0005-0000-0000-0000D9460000}"/>
    <cellStyle name="Normal 80 12 12" xfId="18133" xr:uid="{00000000-0005-0000-0000-0000DA460000}"/>
    <cellStyle name="Normal 80 12 13" xfId="18134" xr:uid="{00000000-0005-0000-0000-0000DB460000}"/>
    <cellStyle name="Normal 80 12 2" xfId="18135" xr:uid="{00000000-0005-0000-0000-0000DC460000}"/>
    <cellStyle name="Normal 80 12 2 10" xfId="18136" xr:uid="{00000000-0005-0000-0000-0000DD460000}"/>
    <cellStyle name="Normal 80 12 2 11" xfId="18137" xr:uid="{00000000-0005-0000-0000-0000DE460000}"/>
    <cellStyle name="Normal 80 12 2 2" xfId="18138" xr:uid="{00000000-0005-0000-0000-0000DF460000}"/>
    <cellStyle name="Normal 80 12 2 3" xfId="18139" xr:uid="{00000000-0005-0000-0000-0000E0460000}"/>
    <cellStyle name="Normal 80 12 2 4" xfId="18140" xr:uid="{00000000-0005-0000-0000-0000E1460000}"/>
    <cellStyle name="Normal 80 12 2 5" xfId="18141" xr:uid="{00000000-0005-0000-0000-0000E2460000}"/>
    <cellStyle name="Normal 80 12 2 6" xfId="18142" xr:uid="{00000000-0005-0000-0000-0000E3460000}"/>
    <cellStyle name="Normal 80 12 2 7" xfId="18143" xr:uid="{00000000-0005-0000-0000-0000E4460000}"/>
    <cellStyle name="Normal 80 12 2 8" xfId="18144" xr:uid="{00000000-0005-0000-0000-0000E5460000}"/>
    <cellStyle name="Normal 80 12 2 9" xfId="18145" xr:uid="{00000000-0005-0000-0000-0000E6460000}"/>
    <cellStyle name="Normal 80 12 3" xfId="18146" xr:uid="{00000000-0005-0000-0000-0000E7460000}"/>
    <cellStyle name="Normal 80 12 4" xfId="18147" xr:uid="{00000000-0005-0000-0000-0000E8460000}"/>
    <cellStyle name="Normal 80 12 5" xfId="18148" xr:uid="{00000000-0005-0000-0000-0000E9460000}"/>
    <cellStyle name="Normal 80 12 6" xfId="18149" xr:uid="{00000000-0005-0000-0000-0000EA460000}"/>
    <cellStyle name="Normal 80 12 7" xfId="18150" xr:uid="{00000000-0005-0000-0000-0000EB460000}"/>
    <cellStyle name="Normal 80 12 8" xfId="18151" xr:uid="{00000000-0005-0000-0000-0000EC460000}"/>
    <cellStyle name="Normal 80 12 9" xfId="18152" xr:uid="{00000000-0005-0000-0000-0000ED460000}"/>
    <cellStyle name="Normal 80 13" xfId="18153" xr:uid="{00000000-0005-0000-0000-0000EE460000}"/>
    <cellStyle name="Normal 80 13 10" xfId="18154" xr:uid="{00000000-0005-0000-0000-0000EF460000}"/>
    <cellStyle name="Normal 80 13 11" xfId="18155" xr:uid="{00000000-0005-0000-0000-0000F0460000}"/>
    <cellStyle name="Normal 80 13 12" xfId="18156" xr:uid="{00000000-0005-0000-0000-0000F1460000}"/>
    <cellStyle name="Normal 80 13 13" xfId="18157" xr:uid="{00000000-0005-0000-0000-0000F2460000}"/>
    <cellStyle name="Normal 80 13 2" xfId="18158" xr:uid="{00000000-0005-0000-0000-0000F3460000}"/>
    <cellStyle name="Normal 80 13 2 10" xfId="18159" xr:uid="{00000000-0005-0000-0000-0000F4460000}"/>
    <cellStyle name="Normal 80 13 2 11" xfId="18160" xr:uid="{00000000-0005-0000-0000-0000F5460000}"/>
    <cellStyle name="Normal 80 13 2 2" xfId="18161" xr:uid="{00000000-0005-0000-0000-0000F6460000}"/>
    <cellStyle name="Normal 80 13 2 3" xfId="18162" xr:uid="{00000000-0005-0000-0000-0000F7460000}"/>
    <cellStyle name="Normal 80 13 2 4" xfId="18163" xr:uid="{00000000-0005-0000-0000-0000F8460000}"/>
    <cellStyle name="Normal 80 13 2 5" xfId="18164" xr:uid="{00000000-0005-0000-0000-0000F9460000}"/>
    <cellStyle name="Normal 80 13 2 6" xfId="18165" xr:uid="{00000000-0005-0000-0000-0000FA460000}"/>
    <cellStyle name="Normal 80 13 2 7" xfId="18166" xr:uid="{00000000-0005-0000-0000-0000FB460000}"/>
    <cellStyle name="Normal 80 13 2 8" xfId="18167" xr:uid="{00000000-0005-0000-0000-0000FC460000}"/>
    <cellStyle name="Normal 80 13 2 9" xfId="18168" xr:uid="{00000000-0005-0000-0000-0000FD460000}"/>
    <cellStyle name="Normal 80 13 3" xfId="18169" xr:uid="{00000000-0005-0000-0000-0000FE460000}"/>
    <cellStyle name="Normal 80 13 4" xfId="18170" xr:uid="{00000000-0005-0000-0000-0000FF460000}"/>
    <cellStyle name="Normal 80 13 5" xfId="18171" xr:uid="{00000000-0005-0000-0000-000000470000}"/>
    <cellStyle name="Normal 80 13 6" xfId="18172" xr:uid="{00000000-0005-0000-0000-000001470000}"/>
    <cellStyle name="Normal 80 13 7" xfId="18173" xr:uid="{00000000-0005-0000-0000-000002470000}"/>
    <cellStyle name="Normal 80 13 8" xfId="18174" xr:uid="{00000000-0005-0000-0000-000003470000}"/>
    <cellStyle name="Normal 80 13 9" xfId="18175" xr:uid="{00000000-0005-0000-0000-000004470000}"/>
    <cellStyle name="Normal 80 14" xfId="18176" xr:uid="{00000000-0005-0000-0000-000005470000}"/>
    <cellStyle name="Normal 80 14 10" xfId="18177" xr:uid="{00000000-0005-0000-0000-000006470000}"/>
    <cellStyle name="Normal 80 14 11" xfId="18178" xr:uid="{00000000-0005-0000-0000-000007470000}"/>
    <cellStyle name="Normal 80 14 2" xfId="18179" xr:uid="{00000000-0005-0000-0000-000008470000}"/>
    <cellStyle name="Normal 80 14 3" xfId="18180" xr:uid="{00000000-0005-0000-0000-000009470000}"/>
    <cellStyle name="Normal 80 14 4" xfId="18181" xr:uid="{00000000-0005-0000-0000-00000A470000}"/>
    <cellStyle name="Normal 80 14 5" xfId="18182" xr:uid="{00000000-0005-0000-0000-00000B470000}"/>
    <cellStyle name="Normal 80 14 6" xfId="18183" xr:uid="{00000000-0005-0000-0000-00000C470000}"/>
    <cellStyle name="Normal 80 14 7" xfId="18184" xr:uid="{00000000-0005-0000-0000-00000D470000}"/>
    <cellStyle name="Normal 80 14 8" xfId="18185" xr:uid="{00000000-0005-0000-0000-00000E470000}"/>
    <cellStyle name="Normal 80 14 9" xfId="18186" xr:uid="{00000000-0005-0000-0000-00000F470000}"/>
    <cellStyle name="Normal 80 15" xfId="18187" xr:uid="{00000000-0005-0000-0000-000010470000}"/>
    <cellStyle name="Normal 80 16" xfId="18188" xr:uid="{00000000-0005-0000-0000-000011470000}"/>
    <cellStyle name="Normal 80 17" xfId="18189" xr:uid="{00000000-0005-0000-0000-000012470000}"/>
    <cellStyle name="Normal 80 18" xfId="18190" xr:uid="{00000000-0005-0000-0000-000013470000}"/>
    <cellStyle name="Normal 80 19" xfId="18191" xr:uid="{00000000-0005-0000-0000-000014470000}"/>
    <cellStyle name="Normal 80 2" xfId="18192" xr:uid="{00000000-0005-0000-0000-000015470000}"/>
    <cellStyle name="Normal 80 2 10" xfId="18193" xr:uid="{00000000-0005-0000-0000-000016470000}"/>
    <cellStyle name="Normal 80 2 11" xfId="18194" xr:uid="{00000000-0005-0000-0000-000017470000}"/>
    <cellStyle name="Normal 80 2 12" xfId="18195" xr:uid="{00000000-0005-0000-0000-000018470000}"/>
    <cellStyle name="Normal 80 2 13" xfId="18196" xr:uid="{00000000-0005-0000-0000-000019470000}"/>
    <cellStyle name="Normal 80 2 2" xfId="18197" xr:uid="{00000000-0005-0000-0000-00001A470000}"/>
    <cellStyle name="Normal 80 2 2 10" xfId="18198" xr:uid="{00000000-0005-0000-0000-00001B470000}"/>
    <cellStyle name="Normal 80 2 2 11" xfId="18199" xr:uid="{00000000-0005-0000-0000-00001C470000}"/>
    <cellStyle name="Normal 80 2 2 2" xfId="18200" xr:uid="{00000000-0005-0000-0000-00001D470000}"/>
    <cellStyle name="Normal 80 2 2 3" xfId="18201" xr:uid="{00000000-0005-0000-0000-00001E470000}"/>
    <cellStyle name="Normal 80 2 2 4" xfId="18202" xr:uid="{00000000-0005-0000-0000-00001F470000}"/>
    <cellStyle name="Normal 80 2 2 5" xfId="18203" xr:uid="{00000000-0005-0000-0000-000020470000}"/>
    <cellStyle name="Normal 80 2 2 6" xfId="18204" xr:uid="{00000000-0005-0000-0000-000021470000}"/>
    <cellStyle name="Normal 80 2 2 7" xfId="18205" xr:uid="{00000000-0005-0000-0000-000022470000}"/>
    <cellStyle name="Normal 80 2 2 8" xfId="18206" xr:uid="{00000000-0005-0000-0000-000023470000}"/>
    <cellStyle name="Normal 80 2 2 9" xfId="18207" xr:uid="{00000000-0005-0000-0000-000024470000}"/>
    <cellStyle name="Normal 80 2 3" xfId="18208" xr:uid="{00000000-0005-0000-0000-000025470000}"/>
    <cellStyle name="Normal 80 2 4" xfId="18209" xr:uid="{00000000-0005-0000-0000-000026470000}"/>
    <cellStyle name="Normal 80 2 5" xfId="18210" xr:uid="{00000000-0005-0000-0000-000027470000}"/>
    <cellStyle name="Normal 80 2 6" xfId="18211" xr:uid="{00000000-0005-0000-0000-000028470000}"/>
    <cellStyle name="Normal 80 2 7" xfId="18212" xr:uid="{00000000-0005-0000-0000-000029470000}"/>
    <cellStyle name="Normal 80 2 8" xfId="18213" xr:uid="{00000000-0005-0000-0000-00002A470000}"/>
    <cellStyle name="Normal 80 2 9" xfId="18214" xr:uid="{00000000-0005-0000-0000-00002B470000}"/>
    <cellStyle name="Normal 80 20" xfId="18215" xr:uid="{00000000-0005-0000-0000-00002C470000}"/>
    <cellStyle name="Normal 80 21" xfId="18216" xr:uid="{00000000-0005-0000-0000-00002D470000}"/>
    <cellStyle name="Normal 80 22" xfId="18217" xr:uid="{00000000-0005-0000-0000-00002E470000}"/>
    <cellStyle name="Normal 80 23" xfId="18218" xr:uid="{00000000-0005-0000-0000-00002F470000}"/>
    <cellStyle name="Normal 80 24" xfId="18219" xr:uid="{00000000-0005-0000-0000-000030470000}"/>
    <cellStyle name="Normal 80 25" xfId="18220" xr:uid="{00000000-0005-0000-0000-000031470000}"/>
    <cellStyle name="Normal 80 3" xfId="18221" xr:uid="{00000000-0005-0000-0000-000032470000}"/>
    <cellStyle name="Normal 80 3 10" xfId="18222" xr:uid="{00000000-0005-0000-0000-000033470000}"/>
    <cellStyle name="Normal 80 3 11" xfId="18223" xr:uid="{00000000-0005-0000-0000-000034470000}"/>
    <cellStyle name="Normal 80 3 12" xfId="18224" xr:uid="{00000000-0005-0000-0000-000035470000}"/>
    <cellStyle name="Normal 80 3 13" xfId="18225" xr:uid="{00000000-0005-0000-0000-000036470000}"/>
    <cellStyle name="Normal 80 3 2" xfId="18226" xr:uid="{00000000-0005-0000-0000-000037470000}"/>
    <cellStyle name="Normal 80 3 2 10" xfId="18227" xr:uid="{00000000-0005-0000-0000-000038470000}"/>
    <cellStyle name="Normal 80 3 2 11" xfId="18228" xr:uid="{00000000-0005-0000-0000-000039470000}"/>
    <cellStyle name="Normal 80 3 2 2" xfId="18229" xr:uid="{00000000-0005-0000-0000-00003A470000}"/>
    <cellStyle name="Normal 80 3 2 3" xfId="18230" xr:uid="{00000000-0005-0000-0000-00003B470000}"/>
    <cellStyle name="Normal 80 3 2 4" xfId="18231" xr:uid="{00000000-0005-0000-0000-00003C470000}"/>
    <cellStyle name="Normal 80 3 2 5" xfId="18232" xr:uid="{00000000-0005-0000-0000-00003D470000}"/>
    <cellStyle name="Normal 80 3 2 6" xfId="18233" xr:uid="{00000000-0005-0000-0000-00003E470000}"/>
    <cellStyle name="Normal 80 3 2 7" xfId="18234" xr:uid="{00000000-0005-0000-0000-00003F470000}"/>
    <cellStyle name="Normal 80 3 2 8" xfId="18235" xr:uid="{00000000-0005-0000-0000-000040470000}"/>
    <cellStyle name="Normal 80 3 2 9" xfId="18236" xr:uid="{00000000-0005-0000-0000-000041470000}"/>
    <cellStyle name="Normal 80 3 3" xfId="18237" xr:uid="{00000000-0005-0000-0000-000042470000}"/>
    <cellStyle name="Normal 80 3 4" xfId="18238" xr:uid="{00000000-0005-0000-0000-000043470000}"/>
    <cellStyle name="Normal 80 3 5" xfId="18239" xr:uid="{00000000-0005-0000-0000-000044470000}"/>
    <cellStyle name="Normal 80 3 6" xfId="18240" xr:uid="{00000000-0005-0000-0000-000045470000}"/>
    <cellStyle name="Normal 80 3 7" xfId="18241" xr:uid="{00000000-0005-0000-0000-000046470000}"/>
    <cellStyle name="Normal 80 3 8" xfId="18242" xr:uid="{00000000-0005-0000-0000-000047470000}"/>
    <cellStyle name="Normal 80 3 9" xfId="18243" xr:uid="{00000000-0005-0000-0000-000048470000}"/>
    <cellStyle name="Normal 80 4" xfId="18244" xr:uid="{00000000-0005-0000-0000-000049470000}"/>
    <cellStyle name="Normal 80 4 10" xfId="18245" xr:uid="{00000000-0005-0000-0000-00004A470000}"/>
    <cellStyle name="Normal 80 4 11" xfId="18246" xr:uid="{00000000-0005-0000-0000-00004B470000}"/>
    <cellStyle name="Normal 80 4 12" xfId="18247" xr:uid="{00000000-0005-0000-0000-00004C470000}"/>
    <cellStyle name="Normal 80 4 13" xfId="18248" xr:uid="{00000000-0005-0000-0000-00004D470000}"/>
    <cellStyle name="Normal 80 4 2" xfId="18249" xr:uid="{00000000-0005-0000-0000-00004E470000}"/>
    <cellStyle name="Normal 80 4 2 10" xfId="18250" xr:uid="{00000000-0005-0000-0000-00004F470000}"/>
    <cellStyle name="Normal 80 4 2 11" xfId="18251" xr:uid="{00000000-0005-0000-0000-000050470000}"/>
    <cellStyle name="Normal 80 4 2 2" xfId="18252" xr:uid="{00000000-0005-0000-0000-000051470000}"/>
    <cellStyle name="Normal 80 4 2 3" xfId="18253" xr:uid="{00000000-0005-0000-0000-000052470000}"/>
    <cellStyle name="Normal 80 4 2 4" xfId="18254" xr:uid="{00000000-0005-0000-0000-000053470000}"/>
    <cellStyle name="Normal 80 4 2 5" xfId="18255" xr:uid="{00000000-0005-0000-0000-000054470000}"/>
    <cellStyle name="Normal 80 4 2 6" xfId="18256" xr:uid="{00000000-0005-0000-0000-000055470000}"/>
    <cellStyle name="Normal 80 4 2 7" xfId="18257" xr:uid="{00000000-0005-0000-0000-000056470000}"/>
    <cellStyle name="Normal 80 4 2 8" xfId="18258" xr:uid="{00000000-0005-0000-0000-000057470000}"/>
    <cellStyle name="Normal 80 4 2 9" xfId="18259" xr:uid="{00000000-0005-0000-0000-000058470000}"/>
    <cellStyle name="Normal 80 4 3" xfId="18260" xr:uid="{00000000-0005-0000-0000-000059470000}"/>
    <cellStyle name="Normal 80 4 4" xfId="18261" xr:uid="{00000000-0005-0000-0000-00005A470000}"/>
    <cellStyle name="Normal 80 4 5" xfId="18262" xr:uid="{00000000-0005-0000-0000-00005B470000}"/>
    <cellStyle name="Normal 80 4 6" xfId="18263" xr:uid="{00000000-0005-0000-0000-00005C470000}"/>
    <cellStyle name="Normal 80 4 7" xfId="18264" xr:uid="{00000000-0005-0000-0000-00005D470000}"/>
    <cellStyle name="Normal 80 4 8" xfId="18265" xr:uid="{00000000-0005-0000-0000-00005E470000}"/>
    <cellStyle name="Normal 80 4 9" xfId="18266" xr:uid="{00000000-0005-0000-0000-00005F470000}"/>
    <cellStyle name="Normal 80 5" xfId="18267" xr:uid="{00000000-0005-0000-0000-000060470000}"/>
    <cellStyle name="Normal 80 5 10" xfId="18268" xr:uid="{00000000-0005-0000-0000-000061470000}"/>
    <cellStyle name="Normal 80 5 11" xfId="18269" xr:uid="{00000000-0005-0000-0000-000062470000}"/>
    <cellStyle name="Normal 80 5 12" xfId="18270" xr:uid="{00000000-0005-0000-0000-000063470000}"/>
    <cellStyle name="Normal 80 5 13" xfId="18271" xr:uid="{00000000-0005-0000-0000-000064470000}"/>
    <cellStyle name="Normal 80 5 2" xfId="18272" xr:uid="{00000000-0005-0000-0000-000065470000}"/>
    <cellStyle name="Normal 80 5 2 10" xfId="18273" xr:uid="{00000000-0005-0000-0000-000066470000}"/>
    <cellStyle name="Normal 80 5 2 11" xfId="18274" xr:uid="{00000000-0005-0000-0000-000067470000}"/>
    <cellStyle name="Normal 80 5 2 2" xfId="18275" xr:uid="{00000000-0005-0000-0000-000068470000}"/>
    <cellStyle name="Normal 80 5 2 3" xfId="18276" xr:uid="{00000000-0005-0000-0000-000069470000}"/>
    <cellStyle name="Normal 80 5 2 4" xfId="18277" xr:uid="{00000000-0005-0000-0000-00006A470000}"/>
    <cellStyle name="Normal 80 5 2 5" xfId="18278" xr:uid="{00000000-0005-0000-0000-00006B470000}"/>
    <cellStyle name="Normal 80 5 2 6" xfId="18279" xr:uid="{00000000-0005-0000-0000-00006C470000}"/>
    <cellStyle name="Normal 80 5 2 7" xfId="18280" xr:uid="{00000000-0005-0000-0000-00006D470000}"/>
    <cellStyle name="Normal 80 5 2 8" xfId="18281" xr:uid="{00000000-0005-0000-0000-00006E470000}"/>
    <cellStyle name="Normal 80 5 2 9" xfId="18282" xr:uid="{00000000-0005-0000-0000-00006F470000}"/>
    <cellStyle name="Normal 80 5 3" xfId="18283" xr:uid="{00000000-0005-0000-0000-000070470000}"/>
    <cellStyle name="Normal 80 5 4" xfId="18284" xr:uid="{00000000-0005-0000-0000-000071470000}"/>
    <cellStyle name="Normal 80 5 5" xfId="18285" xr:uid="{00000000-0005-0000-0000-000072470000}"/>
    <cellStyle name="Normal 80 5 6" xfId="18286" xr:uid="{00000000-0005-0000-0000-000073470000}"/>
    <cellStyle name="Normal 80 5 7" xfId="18287" xr:uid="{00000000-0005-0000-0000-000074470000}"/>
    <cellStyle name="Normal 80 5 8" xfId="18288" xr:uid="{00000000-0005-0000-0000-000075470000}"/>
    <cellStyle name="Normal 80 5 9" xfId="18289" xr:uid="{00000000-0005-0000-0000-000076470000}"/>
    <cellStyle name="Normal 80 6" xfId="18290" xr:uid="{00000000-0005-0000-0000-000077470000}"/>
    <cellStyle name="Normal 80 6 10" xfId="18291" xr:uid="{00000000-0005-0000-0000-000078470000}"/>
    <cellStyle name="Normal 80 6 11" xfId="18292" xr:uid="{00000000-0005-0000-0000-000079470000}"/>
    <cellStyle name="Normal 80 6 12" xfId="18293" xr:uid="{00000000-0005-0000-0000-00007A470000}"/>
    <cellStyle name="Normal 80 6 13" xfId="18294" xr:uid="{00000000-0005-0000-0000-00007B470000}"/>
    <cellStyle name="Normal 80 6 2" xfId="18295" xr:uid="{00000000-0005-0000-0000-00007C470000}"/>
    <cellStyle name="Normal 80 6 2 10" xfId="18296" xr:uid="{00000000-0005-0000-0000-00007D470000}"/>
    <cellStyle name="Normal 80 6 2 11" xfId="18297" xr:uid="{00000000-0005-0000-0000-00007E470000}"/>
    <cellStyle name="Normal 80 6 2 2" xfId="18298" xr:uid="{00000000-0005-0000-0000-00007F470000}"/>
    <cellStyle name="Normal 80 6 2 3" xfId="18299" xr:uid="{00000000-0005-0000-0000-000080470000}"/>
    <cellStyle name="Normal 80 6 2 4" xfId="18300" xr:uid="{00000000-0005-0000-0000-000081470000}"/>
    <cellStyle name="Normal 80 6 2 5" xfId="18301" xr:uid="{00000000-0005-0000-0000-000082470000}"/>
    <cellStyle name="Normal 80 6 2 6" xfId="18302" xr:uid="{00000000-0005-0000-0000-000083470000}"/>
    <cellStyle name="Normal 80 6 2 7" xfId="18303" xr:uid="{00000000-0005-0000-0000-000084470000}"/>
    <cellStyle name="Normal 80 6 2 8" xfId="18304" xr:uid="{00000000-0005-0000-0000-000085470000}"/>
    <cellStyle name="Normal 80 6 2 9" xfId="18305" xr:uid="{00000000-0005-0000-0000-000086470000}"/>
    <cellStyle name="Normal 80 6 3" xfId="18306" xr:uid="{00000000-0005-0000-0000-000087470000}"/>
    <cellStyle name="Normal 80 6 4" xfId="18307" xr:uid="{00000000-0005-0000-0000-000088470000}"/>
    <cellStyle name="Normal 80 6 5" xfId="18308" xr:uid="{00000000-0005-0000-0000-000089470000}"/>
    <cellStyle name="Normal 80 6 6" xfId="18309" xr:uid="{00000000-0005-0000-0000-00008A470000}"/>
    <cellStyle name="Normal 80 6 7" xfId="18310" xr:uid="{00000000-0005-0000-0000-00008B470000}"/>
    <cellStyle name="Normal 80 6 8" xfId="18311" xr:uid="{00000000-0005-0000-0000-00008C470000}"/>
    <cellStyle name="Normal 80 6 9" xfId="18312" xr:uid="{00000000-0005-0000-0000-00008D470000}"/>
    <cellStyle name="Normal 80 7" xfId="18313" xr:uid="{00000000-0005-0000-0000-00008E470000}"/>
    <cellStyle name="Normal 80 7 10" xfId="18314" xr:uid="{00000000-0005-0000-0000-00008F470000}"/>
    <cellStyle name="Normal 80 7 11" xfId="18315" xr:uid="{00000000-0005-0000-0000-000090470000}"/>
    <cellStyle name="Normal 80 7 12" xfId="18316" xr:uid="{00000000-0005-0000-0000-000091470000}"/>
    <cellStyle name="Normal 80 7 13" xfId="18317" xr:uid="{00000000-0005-0000-0000-000092470000}"/>
    <cellStyle name="Normal 80 7 2" xfId="18318" xr:uid="{00000000-0005-0000-0000-000093470000}"/>
    <cellStyle name="Normal 80 7 2 10" xfId="18319" xr:uid="{00000000-0005-0000-0000-000094470000}"/>
    <cellStyle name="Normal 80 7 2 11" xfId="18320" xr:uid="{00000000-0005-0000-0000-000095470000}"/>
    <cellStyle name="Normal 80 7 2 2" xfId="18321" xr:uid="{00000000-0005-0000-0000-000096470000}"/>
    <cellStyle name="Normal 80 7 2 3" xfId="18322" xr:uid="{00000000-0005-0000-0000-000097470000}"/>
    <cellStyle name="Normal 80 7 2 4" xfId="18323" xr:uid="{00000000-0005-0000-0000-000098470000}"/>
    <cellStyle name="Normal 80 7 2 5" xfId="18324" xr:uid="{00000000-0005-0000-0000-000099470000}"/>
    <cellStyle name="Normal 80 7 2 6" xfId="18325" xr:uid="{00000000-0005-0000-0000-00009A470000}"/>
    <cellStyle name="Normal 80 7 2 7" xfId="18326" xr:uid="{00000000-0005-0000-0000-00009B470000}"/>
    <cellStyle name="Normal 80 7 2 8" xfId="18327" xr:uid="{00000000-0005-0000-0000-00009C470000}"/>
    <cellStyle name="Normal 80 7 2 9" xfId="18328" xr:uid="{00000000-0005-0000-0000-00009D470000}"/>
    <cellStyle name="Normal 80 7 3" xfId="18329" xr:uid="{00000000-0005-0000-0000-00009E470000}"/>
    <cellStyle name="Normal 80 7 4" xfId="18330" xr:uid="{00000000-0005-0000-0000-00009F470000}"/>
    <cellStyle name="Normal 80 7 5" xfId="18331" xr:uid="{00000000-0005-0000-0000-0000A0470000}"/>
    <cellStyle name="Normal 80 7 6" xfId="18332" xr:uid="{00000000-0005-0000-0000-0000A1470000}"/>
    <cellStyle name="Normal 80 7 7" xfId="18333" xr:uid="{00000000-0005-0000-0000-0000A2470000}"/>
    <cellStyle name="Normal 80 7 8" xfId="18334" xr:uid="{00000000-0005-0000-0000-0000A3470000}"/>
    <cellStyle name="Normal 80 7 9" xfId="18335" xr:uid="{00000000-0005-0000-0000-0000A4470000}"/>
    <cellStyle name="Normal 80 8" xfId="18336" xr:uid="{00000000-0005-0000-0000-0000A5470000}"/>
    <cellStyle name="Normal 80 8 10" xfId="18337" xr:uid="{00000000-0005-0000-0000-0000A6470000}"/>
    <cellStyle name="Normal 80 8 11" xfId="18338" xr:uid="{00000000-0005-0000-0000-0000A7470000}"/>
    <cellStyle name="Normal 80 8 12" xfId="18339" xr:uid="{00000000-0005-0000-0000-0000A8470000}"/>
    <cellStyle name="Normal 80 8 13" xfId="18340" xr:uid="{00000000-0005-0000-0000-0000A9470000}"/>
    <cellStyle name="Normal 80 8 2" xfId="18341" xr:uid="{00000000-0005-0000-0000-0000AA470000}"/>
    <cellStyle name="Normal 80 8 2 10" xfId="18342" xr:uid="{00000000-0005-0000-0000-0000AB470000}"/>
    <cellStyle name="Normal 80 8 2 11" xfId="18343" xr:uid="{00000000-0005-0000-0000-0000AC470000}"/>
    <cellStyle name="Normal 80 8 2 2" xfId="18344" xr:uid="{00000000-0005-0000-0000-0000AD470000}"/>
    <cellStyle name="Normal 80 8 2 3" xfId="18345" xr:uid="{00000000-0005-0000-0000-0000AE470000}"/>
    <cellStyle name="Normal 80 8 2 4" xfId="18346" xr:uid="{00000000-0005-0000-0000-0000AF470000}"/>
    <cellStyle name="Normal 80 8 2 5" xfId="18347" xr:uid="{00000000-0005-0000-0000-0000B0470000}"/>
    <cellStyle name="Normal 80 8 2 6" xfId="18348" xr:uid="{00000000-0005-0000-0000-0000B1470000}"/>
    <cellStyle name="Normal 80 8 2 7" xfId="18349" xr:uid="{00000000-0005-0000-0000-0000B2470000}"/>
    <cellStyle name="Normal 80 8 2 8" xfId="18350" xr:uid="{00000000-0005-0000-0000-0000B3470000}"/>
    <cellStyle name="Normal 80 8 2 9" xfId="18351" xr:uid="{00000000-0005-0000-0000-0000B4470000}"/>
    <cellStyle name="Normal 80 8 3" xfId="18352" xr:uid="{00000000-0005-0000-0000-0000B5470000}"/>
    <cellStyle name="Normal 80 8 4" xfId="18353" xr:uid="{00000000-0005-0000-0000-0000B6470000}"/>
    <cellStyle name="Normal 80 8 5" xfId="18354" xr:uid="{00000000-0005-0000-0000-0000B7470000}"/>
    <cellStyle name="Normal 80 8 6" xfId="18355" xr:uid="{00000000-0005-0000-0000-0000B8470000}"/>
    <cellStyle name="Normal 80 8 7" xfId="18356" xr:uid="{00000000-0005-0000-0000-0000B9470000}"/>
    <cellStyle name="Normal 80 8 8" xfId="18357" xr:uid="{00000000-0005-0000-0000-0000BA470000}"/>
    <cellStyle name="Normal 80 8 9" xfId="18358" xr:uid="{00000000-0005-0000-0000-0000BB470000}"/>
    <cellStyle name="Normal 80 9" xfId="18359" xr:uid="{00000000-0005-0000-0000-0000BC470000}"/>
    <cellStyle name="Normal 80 9 10" xfId="18360" xr:uid="{00000000-0005-0000-0000-0000BD470000}"/>
    <cellStyle name="Normal 80 9 11" xfId="18361" xr:uid="{00000000-0005-0000-0000-0000BE470000}"/>
    <cellStyle name="Normal 80 9 12" xfId="18362" xr:uid="{00000000-0005-0000-0000-0000BF470000}"/>
    <cellStyle name="Normal 80 9 13" xfId="18363" xr:uid="{00000000-0005-0000-0000-0000C0470000}"/>
    <cellStyle name="Normal 80 9 2" xfId="18364" xr:uid="{00000000-0005-0000-0000-0000C1470000}"/>
    <cellStyle name="Normal 80 9 2 10" xfId="18365" xr:uid="{00000000-0005-0000-0000-0000C2470000}"/>
    <cellStyle name="Normal 80 9 2 11" xfId="18366" xr:uid="{00000000-0005-0000-0000-0000C3470000}"/>
    <cellStyle name="Normal 80 9 2 2" xfId="18367" xr:uid="{00000000-0005-0000-0000-0000C4470000}"/>
    <cellStyle name="Normal 80 9 2 3" xfId="18368" xr:uid="{00000000-0005-0000-0000-0000C5470000}"/>
    <cellStyle name="Normal 80 9 2 4" xfId="18369" xr:uid="{00000000-0005-0000-0000-0000C6470000}"/>
    <cellStyle name="Normal 80 9 2 5" xfId="18370" xr:uid="{00000000-0005-0000-0000-0000C7470000}"/>
    <cellStyle name="Normal 80 9 2 6" xfId="18371" xr:uid="{00000000-0005-0000-0000-0000C8470000}"/>
    <cellStyle name="Normal 80 9 2 7" xfId="18372" xr:uid="{00000000-0005-0000-0000-0000C9470000}"/>
    <cellStyle name="Normal 80 9 2 8" xfId="18373" xr:uid="{00000000-0005-0000-0000-0000CA470000}"/>
    <cellStyle name="Normal 80 9 2 9" xfId="18374" xr:uid="{00000000-0005-0000-0000-0000CB470000}"/>
    <cellStyle name="Normal 80 9 3" xfId="18375" xr:uid="{00000000-0005-0000-0000-0000CC470000}"/>
    <cellStyle name="Normal 80 9 4" xfId="18376" xr:uid="{00000000-0005-0000-0000-0000CD470000}"/>
    <cellStyle name="Normal 80 9 5" xfId="18377" xr:uid="{00000000-0005-0000-0000-0000CE470000}"/>
    <cellStyle name="Normal 80 9 6" xfId="18378" xr:uid="{00000000-0005-0000-0000-0000CF470000}"/>
    <cellStyle name="Normal 80 9 7" xfId="18379" xr:uid="{00000000-0005-0000-0000-0000D0470000}"/>
    <cellStyle name="Normal 80 9 8" xfId="18380" xr:uid="{00000000-0005-0000-0000-0000D1470000}"/>
    <cellStyle name="Normal 80 9 9" xfId="18381" xr:uid="{00000000-0005-0000-0000-0000D2470000}"/>
    <cellStyle name="Normal 81" xfId="18382" xr:uid="{00000000-0005-0000-0000-0000D3470000}"/>
    <cellStyle name="Normal 81 10" xfId="18383" xr:uid="{00000000-0005-0000-0000-0000D4470000}"/>
    <cellStyle name="Normal 81 10 10" xfId="18384" xr:uid="{00000000-0005-0000-0000-0000D5470000}"/>
    <cellStyle name="Normal 81 10 11" xfId="18385" xr:uid="{00000000-0005-0000-0000-0000D6470000}"/>
    <cellStyle name="Normal 81 10 12" xfId="18386" xr:uid="{00000000-0005-0000-0000-0000D7470000}"/>
    <cellStyle name="Normal 81 10 13" xfId="18387" xr:uid="{00000000-0005-0000-0000-0000D8470000}"/>
    <cellStyle name="Normal 81 10 2" xfId="18388" xr:uid="{00000000-0005-0000-0000-0000D9470000}"/>
    <cellStyle name="Normal 81 10 2 10" xfId="18389" xr:uid="{00000000-0005-0000-0000-0000DA470000}"/>
    <cellStyle name="Normal 81 10 2 11" xfId="18390" xr:uid="{00000000-0005-0000-0000-0000DB470000}"/>
    <cellStyle name="Normal 81 10 2 2" xfId="18391" xr:uid="{00000000-0005-0000-0000-0000DC470000}"/>
    <cellStyle name="Normal 81 10 2 3" xfId="18392" xr:uid="{00000000-0005-0000-0000-0000DD470000}"/>
    <cellStyle name="Normal 81 10 2 4" xfId="18393" xr:uid="{00000000-0005-0000-0000-0000DE470000}"/>
    <cellStyle name="Normal 81 10 2 5" xfId="18394" xr:uid="{00000000-0005-0000-0000-0000DF470000}"/>
    <cellStyle name="Normal 81 10 2 6" xfId="18395" xr:uid="{00000000-0005-0000-0000-0000E0470000}"/>
    <cellStyle name="Normal 81 10 2 7" xfId="18396" xr:uid="{00000000-0005-0000-0000-0000E1470000}"/>
    <cellStyle name="Normal 81 10 2 8" xfId="18397" xr:uid="{00000000-0005-0000-0000-0000E2470000}"/>
    <cellStyle name="Normal 81 10 2 9" xfId="18398" xr:uid="{00000000-0005-0000-0000-0000E3470000}"/>
    <cellStyle name="Normal 81 10 3" xfId="18399" xr:uid="{00000000-0005-0000-0000-0000E4470000}"/>
    <cellStyle name="Normal 81 10 4" xfId="18400" xr:uid="{00000000-0005-0000-0000-0000E5470000}"/>
    <cellStyle name="Normal 81 10 5" xfId="18401" xr:uid="{00000000-0005-0000-0000-0000E6470000}"/>
    <cellStyle name="Normal 81 10 6" xfId="18402" xr:uid="{00000000-0005-0000-0000-0000E7470000}"/>
    <cellStyle name="Normal 81 10 7" xfId="18403" xr:uid="{00000000-0005-0000-0000-0000E8470000}"/>
    <cellStyle name="Normal 81 10 8" xfId="18404" xr:uid="{00000000-0005-0000-0000-0000E9470000}"/>
    <cellStyle name="Normal 81 10 9" xfId="18405" xr:uid="{00000000-0005-0000-0000-0000EA470000}"/>
    <cellStyle name="Normal 81 11" xfId="18406" xr:uid="{00000000-0005-0000-0000-0000EB470000}"/>
    <cellStyle name="Normal 81 11 10" xfId="18407" xr:uid="{00000000-0005-0000-0000-0000EC470000}"/>
    <cellStyle name="Normal 81 11 11" xfId="18408" xr:uid="{00000000-0005-0000-0000-0000ED470000}"/>
    <cellStyle name="Normal 81 11 12" xfId="18409" xr:uid="{00000000-0005-0000-0000-0000EE470000}"/>
    <cellStyle name="Normal 81 11 13" xfId="18410" xr:uid="{00000000-0005-0000-0000-0000EF470000}"/>
    <cellStyle name="Normal 81 11 2" xfId="18411" xr:uid="{00000000-0005-0000-0000-0000F0470000}"/>
    <cellStyle name="Normal 81 11 2 10" xfId="18412" xr:uid="{00000000-0005-0000-0000-0000F1470000}"/>
    <cellStyle name="Normal 81 11 2 11" xfId="18413" xr:uid="{00000000-0005-0000-0000-0000F2470000}"/>
    <cellStyle name="Normal 81 11 2 2" xfId="18414" xr:uid="{00000000-0005-0000-0000-0000F3470000}"/>
    <cellStyle name="Normal 81 11 2 3" xfId="18415" xr:uid="{00000000-0005-0000-0000-0000F4470000}"/>
    <cellStyle name="Normal 81 11 2 4" xfId="18416" xr:uid="{00000000-0005-0000-0000-0000F5470000}"/>
    <cellStyle name="Normal 81 11 2 5" xfId="18417" xr:uid="{00000000-0005-0000-0000-0000F6470000}"/>
    <cellStyle name="Normal 81 11 2 6" xfId="18418" xr:uid="{00000000-0005-0000-0000-0000F7470000}"/>
    <cellStyle name="Normal 81 11 2 7" xfId="18419" xr:uid="{00000000-0005-0000-0000-0000F8470000}"/>
    <cellStyle name="Normal 81 11 2 8" xfId="18420" xr:uid="{00000000-0005-0000-0000-0000F9470000}"/>
    <cellStyle name="Normal 81 11 2 9" xfId="18421" xr:uid="{00000000-0005-0000-0000-0000FA470000}"/>
    <cellStyle name="Normal 81 11 3" xfId="18422" xr:uid="{00000000-0005-0000-0000-0000FB470000}"/>
    <cellStyle name="Normal 81 11 4" xfId="18423" xr:uid="{00000000-0005-0000-0000-0000FC470000}"/>
    <cellStyle name="Normal 81 11 5" xfId="18424" xr:uid="{00000000-0005-0000-0000-0000FD470000}"/>
    <cellStyle name="Normal 81 11 6" xfId="18425" xr:uid="{00000000-0005-0000-0000-0000FE470000}"/>
    <cellStyle name="Normal 81 11 7" xfId="18426" xr:uid="{00000000-0005-0000-0000-0000FF470000}"/>
    <cellStyle name="Normal 81 11 8" xfId="18427" xr:uid="{00000000-0005-0000-0000-000000480000}"/>
    <cellStyle name="Normal 81 11 9" xfId="18428" xr:uid="{00000000-0005-0000-0000-000001480000}"/>
    <cellStyle name="Normal 81 12" xfId="18429" xr:uid="{00000000-0005-0000-0000-000002480000}"/>
    <cellStyle name="Normal 81 12 10" xfId="18430" xr:uid="{00000000-0005-0000-0000-000003480000}"/>
    <cellStyle name="Normal 81 12 11" xfId="18431" xr:uid="{00000000-0005-0000-0000-000004480000}"/>
    <cellStyle name="Normal 81 12 12" xfId="18432" xr:uid="{00000000-0005-0000-0000-000005480000}"/>
    <cellStyle name="Normal 81 12 13" xfId="18433" xr:uid="{00000000-0005-0000-0000-000006480000}"/>
    <cellStyle name="Normal 81 12 2" xfId="18434" xr:uid="{00000000-0005-0000-0000-000007480000}"/>
    <cellStyle name="Normal 81 12 2 10" xfId="18435" xr:uid="{00000000-0005-0000-0000-000008480000}"/>
    <cellStyle name="Normal 81 12 2 11" xfId="18436" xr:uid="{00000000-0005-0000-0000-000009480000}"/>
    <cellStyle name="Normal 81 12 2 2" xfId="18437" xr:uid="{00000000-0005-0000-0000-00000A480000}"/>
    <cellStyle name="Normal 81 12 2 3" xfId="18438" xr:uid="{00000000-0005-0000-0000-00000B480000}"/>
    <cellStyle name="Normal 81 12 2 4" xfId="18439" xr:uid="{00000000-0005-0000-0000-00000C480000}"/>
    <cellStyle name="Normal 81 12 2 5" xfId="18440" xr:uid="{00000000-0005-0000-0000-00000D480000}"/>
    <cellStyle name="Normal 81 12 2 6" xfId="18441" xr:uid="{00000000-0005-0000-0000-00000E480000}"/>
    <cellStyle name="Normal 81 12 2 7" xfId="18442" xr:uid="{00000000-0005-0000-0000-00000F480000}"/>
    <cellStyle name="Normal 81 12 2 8" xfId="18443" xr:uid="{00000000-0005-0000-0000-000010480000}"/>
    <cellStyle name="Normal 81 12 2 9" xfId="18444" xr:uid="{00000000-0005-0000-0000-000011480000}"/>
    <cellStyle name="Normal 81 12 3" xfId="18445" xr:uid="{00000000-0005-0000-0000-000012480000}"/>
    <cellStyle name="Normal 81 12 4" xfId="18446" xr:uid="{00000000-0005-0000-0000-000013480000}"/>
    <cellStyle name="Normal 81 12 5" xfId="18447" xr:uid="{00000000-0005-0000-0000-000014480000}"/>
    <cellStyle name="Normal 81 12 6" xfId="18448" xr:uid="{00000000-0005-0000-0000-000015480000}"/>
    <cellStyle name="Normal 81 12 7" xfId="18449" xr:uid="{00000000-0005-0000-0000-000016480000}"/>
    <cellStyle name="Normal 81 12 8" xfId="18450" xr:uid="{00000000-0005-0000-0000-000017480000}"/>
    <cellStyle name="Normal 81 12 9" xfId="18451" xr:uid="{00000000-0005-0000-0000-000018480000}"/>
    <cellStyle name="Normal 81 13" xfId="18452" xr:uid="{00000000-0005-0000-0000-000019480000}"/>
    <cellStyle name="Normal 81 13 10" xfId="18453" xr:uid="{00000000-0005-0000-0000-00001A480000}"/>
    <cellStyle name="Normal 81 13 11" xfId="18454" xr:uid="{00000000-0005-0000-0000-00001B480000}"/>
    <cellStyle name="Normal 81 13 12" xfId="18455" xr:uid="{00000000-0005-0000-0000-00001C480000}"/>
    <cellStyle name="Normal 81 13 13" xfId="18456" xr:uid="{00000000-0005-0000-0000-00001D480000}"/>
    <cellStyle name="Normal 81 13 2" xfId="18457" xr:uid="{00000000-0005-0000-0000-00001E480000}"/>
    <cellStyle name="Normal 81 13 2 10" xfId="18458" xr:uid="{00000000-0005-0000-0000-00001F480000}"/>
    <cellStyle name="Normal 81 13 2 11" xfId="18459" xr:uid="{00000000-0005-0000-0000-000020480000}"/>
    <cellStyle name="Normal 81 13 2 2" xfId="18460" xr:uid="{00000000-0005-0000-0000-000021480000}"/>
    <cellStyle name="Normal 81 13 2 3" xfId="18461" xr:uid="{00000000-0005-0000-0000-000022480000}"/>
    <cellStyle name="Normal 81 13 2 4" xfId="18462" xr:uid="{00000000-0005-0000-0000-000023480000}"/>
    <cellStyle name="Normal 81 13 2 5" xfId="18463" xr:uid="{00000000-0005-0000-0000-000024480000}"/>
    <cellStyle name="Normal 81 13 2 6" xfId="18464" xr:uid="{00000000-0005-0000-0000-000025480000}"/>
    <cellStyle name="Normal 81 13 2 7" xfId="18465" xr:uid="{00000000-0005-0000-0000-000026480000}"/>
    <cellStyle name="Normal 81 13 2 8" xfId="18466" xr:uid="{00000000-0005-0000-0000-000027480000}"/>
    <cellStyle name="Normal 81 13 2 9" xfId="18467" xr:uid="{00000000-0005-0000-0000-000028480000}"/>
    <cellStyle name="Normal 81 13 3" xfId="18468" xr:uid="{00000000-0005-0000-0000-000029480000}"/>
    <cellStyle name="Normal 81 13 4" xfId="18469" xr:uid="{00000000-0005-0000-0000-00002A480000}"/>
    <cellStyle name="Normal 81 13 5" xfId="18470" xr:uid="{00000000-0005-0000-0000-00002B480000}"/>
    <cellStyle name="Normal 81 13 6" xfId="18471" xr:uid="{00000000-0005-0000-0000-00002C480000}"/>
    <cellStyle name="Normal 81 13 7" xfId="18472" xr:uid="{00000000-0005-0000-0000-00002D480000}"/>
    <cellStyle name="Normal 81 13 8" xfId="18473" xr:uid="{00000000-0005-0000-0000-00002E480000}"/>
    <cellStyle name="Normal 81 13 9" xfId="18474" xr:uid="{00000000-0005-0000-0000-00002F480000}"/>
    <cellStyle name="Normal 81 14" xfId="18475" xr:uid="{00000000-0005-0000-0000-000030480000}"/>
    <cellStyle name="Normal 81 14 10" xfId="18476" xr:uid="{00000000-0005-0000-0000-000031480000}"/>
    <cellStyle name="Normal 81 14 11" xfId="18477" xr:uid="{00000000-0005-0000-0000-000032480000}"/>
    <cellStyle name="Normal 81 14 2" xfId="18478" xr:uid="{00000000-0005-0000-0000-000033480000}"/>
    <cellStyle name="Normal 81 14 3" xfId="18479" xr:uid="{00000000-0005-0000-0000-000034480000}"/>
    <cellStyle name="Normal 81 14 4" xfId="18480" xr:uid="{00000000-0005-0000-0000-000035480000}"/>
    <cellStyle name="Normal 81 14 5" xfId="18481" xr:uid="{00000000-0005-0000-0000-000036480000}"/>
    <cellStyle name="Normal 81 14 6" xfId="18482" xr:uid="{00000000-0005-0000-0000-000037480000}"/>
    <cellStyle name="Normal 81 14 7" xfId="18483" xr:uid="{00000000-0005-0000-0000-000038480000}"/>
    <cellStyle name="Normal 81 14 8" xfId="18484" xr:uid="{00000000-0005-0000-0000-000039480000}"/>
    <cellStyle name="Normal 81 14 9" xfId="18485" xr:uid="{00000000-0005-0000-0000-00003A480000}"/>
    <cellStyle name="Normal 81 15" xfId="18486" xr:uid="{00000000-0005-0000-0000-00003B480000}"/>
    <cellStyle name="Normal 81 16" xfId="18487" xr:uid="{00000000-0005-0000-0000-00003C480000}"/>
    <cellStyle name="Normal 81 17" xfId="18488" xr:uid="{00000000-0005-0000-0000-00003D480000}"/>
    <cellStyle name="Normal 81 18" xfId="18489" xr:uid="{00000000-0005-0000-0000-00003E480000}"/>
    <cellStyle name="Normal 81 19" xfId="18490" xr:uid="{00000000-0005-0000-0000-00003F480000}"/>
    <cellStyle name="Normal 81 2" xfId="18491" xr:uid="{00000000-0005-0000-0000-000040480000}"/>
    <cellStyle name="Normal 81 2 10" xfId="18492" xr:uid="{00000000-0005-0000-0000-000041480000}"/>
    <cellStyle name="Normal 81 2 11" xfId="18493" xr:uid="{00000000-0005-0000-0000-000042480000}"/>
    <cellStyle name="Normal 81 2 12" xfId="18494" xr:uid="{00000000-0005-0000-0000-000043480000}"/>
    <cellStyle name="Normal 81 2 13" xfId="18495" xr:uid="{00000000-0005-0000-0000-000044480000}"/>
    <cellStyle name="Normal 81 2 2" xfId="18496" xr:uid="{00000000-0005-0000-0000-000045480000}"/>
    <cellStyle name="Normal 81 2 2 10" xfId="18497" xr:uid="{00000000-0005-0000-0000-000046480000}"/>
    <cellStyle name="Normal 81 2 2 11" xfId="18498" xr:uid="{00000000-0005-0000-0000-000047480000}"/>
    <cellStyle name="Normal 81 2 2 2" xfId="18499" xr:uid="{00000000-0005-0000-0000-000048480000}"/>
    <cellStyle name="Normal 81 2 2 3" xfId="18500" xr:uid="{00000000-0005-0000-0000-000049480000}"/>
    <cellStyle name="Normal 81 2 2 4" xfId="18501" xr:uid="{00000000-0005-0000-0000-00004A480000}"/>
    <cellStyle name="Normal 81 2 2 5" xfId="18502" xr:uid="{00000000-0005-0000-0000-00004B480000}"/>
    <cellStyle name="Normal 81 2 2 6" xfId="18503" xr:uid="{00000000-0005-0000-0000-00004C480000}"/>
    <cellStyle name="Normal 81 2 2 7" xfId="18504" xr:uid="{00000000-0005-0000-0000-00004D480000}"/>
    <cellStyle name="Normal 81 2 2 8" xfId="18505" xr:uid="{00000000-0005-0000-0000-00004E480000}"/>
    <cellStyle name="Normal 81 2 2 9" xfId="18506" xr:uid="{00000000-0005-0000-0000-00004F480000}"/>
    <cellStyle name="Normal 81 2 3" xfId="18507" xr:uid="{00000000-0005-0000-0000-000050480000}"/>
    <cellStyle name="Normal 81 2 4" xfId="18508" xr:uid="{00000000-0005-0000-0000-000051480000}"/>
    <cellStyle name="Normal 81 2 5" xfId="18509" xr:uid="{00000000-0005-0000-0000-000052480000}"/>
    <cellStyle name="Normal 81 2 6" xfId="18510" xr:uid="{00000000-0005-0000-0000-000053480000}"/>
    <cellStyle name="Normal 81 2 7" xfId="18511" xr:uid="{00000000-0005-0000-0000-000054480000}"/>
    <cellStyle name="Normal 81 2 8" xfId="18512" xr:uid="{00000000-0005-0000-0000-000055480000}"/>
    <cellStyle name="Normal 81 2 9" xfId="18513" xr:uid="{00000000-0005-0000-0000-000056480000}"/>
    <cellStyle name="Normal 81 20" xfId="18514" xr:uid="{00000000-0005-0000-0000-000057480000}"/>
    <cellStyle name="Normal 81 21" xfId="18515" xr:uid="{00000000-0005-0000-0000-000058480000}"/>
    <cellStyle name="Normal 81 22" xfId="18516" xr:uid="{00000000-0005-0000-0000-000059480000}"/>
    <cellStyle name="Normal 81 23" xfId="18517" xr:uid="{00000000-0005-0000-0000-00005A480000}"/>
    <cellStyle name="Normal 81 24" xfId="18518" xr:uid="{00000000-0005-0000-0000-00005B480000}"/>
    <cellStyle name="Normal 81 25" xfId="18519" xr:uid="{00000000-0005-0000-0000-00005C480000}"/>
    <cellStyle name="Normal 81 3" xfId="18520" xr:uid="{00000000-0005-0000-0000-00005D480000}"/>
    <cellStyle name="Normal 81 3 10" xfId="18521" xr:uid="{00000000-0005-0000-0000-00005E480000}"/>
    <cellStyle name="Normal 81 3 11" xfId="18522" xr:uid="{00000000-0005-0000-0000-00005F480000}"/>
    <cellStyle name="Normal 81 3 12" xfId="18523" xr:uid="{00000000-0005-0000-0000-000060480000}"/>
    <cellStyle name="Normal 81 3 13" xfId="18524" xr:uid="{00000000-0005-0000-0000-000061480000}"/>
    <cellStyle name="Normal 81 3 2" xfId="18525" xr:uid="{00000000-0005-0000-0000-000062480000}"/>
    <cellStyle name="Normal 81 3 2 10" xfId="18526" xr:uid="{00000000-0005-0000-0000-000063480000}"/>
    <cellStyle name="Normal 81 3 2 11" xfId="18527" xr:uid="{00000000-0005-0000-0000-000064480000}"/>
    <cellStyle name="Normal 81 3 2 2" xfId="18528" xr:uid="{00000000-0005-0000-0000-000065480000}"/>
    <cellStyle name="Normal 81 3 2 3" xfId="18529" xr:uid="{00000000-0005-0000-0000-000066480000}"/>
    <cellStyle name="Normal 81 3 2 4" xfId="18530" xr:uid="{00000000-0005-0000-0000-000067480000}"/>
    <cellStyle name="Normal 81 3 2 5" xfId="18531" xr:uid="{00000000-0005-0000-0000-000068480000}"/>
    <cellStyle name="Normal 81 3 2 6" xfId="18532" xr:uid="{00000000-0005-0000-0000-000069480000}"/>
    <cellStyle name="Normal 81 3 2 7" xfId="18533" xr:uid="{00000000-0005-0000-0000-00006A480000}"/>
    <cellStyle name="Normal 81 3 2 8" xfId="18534" xr:uid="{00000000-0005-0000-0000-00006B480000}"/>
    <cellStyle name="Normal 81 3 2 9" xfId="18535" xr:uid="{00000000-0005-0000-0000-00006C480000}"/>
    <cellStyle name="Normal 81 3 3" xfId="18536" xr:uid="{00000000-0005-0000-0000-00006D480000}"/>
    <cellStyle name="Normal 81 3 4" xfId="18537" xr:uid="{00000000-0005-0000-0000-00006E480000}"/>
    <cellStyle name="Normal 81 3 5" xfId="18538" xr:uid="{00000000-0005-0000-0000-00006F480000}"/>
    <cellStyle name="Normal 81 3 6" xfId="18539" xr:uid="{00000000-0005-0000-0000-000070480000}"/>
    <cellStyle name="Normal 81 3 7" xfId="18540" xr:uid="{00000000-0005-0000-0000-000071480000}"/>
    <cellStyle name="Normal 81 3 8" xfId="18541" xr:uid="{00000000-0005-0000-0000-000072480000}"/>
    <cellStyle name="Normal 81 3 9" xfId="18542" xr:uid="{00000000-0005-0000-0000-000073480000}"/>
    <cellStyle name="Normal 81 4" xfId="18543" xr:uid="{00000000-0005-0000-0000-000074480000}"/>
    <cellStyle name="Normal 81 4 10" xfId="18544" xr:uid="{00000000-0005-0000-0000-000075480000}"/>
    <cellStyle name="Normal 81 4 11" xfId="18545" xr:uid="{00000000-0005-0000-0000-000076480000}"/>
    <cellStyle name="Normal 81 4 12" xfId="18546" xr:uid="{00000000-0005-0000-0000-000077480000}"/>
    <cellStyle name="Normal 81 4 13" xfId="18547" xr:uid="{00000000-0005-0000-0000-000078480000}"/>
    <cellStyle name="Normal 81 4 2" xfId="18548" xr:uid="{00000000-0005-0000-0000-000079480000}"/>
    <cellStyle name="Normal 81 4 2 10" xfId="18549" xr:uid="{00000000-0005-0000-0000-00007A480000}"/>
    <cellStyle name="Normal 81 4 2 11" xfId="18550" xr:uid="{00000000-0005-0000-0000-00007B480000}"/>
    <cellStyle name="Normal 81 4 2 2" xfId="18551" xr:uid="{00000000-0005-0000-0000-00007C480000}"/>
    <cellStyle name="Normal 81 4 2 3" xfId="18552" xr:uid="{00000000-0005-0000-0000-00007D480000}"/>
    <cellStyle name="Normal 81 4 2 4" xfId="18553" xr:uid="{00000000-0005-0000-0000-00007E480000}"/>
    <cellStyle name="Normal 81 4 2 5" xfId="18554" xr:uid="{00000000-0005-0000-0000-00007F480000}"/>
    <cellStyle name="Normal 81 4 2 6" xfId="18555" xr:uid="{00000000-0005-0000-0000-000080480000}"/>
    <cellStyle name="Normal 81 4 2 7" xfId="18556" xr:uid="{00000000-0005-0000-0000-000081480000}"/>
    <cellStyle name="Normal 81 4 2 8" xfId="18557" xr:uid="{00000000-0005-0000-0000-000082480000}"/>
    <cellStyle name="Normal 81 4 2 9" xfId="18558" xr:uid="{00000000-0005-0000-0000-000083480000}"/>
    <cellStyle name="Normal 81 4 3" xfId="18559" xr:uid="{00000000-0005-0000-0000-000084480000}"/>
    <cellStyle name="Normal 81 4 4" xfId="18560" xr:uid="{00000000-0005-0000-0000-000085480000}"/>
    <cellStyle name="Normal 81 4 5" xfId="18561" xr:uid="{00000000-0005-0000-0000-000086480000}"/>
    <cellStyle name="Normal 81 4 6" xfId="18562" xr:uid="{00000000-0005-0000-0000-000087480000}"/>
    <cellStyle name="Normal 81 4 7" xfId="18563" xr:uid="{00000000-0005-0000-0000-000088480000}"/>
    <cellStyle name="Normal 81 4 8" xfId="18564" xr:uid="{00000000-0005-0000-0000-000089480000}"/>
    <cellStyle name="Normal 81 4 9" xfId="18565" xr:uid="{00000000-0005-0000-0000-00008A480000}"/>
    <cellStyle name="Normal 81 5" xfId="18566" xr:uid="{00000000-0005-0000-0000-00008B480000}"/>
    <cellStyle name="Normal 81 5 10" xfId="18567" xr:uid="{00000000-0005-0000-0000-00008C480000}"/>
    <cellStyle name="Normal 81 5 11" xfId="18568" xr:uid="{00000000-0005-0000-0000-00008D480000}"/>
    <cellStyle name="Normal 81 5 12" xfId="18569" xr:uid="{00000000-0005-0000-0000-00008E480000}"/>
    <cellStyle name="Normal 81 5 13" xfId="18570" xr:uid="{00000000-0005-0000-0000-00008F480000}"/>
    <cellStyle name="Normal 81 5 2" xfId="18571" xr:uid="{00000000-0005-0000-0000-000090480000}"/>
    <cellStyle name="Normal 81 5 2 10" xfId="18572" xr:uid="{00000000-0005-0000-0000-000091480000}"/>
    <cellStyle name="Normal 81 5 2 11" xfId="18573" xr:uid="{00000000-0005-0000-0000-000092480000}"/>
    <cellStyle name="Normal 81 5 2 2" xfId="18574" xr:uid="{00000000-0005-0000-0000-000093480000}"/>
    <cellStyle name="Normal 81 5 2 3" xfId="18575" xr:uid="{00000000-0005-0000-0000-000094480000}"/>
    <cellStyle name="Normal 81 5 2 4" xfId="18576" xr:uid="{00000000-0005-0000-0000-000095480000}"/>
    <cellStyle name="Normal 81 5 2 5" xfId="18577" xr:uid="{00000000-0005-0000-0000-000096480000}"/>
    <cellStyle name="Normal 81 5 2 6" xfId="18578" xr:uid="{00000000-0005-0000-0000-000097480000}"/>
    <cellStyle name="Normal 81 5 2 7" xfId="18579" xr:uid="{00000000-0005-0000-0000-000098480000}"/>
    <cellStyle name="Normal 81 5 2 8" xfId="18580" xr:uid="{00000000-0005-0000-0000-000099480000}"/>
    <cellStyle name="Normal 81 5 2 9" xfId="18581" xr:uid="{00000000-0005-0000-0000-00009A480000}"/>
    <cellStyle name="Normal 81 5 3" xfId="18582" xr:uid="{00000000-0005-0000-0000-00009B480000}"/>
    <cellStyle name="Normal 81 5 4" xfId="18583" xr:uid="{00000000-0005-0000-0000-00009C480000}"/>
    <cellStyle name="Normal 81 5 5" xfId="18584" xr:uid="{00000000-0005-0000-0000-00009D480000}"/>
    <cellStyle name="Normal 81 5 6" xfId="18585" xr:uid="{00000000-0005-0000-0000-00009E480000}"/>
    <cellStyle name="Normal 81 5 7" xfId="18586" xr:uid="{00000000-0005-0000-0000-00009F480000}"/>
    <cellStyle name="Normal 81 5 8" xfId="18587" xr:uid="{00000000-0005-0000-0000-0000A0480000}"/>
    <cellStyle name="Normal 81 5 9" xfId="18588" xr:uid="{00000000-0005-0000-0000-0000A1480000}"/>
    <cellStyle name="Normal 81 6" xfId="18589" xr:uid="{00000000-0005-0000-0000-0000A2480000}"/>
    <cellStyle name="Normal 81 6 10" xfId="18590" xr:uid="{00000000-0005-0000-0000-0000A3480000}"/>
    <cellStyle name="Normal 81 6 11" xfId="18591" xr:uid="{00000000-0005-0000-0000-0000A4480000}"/>
    <cellStyle name="Normal 81 6 12" xfId="18592" xr:uid="{00000000-0005-0000-0000-0000A5480000}"/>
    <cellStyle name="Normal 81 6 13" xfId="18593" xr:uid="{00000000-0005-0000-0000-0000A6480000}"/>
    <cellStyle name="Normal 81 6 2" xfId="18594" xr:uid="{00000000-0005-0000-0000-0000A7480000}"/>
    <cellStyle name="Normal 81 6 2 10" xfId="18595" xr:uid="{00000000-0005-0000-0000-0000A8480000}"/>
    <cellStyle name="Normal 81 6 2 11" xfId="18596" xr:uid="{00000000-0005-0000-0000-0000A9480000}"/>
    <cellStyle name="Normal 81 6 2 2" xfId="18597" xr:uid="{00000000-0005-0000-0000-0000AA480000}"/>
    <cellStyle name="Normal 81 6 2 3" xfId="18598" xr:uid="{00000000-0005-0000-0000-0000AB480000}"/>
    <cellStyle name="Normal 81 6 2 4" xfId="18599" xr:uid="{00000000-0005-0000-0000-0000AC480000}"/>
    <cellStyle name="Normal 81 6 2 5" xfId="18600" xr:uid="{00000000-0005-0000-0000-0000AD480000}"/>
    <cellStyle name="Normal 81 6 2 6" xfId="18601" xr:uid="{00000000-0005-0000-0000-0000AE480000}"/>
    <cellStyle name="Normal 81 6 2 7" xfId="18602" xr:uid="{00000000-0005-0000-0000-0000AF480000}"/>
    <cellStyle name="Normal 81 6 2 8" xfId="18603" xr:uid="{00000000-0005-0000-0000-0000B0480000}"/>
    <cellStyle name="Normal 81 6 2 9" xfId="18604" xr:uid="{00000000-0005-0000-0000-0000B1480000}"/>
    <cellStyle name="Normal 81 6 3" xfId="18605" xr:uid="{00000000-0005-0000-0000-0000B2480000}"/>
    <cellStyle name="Normal 81 6 4" xfId="18606" xr:uid="{00000000-0005-0000-0000-0000B3480000}"/>
    <cellStyle name="Normal 81 6 5" xfId="18607" xr:uid="{00000000-0005-0000-0000-0000B4480000}"/>
    <cellStyle name="Normal 81 6 6" xfId="18608" xr:uid="{00000000-0005-0000-0000-0000B5480000}"/>
    <cellStyle name="Normal 81 6 7" xfId="18609" xr:uid="{00000000-0005-0000-0000-0000B6480000}"/>
    <cellStyle name="Normal 81 6 8" xfId="18610" xr:uid="{00000000-0005-0000-0000-0000B7480000}"/>
    <cellStyle name="Normal 81 6 9" xfId="18611" xr:uid="{00000000-0005-0000-0000-0000B8480000}"/>
    <cellStyle name="Normal 81 7" xfId="18612" xr:uid="{00000000-0005-0000-0000-0000B9480000}"/>
    <cellStyle name="Normal 81 7 10" xfId="18613" xr:uid="{00000000-0005-0000-0000-0000BA480000}"/>
    <cellStyle name="Normal 81 7 11" xfId="18614" xr:uid="{00000000-0005-0000-0000-0000BB480000}"/>
    <cellStyle name="Normal 81 7 12" xfId="18615" xr:uid="{00000000-0005-0000-0000-0000BC480000}"/>
    <cellStyle name="Normal 81 7 13" xfId="18616" xr:uid="{00000000-0005-0000-0000-0000BD480000}"/>
    <cellStyle name="Normal 81 7 2" xfId="18617" xr:uid="{00000000-0005-0000-0000-0000BE480000}"/>
    <cellStyle name="Normal 81 7 2 10" xfId="18618" xr:uid="{00000000-0005-0000-0000-0000BF480000}"/>
    <cellStyle name="Normal 81 7 2 11" xfId="18619" xr:uid="{00000000-0005-0000-0000-0000C0480000}"/>
    <cellStyle name="Normal 81 7 2 2" xfId="18620" xr:uid="{00000000-0005-0000-0000-0000C1480000}"/>
    <cellStyle name="Normal 81 7 2 3" xfId="18621" xr:uid="{00000000-0005-0000-0000-0000C2480000}"/>
    <cellStyle name="Normal 81 7 2 4" xfId="18622" xr:uid="{00000000-0005-0000-0000-0000C3480000}"/>
    <cellStyle name="Normal 81 7 2 5" xfId="18623" xr:uid="{00000000-0005-0000-0000-0000C4480000}"/>
    <cellStyle name="Normal 81 7 2 6" xfId="18624" xr:uid="{00000000-0005-0000-0000-0000C5480000}"/>
    <cellStyle name="Normal 81 7 2 7" xfId="18625" xr:uid="{00000000-0005-0000-0000-0000C6480000}"/>
    <cellStyle name="Normal 81 7 2 8" xfId="18626" xr:uid="{00000000-0005-0000-0000-0000C7480000}"/>
    <cellStyle name="Normal 81 7 2 9" xfId="18627" xr:uid="{00000000-0005-0000-0000-0000C8480000}"/>
    <cellStyle name="Normal 81 7 3" xfId="18628" xr:uid="{00000000-0005-0000-0000-0000C9480000}"/>
    <cellStyle name="Normal 81 7 4" xfId="18629" xr:uid="{00000000-0005-0000-0000-0000CA480000}"/>
    <cellStyle name="Normal 81 7 5" xfId="18630" xr:uid="{00000000-0005-0000-0000-0000CB480000}"/>
    <cellStyle name="Normal 81 7 6" xfId="18631" xr:uid="{00000000-0005-0000-0000-0000CC480000}"/>
    <cellStyle name="Normal 81 7 7" xfId="18632" xr:uid="{00000000-0005-0000-0000-0000CD480000}"/>
    <cellStyle name="Normal 81 7 8" xfId="18633" xr:uid="{00000000-0005-0000-0000-0000CE480000}"/>
    <cellStyle name="Normal 81 7 9" xfId="18634" xr:uid="{00000000-0005-0000-0000-0000CF480000}"/>
    <cellStyle name="Normal 81 8" xfId="18635" xr:uid="{00000000-0005-0000-0000-0000D0480000}"/>
    <cellStyle name="Normal 81 8 10" xfId="18636" xr:uid="{00000000-0005-0000-0000-0000D1480000}"/>
    <cellStyle name="Normal 81 8 11" xfId="18637" xr:uid="{00000000-0005-0000-0000-0000D2480000}"/>
    <cellStyle name="Normal 81 8 12" xfId="18638" xr:uid="{00000000-0005-0000-0000-0000D3480000}"/>
    <cellStyle name="Normal 81 8 13" xfId="18639" xr:uid="{00000000-0005-0000-0000-0000D4480000}"/>
    <cellStyle name="Normal 81 8 2" xfId="18640" xr:uid="{00000000-0005-0000-0000-0000D5480000}"/>
    <cellStyle name="Normal 81 8 2 10" xfId="18641" xr:uid="{00000000-0005-0000-0000-0000D6480000}"/>
    <cellStyle name="Normal 81 8 2 11" xfId="18642" xr:uid="{00000000-0005-0000-0000-0000D7480000}"/>
    <cellStyle name="Normal 81 8 2 2" xfId="18643" xr:uid="{00000000-0005-0000-0000-0000D8480000}"/>
    <cellStyle name="Normal 81 8 2 3" xfId="18644" xr:uid="{00000000-0005-0000-0000-0000D9480000}"/>
    <cellStyle name="Normal 81 8 2 4" xfId="18645" xr:uid="{00000000-0005-0000-0000-0000DA480000}"/>
    <cellStyle name="Normal 81 8 2 5" xfId="18646" xr:uid="{00000000-0005-0000-0000-0000DB480000}"/>
    <cellStyle name="Normal 81 8 2 6" xfId="18647" xr:uid="{00000000-0005-0000-0000-0000DC480000}"/>
    <cellStyle name="Normal 81 8 2 7" xfId="18648" xr:uid="{00000000-0005-0000-0000-0000DD480000}"/>
    <cellStyle name="Normal 81 8 2 8" xfId="18649" xr:uid="{00000000-0005-0000-0000-0000DE480000}"/>
    <cellStyle name="Normal 81 8 2 9" xfId="18650" xr:uid="{00000000-0005-0000-0000-0000DF480000}"/>
    <cellStyle name="Normal 81 8 3" xfId="18651" xr:uid="{00000000-0005-0000-0000-0000E0480000}"/>
    <cellStyle name="Normal 81 8 4" xfId="18652" xr:uid="{00000000-0005-0000-0000-0000E1480000}"/>
    <cellStyle name="Normal 81 8 5" xfId="18653" xr:uid="{00000000-0005-0000-0000-0000E2480000}"/>
    <cellStyle name="Normal 81 8 6" xfId="18654" xr:uid="{00000000-0005-0000-0000-0000E3480000}"/>
    <cellStyle name="Normal 81 8 7" xfId="18655" xr:uid="{00000000-0005-0000-0000-0000E4480000}"/>
    <cellStyle name="Normal 81 8 8" xfId="18656" xr:uid="{00000000-0005-0000-0000-0000E5480000}"/>
    <cellStyle name="Normal 81 8 9" xfId="18657" xr:uid="{00000000-0005-0000-0000-0000E6480000}"/>
    <cellStyle name="Normal 81 9" xfId="18658" xr:uid="{00000000-0005-0000-0000-0000E7480000}"/>
    <cellStyle name="Normal 81 9 10" xfId="18659" xr:uid="{00000000-0005-0000-0000-0000E8480000}"/>
    <cellStyle name="Normal 81 9 11" xfId="18660" xr:uid="{00000000-0005-0000-0000-0000E9480000}"/>
    <cellStyle name="Normal 81 9 12" xfId="18661" xr:uid="{00000000-0005-0000-0000-0000EA480000}"/>
    <cellStyle name="Normal 81 9 13" xfId="18662" xr:uid="{00000000-0005-0000-0000-0000EB480000}"/>
    <cellStyle name="Normal 81 9 2" xfId="18663" xr:uid="{00000000-0005-0000-0000-0000EC480000}"/>
    <cellStyle name="Normal 81 9 2 10" xfId="18664" xr:uid="{00000000-0005-0000-0000-0000ED480000}"/>
    <cellStyle name="Normal 81 9 2 11" xfId="18665" xr:uid="{00000000-0005-0000-0000-0000EE480000}"/>
    <cellStyle name="Normal 81 9 2 2" xfId="18666" xr:uid="{00000000-0005-0000-0000-0000EF480000}"/>
    <cellStyle name="Normal 81 9 2 3" xfId="18667" xr:uid="{00000000-0005-0000-0000-0000F0480000}"/>
    <cellStyle name="Normal 81 9 2 4" xfId="18668" xr:uid="{00000000-0005-0000-0000-0000F1480000}"/>
    <cellStyle name="Normal 81 9 2 5" xfId="18669" xr:uid="{00000000-0005-0000-0000-0000F2480000}"/>
    <cellStyle name="Normal 81 9 2 6" xfId="18670" xr:uid="{00000000-0005-0000-0000-0000F3480000}"/>
    <cellStyle name="Normal 81 9 2 7" xfId="18671" xr:uid="{00000000-0005-0000-0000-0000F4480000}"/>
    <cellStyle name="Normal 81 9 2 8" xfId="18672" xr:uid="{00000000-0005-0000-0000-0000F5480000}"/>
    <cellStyle name="Normal 81 9 2 9" xfId="18673" xr:uid="{00000000-0005-0000-0000-0000F6480000}"/>
    <cellStyle name="Normal 81 9 3" xfId="18674" xr:uid="{00000000-0005-0000-0000-0000F7480000}"/>
    <cellStyle name="Normal 81 9 4" xfId="18675" xr:uid="{00000000-0005-0000-0000-0000F8480000}"/>
    <cellStyle name="Normal 81 9 5" xfId="18676" xr:uid="{00000000-0005-0000-0000-0000F9480000}"/>
    <cellStyle name="Normal 81 9 6" xfId="18677" xr:uid="{00000000-0005-0000-0000-0000FA480000}"/>
    <cellStyle name="Normal 81 9 7" xfId="18678" xr:uid="{00000000-0005-0000-0000-0000FB480000}"/>
    <cellStyle name="Normal 81 9 8" xfId="18679" xr:uid="{00000000-0005-0000-0000-0000FC480000}"/>
    <cellStyle name="Normal 81 9 9" xfId="18680" xr:uid="{00000000-0005-0000-0000-0000FD480000}"/>
    <cellStyle name="Normal 82" xfId="18681" xr:uid="{00000000-0005-0000-0000-0000FE480000}"/>
    <cellStyle name="Normal 82 10" xfId="18682" xr:uid="{00000000-0005-0000-0000-0000FF480000}"/>
    <cellStyle name="Normal 82 10 10" xfId="18683" xr:uid="{00000000-0005-0000-0000-000000490000}"/>
    <cellStyle name="Normal 82 10 11" xfId="18684" xr:uid="{00000000-0005-0000-0000-000001490000}"/>
    <cellStyle name="Normal 82 10 12" xfId="18685" xr:uid="{00000000-0005-0000-0000-000002490000}"/>
    <cellStyle name="Normal 82 10 13" xfId="18686" xr:uid="{00000000-0005-0000-0000-000003490000}"/>
    <cellStyle name="Normal 82 10 2" xfId="18687" xr:uid="{00000000-0005-0000-0000-000004490000}"/>
    <cellStyle name="Normal 82 10 2 10" xfId="18688" xr:uid="{00000000-0005-0000-0000-000005490000}"/>
    <cellStyle name="Normal 82 10 2 11" xfId="18689" xr:uid="{00000000-0005-0000-0000-000006490000}"/>
    <cellStyle name="Normal 82 10 2 2" xfId="18690" xr:uid="{00000000-0005-0000-0000-000007490000}"/>
    <cellStyle name="Normal 82 10 2 3" xfId="18691" xr:uid="{00000000-0005-0000-0000-000008490000}"/>
    <cellStyle name="Normal 82 10 2 4" xfId="18692" xr:uid="{00000000-0005-0000-0000-000009490000}"/>
    <cellStyle name="Normal 82 10 2 5" xfId="18693" xr:uid="{00000000-0005-0000-0000-00000A490000}"/>
    <cellStyle name="Normal 82 10 2 6" xfId="18694" xr:uid="{00000000-0005-0000-0000-00000B490000}"/>
    <cellStyle name="Normal 82 10 2 7" xfId="18695" xr:uid="{00000000-0005-0000-0000-00000C490000}"/>
    <cellStyle name="Normal 82 10 2 8" xfId="18696" xr:uid="{00000000-0005-0000-0000-00000D490000}"/>
    <cellStyle name="Normal 82 10 2 9" xfId="18697" xr:uid="{00000000-0005-0000-0000-00000E490000}"/>
    <cellStyle name="Normal 82 10 3" xfId="18698" xr:uid="{00000000-0005-0000-0000-00000F490000}"/>
    <cellStyle name="Normal 82 10 4" xfId="18699" xr:uid="{00000000-0005-0000-0000-000010490000}"/>
    <cellStyle name="Normal 82 10 5" xfId="18700" xr:uid="{00000000-0005-0000-0000-000011490000}"/>
    <cellStyle name="Normal 82 10 6" xfId="18701" xr:uid="{00000000-0005-0000-0000-000012490000}"/>
    <cellStyle name="Normal 82 10 7" xfId="18702" xr:uid="{00000000-0005-0000-0000-000013490000}"/>
    <cellStyle name="Normal 82 10 8" xfId="18703" xr:uid="{00000000-0005-0000-0000-000014490000}"/>
    <cellStyle name="Normal 82 10 9" xfId="18704" xr:uid="{00000000-0005-0000-0000-000015490000}"/>
    <cellStyle name="Normal 82 11" xfId="18705" xr:uid="{00000000-0005-0000-0000-000016490000}"/>
    <cellStyle name="Normal 82 11 10" xfId="18706" xr:uid="{00000000-0005-0000-0000-000017490000}"/>
    <cellStyle name="Normal 82 11 11" xfId="18707" xr:uid="{00000000-0005-0000-0000-000018490000}"/>
    <cellStyle name="Normal 82 11 12" xfId="18708" xr:uid="{00000000-0005-0000-0000-000019490000}"/>
    <cellStyle name="Normal 82 11 13" xfId="18709" xr:uid="{00000000-0005-0000-0000-00001A490000}"/>
    <cellStyle name="Normal 82 11 2" xfId="18710" xr:uid="{00000000-0005-0000-0000-00001B490000}"/>
    <cellStyle name="Normal 82 11 2 10" xfId="18711" xr:uid="{00000000-0005-0000-0000-00001C490000}"/>
    <cellStyle name="Normal 82 11 2 11" xfId="18712" xr:uid="{00000000-0005-0000-0000-00001D490000}"/>
    <cellStyle name="Normal 82 11 2 2" xfId="18713" xr:uid="{00000000-0005-0000-0000-00001E490000}"/>
    <cellStyle name="Normal 82 11 2 3" xfId="18714" xr:uid="{00000000-0005-0000-0000-00001F490000}"/>
    <cellStyle name="Normal 82 11 2 4" xfId="18715" xr:uid="{00000000-0005-0000-0000-000020490000}"/>
    <cellStyle name="Normal 82 11 2 5" xfId="18716" xr:uid="{00000000-0005-0000-0000-000021490000}"/>
    <cellStyle name="Normal 82 11 2 6" xfId="18717" xr:uid="{00000000-0005-0000-0000-000022490000}"/>
    <cellStyle name="Normal 82 11 2 7" xfId="18718" xr:uid="{00000000-0005-0000-0000-000023490000}"/>
    <cellStyle name="Normal 82 11 2 8" xfId="18719" xr:uid="{00000000-0005-0000-0000-000024490000}"/>
    <cellStyle name="Normal 82 11 2 9" xfId="18720" xr:uid="{00000000-0005-0000-0000-000025490000}"/>
    <cellStyle name="Normal 82 11 3" xfId="18721" xr:uid="{00000000-0005-0000-0000-000026490000}"/>
    <cellStyle name="Normal 82 11 4" xfId="18722" xr:uid="{00000000-0005-0000-0000-000027490000}"/>
    <cellStyle name="Normal 82 11 5" xfId="18723" xr:uid="{00000000-0005-0000-0000-000028490000}"/>
    <cellStyle name="Normal 82 11 6" xfId="18724" xr:uid="{00000000-0005-0000-0000-000029490000}"/>
    <cellStyle name="Normal 82 11 7" xfId="18725" xr:uid="{00000000-0005-0000-0000-00002A490000}"/>
    <cellStyle name="Normal 82 11 8" xfId="18726" xr:uid="{00000000-0005-0000-0000-00002B490000}"/>
    <cellStyle name="Normal 82 11 9" xfId="18727" xr:uid="{00000000-0005-0000-0000-00002C490000}"/>
    <cellStyle name="Normal 82 12" xfId="18728" xr:uid="{00000000-0005-0000-0000-00002D490000}"/>
    <cellStyle name="Normal 82 12 10" xfId="18729" xr:uid="{00000000-0005-0000-0000-00002E490000}"/>
    <cellStyle name="Normal 82 12 11" xfId="18730" xr:uid="{00000000-0005-0000-0000-00002F490000}"/>
    <cellStyle name="Normal 82 12 12" xfId="18731" xr:uid="{00000000-0005-0000-0000-000030490000}"/>
    <cellStyle name="Normal 82 12 13" xfId="18732" xr:uid="{00000000-0005-0000-0000-000031490000}"/>
    <cellStyle name="Normal 82 12 2" xfId="18733" xr:uid="{00000000-0005-0000-0000-000032490000}"/>
    <cellStyle name="Normal 82 12 2 10" xfId="18734" xr:uid="{00000000-0005-0000-0000-000033490000}"/>
    <cellStyle name="Normal 82 12 2 11" xfId="18735" xr:uid="{00000000-0005-0000-0000-000034490000}"/>
    <cellStyle name="Normal 82 12 2 2" xfId="18736" xr:uid="{00000000-0005-0000-0000-000035490000}"/>
    <cellStyle name="Normal 82 12 2 3" xfId="18737" xr:uid="{00000000-0005-0000-0000-000036490000}"/>
    <cellStyle name="Normal 82 12 2 4" xfId="18738" xr:uid="{00000000-0005-0000-0000-000037490000}"/>
    <cellStyle name="Normal 82 12 2 5" xfId="18739" xr:uid="{00000000-0005-0000-0000-000038490000}"/>
    <cellStyle name="Normal 82 12 2 6" xfId="18740" xr:uid="{00000000-0005-0000-0000-000039490000}"/>
    <cellStyle name="Normal 82 12 2 7" xfId="18741" xr:uid="{00000000-0005-0000-0000-00003A490000}"/>
    <cellStyle name="Normal 82 12 2 8" xfId="18742" xr:uid="{00000000-0005-0000-0000-00003B490000}"/>
    <cellStyle name="Normal 82 12 2 9" xfId="18743" xr:uid="{00000000-0005-0000-0000-00003C490000}"/>
    <cellStyle name="Normal 82 12 3" xfId="18744" xr:uid="{00000000-0005-0000-0000-00003D490000}"/>
    <cellStyle name="Normal 82 12 4" xfId="18745" xr:uid="{00000000-0005-0000-0000-00003E490000}"/>
    <cellStyle name="Normal 82 12 5" xfId="18746" xr:uid="{00000000-0005-0000-0000-00003F490000}"/>
    <cellStyle name="Normal 82 12 6" xfId="18747" xr:uid="{00000000-0005-0000-0000-000040490000}"/>
    <cellStyle name="Normal 82 12 7" xfId="18748" xr:uid="{00000000-0005-0000-0000-000041490000}"/>
    <cellStyle name="Normal 82 12 8" xfId="18749" xr:uid="{00000000-0005-0000-0000-000042490000}"/>
    <cellStyle name="Normal 82 12 9" xfId="18750" xr:uid="{00000000-0005-0000-0000-000043490000}"/>
    <cellStyle name="Normal 82 13" xfId="18751" xr:uid="{00000000-0005-0000-0000-000044490000}"/>
    <cellStyle name="Normal 82 13 10" xfId="18752" xr:uid="{00000000-0005-0000-0000-000045490000}"/>
    <cellStyle name="Normal 82 13 11" xfId="18753" xr:uid="{00000000-0005-0000-0000-000046490000}"/>
    <cellStyle name="Normal 82 13 12" xfId="18754" xr:uid="{00000000-0005-0000-0000-000047490000}"/>
    <cellStyle name="Normal 82 13 13" xfId="18755" xr:uid="{00000000-0005-0000-0000-000048490000}"/>
    <cellStyle name="Normal 82 13 2" xfId="18756" xr:uid="{00000000-0005-0000-0000-000049490000}"/>
    <cellStyle name="Normal 82 13 2 10" xfId="18757" xr:uid="{00000000-0005-0000-0000-00004A490000}"/>
    <cellStyle name="Normal 82 13 2 11" xfId="18758" xr:uid="{00000000-0005-0000-0000-00004B490000}"/>
    <cellStyle name="Normal 82 13 2 2" xfId="18759" xr:uid="{00000000-0005-0000-0000-00004C490000}"/>
    <cellStyle name="Normal 82 13 2 3" xfId="18760" xr:uid="{00000000-0005-0000-0000-00004D490000}"/>
    <cellStyle name="Normal 82 13 2 4" xfId="18761" xr:uid="{00000000-0005-0000-0000-00004E490000}"/>
    <cellStyle name="Normal 82 13 2 5" xfId="18762" xr:uid="{00000000-0005-0000-0000-00004F490000}"/>
    <cellStyle name="Normal 82 13 2 6" xfId="18763" xr:uid="{00000000-0005-0000-0000-000050490000}"/>
    <cellStyle name="Normal 82 13 2 7" xfId="18764" xr:uid="{00000000-0005-0000-0000-000051490000}"/>
    <cellStyle name="Normal 82 13 2 8" xfId="18765" xr:uid="{00000000-0005-0000-0000-000052490000}"/>
    <cellStyle name="Normal 82 13 2 9" xfId="18766" xr:uid="{00000000-0005-0000-0000-000053490000}"/>
    <cellStyle name="Normal 82 13 3" xfId="18767" xr:uid="{00000000-0005-0000-0000-000054490000}"/>
    <cellStyle name="Normal 82 13 4" xfId="18768" xr:uid="{00000000-0005-0000-0000-000055490000}"/>
    <cellStyle name="Normal 82 13 5" xfId="18769" xr:uid="{00000000-0005-0000-0000-000056490000}"/>
    <cellStyle name="Normal 82 13 6" xfId="18770" xr:uid="{00000000-0005-0000-0000-000057490000}"/>
    <cellStyle name="Normal 82 13 7" xfId="18771" xr:uid="{00000000-0005-0000-0000-000058490000}"/>
    <cellStyle name="Normal 82 13 8" xfId="18772" xr:uid="{00000000-0005-0000-0000-000059490000}"/>
    <cellStyle name="Normal 82 13 9" xfId="18773" xr:uid="{00000000-0005-0000-0000-00005A490000}"/>
    <cellStyle name="Normal 82 14" xfId="18774" xr:uid="{00000000-0005-0000-0000-00005B490000}"/>
    <cellStyle name="Normal 82 14 10" xfId="18775" xr:uid="{00000000-0005-0000-0000-00005C490000}"/>
    <cellStyle name="Normal 82 14 11" xfId="18776" xr:uid="{00000000-0005-0000-0000-00005D490000}"/>
    <cellStyle name="Normal 82 14 2" xfId="18777" xr:uid="{00000000-0005-0000-0000-00005E490000}"/>
    <cellStyle name="Normal 82 14 3" xfId="18778" xr:uid="{00000000-0005-0000-0000-00005F490000}"/>
    <cellStyle name="Normal 82 14 4" xfId="18779" xr:uid="{00000000-0005-0000-0000-000060490000}"/>
    <cellStyle name="Normal 82 14 5" xfId="18780" xr:uid="{00000000-0005-0000-0000-000061490000}"/>
    <cellStyle name="Normal 82 14 6" xfId="18781" xr:uid="{00000000-0005-0000-0000-000062490000}"/>
    <cellStyle name="Normal 82 14 7" xfId="18782" xr:uid="{00000000-0005-0000-0000-000063490000}"/>
    <cellStyle name="Normal 82 14 8" xfId="18783" xr:uid="{00000000-0005-0000-0000-000064490000}"/>
    <cellStyle name="Normal 82 14 9" xfId="18784" xr:uid="{00000000-0005-0000-0000-000065490000}"/>
    <cellStyle name="Normal 82 15" xfId="18785" xr:uid="{00000000-0005-0000-0000-000066490000}"/>
    <cellStyle name="Normal 82 16" xfId="18786" xr:uid="{00000000-0005-0000-0000-000067490000}"/>
    <cellStyle name="Normal 82 17" xfId="18787" xr:uid="{00000000-0005-0000-0000-000068490000}"/>
    <cellStyle name="Normal 82 18" xfId="18788" xr:uid="{00000000-0005-0000-0000-000069490000}"/>
    <cellStyle name="Normal 82 19" xfId="18789" xr:uid="{00000000-0005-0000-0000-00006A490000}"/>
    <cellStyle name="Normal 82 2" xfId="18790" xr:uid="{00000000-0005-0000-0000-00006B490000}"/>
    <cellStyle name="Normal 82 2 10" xfId="18791" xr:uid="{00000000-0005-0000-0000-00006C490000}"/>
    <cellStyle name="Normal 82 2 11" xfId="18792" xr:uid="{00000000-0005-0000-0000-00006D490000}"/>
    <cellStyle name="Normal 82 2 12" xfId="18793" xr:uid="{00000000-0005-0000-0000-00006E490000}"/>
    <cellStyle name="Normal 82 2 13" xfId="18794" xr:uid="{00000000-0005-0000-0000-00006F490000}"/>
    <cellStyle name="Normal 82 2 2" xfId="18795" xr:uid="{00000000-0005-0000-0000-000070490000}"/>
    <cellStyle name="Normal 82 2 2 10" xfId="18796" xr:uid="{00000000-0005-0000-0000-000071490000}"/>
    <cellStyle name="Normal 82 2 2 11" xfId="18797" xr:uid="{00000000-0005-0000-0000-000072490000}"/>
    <cellStyle name="Normal 82 2 2 2" xfId="18798" xr:uid="{00000000-0005-0000-0000-000073490000}"/>
    <cellStyle name="Normal 82 2 2 3" xfId="18799" xr:uid="{00000000-0005-0000-0000-000074490000}"/>
    <cellStyle name="Normal 82 2 2 4" xfId="18800" xr:uid="{00000000-0005-0000-0000-000075490000}"/>
    <cellStyle name="Normal 82 2 2 5" xfId="18801" xr:uid="{00000000-0005-0000-0000-000076490000}"/>
    <cellStyle name="Normal 82 2 2 6" xfId="18802" xr:uid="{00000000-0005-0000-0000-000077490000}"/>
    <cellStyle name="Normal 82 2 2 7" xfId="18803" xr:uid="{00000000-0005-0000-0000-000078490000}"/>
    <cellStyle name="Normal 82 2 2 8" xfId="18804" xr:uid="{00000000-0005-0000-0000-000079490000}"/>
    <cellStyle name="Normal 82 2 2 9" xfId="18805" xr:uid="{00000000-0005-0000-0000-00007A490000}"/>
    <cellStyle name="Normal 82 2 3" xfId="18806" xr:uid="{00000000-0005-0000-0000-00007B490000}"/>
    <cellStyle name="Normal 82 2 4" xfId="18807" xr:uid="{00000000-0005-0000-0000-00007C490000}"/>
    <cellStyle name="Normal 82 2 5" xfId="18808" xr:uid="{00000000-0005-0000-0000-00007D490000}"/>
    <cellStyle name="Normal 82 2 6" xfId="18809" xr:uid="{00000000-0005-0000-0000-00007E490000}"/>
    <cellStyle name="Normal 82 2 7" xfId="18810" xr:uid="{00000000-0005-0000-0000-00007F490000}"/>
    <cellStyle name="Normal 82 2 8" xfId="18811" xr:uid="{00000000-0005-0000-0000-000080490000}"/>
    <cellStyle name="Normal 82 2 9" xfId="18812" xr:uid="{00000000-0005-0000-0000-000081490000}"/>
    <cellStyle name="Normal 82 20" xfId="18813" xr:uid="{00000000-0005-0000-0000-000082490000}"/>
    <cellStyle name="Normal 82 21" xfId="18814" xr:uid="{00000000-0005-0000-0000-000083490000}"/>
    <cellStyle name="Normal 82 22" xfId="18815" xr:uid="{00000000-0005-0000-0000-000084490000}"/>
    <cellStyle name="Normal 82 23" xfId="18816" xr:uid="{00000000-0005-0000-0000-000085490000}"/>
    <cellStyle name="Normal 82 24" xfId="18817" xr:uid="{00000000-0005-0000-0000-000086490000}"/>
    <cellStyle name="Normal 82 25" xfId="18818" xr:uid="{00000000-0005-0000-0000-000087490000}"/>
    <cellStyle name="Normal 82 3" xfId="18819" xr:uid="{00000000-0005-0000-0000-000088490000}"/>
    <cellStyle name="Normal 82 3 10" xfId="18820" xr:uid="{00000000-0005-0000-0000-000089490000}"/>
    <cellStyle name="Normal 82 3 11" xfId="18821" xr:uid="{00000000-0005-0000-0000-00008A490000}"/>
    <cellStyle name="Normal 82 3 12" xfId="18822" xr:uid="{00000000-0005-0000-0000-00008B490000}"/>
    <cellStyle name="Normal 82 3 13" xfId="18823" xr:uid="{00000000-0005-0000-0000-00008C490000}"/>
    <cellStyle name="Normal 82 3 2" xfId="18824" xr:uid="{00000000-0005-0000-0000-00008D490000}"/>
    <cellStyle name="Normal 82 3 2 10" xfId="18825" xr:uid="{00000000-0005-0000-0000-00008E490000}"/>
    <cellStyle name="Normal 82 3 2 11" xfId="18826" xr:uid="{00000000-0005-0000-0000-00008F490000}"/>
    <cellStyle name="Normal 82 3 2 2" xfId="18827" xr:uid="{00000000-0005-0000-0000-000090490000}"/>
    <cellStyle name="Normal 82 3 2 3" xfId="18828" xr:uid="{00000000-0005-0000-0000-000091490000}"/>
    <cellStyle name="Normal 82 3 2 4" xfId="18829" xr:uid="{00000000-0005-0000-0000-000092490000}"/>
    <cellStyle name="Normal 82 3 2 5" xfId="18830" xr:uid="{00000000-0005-0000-0000-000093490000}"/>
    <cellStyle name="Normal 82 3 2 6" xfId="18831" xr:uid="{00000000-0005-0000-0000-000094490000}"/>
    <cellStyle name="Normal 82 3 2 7" xfId="18832" xr:uid="{00000000-0005-0000-0000-000095490000}"/>
    <cellStyle name="Normal 82 3 2 8" xfId="18833" xr:uid="{00000000-0005-0000-0000-000096490000}"/>
    <cellStyle name="Normal 82 3 2 9" xfId="18834" xr:uid="{00000000-0005-0000-0000-000097490000}"/>
    <cellStyle name="Normal 82 3 3" xfId="18835" xr:uid="{00000000-0005-0000-0000-000098490000}"/>
    <cellStyle name="Normal 82 3 4" xfId="18836" xr:uid="{00000000-0005-0000-0000-000099490000}"/>
    <cellStyle name="Normal 82 3 5" xfId="18837" xr:uid="{00000000-0005-0000-0000-00009A490000}"/>
    <cellStyle name="Normal 82 3 6" xfId="18838" xr:uid="{00000000-0005-0000-0000-00009B490000}"/>
    <cellStyle name="Normal 82 3 7" xfId="18839" xr:uid="{00000000-0005-0000-0000-00009C490000}"/>
    <cellStyle name="Normal 82 3 8" xfId="18840" xr:uid="{00000000-0005-0000-0000-00009D490000}"/>
    <cellStyle name="Normal 82 3 9" xfId="18841" xr:uid="{00000000-0005-0000-0000-00009E490000}"/>
    <cellStyle name="Normal 82 4" xfId="18842" xr:uid="{00000000-0005-0000-0000-00009F490000}"/>
    <cellStyle name="Normal 82 4 10" xfId="18843" xr:uid="{00000000-0005-0000-0000-0000A0490000}"/>
    <cellStyle name="Normal 82 4 11" xfId="18844" xr:uid="{00000000-0005-0000-0000-0000A1490000}"/>
    <cellStyle name="Normal 82 4 12" xfId="18845" xr:uid="{00000000-0005-0000-0000-0000A2490000}"/>
    <cellStyle name="Normal 82 4 13" xfId="18846" xr:uid="{00000000-0005-0000-0000-0000A3490000}"/>
    <cellStyle name="Normal 82 4 2" xfId="18847" xr:uid="{00000000-0005-0000-0000-0000A4490000}"/>
    <cellStyle name="Normal 82 4 2 10" xfId="18848" xr:uid="{00000000-0005-0000-0000-0000A5490000}"/>
    <cellStyle name="Normal 82 4 2 11" xfId="18849" xr:uid="{00000000-0005-0000-0000-0000A6490000}"/>
    <cellStyle name="Normal 82 4 2 2" xfId="18850" xr:uid="{00000000-0005-0000-0000-0000A7490000}"/>
    <cellStyle name="Normal 82 4 2 3" xfId="18851" xr:uid="{00000000-0005-0000-0000-0000A8490000}"/>
    <cellStyle name="Normal 82 4 2 4" xfId="18852" xr:uid="{00000000-0005-0000-0000-0000A9490000}"/>
    <cellStyle name="Normal 82 4 2 5" xfId="18853" xr:uid="{00000000-0005-0000-0000-0000AA490000}"/>
    <cellStyle name="Normal 82 4 2 6" xfId="18854" xr:uid="{00000000-0005-0000-0000-0000AB490000}"/>
    <cellStyle name="Normal 82 4 2 7" xfId="18855" xr:uid="{00000000-0005-0000-0000-0000AC490000}"/>
    <cellStyle name="Normal 82 4 2 8" xfId="18856" xr:uid="{00000000-0005-0000-0000-0000AD490000}"/>
    <cellStyle name="Normal 82 4 2 9" xfId="18857" xr:uid="{00000000-0005-0000-0000-0000AE490000}"/>
    <cellStyle name="Normal 82 4 3" xfId="18858" xr:uid="{00000000-0005-0000-0000-0000AF490000}"/>
    <cellStyle name="Normal 82 4 4" xfId="18859" xr:uid="{00000000-0005-0000-0000-0000B0490000}"/>
    <cellStyle name="Normal 82 4 5" xfId="18860" xr:uid="{00000000-0005-0000-0000-0000B1490000}"/>
    <cellStyle name="Normal 82 4 6" xfId="18861" xr:uid="{00000000-0005-0000-0000-0000B2490000}"/>
    <cellStyle name="Normal 82 4 7" xfId="18862" xr:uid="{00000000-0005-0000-0000-0000B3490000}"/>
    <cellStyle name="Normal 82 4 8" xfId="18863" xr:uid="{00000000-0005-0000-0000-0000B4490000}"/>
    <cellStyle name="Normal 82 4 9" xfId="18864" xr:uid="{00000000-0005-0000-0000-0000B5490000}"/>
    <cellStyle name="Normal 82 5" xfId="18865" xr:uid="{00000000-0005-0000-0000-0000B6490000}"/>
    <cellStyle name="Normal 82 5 10" xfId="18866" xr:uid="{00000000-0005-0000-0000-0000B7490000}"/>
    <cellStyle name="Normal 82 5 11" xfId="18867" xr:uid="{00000000-0005-0000-0000-0000B8490000}"/>
    <cellStyle name="Normal 82 5 12" xfId="18868" xr:uid="{00000000-0005-0000-0000-0000B9490000}"/>
    <cellStyle name="Normal 82 5 13" xfId="18869" xr:uid="{00000000-0005-0000-0000-0000BA490000}"/>
    <cellStyle name="Normal 82 5 2" xfId="18870" xr:uid="{00000000-0005-0000-0000-0000BB490000}"/>
    <cellStyle name="Normal 82 5 2 10" xfId="18871" xr:uid="{00000000-0005-0000-0000-0000BC490000}"/>
    <cellStyle name="Normal 82 5 2 11" xfId="18872" xr:uid="{00000000-0005-0000-0000-0000BD490000}"/>
    <cellStyle name="Normal 82 5 2 2" xfId="18873" xr:uid="{00000000-0005-0000-0000-0000BE490000}"/>
    <cellStyle name="Normal 82 5 2 3" xfId="18874" xr:uid="{00000000-0005-0000-0000-0000BF490000}"/>
    <cellStyle name="Normal 82 5 2 4" xfId="18875" xr:uid="{00000000-0005-0000-0000-0000C0490000}"/>
    <cellStyle name="Normal 82 5 2 5" xfId="18876" xr:uid="{00000000-0005-0000-0000-0000C1490000}"/>
    <cellStyle name="Normal 82 5 2 6" xfId="18877" xr:uid="{00000000-0005-0000-0000-0000C2490000}"/>
    <cellStyle name="Normal 82 5 2 7" xfId="18878" xr:uid="{00000000-0005-0000-0000-0000C3490000}"/>
    <cellStyle name="Normal 82 5 2 8" xfId="18879" xr:uid="{00000000-0005-0000-0000-0000C4490000}"/>
    <cellStyle name="Normal 82 5 2 9" xfId="18880" xr:uid="{00000000-0005-0000-0000-0000C5490000}"/>
    <cellStyle name="Normal 82 5 3" xfId="18881" xr:uid="{00000000-0005-0000-0000-0000C6490000}"/>
    <cellStyle name="Normal 82 5 4" xfId="18882" xr:uid="{00000000-0005-0000-0000-0000C7490000}"/>
    <cellStyle name="Normal 82 5 5" xfId="18883" xr:uid="{00000000-0005-0000-0000-0000C8490000}"/>
    <cellStyle name="Normal 82 5 6" xfId="18884" xr:uid="{00000000-0005-0000-0000-0000C9490000}"/>
    <cellStyle name="Normal 82 5 7" xfId="18885" xr:uid="{00000000-0005-0000-0000-0000CA490000}"/>
    <cellStyle name="Normal 82 5 8" xfId="18886" xr:uid="{00000000-0005-0000-0000-0000CB490000}"/>
    <cellStyle name="Normal 82 5 9" xfId="18887" xr:uid="{00000000-0005-0000-0000-0000CC490000}"/>
    <cellStyle name="Normal 82 6" xfId="18888" xr:uid="{00000000-0005-0000-0000-0000CD490000}"/>
    <cellStyle name="Normal 82 6 10" xfId="18889" xr:uid="{00000000-0005-0000-0000-0000CE490000}"/>
    <cellStyle name="Normal 82 6 11" xfId="18890" xr:uid="{00000000-0005-0000-0000-0000CF490000}"/>
    <cellStyle name="Normal 82 6 12" xfId="18891" xr:uid="{00000000-0005-0000-0000-0000D0490000}"/>
    <cellStyle name="Normal 82 6 13" xfId="18892" xr:uid="{00000000-0005-0000-0000-0000D1490000}"/>
    <cellStyle name="Normal 82 6 2" xfId="18893" xr:uid="{00000000-0005-0000-0000-0000D2490000}"/>
    <cellStyle name="Normal 82 6 2 10" xfId="18894" xr:uid="{00000000-0005-0000-0000-0000D3490000}"/>
    <cellStyle name="Normal 82 6 2 11" xfId="18895" xr:uid="{00000000-0005-0000-0000-0000D4490000}"/>
    <cellStyle name="Normal 82 6 2 2" xfId="18896" xr:uid="{00000000-0005-0000-0000-0000D5490000}"/>
    <cellStyle name="Normal 82 6 2 3" xfId="18897" xr:uid="{00000000-0005-0000-0000-0000D6490000}"/>
    <cellStyle name="Normal 82 6 2 4" xfId="18898" xr:uid="{00000000-0005-0000-0000-0000D7490000}"/>
    <cellStyle name="Normal 82 6 2 5" xfId="18899" xr:uid="{00000000-0005-0000-0000-0000D8490000}"/>
    <cellStyle name="Normal 82 6 2 6" xfId="18900" xr:uid="{00000000-0005-0000-0000-0000D9490000}"/>
    <cellStyle name="Normal 82 6 2 7" xfId="18901" xr:uid="{00000000-0005-0000-0000-0000DA490000}"/>
    <cellStyle name="Normal 82 6 2 8" xfId="18902" xr:uid="{00000000-0005-0000-0000-0000DB490000}"/>
    <cellStyle name="Normal 82 6 2 9" xfId="18903" xr:uid="{00000000-0005-0000-0000-0000DC490000}"/>
    <cellStyle name="Normal 82 6 3" xfId="18904" xr:uid="{00000000-0005-0000-0000-0000DD490000}"/>
    <cellStyle name="Normal 82 6 4" xfId="18905" xr:uid="{00000000-0005-0000-0000-0000DE490000}"/>
    <cellStyle name="Normal 82 6 5" xfId="18906" xr:uid="{00000000-0005-0000-0000-0000DF490000}"/>
    <cellStyle name="Normal 82 6 6" xfId="18907" xr:uid="{00000000-0005-0000-0000-0000E0490000}"/>
    <cellStyle name="Normal 82 6 7" xfId="18908" xr:uid="{00000000-0005-0000-0000-0000E1490000}"/>
    <cellStyle name="Normal 82 6 8" xfId="18909" xr:uid="{00000000-0005-0000-0000-0000E2490000}"/>
    <cellStyle name="Normal 82 6 9" xfId="18910" xr:uid="{00000000-0005-0000-0000-0000E3490000}"/>
    <cellStyle name="Normal 82 7" xfId="18911" xr:uid="{00000000-0005-0000-0000-0000E4490000}"/>
    <cellStyle name="Normal 82 7 10" xfId="18912" xr:uid="{00000000-0005-0000-0000-0000E5490000}"/>
    <cellStyle name="Normal 82 7 11" xfId="18913" xr:uid="{00000000-0005-0000-0000-0000E6490000}"/>
    <cellStyle name="Normal 82 7 12" xfId="18914" xr:uid="{00000000-0005-0000-0000-0000E7490000}"/>
    <cellStyle name="Normal 82 7 13" xfId="18915" xr:uid="{00000000-0005-0000-0000-0000E8490000}"/>
    <cellStyle name="Normal 82 7 2" xfId="18916" xr:uid="{00000000-0005-0000-0000-0000E9490000}"/>
    <cellStyle name="Normal 82 7 2 10" xfId="18917" xr:uid="{00000000-0005-0000-0000-0000EA490000}"/>
    <cellStyle name="Normal 82 7 2 11" xfId="18918" xr:uid="{00000000-0005-0000-0000-0000EB490000}"/>
    <cellStyle name="Normal 82 7 2 2" xfId="18919" xr:uid="{00000000-0005-0000-0000-0000EC490000}"/>
    <cellStyle name="Normal 82 7 2 3" xfId="18920" xr:uid="{00000000-0005-0000-0000-0000ED490000}"/>
    <cellStyle name="Normal 82 7 2 4" xfId="18921" xr:uid="{00000000-0005-0000-0000-0000EE490000}"/>
    <cellStyle name="Normal 82 7 2 5" xfId="18922" xr:uid="{00000000-0005-0000-0000-0000EF490000}"/>
    <cellStyle name="Normal 82 7 2 6" xfId="18923" xr:uid="{00000000-0005-0000-0000-0000F0490000}"/>
    <cellStyle name="Normal 82 7 2 7" xfId="18924" xr:uid="{00000000-0005-0000-0000-0000F1490000}"/>
    <cellStyle name="Normal 82 7 2 8" xfId="18925" xr:uid="{00000000-0005-0000-0000-0000F2490000}"/>
    <cellStyle name="Normal 82 7 2 9" xfId="18926" xr:uid="{00000000-0005-0000-0000-0000F3490000}"/>
    <cellStyle name="Normal 82 7 3" xfId="18927" xr:uid="{00000000-0005-0000-0000-0000F4490000}"/>
    <cellStyle name="Normal 82 7 4" xfId="18928" xr:uid="{00000000-0005-0000-0000-0000F5490000}"/>
    <cellStyle name="Normal 82 7 5" xfId="18929" xr:uid="{00000000-0005-0000-0000-0000F6490000}"/>
    <cellStyle name="Normal 82 7 6" xfId="18930" xr:uid="{00000000-0005-0000-0000-0000F7490000}"/>
    <cellStyle name="Normal 82 7 7" xfId="18931" xr:uid="{00000000-0005-0000-0000-0000F8490000}"/>
    <cellStyle name="Normal 82 7 8" xfId="18932" xr:uid="{00000000-0005-0000-0000-0000F9490000}"/>
    <cellStyle name="Normal 82 7 9" xfId="18933" xr:uid="{00000000-0005-0000-0000-0000FA490000}"/>
    <cellStyle name="Normal 82 8" xfId="18934" xr:uid="{00000000-0005-0000-0000-0000FB490000}"/>
    <cellStyle name="Normal 82 8 10" xfId="18935" xr:uid="{00000000-0005-0000-0000-0000FC490000}"/>
    <cellStyle name="Normal 82 8 11" xfId="18936" xr:uid="{00000000-0005-0000-0000-0000FD490000}"/>
    <cellStyle name="Normal 82 8 12" xfId="18937" xr:uid="{00000000-0005-0000-0000-0000FE490000}"/>
    <cellStyle name="Normal 82 8 13" xfId="18938" xr:uid="{00000000-0005-0000-0000-0000FF490000}"/>
    <cellStyle name="Normal 82 8 2" xfId="18939" xr:uid="{00000000-0005-0000-0000-0000004A0000}"/>
    <cellStyle name="Normal 82 8 2 10" xfId="18940" xr:uid="{00000000-0005-0000-0000-0000014A0000}"/>
    <cellStyle name="Normal 82 8 2 11" xfId="18941" xr:uid="{00000000-0005-0000-0000-0000024A0000}"/>
    <cellStyle name="Normal 82 8 2 2" xfId="18942" xr:uid="{00000000-0005-0000-0000-0000034A0000}"/>
    <cellStyle name="Normal 82 8 2 3" xfId="18943" xr:uid="{00000000-0005-0000-0000-0000044A0000}"/>
    <cellStyle name="Normal 82 8 2 4" xfId="18944" xr:uid="{00000000-0005-0000-0000-0000054A0000}"/>
    <cellStyle name="Normal 82 8 2 5" xfId="18945" xr:uid="{00000000-0005-0000-0000-0000064A0000}"/>
    <cellStyle name="Normal 82 8 2 6" xfId="18946" xr:uid="{00000000-0005-0000-0000-0000074A0000}"/>
    <cellStyle name="Normal 82 8 2 7" xfId="18947" xr:uid="{00000000-0005-0000-0000-0000084A0000}"/>
    <cellStyle name="Normal 82 8 2 8" xfId="18948" xr:uid="{00000000-0005-0000-0000-0000094A0000}"/>
    <cellStyle name="Normal 82 8 2 9" xfId="18949" xr:uid="{00000000-0005-0000-0000-00000A4A0000}"/>
    <cellStyle name="Normal 82 8 3" xfId="18950" xr:uid="{00000000-0005-0000-0000-00000B4A0000}"/>
    <cellStyle name="Normal 82 8 4" xfId="18951" xr:uid="{00000000-0005-0000-0000-00000C4A0000}"/>
    <cellStyle name="Normal 82 8 5" xfId="18952" xr:uid="{00000000-0005-0000-0000-00000D4A0000}"/>
    <cellStyle name="Normal 82 8 6" xfId="18953" xr:uid="{00000000-0005-0000-0000-00000E4A0000}"/>
    <cellStyle name="Normal 82 8 7" xfId="18954" xr:uid="{00000000-0005-0000-0000-00000F4A0000}"/>
    <cellStyle name="Normal 82 8 8" xfId="18955" xr:uid="{00000000-0005-0000-0000-0000104A0000}"/>
    <cellStyle name="Normal 82 8 9" xfId="18956" xr:uid="{00000000-0005-0000-0000-0000114A0000}"/>
    <cellStyle name="Normal 82 9" xfId="18957" xr:uid="{00000000-0005-0000-0000-0000124A0000}"/>
    <cellStyle name="Normal 82 9 10" xfId="18958" xr:uid="{00000000-0005-0000-0000-0000134A0000}"/>
    <cellStyle name="Normal 82 9 11" xfId="18959" xr:uid="{00000000-0005-0000-0000-0000144A0000}"/>
    <cellStyle name="Normal 82 9 12" xfId="18960" xr:uid="{00000000-0005-0000-0000-0000154A0000}"/>
    <cellStyle name="Normal 82 9 13" xfId="18961" xr:uid="{00000000-0005-0000-0000-0000164A0000}"/>
    <cellStyle name="Normal 82 9 2" xfId="18962" xr:uid="{00000000-0005-0000-0000-0000174A0000}"/>
    <cellStyle name="Normal 82 9 2 10" xfId="18963" xr:uid="{00000000-0005-0000-0000-0000184A0000}"/>
    <cellStyle name="Normal 82 9 2 11" xfId="18964" xr:uid="{00000000-0005-0000-0000-0000194A0000}"/>
    <cellStyle name="Normal 82 9 2 2" xfId="18965" xr:uid="{00000000-0005-0000-0000-00001A4A0000}"/>
    <cellStyle name="Normal 82 9 2 3" xfId="18966" xr:uid="{00000000-0005-0000-0000-00001B4A0000}"/>
    <cellStyle name="Normal 82 9 2 4" xfId="18967" xr:uid="{00000000-0005-0000-0000-00001C4A0000}"/>
    <cellStyle name="Normal 82 9 2 5" xfId="18968" xr:uid="{00000000-0005-0000-0000-00001D4A0000}"/>
    <cellStyle name="Normal 82 9 2 6" xfId="18969" xr:uid="{00000000-0005-0000-0000-00001E4A0000}"/>
    <cellStyle name="Normal 82 9 2 7" xfId="18970" xr:uid="{00000000-0005-0000-0000-00001F4A0000}"/>
    <cellStyle name="Normal 82 9 2 8" xfId="18971" xr:uid="{00000000-0005-0000-0000-0000204A0000}"/>
    <cellStyle name="Normal 82 9 2 9" xfId="18972" xr:uid="{00000000-0005-0000-0000-0000214A0000}"/>
    <cellStyle name="Normal 82 9 3" xfId="18973" xr:uid="{00000000-0005-0000-0000-0000224A0000}"/>
    <cellStyle name="Normal 82 9 4" xfId="18974" xr:uid="{00000000-0005-0000-0000-0000234A0000}"/>
    <cellStyle name="Normal 82 9 5" xfId="18975" xr:uid="{00000000-0005-0000-0000-0000244A0000}"/>
    <cellStyle name="Normal 82 9 6" xfId="18976" xr:uid="{00000000-0005-0000-0000-0000254A0000}"/>
    <cellStyle name="Normal 82 9 7" xfId="18977" xr:uid="{00000000-0005-0000-0000-0000264A0000}"/>
    <cellStyle name="Normal 82 9 8" xfId="18978" xr:uid="{00000000-0005-0000-0000-0000274A0000}"/>
    <cellStyle name="Normal 82 9 9" xfId="18979" xr:uid="{00000000-0005-0000-0000-0000284A0000}"/>
    <cellStyle name="Normal 83" xfId="18980" xr:uid="{00000000-0005-0000-0000-0000294A0000}"/>
    <cellStyle name="Normal 83 10" xfId="18981" xr:uid="{00000000-0005-0000-0000-00002A4A0000}"/>
    <cellStyle name="Normal 83 10 10" xfId="18982" xr:uid="{00000000-0005-0000-0000-00002B4A0000}"/>
    <cellStyle name="Normal 83 10 11" xfId="18983" xr:uid="{00000000-0005-0000-0000-00002C4A0000}"/>
    <cellStyle name="Normal 83 10 12" xfId="18984" xr:uid="{00000000-0005-0000-0000-00002D4A0000}"/>
    <cellStyle name="Normal 83 10 13" xfId="18985" xr:uid="{00000000-0005-0000-0000-00002E4A0000}"/>
    <cellStyle name="Normal 83 10 2" xfId="18986" xr:uid="{00000000-0005-0000-0000-00002F4A0000}"/>
    <cellStyle name="Normal 83 10 2 10" xfId="18987" xr:uid="{00000000-0005-0000-0000-0000304A0000}"/>
    <cellStyle name="Normal 83 10 2 11" xfId="18988" xr:uid="{00000000-0005-0000-0000-0000314A0000}"/>
    <cellStyle name="Normal 83 10 2 2" xfId="18989" xr:uid="{00000000-0005-0000-0000-0000324A0000}"/>
    <cellStyle name="Normal 83 10 2 3" xfId="18990" xr:uid="{00000000-0005-0000-0000-0000334A0000}"/>
    <cellStyle name="Normal 83 10 2 4" xfId="18991" xr:uid="{00000000-0005-0000-0000-0000344A0000}"/>
    <cellStyle name="Normal 83 10 2 5" xfId="18992" xr:uid="{00000000-0005-0000-0000-0000354A0000}"/>
    <cellStyle name="Normal 83 10 2 6" xfId="18993" xr:uid="{00000000-0005-0000-0000-0000364A0000}"/>
    <cellStyle name="Normal 83 10 2 7" xfId="18994" xr:uid="{00000000-0005-0000-0000-0000374A0000}"/>
    <cellStyle name="Normal 83 10 2 8" xfId="18995" xr:uid="{00000000-0005-0000-0000-0000384A0000}"/>
    <cellStyle name="Normal 83 10 2 9" xfId="18996" xr:uid="{00000000-0005-0000-0000-0000394A0000}"/>
    <cellStyle name="Normal 83 10 3" xfId="18997" xr:uid="{00000000-0005-0000-0000-00003A4A0000}"/>
    <cellStyle name="Normal 83 10 4" xfId="18998" xr:uid="{00000000-0005-0000-0000-00003B4A0000}"/>
    <cellStyle name="Normal 83 10 5" xfId="18999" xr:uid="{00000000-0005-0000-0000-00003C4A0000}"/>
    <cellStyle name="Normal 83 10 6" xfId="19000" xr:uid="{00000000-0005-0000-0000-00003D4A0000}"/>
    <cellStyle name="Normal 83 10 7" xfId="19001" xr:uid="{00000000-0005-0000-0000-00003E4A0000}"/>
    <cellStyle name="Normal 83 10 8" xfId="19002" xr:uid="{00000000-0005-0000-0000-00003F4A0000}"/>
    <cellStyle name="Normal 83 10 9" xfId="19003" xr:uid="{00000000-0005-0000-0000-0000404A0000}"/>
    <cellStyle name="Normal 83 11" xfId="19004" xr:uid="{00000000-0005-0000-0000-0000414A0000}"/>
    <cellStyle name="Normal 83 11 10" xfId="19005" xr:uid="{00000000-0005-0000-0000-0000424A0000}"/>
    <cellStyle name="Normal 83 11 11" xfId="19006" xr:uid="{00000000-0005-0000-0000-0000434A0000}"/>
    <cellStyle name="Normal 83 11 12" xfId="19007" xr:uid="{00000000-0005-0000-0000-0000444A0000}"/>
    <cellStyle name="Normal 83 11 13" xfId="19008" xr:uid="{00000000-0005-0000-0000-0000454A0000}"/>
    <cellStyle name="Normal 83 11 2" xfId="19009" xr:uid="{00000000-0005-0000-0000-0000464A0000}"/>
    <cellStyle name="Normal 83 11 2 10" xfId="19010" xr:uid="{00000000-0005-0000-0000-0000474A0000}"/>
    <cellStyle name="Normal 83 11 2 11" xfId="19011" xr:uid="{00000000-0005-0000-0000-0000484A0000}"/>
    <cellStyle name="Normal 83 11 2 2" xfId="19012" xr:uid="{00000000-0005-0000-0000-0000494A0000}"/>
    <cellStyle name="Normal 83 11 2 3" xfId="19013" xr:uid="{00000000-0005-0000-0000-00004A4A0000}"/>
    <cellStyle name="Normal 83 11 2 4" xfId="19014" xr:uid="{00000000-0005-0000-0000-00004B4A0000}"/>
    <cellStyle name="Normal 83 11 2 5" xfId="19015" xr:uid="{00000000-0005-0000-0000-00004C4A0000}"/>
    <cellStyle name="Normal 83 11 2 6" xfId="19016" xr:uid="{00000000-0005-0000-0000-00004D4A0000}"/>
    <cellStyle name="Normal 83 11 2 7" xfId="19017" xr:uid="{00000000-0005-0000-0000-00004E4A0000}"/>
    <cellStyle name="Normal 83 11 2 8" xfId="19018" xr:uid="{00000000-0005-0000-0000-00004F4A0000}"/>
    <cellStyle name="Normal 83 11 2 9" xfId="19019" xr:uid="{00000000-0005-0000-0000-0000504A0000}"/>
    <cellStyle name="Normal 83 11 3" xfId="19020" xr:uid="{00000000-0005-0000-0000-0000514A0000}"/>
    <cellStyle name="Normal 83 11 4" xfId="19021" xr:uid="{00000000-0005-0000-0000-0000524A0000}"/>
    <cellStyle name="Normal 83 11 5" xfId="19022" xr:uid="{00000000-0005-0000-0000-0000534A0000}"/>
    <cellStyle name="Normal 83 11 6" xfId="19023" xr:uid="{00000000-0005-0000-0000-0000544A0000}"/>
    <cellStyle name="Normal 83 11 7" xfId="19024" xr:uid="{00000000-0005-0000-0000-0000554A0000}"/>
    <cellStyle name="Normal 83 11 8" xfId="19025" xr:uid="{00000000-0005-0000-0000-0000564A0000}"/>
    <cellStyle name="Normal 83 11 9" xfId="19026" xr:uid="{00000000-0005-0000-0000-0000574A0000}"/>
    <cellStyle name="Normal 83 12" xfId="19027" xr:uid="{00000000-0005-0000-0000-0000584A0000}"/>
    <cellStyle name="Normal 83 12 10" xfId="19028" xr:uid="{00000000-0005-0000-0000-0000594A0000}"/>
    <cellStyle name="Normal 83 12 11" xfId="19029" xr:uid="{00000000-0005-0000-0000-00005A4A0000}"/>
    <cellStyle name="Normal 83 12 12" xfId="19030" xr:uid="{00000000-0005-0000-0000-00005B4A0000}"/>
    <cellStyle name="Normal 83 12 13" xfId="19031" xr:uid="{00000000-0005-0000-0000-00005C4A0000}"/>
    <cellStyle name="Normal 83 12 2" xfId="19032" xr:uid="{00000000-0005-0000-0000-00005D4A0000}"/>
    <cellStyle name="Normal 83 12 2 10" xfId="19033" xr:uid="{00000000-0005-0000-0000-00005E4A0000}"/>
    <cellStyle name="Normal 83 12 2 11" xfId="19034" xr:uid="{00000000-0005-0000-0000-00005F4A0000}"/>
    <cellStyle name="Normal 83 12 2 2" xfId="19035" xr:uid="{00000000-0005-0000-0000-0000604A0000}"/>
    <cellStyle name="Normal 83 12 2 3" xfId="19036" xr:uid="{00000000-0005-0000-0000-0000614A0000}"/>
    <cellStyle name="Normal 83 12 2 4" xfId="19037" xr:uid="{00000000-0005-0000-0000-0000624A0000}"/>
    <cellStyle name="Normal 83 12 2 5" xfId="19038" xr:uid="{00000000-0005-0000-0000-0000634A0000}"/>
    <cellStyle name="Normal 83 12 2 6" xfId="19039" xr:uid="{00000000-0005-0000-0000-0000644A0000}"/>
    <cellStyle name="Normal 83 12 2 7" xfId="19040" xr:uid="{00000000-0005-0000-0000-0000654A0000}"/>
    <cellStyle name="Normal 83 12 2 8" xfId="19041" xr:uid="{00000000-0005-0000-0000-0000664A0000}"/>
    <cellStyle name="Normal 83 12 2 9" xfId="19042" xr:uid="{00000000-0005-0000-0000-0000674A0000}"/>
    <cellStyle name="Normal 83 12 3" xfId="19043" xr:uid="{00000000-0005-0000-0000-0000684A0000}"/>
    <cellStyle name="Normal 83 12 4" xfId="19044" xr:uid="{00000000-0005-0000-0000-0000694A0000}"/>
    <cellStyle name="Normal 83 12 5" xfId="19045" xr:uid="{00000000-0005-0000-0000-00006A4A0000}"/>
    <cellStyle name="Normal 83 12 6" xfId="19046" xr:uid="{00000000-0005-0000-0000-00006B4A0000}"/>
    <cellStyle name="Normal 83 12 7" xfId="19047" xr:uid="{00000000-0005-0000-0000-00006C4A0000}"/>
    <cellStyle name="Normal 83 12 8" xfId="19048" xr:uid="{00000000-0005-0000-0000-00006D4A0000}"/>
    <cellStyle name="Normal 83 12 9" xfId="19049" xr:uid="{00000000-0005-0000-0000-00006E4A0000}"/>
    <cellStyle name="Normal 83 13" xfId="19050" xr:uid="{00000000-0005-0000-0000-00006F4A0000}"/>
    <cellStyle name="Normal 83 13 10" xfId="19051" xr:uid="{00000000-0005-0000-0000-0000704A0000}"/>
    <cellStyle name="Normal 83 13 11" xfId="19052" xr:uid="{00000000-0005-0000-0000-0000714A0000}"/>
    <cellStyle name="Normal 83 13 12" xfId="19053" xr:uid="{00000000-0005-0000-0000-0000724A0000}"/>
    <cellStyle name="Normal 83 13 13" xfId="19054" xr:uid="{00000000-0005-0000-0000-0000734A0000}"/>
    <cellStyle name="Normal 83 13 2" xfId="19055" xr:uid="{00000000-0005-0000-0000-0000744A0000}"/>
    <cellStyle name="Normal 83 13 2 10" xfId="19056" xr:uid="{00000000-0005-0000-0000-0000754A0000}"/>
    <cellStyle name="Normal 83 13 2 11" xfId="19057" xr:uid="{00000000-0005-0000-0000-0000764A0000}"/>
    <cellStyle name="Normal 83 13 2 2" xfId="19058" xr:uid="{00000000-0005-0000-0000-0000774A0000}"/>
    <cellStyle name="Normal 83 13 2 3" xfId="19059" xr:uid="{00000000-0005-0000-0000-0000784A0000}"/>
    <cellStyle name="Normal 83 13 2 4" xfId="19060" xr:uid="{00000000-0005-0000-0000-0000794A0000}"/>
    <cellStyle name="Normal 83 13 2 5" xfId="19061" xr:uid="{00000000-0005-0000-0000-00007A4A0000}"/>
    <cellStyle name="Normal 83 13 2 6" xfId="19062" xr:uid="{00000000-0005-0000-0000-00007B4A0000}"/>
    <cellStyle name="Normal 83 13 2 7" xfId="19063" xr:uid="{00000000-0005-0000-0000-00007C4A0000}"/>
    <cellStyle name="Normal 83 13 2 8" xfId="19064" xr:uid="{00000000-0005-0000-0000-00007D4A0000}"/>
    <cellStyle name="Normal 83 13 2 9" xfId="19065" xr:uid="{00000000-0005-0000-0000-00007E4A0000}"/>
    <cellStyle name="Normal 83 13 3" xfId="19066" xr:uid="{00000000-0005-0000-0000-00007F4A0000}"/>
    <cellStyle name="Normal 83 13 4" xfId="19067" xr:uid="{00000000-0005-0000-0000-0000804A0000}"/>
    <cellStyle name="Normal 83 13 5" xfId="19068" xr:uid="{00000000-0005-0000-0000-0000814A0000}"/>
    <cellStyle name="Normal 83 13 6" xfId="19069" xr:uid="{00000000-0005-0000-0000-0000824A0000}"/>
    <cellStyle name="Normal 83 13 7" xfId="19070" xr:uid="{00000000-0005-0000-0000-0000834A0000}"/>
    <cellStyle name="Normal 83 13 8" xfId="19071" xr:uid="{00000000-0005-0000-0000-0000844A0000}"/>
    <cellStyle name="Normal 83 13 9" xfId="19072" xr:uid="{00000000-0005-0000-0000-0000854A0000}"/>
    <cellStyle name="Normal 83 14" xfId="19073" xr:uid="{00000000-0005-0000-0000-0000864A0000}"/>
    <cellStyle name="Normal 83 14 10" xfId="19074" xr:uid="{00000000-0005-0000-0000-0000874A0000}"/>
    <cellStyle name="Normal 83 14 11" xfId="19075" xr:uid="{00000000-0005-0000-0000-0000884A0000}"/>
    <cellStyle name="Normal 83 14 2" xfId="19076" xr:uid="{00000000-0005-0000-0000-0000894A0000}"/>
    <cellStyle name="Normal 83 14 3" xfId="19077" xr:uid="{00000000-0005-0000-0000-00008A4A0000}"/>
    <cellStyle name="Normal 83 14 4" xfId="19078" xr:uid="{00000000-0005-0000-0000-00008B4A0000}"/>
    <cellStyle name="Normal 83 14 5" xfId="19079" xr:uid="{00000000-0005-0000-0000-00008C4A0000}"/>
    <cellStyle name="Normal 83 14 6" xfId="19080" xr:uid="{00000000-0005-0000-0000-00008D4A0000}"/>
    <cellStyle name="Normal 83 14 7" xfId="19081" xr:uid="{00000000-0005-0000-0000-00008E4A0000}"/>
    <cellStyle name="Normal 83 14 8" xfId="19082" xr:uid="{00000000-0005-0000-0000-00008F4A0000}"/>
    <cellStyle name="Normal 83 14 9" xfId="19083" xr:uid="{00000000-0005-0000-0000-0000904A0000}"/>
    <cellStyle name="Normal 83 15" xfId="19084" xr:uid="{00000000-0005-0000-0000-0000914A0000}"/>
    <cellStyle name="Normal 83 16" xfId="19085" xr:uid="{00000000-0005-0000-0000-0000924A0000}"/>
    <cellStyle name="Normal 83 17" xfId="19086" xr:uid="{00000000-0005-0000-0000-0000934A0000}"/>
    <cellStyle name="Normal 83 18" xfId="19087" xr:uid="{00000000-0005-0000-0000-0000944A0000}"/>
    <cellStyle name="Normal 83 19" xfId="19088" xr:uid="{00000000-0005-0000-0000-0000954A0000}"/>
    <cellStyle name="Normal 83 2" xfId="19089" xr:uid="{00000000-0005-0000-0000-0000964A0000}"/>
    <cellStyle name="Normal 83 2 10" xfId="19090" xr:uid="{00000000-0005-0000-0000-0000974A0000}"/>
    <cellStyle name="Normal 83 2 11" xfId="19091" xr:uid="{00000000-0005-0000-0000-0000984A0000}"/>
    <cellStyle name="Normal 83 2 12" xfId="19092" xr:uid="{00000000-0005-0000-0000-0000994A0000}"/>
    <cellStyle name="Normal 83 2 13" xfId="19093" xr:uid="{00000000-0005-0000-0000-00009A4A0000}"/>
    <cellStyle name="Normal 83 2 2" xfId="19094" xr:uid="{00000000-0005-0000-0000-00009B4A0000}"/>
    <cellStyle name="Normal 83 2 2 10" xfId="19095" xr:uid="{00000000-0005-0000-0000-00009C4A0000}"/>
    <cellStyle name="Normal 83 2 2 11" xfId="19096" xr:uid="{00000000-0005-0000-0000-00009D4A0000}"/>
    <cellStyle name="Normal 83 2 2 2" xfId="19097" xr:uid="{00000000-0005-0000-0000-00009E4A0000}"/>
    <cellStyle name="Normal 83 2 2 3" xfId="19098" xr:uid="{00000000-0005-0000-0000-00009F4A0000}"/>
    <cellStyle name="Normal 83 2 2 4" xfId="19099" xr:uid="{00000000-0005-0000-0000-0000A04A0000}"/>
    <cellStyle name="Normal 83 2 2 5" xfId="19100" xr:uid="{00000000-0005-0000-0000-0000A14A0000}"/>
    <cellStyle name="Normal 83 2 2 6" xfId="19101" xr:uid="{00000000-0005-0000-0000-0000A24A0000}"/>
    <cellStyle name="Normal 83 2 2 7" xfId="19102" xr:uid="{00000000-0005-0000-0000-0000A34A0000}"/>
    <cellStyle name="Normal 83 2 2 8" xfId="19103" xr:uid="{00000000-0005-0000-0000-0000A44A0000}"/>
    <cellStyle name="Normal 83 2 2 9" xfId="19104" xr:uid="{00000000-0005-0000-0000-0000A54A0000}"/>
    <cellStyle name="Normal 83 2 3" xfId="19105" xr:uid="{00000000-0005-0000-0000-0000A64A0000}"/>
    <cellStyle name="Normal 83 2 4" xfId="19106" xr:uid="{00000000-0005-0000-0000-0000A74A0000}"/>
    <cellStyle name="Normal 83 2 5" xfId="19107" xr:uid="{00000000-0005-0000-0000-0000A84A0000}"/>
    <cellStyle name="Normal 83 2 6" xfId="19108" xr:uid="{00000000-0005-0000-0000-0000A94A0000}"/>
    <cellStyle name="Normal 83 2 7" xfId="19109" xr:uid="{00000000-0005-0000-0000-0000AA4A0000}"/>
    <cellStyle name="Normal 83 2 8" xfId="19110" xr:uid="{00000000-0005-0000-0000-0000AB4A0000}"/>
    <cellStyle name="Normal 83 2 9" xfId="19111" xr:uid="{00000000-0005-0000-0000-0000AC4A0000}"/>
    <cellStyle name="Normal 83 20" xfId="19112" xr:uid="{00000000-0005-0000-0000-0000AD4A0000}"/>
    <cellStyle name="Normal 83 21" xfId="19113" xr:uid="{00000000-0005-0000-0000-0000AE4A0000}"/>
    <cellStyle name="Normal 83 22" xfId="19114" xr:uid="{00000000-0005-0000-0000-0000AF4A0000}"/>
    <cellStyle name="Normal 83 23" xfId="19115" xr:uid="{00000000-0005-0000-0000-0000B04A0000}"/>
    <cellStyle name="Normal 83 24" xfId="19116" xr:uid="{00000000-0005-0000-0000-0000B14A0000}"/>
    <cellStyle name="Normal 83 25" xfId="19117" xr:uid="{00000000-0005-0000-0000-0000B24A0000}"/>
    <cellStyle name="Normal 83 3" xfId="19118" xr:uid="{00000000-0005-0000-0000-0000B34A0000}"/>
    <cellStyle name="Normal 83 3 10" xfId="19119" xr:uid="{00000000-0005-0000-0000-0000B44A0000}"/>
    <cellStyle name="Normal 83 3 11" xfId="19120" xr:uid="{00000000-0005-0000-0000-0000B54A0000}"/>
    <cellStyle name="Normal 83 3 12" xfId="19121" xr:uid="{00000000-0005-0000-0000-0000B64A0000}"/>
    <cellStyle name="Normal 83 3 13" xfId="19122" xr:uid="{00000000-0005-0000-0000-0000B74A0000}"/>
    <cellStyle name="Normal 83 3 2" xfId="19123" xr:uid="{00000000-0005-0000-0000-0000B84A0000}"/>
    <cellStyle name="Normal 83 3 2 10" xfId="19124" xr:uid="{00000000-0005-0000-0000-0000B94A0000}"/>
    <cellStyle name="Normal 83 3 2 11" xfId="19125" xr:uid="{00000000-0005-0000-0000-0000BA4A0000}"/>
    <cellStyle name="Normal 83 3 2 2" xfId="19126" xr:uid="{00000000-0005-0000-0000-0000BB4A0000}"/>
    <cellStyle name="Normal 83 3 2 3" xfId="19127" xr:uid="{00000000-0005-0000-0000-0000BC4A0000}"/>
    <cellStyle name="Normal 83 3 2 4" xfId="19128" xr:uid="{00000000-0005-0000-0000-0000BD4A0000}"/>
    <cellStyle name="Normal 83 3 2 5" xfId="19129" xr:uid="{00000000-0005-0000-0000-0000BE4A0000}"/>
    <cellStyle name="Normal 83 3 2 6" xfId="19130" xr:uid="{00000000-0005-0000-0000-0000BF4A0000}"/>
    <cellStyle name="Normal 83 3 2 7" xfId="19131" xr:uid="{00000000-0005-0000-0000-0000C04A0000}"/>
    <cellStyle name="Normal 83 3 2 8" xfId="19132" xr:uid="{00000000-0005-0000-0000-0000C14A0000}"/>
    <cellStyle name="Normal 83 3 2 9" xfId="19133" xr:uid="{00000000-0005-0000-0000-0000C24A0000}"/>
    <cellStyle name="Normal 83 3 3" xfId="19134" xr:uid="{00000000-0005-0000-0000-0000C34A0000}"/>
    <cellStyle name="Normal 83 3 4" xfId="19135" xr:uid="{00000000-0005-0000-0000-0000C44A0000}"/>
    <cellStyle name="Normal 83 3 5" xfId="19136" xr:uid="{00000000-0005-0000-0000-0000C54A0000}"/>
    <cellStyle name="Normal 83 3 6" xfId="19137" xr:uid="{00000000-0005-0000-0000-0000C64A0000}"/>
    <cellStyle name="Normal 83 3 7" xfId="19138" xr:uid="{00000000-0005-0000-0000-0000C74A0000}"/>
    <cellStyle name="Normal 83 3 8" xfId="19139" xr:uid="{00000000-0005-0000-0000-0000C84A0000}"/>
    <cellStyle name="Normal 83 3 9" xfId="19140" xr:uid="{00000000-0005-0000-0000-0000C94A0000}"/>
    <cellStyle name="Normal 83 4" xfId="19141" xr:uid="{00000000-0005-0000-0000-0000CA4A0000}"/>
    <cellStyle name="Normal 83 4 10" xfId="19142" xr:uid="{00000000-0005-0000-0000-0000CB4A0000}"/>
    <cellStyle name="Normal 83 4 11" xfId="19143" xr:uid="{00000000-0005-0000-0000-0000CC4A0000}"/>
    <cellStyle name="Normal 83 4 12" xfId="19144" xr:uid="{00000000-0005-0000-0000-0000CD4A0000}"/>
    <cellStyle name="Normal 83 4 13" xfId="19145" xr:uid="{00000000-0005-0000-0000-0000CE4A0000}"/>
    <cellStyle name="Normal 83 4 2" xfId="19146" xr:uid="{00000000-0005-0000-0000-0000CF4A0000}"/>
    <cellStyle name="Normal 83 4 2 10" xfId="19147" xr:uid="{00000000-0005-0000-0000-0000D04A0000}"/>
    <cellStyle name="Normal 83 4 2 11" xfId="19148" xr:uid="{00000000-0005-0000-0000-0000D14A0000}"/>
    <cellStyle name="Normal 83 4 2 2" xfId="19149" xr:uid="{00000000-0005-0000-0000-0000D24A0000}"/>
    <cellStyle name="Normal 83 4 2 3" xfId="19150" xr:uid="{00000000-0005-0000-0000-0000D34A0000}"/>
    <cellStyle name="Normal 83 4 2 4" xfId="19151" xr:uid="{00000000-0005-0000-0000-0000D44A0000}"/>
    <cellStyle name="Normal 83 4 2 5" xfId="19152" xr:uid="{00000000-0005-0000-0000-0000D54A0000}"/>
    <cellStyle name="Normal 83 4 2 6" xfId="19153" xr:uid="{00000000-0005-0000-0000-0000D64A0000}"/>
    <cellStyle name="Normal 83 4 2 7" xfId="19154" xr:uid="{00000000-0005-0000-0000-0000D74A0000}"/>
    <cellStyle name="Normal 83 4 2 8" xfId="19155" xr:uid="{00000000-0005-0000-0000-0000D84A0000}"/>
    <cellStyle name="Normal 83 4 2 9" xfId="19156" xr:uid="{00000000-0005-0000-0000-0000D94A0000}"/>
    <cellStyle name="Normal 83 4 3" xfId="19157" xr:uid="{00000000-0005-0000-0000-0000DA4A0000}"/>
    <cellStyle name="Normal 83 4 4" xfId="19158" xr:uid="{00000000-0005-0000-0000-0000DB4A0000}"/>
    <cellStyle name="Normal 83 4 5" xfId="19159" xr:uid="{00000000-0005-0000-0000-0000DC4A0000}"/>
    <cellStyle name="Normal 83 4 6" xfId="19160" xr:uid="{00000000-0005-0000-0000-0000DD4A0000}"/>
    <cellStyle name="Normal 83 4 7" xfId="19161" xr:uid="{00000000-0005-0000-0000-0000DE4A0000}"/>
    <cellStyle name="Normal 83 4 8" xfId="19162" xr:uid="{00000000-0005-0000-0000-0000DF4A0000}"/>
    <cellStyle name="Normal 83 4 9" xfId="19163" xr:uid="{00000000-0005-0000-0000-0000E04A0000}"/>
    <cellStyle name="Normal 83 5" xfId="19164" xr:uid="{00000000-0005-0000-0000-0000E14A0000}"/>
    <cellStyle name="Normal 83 5 10" xfId="19165" xr:uid="{00000000-0005-0000-0000-0000E24A0000}"/>
    <cellStyle name="Normal 83 5 11" xfId="19166" xr:uid="{00000000-0005-0000-0000-0000E34A0000}"/>
    <cellStyle name="Normal 83 5 12" xfId="19167" xr:uid="{00000000-0005-0000-0000-0000E44A0000}"/>
    <cellStyle name="Normal 83 5 13" xfId="19168" xr:uid="{00000000-0005-0000-0000-0000E54A0000}"/>
    <cellStyle name="Normal 83 5 2" xfId="19169" xr:uid="{00000000-0005-0000-0000-0000E64A0000}"/>
    <cellStyle name="Normal 83 5 2 10" xfId="19170" xr:uid="{00000000-0005-0000-0000-0000E74A0000}"/>
    <cellStyle name="Normal 83 5 2 11" xfId="19171" xr:uid="{00000000-0005-0000-0000-0000E84A0000}"/>
    <cellStyle name="Normal 83 5 2 2" xfId="19172" xr:uid="{00000000-0005-0000-0000-0000E94A0000}"/>
    <cellStyle name="Normal 83 5 2 3" xfId="19173" xr:uid="{00000000-0005-0000-0000-0000EA4A0000}"/>
    <cellStyle name="Normal 83 5 2 4" xfId="19174" xr:uid="{00000000-0005-0000-0000-0000EB4A0000}"/>
    <cellStyle name="Normal 83 5 2 5" xfId="19175" xr:uid="{00000000-0005-0000-0000-0000EC4A0000}"/>
    <cellStyle name="Normal 83 5 2 6" xfId="19176" xr:uid="{00000000-0005-0000-0000-0000ED4A0000}"/>
    <cellStyle name="Normal 83 5 2 7" xfId="19177" xr:uid="{00000000-0005-0000-0000-0000EE4A0000}"/>
    <cellStyle name="Normal 83 5 2 8" xfId="19178" xr:uid="{00000000-0005-0000-0000-0000EF4A0000}"/>
    <cellStyle name="Normal 83 5 2 9" xfId="19179" xr:uid="{00000000-0005-0000-0000-0000F04A0000}"/>
    <cellStyle name="Normal 83 5 3" xfId="19180" xr:uid="{00000000-0005-0000-0000-0000F14A0000}"/>
    <cellStyle name="Normal 83 5 4" xfId="19181" xr:uid="{00000000-0005-0000-0000-0000F24A0000}"/>
    <cellStyle name="Normal 83 5 5" xfId="19182" xr:uid="{00000000-0005-0000-0000-0000F34A0000}"/>
    <cellStyle name="Normal 83 5 6" xfId="19183" xr:uid="{00000000-0005-0000-0000-0000F44A0000}"/>
    <cellStyle name="Normal 83 5 7" xfId="19184" xr:uid="{00000000-0005-0000-0000-0000F54A0000}"/>
    <cellStyle name="Normal 83 5 8" xfId="19185" xr:uid="{00000000-0005-0000-0000-0000F64A0000}"/>
    <cellStyle name="Normal 83 5 9" xfId="19186" xr:uid="{00000000-0005-0000-0000-0000F74A0000}"/>
    <cellStyle name="Normal 83 6" xfId="19187" xr:uid="{00000000-0005-0000-0000-0000F84A0000}"/>
    <cellStyle name="Normal 83 6 10" xfId="19188" xr:uid="{00000000-0005-0000-0000-0000F94A0000}"/>
    <cellStyle name="Normal 83 6 11" xfId="19189" xr:uid="{00000000-0005-0000-0000-0000FA4A0000}"/>
    <cellStyle name="Normal 83 6 12" xfId="19190" xr:uid="{00000000-0005-0000-0000-0000FB4A0000}"/>
    <cellStyle name="Normal 83 6 13" xfId="19191" xr:uid="{00000000-0005-0000-0000-0000FC4A0000}"/>
    <cellStyle name="Normal 83 6 2" xfId="19192" xr:uid="{00000000-0005-0000-0000-0000FD4A0000}"/>
    <cellStyle name="Normal 83 6 2 10" xfId="19193" xr:uid="{00000000-0005-0000-0000-0000FE4A0000}"/>
    <cellStyle name="Normal 83 6 2 11" xfId="19194" xr:uid="{00000000-0005-0000-0000-0000FF4A0000}"/>
    <cellStyle name="Normal 83 6 2 2" xfId="19195" xr:uid="{00000000-0005-0000-0000-0000004B0000}"/>
    <cellStyle name="Normal 83 6 2 3" xfId="19196" xr:uid="{00000000-0005-0000-0000-0000014B0000}"/>
    <cellStyle name="Normal 83 6 2 4" xfId="19197" xr:uid="{00000000-0005-0000-0000-0000024B0000}"/>
    <cellStyle name="Normal 83 6 2 5" xfId="19198" xr:uid="{00000000-0005-0000-0000-0000034B0000}"/>
    <cellStyle name="Normal 83 6 2 6" xfId="19199" xr:uid="{00000000-0005-0000-0000-0000044B0000}"/>
    <cellStyle name="Normal 83 6 2 7" xfId="19200" xr:uid="{00000000-0005-0000-0000-0000054B0000}"/>
    <cellStyle name="Normal 83 6 2 8" xfId="19201" xr:uid="{00000000-0005-0000-0000-0000064B0000}"/>
    <cellStyle name="Normal 83 6 2 9" xfId="19202" xr:uid="{00000000-0005-0000-0000-0000074B0000}"/>
    <cellStyle name="Normal 83 6 3" xfId="19203" xr:uid="{00000000-0005-0000-0000-0000084B0000}"/>
    <cellStyle name="Normal 83 6 4" xfId="19204" xr:uid="{00000000-0005-0000-0000-0000094B0000}"/>
    <cellStyle name="Normal 83 6 5" xfId="19205" xr:uid="{00000000-0005-0000-0000-00000A4B0000}"/>
    <cellStyle name="Normal 83 6 6" xfId="19206" xr:uid="{00000000-0005-0000-0000-00000B4B0000}"/>
    <cellStyle name="Normal 83 6 7" xfId="19207" xr:uid="{00000000-0005-0000-0000-00000C4B0000}"/>
    <cellStyle name="Normal 83 6 8" xfId="19208" xr:uid="{00000000-0005-0000-0000-00000D4B0000}"/>
    <cellStyle name="Normal 83 6 9" xfId="19209" xr:uid="{00000000-0005-0000-0000-00000E4B0000}"/>
    <cellStyle name="Normal 83 7" xfId="19210" xr:uid="{00000000-0005-0000-0000-00000F4B0000}"/>
    <cellStyle name="Normal 83 7 10" xfId="19211" xr:uid="{00000000-0005-0000-0000-0000104B0000}"/>
    <cellStyle name="Normal 83 7 11" xfId="19212" xr:uid="{00000000-0005-0000-0000-0000114B0000}"/>
    <cellStyle name="Normal 83 7 12" xfId="19213" xr:uid="{00000000-0005-0000-0000-0000124B0000}"/>
    <cellStyle name="Normal 83 7 13" xfId="19214" xr:uid="{00000000-0005-0000-0000-0000134B0000}"/>
    <cellStyle name="Normal 83 7 2" xfId="19215" xr:uid="{00000000-0005-0000-0000-0000144B0000}"/>
    <cellStyle name="Normal 83 7 2 10" xfId="19216" xr:uid="{00000000-0005-0000-0000-0000154B0000}"/>
    <cellStyle name="Normal 83 7 2 11" xfId="19217" xr:uid="{00000000-0005-0000-0000-0000164B0000}"/>
    <cellStyle name="Normal 83 7 2 2" xfId="19218" xr:uid="{00000000-0005-0000-0000-0000174B0000}"/>
    <cellStyle name="Normal 83 7 2 3" xfId="19219" xr:uid="{00000000-0005-0000-0000-0000184B0000}"/>
    <cellStyle name="Normal 83 7 2 4" xfId="19220" xr:uid="{00000000-0005-0000-0000-0000194B0000}"/>
    <cellStyle name="Normal 83 7 2 5" xfId="19221" xr:uid="{00000000-0005-0000-0000-00001A4B0000}"/>
    <cellStyle name="Normal 83 7 2 6" xfId="19222" xr:uid="{00000000-0005-0000-0000-00001B4B0000}"/>
    <cellStyle name="Normal 83 7 2 7" xfId="19223" xr:uid="{00000000-0005-0000-0000-00001C4B0000}"/>
    <cellStyle name="Normal 83 7 2 8" xfId="19224" xr:uid="{00000000-0005-0000-0000-00001D4B0000}"/>
    <cellStyle name="Normal 83 7 2 9" xfId="19225" xr:uid="{00000000-0005-0000-0000-00001E4B0000}"/>
    <cellStyle name="Normal 83 7 3" xfId="19226" xr:uid="{00000000-0005-0000-0000-00001F4B0000}"/>
    <cellStyle name="Normal 83 7 4" xfId="19227" xr:uid="{00000000-0005-0000-0000-0000204B0000}"/>
    <cellStyle name="Normal 83 7 5" xfId="19228" xr:uid="{00000000-0005-0000-0000-0000214B0000}"/>
    <cellStyle name="Normal 83 7 6" xfId="19229" xr:uid="{00000000-0005-0000-0000-0000224B0000}"/>
    <cellStyle name="Normal 83 7 7" xfId="19230" xr:uid="{00000000-0005-0000-0000-0000234B0000}"/>
    <cellStyle name="Normal 83 7 8" xfId="19231" xr:uid="{00000000-0005-0000-0000-0000244B0000}"/>
    <cellStyle name="Normal 83 7 9" xfId="19232" xr:uid="{00000000-0005-0000-0000-0000254B0000}"/>
    <cellStyle name="Normal 83 8" xfId="19233" xr:uid="{00000000-0005-0000-0000-0000264B0000}"/>
    <cellStyle name="Normal 83 8 10" xfId="19234" xr:uid="{00000000-0005-0000-0000-0000274B0000}"/>
    <cellStyle name="Normal 83 8 11" xfId="19235" xr:uid="{00000000-0005-0000-0000-0000284B0000}"/>
    <cellStyle name="Normal 83 8 12" xfId="19236" xr:uid="{00000000-0005-0000-0000-0000294B0000}"/>
    <cellStyle name="Normal 83 8 13" xfId="19237" xr:uid="{00000000-0005-0000-0000-00002A4B0000}"/>
    <cellStyle name="Normal 83 8 2" xfId="19238" xr:uid="{00000000-0005-0000-0000-00002B4B0000}"/>
    <cellStyle name="Normal 83 8 2 10" xfId="19239" xr:uid="{00000000-0005-0000-0000-00002C4B0000}"/>
    <cellStyle name="Normal 83 8 2 11" xfId="19240" xr:uid="{00000000-0005-0000-0000-00002D4B0000}"/>
    <cellStyle name="Normal 83 8 2 2" xfId="19241" xr:uid="{00000000-0005-0000-0000-00002E4B0000}"/>
    <cellStyle name="Normal 83 8 2 3" xfId="19242" xr:uid="{00000000-0005-0000-0000-00002F4B0000}"/>
    <cellStyle name="Normal 83 8 2 4" xfId="19243" xr:uid="{00000000-0005-0000-0000-0000304B0000}"/>
    <cellStyle name="Normal 83 8 2 5" xfId="19244" xr:uid="{00000000-0005-0000-0000-0000314B0000}"/>
    <cellStyle name="Normal 83 8 2 6" xfId="19245" xr:uid="{00000000-0005-0000-0000-0000324B0000}"/>
    <cellStyle name="Normal 83 8 2 7" xfId="19246" xr:uid="{00000000-0005-0000-0000-0000334B0000}"/>
    <cellStyle name="Normal 83 8 2 8" xfId="19247" xr:uid="{00000000-0005-0000-0000-0000344B0000}"/>
    <cellStyle name="Normal 83 8 2 9" xfId="19248" xr:uid="{00000000-0005-0000-0000-0000354B0000}"/>
    <cellStyle name="Normal 83 8 3" xfId="19249" xr:uid="{00000000-0005-0000-0000-0000364B0000}"/>
    <cellStyle name="Normal 83 8 4" xfId="19250" xr:uid="{00000000-0005-0000-0000-0000374B0000}"/>
    <cellStyle name="Normal 83 8 5" xfId="19251" xr:uid="{00000000-0005-0000-0000-0000384B0000}"/>
    <cellStyle name="Normal 83 8 6" xfId="19252" xr:uid="{00000000-0005-0000-0000-0000394B0000}"/>
    <cellStyle name="Normal 83 8 7" xfId="19253" xr:uid="{00000000-0005-0000-0000-00003A4B0000}"/>
    <cellStyle name="Normal 83 8 8" xfId="19254" xr:uid="{00000000-0005-0000-0000-00003B4B0000}"/>
    <cellStyle name="Normal 83 8 9" xfId="19255" xr:uid="{00000000-0005-0000-0000-00003C4B0000}"/>
    <cellStyle name="Normal 83 9" xfId="19256" xr:uid="{00000000-0005-0000-0000-00003D4B0000}"/>
    <cellStyle name="Normal 83 9 10" xfId="19257" xr:uid="{00000000-0005-0000-0000-00003E4B0000}"/>
    <cellStyle name="Normal 83 9 11" xfId="19258" xr:uid="{00000000-0005-0000-0000-00003F4B0000}"/>
    <cellStyle name="Normal 83 9 12" xfId="19259" xr:uid="{00000000-0005-0000-0000-0000404B0000}"/>
    <cellStyle name="Normal 83 9 13" xfId="19260" xr:uid="{00000000-0005-0000-0000-0000414B0000}"/>
    <cellStyle name="Normal 83 9 2" xfId="19261" xr:uid="{00000000-0005-0000-0000-0000424B0000}"/>
    <cellStyle name="Normal 83 9 2 10" xfId="19262" xr:uid="{00000000-0005-0000-0000-0000434B0000}"/>
    <cellStyle name="Normal 83 9 2 11" xfId="19263" xr:uid="{00000000-0005-0000-0000-0000444B0000}"/>
    <cellStyle name="Normal 83 9 2 2" xfId="19264" xr:uid="{00000000-0005-0000-0000-0000454B0000}"/>
    <cellStyle name="Normal 83 9 2 3" xfId="19265" xr:uid="{00000000-0005-0000-0000-0000464B0000}"/>
    <cellStyle name="Normal 83 9 2 4" xfId="19266" xr:uid="{00000000-0005-0000-0000-0000474B0000}"/>
    <cellStyle name="Normal 83 9 2 5" xfId="19267" xr:uid="{00000000-0005-0000-0000-0000484B0000}"/>
    <cellStyle name="Normal 83 9 2 6" xfId="19268" xr:uid="{00000000-0005-0000-0000-0000494B0000}"/>
    <cellStyle name="Normal 83 9 2 7" xfId="19269" xr:uid="{00000000-0005-0000-0000-00004A4B0000}"/>
    <cellStyle name="Normal 83 9 2 8" xfId="19270" xr:uid="{00000000-0005-0000-0000-00004B4B0000}"/>
    <cellStyle name="Normal 83 9 2 9" xfId="19271" xr:uid="{00000000-0005-0000-0000-00004C4B0000}"/>
    <cellStyle name="Normal 83 9 3" xfId="19272" xr:uid="{00000000-0005-0000-0000-00004D4B0000}"/>
    <cellStyle name="Normal 83 9 4" xfId="19273" xr:uid="{00000000-0005-0000-0000-00004E4B0000}"/>
    <cellStyle name="Normal 83 9 5" xfId="19274" xr:uid="{00000000-0005-0000-0000-00004F4B0000}"/>
    <cellStyle name="Normal 83 9 6" xfId="19275" xr:uid="{00000000-0005-0000-0000-0000504B0000}"/>
    <cellStyle name="Normal 83 9 7" xfId="19276" xr:uid="{00000000-0005-0000-0000-0000514B0000}"/>
    <cellStyle name="Normal 83 9 8" xfId="19277" xr:uid="{00000000-0005-0000-0000-0000524B0000}"/>
    <cellStyle name="Normal 83 9 9" xfId="19278" xr:uid="{00000000-0005-0000-0000-0000534B0000}"/>
    <cellStyle name="Normal 84" xfId="19279" xr:uid="{00000000-0005-0000-0000-0000544B0000}"/>
    <cellStyle name="Normal 84 10" xfId="19280" xr:uid="{00000000-0005-0000-0000-0000554B0000}"/>
    <cellStyle name="Normal 84 10 10" xfId="19281" xr:uid="{00000000-0005-0000-0000-0000564B0000}"/>
    <cellStyle name="Normal 84 10 11" xfId="19282" xr:uid="{00000000-0005-0000-0000-0000574B0000}"/>
    <cellStyle name="Normal 84 10 12" xfId="19283" xr:uid="{00000000-0005-0000-0000-0000584B0000}"/>
    <cellStyle name="Normal 84 10 13" xfId="19284" xr:uid="{00000000-0005-0000-0000-0000594B0000}"/>
    <cellStyle name="Normal 84 10 2" xfId="19285" xr:uid="{00000000-0005-0000-0000-00005A4B0000}"/>
    <cellStyle name="Normal 84 10 2 10" xfId="19286" xr:uid="{00000000-0005-0000-0000-00005B4B0000}"/>
    <cellStyle name="Normal 84 10 2 11" xfId="19287" xr:uid="{00000000-0005-0000-0000-00005C4B0000}"/>
    <cellStyle name="Normal 84 10 2 2" xfId="19288" xr:uid="{00000000-0005-0000-0000-00005D4B0000}"/>
    <cellStyle name="Normal 84 10 2 3" xfId="19289" xr:uid="{00000000-0005-0000-0000-00005E4B0000}"/>
    <cellStyle name="Normal 84 10 2 4" xfId="19290" xr:uid="{00000000-0005-0000-0000-00005F4B0000}"/>
    <cellStyle name="Normal 84 10 2 5" xfId="19291" xr:uid="{00000000-0005-0000-0000-0000604B0000}"/>
    <cellStyle name="Normal 84 10 2 6" xfId="19292" xr:uid="{00000000-0005-0000-0000-0000614B0000}"/>
    <cellStyle name="Normal 84 10 2 7" xfId="19293" xr:uid="{00000000-0005-0000-0000-0000624B0000}"/>
    <cellStyle name="Normal 84 10 2 8" xfId="19294" xr:uid="{00000000-0005-0000-0000-0000634B0000}"/>
    <cellStyle name="Normal 84 10 2 9" xfId="19295" xr:uid="{00000000-0005-0000-0000-0000644B0000}"/>
    <cellStyle name="Normal 84 10 3" xfId="19296" xr:uid="{00000000-0005-0000-0000-0000654B0000}"/>
    <cellStyle name="Normal 84 10 4" xfId="19297" xr:uid="{00000000-0005-0000-0000-0000664B0000}"/>
    <cellStyle name="Normal 84 10 5" xfId="19298" xr:uid="{00000000-0005-0000-0000-0000674B0000}"/>
    <cellStyle name="Normal 84 10 6" xfId="19299" xr:uid="{00000000-0005-0000-0000-0000684B0000}"/>
    <cellStyle name="Normal 84 10 7" xfId="19300" xr:uid="{00000000-0005-0000-0000-0000694B0000}"/>
    <cellStyle name="Normal 84 10 8" xfId="19301" xr:uid="{00000000-0005-0000-0000-00006A4B0000}"/>
    <cellStyle name="Normal 84 10 9" xfId="19302" xr:uid="{00000000-0005-0000-0000-00006B4B0000}"/>
    <cellStyle name="Normal 84 11" xfId="19303" xr:uid="{00000000-0005-0000-0000-00006C4B0000}"/>
    <cellStyle name="Normal 84 11 10" xfId="19304" xr:uid="{00000000-0005-0000-0000-00006D4B0000}"/>
    <cellStyle name="Normal 84 11 11" xfId="19305" xr:uid="{00000000-0005-0000-0000-00006E4B0000}"/>
    <cellStyle name="Normal 84 11 12" xfId="19306" xr:uid="{00000000-0005-0000-0000-00006F4B0000}"/>
    <cellStyle name="Normal 84 11 13" xfId="19307" xr:uid="{00000000-0005-0000-0000-0000704B0000}"/>
    <cellStyle name="Normal 84 11 2" xfId="19308" xr:uid="{00000000-0005-0000-0000-0000714B0000}"/>
    <cellStyle name="Normal 84 11 2 10" xfId="19309" xr:uid="{00000000-0005-0000-0000-0000724B0000}"/>
    <cellStyle name="Normal 84 11 2 11" xfId="19310" xr:uid="{00000000-0005-0000-0000-0000734B0000}"/>
    <cellStyle name="Normal 84 11 2 2" xfId="19311" xr:uid="{00000000-0005-0000-0000-0000744B0000}"/>
    <cellStyle name="Normal 84 11 2 3" xfId="19312" xr:uid="{00000000-0005-0000-0000-0000754B0000}"/>
    <cellStyle name="Normal 84 11 2 4" xfId="19313" xr:uid="{00000000-0005-0000-0000-0000764B0000}"/>
    <cellStyle name="Normal 84 11 2 5" xfId="19314" xr:uid="{00000000-0005-0000-0000-0000774B0000}"/>
    <cellStyle name="Normal 84 11 2 6" xfId="19315" xr:uid="{00000000-0005-0000-0000-0000784B0000}"/>
    <cellStyle name="Normal 84 11 2 7" xfId="19316" xr:uid="{00000000-0005-0000-0000-0000794B0000}"/>
    <cellStyle name="Normal 84 11 2 8" xfId="19317" xr:uid="{00000000-0005-0000-0000-00007A4B0000}"/>
    <cellStyle name="Normal 84 11 2 9" xfId="19318" xr:uid="{00000000-0005-0000-0000-00007B4B0000}"/>
    <cellStyle name="Normal 84 11 3" xfId="19319" xr:uid="{00000000-0005-0000-0000-00007C4B0000}"/>
    <cellStyle name="Normal 84 11 4" xfId="19320" xr:uid="{00000000-0005-0000-0000-00007D4B0000}"/>
    <cellStyle name="Normal 84 11 5" xfId="19321" xr:uid="{00000000-0005-0000-0000-00007E4B0000}"/>
    <cellStyle name="Normal 84 11 6" xfId="19322" xr:uid="{00000000-0005-0000-0000-00007F4B0000}"/>
    <cellStyle name="Normal 84 11 7" xfId="19323" xr:uid="{00000000-0005-0000-0000-0000804B0000}"/>
    <cellStyle name="Normal 84 11 8" xfId="19324" xr:uid="{00000000-0005-0000-0000-0000814B0000}"/>
    <cellStyle name="Normal 84 11 9" xfId="19325" xr:uid="{00000000-0005-0000-0000-0000824B0000}"/>
    <cellStyle name="Normal 84 12" xfId="19326" xr:uid="{00000000-0005-0000-0000-0000834B0000}"/>
    <cellStyle name="Normal 84 12 10" xfId="19327" xr:uid="{00000000-0005-0000-0000-0000844B0000}"/>
    <cellStyle name="Normal 84 12 11" xfId="19328" xr:uid="{00000000-0005-0000-0000-0000854B0000}"/>
    <cellStyle name="Normal 84 12 12" xfId="19329" xr:uid="{00000000-0005-0000-0000-0000864B0000}"/>
    <cellStyle name="Normal 84 12 13" xfId="19330" xr:uid="{00000000-0005-0000-0000-0000874B0000}"/>
    <cellStyle name="Normal 84 12 2" xfId="19331" xr:uid="{00000000-0005-0000-0000-0000884B0000}"/>
    <cellStyle name="Normal 84 12 2 10" xfId="19332" xr:uid="{00000000-0005-0000-0000-0000894B0000}"/>
    <cellStyle name="Normal 84 12 2 11" xfId="19333" xr:uid="{00000000-0005-0000-0000-00008A4B0000}"/>
    <cellStyle name="Normal 84 12 2 2" xfId="19334" xr:uid="{00000000-0005-0000-0000-00008B4B0000}"/>
    <cellStyle name="Normal 84 12 2 3" xfId="19335" xr:uid="{00000000-0005-0000-0000-00008C4B0000}"/>
    <cellStyle name="Normal 84 12 2 4" xfId="19336" xr:uid="{00000000-0005-0000-0000-00008D4B0000}"/>
    <cellStyle name="Normal 84 12 2 5" xfId="19337" xr:uid="{00000000-0005-0000-0000-00008E4B0000}"/>
    <cellStyle name="Normal 84 12 2 6" xfId="19338" xr:uid="{00000000-0005-0000-0000-00008F4B0000}"/>
    <cellStyle name="Normal 84 12 2 7" xfId="19339" xr:uid="{00000000-0005-0000-0000-0000904B0000}"/>
    <cellStyle name="Normal 84 12 2 8" xfId="19340" xr:uid="{00000000-0005-0000-0000-0000914B0000}"/>
    <cellStyle name="Normal 84 12 2 9" xfId="19341" xr:uid="{00000000-0005-0000-0000-0000924B0000}"/>
    <cellStyle name="Normal 84 12 3" xfId="19342" xr:uid="{00000000-0005-0000-0000-0000934B0000}"/>
    <cellStyle name="Normal 84 12 4" xfId="19343" xr:uid="{00000000-0005-0000-0000-0000944B0000}"/>
    <cellStyle name="Normal 84 12 5" xfId="19344" xr:uid="{00000000-0005-0000-0000-0000954B0000}"/>
    <cellStyle name="Normal 84 12 6" xfId="19345" xr:uid="{00000000-0005-0000-0000-0000964B0000}"/>
    <cellStyle name="Normal 84 12 7" xfId="19346" xr:uid="{00000000-0005-0000-0000-0000974B0000}"/>
    <cellStyle name="Normal 84 12 8" xfId="19347" xr:uid="{00000000-0005-0000-0000-0000984B0000}"/>
    <cellStyle name="Normal 84 12 9" xfId="19348" xr:uid="{00000000-0005-0000-0000-0000994B0000}"/>
    <cellStyle name="Normal 84 13" xfId="19349" xr:uid="{00000000-0005-0000-0000-00009A4B0000}"/>
    <cellStyle name="Normal 84 13 10" xfId="19350" xr:uid="{00000000-0005-0000-0000-00009B4B0000}"/>
    <cellStyle name="Normal 84 13 11" xfId="19351" xr:uid="{00000000-0005-0000-0000-00009C4B0000}"/>
    <cellStyle name="Normal 84 13 12" xfId="19352" xr:uid="{00000000-0005-0000-0000-00009D4B0000}"/>
    <cellStyle name="Normal 84 13 13" xfId="19353" xr:uid="{00000000-0005-0000-0000-00009E4B0000}"/>
    <cellStyle name="Normal 84 13 2" xfId="19354" xr:uid="{00000000-0005-0000-0000-00009F4B0000}"/>
    <cellStyle name="Normal 84 13 2 10" xfId="19355" xr:uid="{00000000-0005-0000-0000-0000A04B0000}"/>
    <cellStyle name="Normal 84 13 2 11" xfId="19356" xr:uid="{00000000-0005-0000-0000-0000A14B0000}"/>
    <cellStyle name="Normal 84 13 2 2" xfId="19357" xr:uid="{00000000-0005-0000-0000-0000A24B0000}"/>
    <cellStyle name="Normal 84 13 2 3" xfId="19358" xr:uid="{00000000-0005-0000-0000-0000A34B0000}"/>
    <cellStyle name="Normal 84 13 2 4" xfId="19359" xr:uid="{00000000-0005-0000-0000-0000A44B0000}"/>
    <cellStyle name="Normal 84 13 2 5" xfId="19360" xr:uid="{00000000-0005-0000-0000-0000A54B0000}"/>
    <cellStyle name="Normal 84 13 2 6" xfId="19361" xr:uid="{00000000-0005-0000-0000-0000A64B0000}"/>
    <cellStyle name="Normal 84 13 2 7" xfId="19362" xr:uid="{00000000-0005-0000-0000-0000A74B0000}"/>
    <cellStyle name="Normal 84 13 2 8" xfId="19363" xr:uid="{00000000-0005-0000-0000-0000A84B0000}"/>
    <cellStyle name="Normal 84 13 2 9" xfId="19364" xr:uid="{00000000-0005-0000-0000-0000A94B0000}"/>
    <cellStyle name="Normal 84 13 3" xfId="19365" xr:uid="{00000000-0005-0000-0000-0000AA4B0000}"/>
    <cellStyle name="Normal 84 13 4" xfId="19366" xr:uid="{00000000-0005-0000-0000-0000AB4B0000}"/>
    <cellStyle name="Normal 84 13 5" xfId="19367" xr:uid="{00000000-0005-0000-0000-0000AC4B0000}"/>
    <cellStyle name="Normal 84 13 6" xfId="19368" xr:uid="{00000000-0005-0000-0000-0000AD4B0000}"/>
    <cellStyle name="Normal 84 13 7" xfId="19369" xr:uid="{00000000-0005-0000-0000-0000AE4B0000}"/>
    <cellStyle name="Normal 84 13 8" xfId="19370" xr:uid="{00000000-0005-0000-0000-0000AF4B0000}"/>
    <cellStyle name="Normal 84 13 9" xfId="19371" xr:uid="{00000000-0005-0000-0000-0000B04B0000}"/>
    <cellStyle name="Normal 84 14" xfId="19372" xr:uid="{00000000-0005-0000-0000-0000B14B0000}"/>
    <cellStyle name="Normal 84 14 10" xfId="19373" xr:uid="{00000000-0005-0000-0000-0000B24B0000}"/>
    <cellStyle name="Normal 84 14 11" xfId="19374" xr:uid="{00000000-0005-0000-0000-0000B34B0000}"/>
    <cellStyle name="Normal 84 14 2" xfId="19375" xr:uid="{00000000-0005-0000-0000-0000B44B0000}"/>
    <cellStyle name="Normal 84 14 3" xfId="19376" xr:uid="{00000000-0005-0000-0000-0000B54B0000}"/>
    <cellStyle name="Normal 84 14 4" xfId="19377" xr:uid="{00000000-0005-0000-0000-0000B64B0000}"/>
    <cellStyle name="Normal 84 14 5" xfId="19378" xr:uid="{00000000-0005-0000-0000-0000B74B0000}"/>
    <cellStyle name="Normal 84 14 6" xfId="19379" xr:uid="{00000000-0005-0000-0000-0000B84B0000}"/>
    <cellStyle name="Normal 84 14 7" xfId="19380" xr:uid="{00000000-0005-0000-0000-0000B94B0000}"/>
    <cellStyle name="Normal 84 14 8" xfId="19381" xr:uid="{00000000-0005-0000-0000-0000BA4B0000}"/>
    <cellStyle name="Normal 84 14 9" xfId="19382" xr:uid="{00000000-0005-0000-0000-0000BB4B0000}"/>
    <cellStyle name="Normal 84 15" xfId="19383" xr:uid="{00000000-0005-0000-0000-0000BC4B0000}"/>
    <cellStyle name="Normal 84 16" xfId="19384" xr:uid="{00000000-0005-0000-0000-0000BD4B0000}"/>
    <cellStyle name="Normal 84 17" xfId="19385" xr:uid="{00000000-0005-0000-0000-0000BE4B0000}"/>
    <cellStyle name="Normal 84 18" xfId="19386" xr:uid="{00000000-0005-0000-0000-0000BF4B0000}"/>
    <cellStyle name="Normal 84 19" xfId="19387" xr:uid="{00000000-0005-0000-0000-0000C04B0000}"/>
    <cellStyle name="Normal 84 2" xfId="19388" xr:uid="{00000000-0005-0000-0000-0000C14B0000}"/>
    <cellStyle name="Normal 84 2 10" xfId="19389" xr:uid="{00000000-0005-0000-0000-0000C24B0000}"/>
    <cellStyle name="Normal 84 2 11" xfId="19390" xr:uid="{00000000-0005-0000-0000-0000C34B0000}"/>
    <cellStyle name="Normal 84 2 12" xfId="19391" xr:uid="{00000000-0005-0000-0000-0000C44B0000}"/>
    <cellStyle name="Normal 84 2 13" xfId="19392" xr:uid="{00000000-0005-0000-0000-0000C54B0000}"/>
    <cellStyle name="Normal 84 2 2" xfId="19393" xr:uid="{00000000-0005-0000-0000-0000C64B0000}"/>
    <cellStyle name="Normal 84 2 2 10" xfId="19394" xr:uid="{00000000-0005-0000-0000-0000C74B0000}"/>
    <cellStyle name="Normal 84 2 2 11" xfId="19395" xr:uid="{00000000-0005-0000-0000-0000C84B0000}"/>
    <cellStyle name="Normal 84 2 2 2" xfId="19396" xr:uid="{00000000-0005-0000-0000-0000C94B0000}"/>
    <cellStyle name="Normal 84 2 2 3" xfId="19397" xr:uid="{00000000-0005-0000-0000-0000CA4B0000}"/>
    <cellStyle name="Normal 84 2 2 4" xfId="19398" xr:uid="{00000000-0005-0000-0000-0000CB4B0000}"/>
    <cellStyle name="Normal 84 2 2 5" xfId="19399" xr:uid="{00000000-0005-0000-0000-0000CC4B0000}"/>
    <cellStyle name="Normal 84 2 2 6" xfId="19400" xr:uid="{00000000-0005-0000-0000-0000CD4B0000}"/>
    <cellStyle name="Normal 84 2 2 7" xfId="19401" xr:uid="{00000000-0005-0000-0000-0000CE4B0000}"/>
    <cellStyle name="Normal 84 2 2 8" xfId="19402" xr:uid="{00000000-0005-0000-0000-0000CF4B0000}"/>
    <cellStyle name="Normal 84 2 2 9" xfId="19403" xr:uid="{00000000-0005-0000-0000-0000D04B0000}"/>
    <cellStyle name="Normal 84 2 3" xfId="19404" xr:uid="{00000000-0005-0000-0000-0000D14B0000}"/>
    <cellStyle name="Normal 84 2 4" xfId="19405" xr:uid="{00000000-0005-0000-0000-0000D24B0000}"/>
    <cellStyle name="Normal 84 2 5" xfId="19406" xr:uid="{00000000-0005-0000-0000-0000D34B0000}"/>
    <cellStyle name="Normal 84 2 6" xfId="19407" xr:uid="{00000000-0005-0000-0000-0000D44B0000}"/>
    <cellStyle name="Normal 84 2 7" xfId="19408" xr:uid="{00000000-0005-0000-0000-0000D54B0000}"/>
    <cellStyle name="Normal 84 2 8" xfId="19409" xr:uid="{00000000-0005-0000-0000-0000D64B0000}"/>
    <cellStyle name="Normal 84 2 9" xfId="19410" xr:uid="{00000000-0005-0000-0000-0000D74B0000}"/>
    <cellStyle name="Normal 84 20" xfId="19411" xr:uid="{00000000-0005-0000-0000-0000D84B0000}"/>
    <cellStyle name="Normal 84 21" xfId="19412" xr:uid="{00000000-0005-0000-0000-0000D94B0000}"/>
    <cellStyle name="Normal 84 22" xfId="19413" xr:uid="{00000000-0005-0000-0000-0000DA4B0000}"/>
    <cellStyle name="Normal 84 23" xfId="19414" xr:uid="{00000000-0005-0000-0000-0000DB4B0000}"/>
    <cellStyle name="Normal 84 24" xfId="19415" xr:uid="{00000000-0005-0000-0000-0000DC4B0000}"/>
    <cellStyle name="Normal 84 25" xfId="19416" xr:uid="{00000000-0005-0000-0000-0000DD4B0000}"/>
    <cellStyle name="Normal 84 3" xfId="19417" xr:uid="{00000000-0005-0000-0000-0000DE4B0000}"/>
    <cellStyle name="Normal 84 3 10" xfId="19418" xr:uid="{00000000-0005-0000-0000-0000DF4B0000}"/>
    <cellStyle name="Normal 84 3 11" xfId="19419" xr:uid="{00000000-0005-0000-0000-0000E04B0000}"/>
    <cellStyle name="Normal 84 3 12" xfId="19420" xr:uid="{00000000-0005-0000-0000-0000E14B0000}"/>
    <cellStyle name="Normal 84 3 13" xfId="19421" xr:uid="{00000000-0005-0000-0000-0000E24B0000}"/>
    <cellStyle name="Normal 84 3 2" xfId="19422" xr:uid="{00000000-0005-0000-0000-0000E34B0000}"/>
    <cellStyle name="Normal 84 3 2 10" xfId="19423" xr:uid="{00000000-0005-0000-0000-0000E44B0000}"/>
    <cellStyle name="Normal 84 3 2 11" xfId="19424" xr:uid="{00000000-0005-0000-0000-0000E54B0000}"/>
    <cellStyle name="Normal 84 3 2 2" xfId="19425" xr:uid="{00000000-0005-0000-0000-0000E64B0000}"/>
    <cellStyle name="Normal 84 3 2 3" xfId="19426" xr:uid="{00000000-0005-0000-0000-0000E74B0000}"/>
    <cellStyle name="Normal 84 3 2 4" xfId="19427" xr:uid="{00000000-0005-0000-0000-0000E84B0000}"/>
    <cellStyle name="Normal 84 3 2 5" xfId="19428" xr:uid="{00000000-0005-0000-0000-0000E94B0000}"/>
    <cellStyle name="Normal 84 3 2 6" xfId="19429" xr:uid="{00000000-0005-0000-0000-0000EA4B0000}"/>
    <cellStyle name="Normal 84 3 2 7" xfId="19430" xr:uid="{00000000-0005-0000-0000-0000EB4B0000}"/>
    <cellStyle name="Normal 84 3 2 8" xfId="19431" xr:uid="{00000000-0005-0000-0000-0000EC4B0000}"/>
    <cellStyle name="Normal 84 3 2 9" xfId="19432" xr:uid="{00000000-0005-0000-0000-0000ED4B0000}"/>
    <cellStyle name="Normal 84 3 3" xfId="19433" xr:uid="{00000000-0005-0000-0000-0000EE4B0000}"/>
    <cellStyle name="Normal 84 3 4" xfId="19434" xr:uid="{00000000-0005-0000-0000-0000EF4B0000}"/>
    <cellStyle name="Normal 84 3 5" xfId="19435" xr:uid="{00000000-0005-0000-0000-0000F04B0000}"/>
    <cellStyle name="Normal 84 3 6" xfId="19436" xr:uid="{00000000-0005-0000-0000-0000F14B0000}"/>
    <cellStyle name="Normal 84 3 7" xfId="19437" xr:uid="{00000000-0005-0000-0000-0000F24B0000}"/>
    <cellStyle name="Normal 84 3 8" xfId="19438" xr:uid="{00000000-0005-0000-0000-0000F34B0000}"/>
    <cellStyle name="Normal 84 3 9" xfId="19439" xr:uid="{00000000-0005-0000-0000-0000F44B0000}"/>
    <cellStyle name="Normal 84 4" xfId="19440" xr:uid="{00000000-0005-0000-0000-0000F54B0000}"/>
    <cellStyle name="Normal 84 4 10" xfId="19441" xr:uid="{00000000-0005-0000-0000-0000F64B0000}"/>
    <cellStyle name="Normal 84 4 11" xfId="19442" xr:uid="{00000000-0005-0000-0000-0000F74B0000}"/>
    <cellStyle name="Normal 84 4 12" xfId="19443" xr:uid="{00000000-0005-0000-0000-0000F84B0000}"/>
    <cellStyle name="Normal 84 4 13" xfId="19444" xr:uid="{00000000-0005-0000-0000-0000F94B0000}"/>
    <cellStyle name="Normal 84 4 2" xfId="19445" xr:uid="{00000000-0005-0000-0000-0000FA4B0000}"/>
    <cellStyle name="Normal 84 4 2 10" xfId="19446" xr:uid="{00000000-0005-0000-0000-0000FB4B0000}"/>
    <cellStyle name="Normal 84 4 2 11" xfId="19447" xr:uid="{00000000-0005-0000-0000-0000FC4B0000}"/>
    <cellStyle name="Normal 84 4 2 2" xfId="19448" xr:uid="{00000000-0005-0000-0000-0000FD4B0000}"/>
    <cellStyle name="Normal 84 4 2 3" xfId="19449" xr:uid="{00000000-0005-0000-0000-0000FE4B0000}"/>
    <cellStyle name="Normal 84 4 2 4" xfId="19450" xr:uid="{00000000-0005-0000-0000-0000FF4B0000}"/>
    <cellStyle name="Normal 84 4 2 5" xfId="19451" xr:uid="{00000000-0005-0000-0000-0000004C0000}"/>
    <cellStyle name="Normal 84 4 2 6" xfId="19452" xr:uid="{00000000-0005-0000-0000-0000014C0000}"/>
    <cellStyle name="Normal 84 4 2 7" xfId="19453" xr:uid="{00000000-0005-0000-0000-0000024C0000}"/>
    <cellStyle name="Normal 84 4 2 8" xfId="19454" xr:uid="{00000000-0005-0000-0000-0000034C0000}"/>
    <cellStyle name="Normal 84 4 2 9" xfId="19455" xr:uid="{00000000-0005-0000-0000-0000044C0000}"/>
    <cellStyle name="Normal 84 4 3" xfId="19456" xr:uid="{00000000-0005-0000-0000-0000054C0000}"/>
    <cellStyle name="Normal 84 4 4" xfId="19457" xr:uid="{00000000-0005-0000-0000-0000064C0000}"/>
    <cellStyle name="Normal 84 4 5" xfId="19458" xr:uid="{00000000-0005-0000-0000-0000074C0000}"/>
    <cellStyle name="Normal 84 4 6" xfId="19459" xr:uid="{00000000-0005-0000-0000-0000084C0000}"/>
    <cellStyle name="Normal 84 4 7" xfId="19460" xr:uid="{00000000-0005-0000-0000-0000094C0000}"/>
    <cellStyle name="Normal 84 4 8" xfId="19461" xr:uid="{00000000-0005-0000-0000-00000A4C0000}"/>
    <cellStyle name="Normal 84 4 9" xfId="19462" xr:uid="{00000000-0005-0000-0000-00000B4C0000}"/>
    <cellStyle name="Normal 84 5" xfId="19463" xr:uid="{00000000-0005-0000-0000-00000C4C0000}"/>
    <cellStyle name="Normal 84 5 10" xfId="19464" xr:uid="{00000000-0005-0000-0000-00000D4C0000}"/>
    <cellStyle name="Normal 84 5 11" xfId="19465" xr:uid="{00000000-0005-0000-0000-00000E4C0000}"/>
    <cellStyle name="Normal 84 5 12" xfId="19466" xr:uid="{00000000-0005-0000-0000-00000F4C0000}"/>
    <cellStyle name="Normal 84 5 13" xfId="19467" xr:uid="{00000000-0005-0000-0000-0000104C0000}"/>
    <cellStyle name="Normal 84 5 2" xfId="19468" xr:uid="{00000000-0005-0000-0000-0000114C0000}"/>
    <cellStyle name="Normal 84 5 2 10" xfId="19469" xr:uid="{00000000-0005-0000-0000-0000124C0000}"/>
    <cellStyle name="Normal 84 5 2 11" xfId="19470" xr:uid="{00000000-0005-0000-0000-0000134C0000}"/>
    <cellStyle name="Normal 84 5 2 2" xfId="19471" xr:uid="{00000000-0005-0000-0000-0000144C0000}"/>
    <cellStyle name="Normal 84 5 2 3" xfId="19472" xr:uid="{00000000-0005-0000-0000-0000154C0000}"/>
    <cellStyle name="Normal 84 5 2 4" xfId="19473" xr:uid="{00000000-0005-0000-0000-0000164C0000}"/>
    <cellStyle name="Normal 84 5 2 5" xfId="19474" xr:uid="{00000000-0005-0000-0000-0000174C0000}"/>
    <cellStyle name="Normal 84 5 2 6" xfId="19475" xr:uid="{00000000-0005-0000-0000-0000184C0000}"/>
    <cellStyle name="Normal 84 5 2 7" xfId="19476" xr:uid="{00000000-0005-0000-0000-0000194C0000}"/>
    <cellStyle name="Normal 84 5 2 8" xfId="19477" xr:uid="{00000000-0005-0000-0000-00001A4C0000}"/>
    <cellStyle name="Normal 84 5 2 9" xfId="19478" xr:uid="{00000000-0005-0000-0000-00001B4C0000}"/>
    <cellStyle name="Normal 84 5 3" xfId="19479" xr:uid="{00000000-0005-0000-0000-00001C4C0000}"/>
    <cellStyle name="Normal 84 5 4" xfId="19480" xr:uid="{00000000-0005-0000-0000-00001D4C0000}"/>
    <cellStyle name="Normal 84 5 5" xfId="19481" xr:uid="{00000000-0005-0000-0000-00001E4C0000}"/>
    <cellStyle name="Normal 84 5 6" xfId="19482" xr:uid="{00000000-0005-0000-0000-00001F4C0000}"/>
    <cellStyle name="Normal 84 5 7" xfId="19483" xr:uid="{00000000-0005-0000-0000-0000204C0000}"/>
    <cellStyle name="Normal 84 5 8" xfId="19484" xr:uid="{00000000-0005-0000-0000-0000214C0000}"/>
    <cellStyle name="Normal 84 5 9" xfId="19485" xr:uid="{00000000-0005-0000-0000-0000224C0000}"/>
    <cellStyle name="Normal 84 6" xfId="19486" xr:uid="{00000000-0005-0000-0000-0000234C0000}"/>
    <cellStyle name="Normal 84 6 10" xfId="19487" xr:uid="{00000000-0005-0000-0000-0000244C0000}"/>
    <cellStyle name="Normal 84 6 11" xfId="19488" xr:uid="{00000000-0005-0000-0000-0000254C0000}"/>
    <cellStyle name="Normal 84 6 12" xfId="19489" xr:uid="{00000000-0005-0000-0000-0000264C0000}"/>
    <cellStyle name="Normal 84 6 13" xfId="19490" xr:uid="{00000000-0005-0000-0000-0000274C0000}"/>
    <cellStyle name="Normal 84 6 2" xfId="19491" xr:uid="{00000000-0005-0000-0000-0000284C0000}"/>
    <cellStyle name="Normal 84 6 2 10" xfId="19492" xr:uid="{00000000-0005-0000-0000-0000294C0000}"/>
    <cellStyle name="Normal 84 6 2 11" xfId="19493" xr:uid="{00000000-0005-0000-0000-00002A4C0000}"/>
    <cellStyle name="Normal 84 6 2 2" xfId="19494" xr:uid="{00000000-0005-0000-0000-00002B4C0000}"/>
    <cellStyle name="Normal 84 6 2 3" xfId="19495" xr:uid="{00000000-0005-0000-0000-00002C4C0000}"/>
    <cellStyle name="Normal 84 6 2 4" xfId="19496" xr:uid="{00000000-0005-0000-0000-00002D4C0000}"/>
    <cellStyle name="Normal 84 6 2 5" xfId="19497" xr:uid="{00000000-0005-0000-0000-00002E4C0000}"/>
    <cellStyle name="Normal 84 6 2 6" xfId="19498" xr:uid="{00000000-0005-0000-0000-00002F4C0000}"/>
    <cellStyle name="Normal 84 6 2 7" xfId="19499" xr:uid="{00000000-0005-0000-0000-0000304C0000}"/>
    <cellStyle name="Normal 84 6 2 8" xfId="19500" xr:uid="{00000000-0005-0000-0000-0000314C0000}"/>
    <cellStyle name="Normal 84 6 2 9" xfId="19501" xr:uid="{00000000-0005-0000-0000-0000324C0000}"/>
    <cellStyle name="Normal 84 6 3" xfId="19502" xr:uid="{00000000-0005-0000-0000-0000334C0000}"/>
    <cellStyle name="Normal 84 6 4" xfId="19503" xr:uid="{00000000-0005-0000-0000-0000344C0000}"/>
    <cellStyle name="Normal 84 6 5" xfId="19504" xr:uid="{00000000-0005-0000-0000-0000354C0000}"/>
    <cellStyle name="Normal 84 6 6" xfId="19505" xr:uid="{00000000-0005-0000-0000-0000364C0000}"/>
    <cellStyle name="Normal 84 6 7" xfId="19506" xr:uid="{00000000-0005-0000-0000-0000374C0000}"/>
    <cellStyle name="Normal 84 6 8" xfId="19507" xr:uid="{00000000-0005-0000-0000-0000384C0000}"/>
    <cellStyle name="Normal 84 6 9" xfId="19508" xr:uid="{00000000-0005-0000-0000-0000394C0000}"/>
    <cellStyle name="Normal 84 7" xfId="19509" xr:uid="{00000000-0005-0000-0000-00003A4C0000}"/>
    <cellStyle name="Normal 84 7 10" xfId="19510" xr:uid="{00000000-0005-0000-0000-00003B4C0000}"/>
    <cellStyle name="Normal 84 7 11" xfId="19511" xr:uid="{00000000-0005-0000-0000-00003C4C0000}"/>
    <cellStyle name="Normal 84 7 12" xfId="19512" xr:uid="{00000000-0005-0000-0000-00003D4C0000}"/>
    <cellStyle name="Normal 84 7 13" xfId="19513" xr:uid="{00000000-0005-0000-0000-00003E4C0000}"/>
    <cellStyle name="Normal 84 7 2" xfId="19514" xr:uid="{00000000-0005-0000-0000-00003F4C0000}"/>
    <cellStyle name="Normal 84 7 2 10" xfId="19515" xr:uid="{00000000-0005-0000-0000-0000404C0000}"/>
    <cellStyle name="Normal 84 7 2 11" xfId="19516" xr:uid="{00000000-0005-0000-0000-0000414C0000}"/>
    <cellStyle name="Normal 84 7 2 2" xfId="19517" xr:uid="{00000000-0005-0000-0000-0000424C0000}"/>
    <cellStyle name="Normal 84 7 2 3" xfId="19518" xr:uid="{00000000-0005-0000-0000-0000434C0000}"/>
    <cellStyle name="Normal 84 7 2 4" xfId="19519" xr:uid="{00000000-0005-0000-0000-0000444C0000}"/>
    <cellStyle name="Normal 84 7 2 5" xfId="19520" xr:uid="{00000000-0005-0000-0000-0000454C0000}"/>
    <cellStyle name="Normal 84 7 2 6" xfId="19521" xr:uid="{00000000-0005-0000-0000-0000464C0000}"/>
    <cellStyle name="Normal 84 7 2 7" xfId="19522" xr:uid="{00000000-0005-0000-0000-0000474C0000}"/>
    <cellStyle name="Normal 84 7 2 8" xfId="19523" xr:uid="{00000000-0005-0000-0000-0000484C0000}"/>
    <cellStyle name="Normal 84 7 2 9" xfId="19524" xr:uid="{00000000-0005-0000-0000-0000494C0000}"/>
    <cellStyle name="Normal 84 7 3" xfId="19525" xr:uid="{00000000-0005-0000-0000-00004A4C0000}"/>
    <cellStyle name="Normal 84 7 4" xfId="19526" xr:uid="{00000000-0005-0000-0000-00004B4C0000}"/>
    <cellStyle name="Normal 84 7 5" xfId="19527" xr:uid="{00000000-0005-0000-0000-00004C4C0000}"/>
    <cellStyle name="Normal 84 7 6" xfId="19528" xr:uid="{00000000-0005-0000-0000-00004D4C0000}"/>
    <cellStyle name="Normal 84 7 7" xfId="19529" xr:uid="{00000000-0005-0000-0000-00004E4C0000}"/>
    <cellStyle name="Normal 84 7 8" xfId="19530" xr:uid="{00000000-0005-0000-0000-00004F4C0000}"/>
    <cellStyle name="Normal 84 7 9" xfId="19531" xr:uid="{00000000-0005-0000-0000-0000504C0000}"/>
    <cellStyle name="Normal 84 8" xfId="19532" xr:uid="{00000000-0005-0000-0000-0000514C0000}"/>
    <cellStyle name="Normal 84 8 10" xfId="19533" xr:uid="{00000000-0005-0000-0000-0000524C0000}"/>
    <cellStyle name="Normal 84 8 11" xfId="19534" xr:uid="{00000000-0005-0000-0000-0000534C0000}"/>
    <cellStyle name="Normal 84 8 12" xfId="19535" xr:uid="{00000000-0005-0000-0000-0000544C0000}"/>
    <cellStyle name="Normal 84 8 13" xfId="19536" xr:uid="{00000000-0005-0000-0000-0000554C0000}"/>
    <cellStyle name="Normal 84 8 2" xfId="19537" xr:uid="{00000000-0005-0000-0000-0000564C0000}"/>
    <cellStyle name="Normal 84 8 2 10" xfId="19538" xr:uid="{00000000-0005-0000-0000-0000574C0000}"/>
    <cellStyle name="Normal 84 8 2 11" xfId="19539" xr:uid="{00000000-0005-0000-0000-0000584C0000}"/>
    <cellStyle name="Normal 84 8 2 2" xfId="19540" xr:uid="{00000000-0005-0000-0000-0000594C0000}"/>
    <cellStyle name="Normal 84 8 2 3" xfId="19541" xr:uid="{00000000-0005-0000-0000-00005A4C0000}"/>
    <cellStyle name="Normal 84 8 2 4" xfId="19542" xr:uid="{00000000-0005-0000-0000-00005B4C0000}"/>
    <cellStyle name="Normal 84 8 2 5" xfId="19543" xr:uid="{00000000-0005-0000-0000-00005C4C0000}"/>
    <cellStyle name="Normal 84 8 2 6" xfId="19544" xr:uid="{00000000-0005-0000-0000-00005D4C0000}"/>
    <cellStyle name="Normal 84 8 2 7" xfId="19545" xr:uid="{00000000-0005-0000-0000-00005E4C0000}"/>
    <cellStyle name="Normal 84 8 2 8" xfId="19546" xr:uid="{00000000-0005-0000-0000-00005F4C0000}"/>
    <cellStyle name="Normal 84 8 2 9" xfId="19547" xr:uid="{00000000-0005-0000-0000-0000604C0000}"/>
    <cellStyle name="Normal 84 8 3" xfId="19548" xr:uid="{00000000-0005-0000-0000-0000614C0000}"/>
    <cellStyle name="Normal 84 8 4" xfId="19549" xr:uid="{00000000-0005-0000-0000-0000624C0000}"/>
    <cellStyle name="Normal 84 8 5" xfId="19550" xr:uid="{00000000-0005-0000-0000-0000634C0000}"/>
    <cellStyle name="Normal 84 8 6" xfId="19551" xr:uid="{00000000-0005-0000-0000-0000644C0000}"/>
    <cellStyle name="Normal 84 8 7" xfId="19552" xr:uid="{00000000-0005-0000-0000-0000654C0000}"/>
    <cellStyle name="Normal 84 8 8" xfId="19553" xr:uid="{00000000-0005-0000-0000-0000664C0000}"/>
    <cellStyle name="Normal 84 8 9" xfId="19554" xr:uid="{00000000-0005-0000-0000-0000674C0000}"/>
    <cellStyle name="Normal 84 9" xfId="19555" xr:uid="{00000000-0005-0000-0000-0000684C0000}"/>
    <cellStyle name="Normal 84 9 10" xfId="19556" xr:uid="{00000000-0005-0000-0000-0000694C0000}"/>
    <cellStyle name="Normal 84 9 11" xfId="19557" xr:uid="{00000000-0005-0000-0000-00006A4C0000}"/>
    <cellStyle name="Normal 84 9 12" xfId="19558" xr:uid="{00000000-0005-0000-0000-00006B4C0000}"/>
    <cellStyle name="Normal 84 9 13" xfId="19559" xr:uid="{00000000-0005-0000-0000-00006C4C0000}"/>
    <cellStyle name="Normal 84 9 2" xfId="19560" xr:uid="{00000000-0005-0000-0000-00006D4C0000}"/>
    <cellStyle name="Normal 84 9 2 10" xfId="19561" xr:uid="{00000000-0005-0000-0000-00006E4C0000}"/>
    <cellStyle name="Normal 84 9 2 11" xfId="19562" xr:uid="{00000000-0005-0000-0000-00006F4C0000}"/>
    <cellStyle name="Normal 84 9 2 2" xfId="19563" xr:uid="{00000000-0005-0000-0000-0000704C0000}"/>
    <cellStyle name="Normal 84 9 2 3" xfId="19564" xr:uid="{00000000-0005-0000-0000-0000714C0000}"/>
    <cellStyle name="Normal 84 9 2 4" xfId="19565" xr:uid="{00000000-0005-0000-0000-0000724C0000}"/>
    <cellStyle name="Normal 84 9 2 5" xfId="19566" xr:uid="{00000000-0005-0000-0000-0000734C0000}"/>
    <cellStyle name="Normal 84 9 2 6" xfId="19567" xr:uid="{00000000-0005-0000-0000-0000744C0000}"/>
    <cellStyle name="Normal 84 9 2 7" xfId="19568" xr:uid="{00000000-0005-0000-0000-0000754C0000}"/>
    <cellStyle name="Normal 84 9 2 8" xfId="19569" xr:uid="{00000000-0005-0000-0000-0000764C0000}"/>
    <cellStyle name="Normal 84 9 2 9" xfId="19570" xr:uid="{00000000-0005-0000-0000-0000774C0000}"/>
    <cellStyle name="Normal 84 9 3" xfId="19571" xr:uid="{00000000-0005-0000-0000-0000784C0000}"/>
    <cellStyle name="Normal 84 9 4" xfId="19572" xr:uid="{00000000-0005-0000-0000-0000794C0000}"/>
    <cellStyle name="Normal 84 9 5" xfId="19573" xr:uid="{00000000-0005-0000-0000-00007A4C0000}"/>
    <cellStyle name="Normal 84 9 6" xfId="19574" xr:uid="{00000000-0005-0000-0000-00007B4C0000}"/>
    <cellStyle name="Normal 84 9 7" xfId="19575" xr:uid="{00000000-0005-0000-0000-00007C4C0000}"/>
    <cellStyle name="Normal 84 9 8" xfId="19576" xr:uid="{00000000-0005-0000-0000-00007D4C0000}"/>
    <cellStyle name="Normal 84 9 9" xfId="19577" xr:uid="{00000000-0005-0000-0000-00007E4C0000}"/>
    <cellStyle name="Normal 85" xfId="19578" xr:uid="{00000000-0005-0000-0000-00007F4C0000}"/>
    <cellStyle name="Normal 85 10" xfId="19579" xr:uid="{00000000-0005-0000-0000-0000804C0000}"/>
    <cellStyle name="Normal 85 10 10" xfId="19580" xr:uid="{00000000-0005-0000-0000-0000814C0000}"/>
    <cellStyle name="Normal 85 10 11" xfId="19581" xr:uid="{00000000-0005-0000-0000-0000824C0000}"/>
    <cellStyle name="Normal 85 10 12" xfId="19582" xr:uid="{00000000-0005-0000-0000-0000834C0000}"/>
    <cellStyle name="Normal 85 10 13" xfId="19583" xr:uid="{00000000-0005-0000-0000-0000844C0000}"/>
    <cellStyle name="Normal 85 10 2" xfId="19584" xr:uid="{00000000-0005-0000-0000-0000854C0000}"/>
    <cellStyle name="Normal 85 10 2 10" xfId="19585" xr:uid="{00000000-0005-0000-0000-0000864C0000}"/>
    <cellStyle name="Normal 85 10 2 11" xfId="19586" xr:uid="{00000000-0005-0000-0000-0000874C0000}"/>
    <cellStyle name="Normal 85 10 2 2" xfId="19587" xr:uid="{00000000-0005-0000-0000-0000884C0000}"/>
    <cellStyle name="Normal 85 10 2 3" xfId="19588" xr:uid="{00000000-0005-0000-0000-0000894C0000}"/>
    <cellStyle name="Normal 85 10 2 4" xfId="19589" xr:uid="{00000000-0005-0000-0000-00008A4C0000}"/>
    <cellStyle name="Normal 85 10 2 5" xfId="19590" xr:uid="{00000000-0005-0000-0000-00008B4C0000}"/>
    <cellStyle name="Normal 85 10 2 6" xfId="19591" xr:uid="{00000000-0005-0000-0000-00008C4C0000}"/>
    <cellStyle name="Normal 85 10 2 7" xfId="19592" xr:uid="{00000000-0005-0000-0000-00008D4C0000}"/>
    <cellStyle name="Normal 85 10 2 8" xfId="19593" xr:uid="{00000000-0005-0000-0000-00008E4C0000}"/>
    <cellStyle name="Normal 85 10 2 9" xfId="19594" xr:uid="{00000000-0005-0000-0000-00008F4C0000}"/>
    <cellStyle name="Normal 85 10 3" xfId="19595" xr:uid="{00000000-0005-0000-0000-0000904C0000}"/>
    <cellStyle name="Normal 85 10 4" xfId="19596" xr:uid="{00000000-0005-0000-0000-0000914C0000}"/>
    <cellStyle name="Normal 85 10 5" xfId="19597" xr:uid="{00000000-0005-0000-0000-0000924C0000}"/>
    <cellStyle name="Normal 85 10 6" xfId="19598" xr:uid="{00000000-0005-0000-0000-0000934C0000}"/>
    <cellStyle name="Normal 85 10 7" xfId="19599" xr:uid="{00000000-0005-0000-0000-0000944C0000}"/>
    <cellStyle name="Normal 85 10 8" xfId="19600" xr:uid="{00000000-0005-0000-0000-0000954C0000}"/>
    <cellStyle name="Normal 85 10 9" xfId="19601" xr:uid="{00000000-0005-0000-0000-0000964C0000}"/>
    <cellStyle name="Normal 85 11" xfId="19602" xr:uid="{00000000-0005-0000-0000-0000974C0000}"/>
    <cellStyle name="Normal 85 11 10" xfId="19603" xr:uid="{00000000-0005-0000-0000-0000984C0000}"/>
    <cellStyle name="Normal 85 11 11" xfId="19604" xr:uid="{00000000-0005-0000-0000-0000994C0000}"/>
    <cellStyle name="Normal 85 11 12" xfId="19605" xr:uid="{00000000-0005-0000-0000-00009A4C0000}"/>
    <cellStyle name="Normal 85 11 13" xfId="19606" xr:uid="{00000000-0005-0000-0000-00009B4C0000}"/>
    <cellStyle name="Normal 85 11 2" xfId="19607" xr:uid="{00000000-0005-0000-0000-00009C4C0000}"/>
    <cellStyle name="Normal 85 11 2 10" xfId="19608" xr:uid="{00000000-0005-0000-0000-00009D4C0000}"/>
    <cellStyle name="Normal 85 11 2 11" xfId="19609" xr:uid="{00000000-0005-0000-0000-00009E4C0000}"/>
    <cellStyle name="Normal 85 11 2 2" xfId="19610" xr:uid="{00000000-0005-0000-0000-00009F4C0000}"/>
    <cellStyle name="Normal 85 11 2 3" xfId="19611" xr:uid="{00000000-0005-0000-0000-0000A04C0000}"/>
    <cellStyle name="Normal 85 11 2 4" xfId="19612" xr:uid="{00000000-0005-0000-0000-0000A14C0000}"/>
    <cellStyle name="Normal 85 11 2 5" xfId="19613" xr:uid="{00000000-0005-0000-0000-0000A24C0000}"/>
    <cellStyle name="Normal 85 11 2 6" xfId="19614" xr:uid="{00000000-0005-0000-0000-0000A34C0000}"/>
    <cellStyle name="Normal 85 11 2 7" xfId="19615" xr:uid="{00000000-0005-0000-0000-0000A44C0000}"/>
    <cellStyle name="Normal 85 11 2 8" xfId="19616" xr:uid="{00000000-0005-0000-0000-0000A54C0000}"/>
    <cellStyle name="Normal 85 11 2 9" xfId="19617" xr:uid="{00000000-0005-0000-0000-0000A64C0000}"/>
    <cellStyle name="Normal 85 11 3" xfId="19618" xr:uid="{00000000-0005-0000-0000-0000A74C0000}"/>
    <cellStyle name="Normal 85 11 4" xfId="19619" xr:uid="{00000000-0005-0000-0000-0000A84C0000}"/>
    <cellStyle name="Normal 85 11 5" xfId="19620" xr:uid="{00000000-0005-0000-0000-0000A94C0000}"/>
    <cellStyle name="Normal 85 11 6" xfId="19621" xr:uid="{00000000-0005-0000-0000-0000AA4C0000}"/>
    <cellStyle name="Normal 85 11 7" xfId="19622" xr:uid="{00000000-0005-0000-0000-0000AB4C0000}"/>
    <cellStyle name="Normal 85 11 8" xfId="19623" xr:uid="{00000000-0005-0000-0000-0000AC4C0000}"/>
    <cellStyle name="Normal 85 11 9" xfId="19624" xr:uid="{00000000-0005-0000-0000-0000AD4C0000}"/>
    <cellStyle name="Normal 85 12" xfId="19625" xr:uid="{00000000-0005-0000-0000-0000AE4C0000}"/>
    <cellStyle name="Normal 85 12 10" xfId="19626" xr:uid="{00000000-0005-0000-0000-0000AF4C0000}"/>
    <cellStyle name="Normal 85 12 11" xfId="19627" xr:uid="{00000000-0005-0000-0000-0000B04C0000}"/>
    <cellStyle name="Normal 85 12 12" xfId="19628" xr:uid="{00000000-0005-0000-0000-0000B14C0000}"/>
    <cellStyle name="Normal 85 12 13" xfId="19629" xr:uid="{00000000-0005-0000-0000-0000B24C0000}"/>
    <cellStyle name="Normal 85 12 2" xfId="19630" xr:uid="{00000000-0005-0000-0000-0000B34C0000}"/>
    <cellStyle name="Normal 85 12 2 10" xfId="19631" xr:uid="{00000000-0005-0000-0000-0000B44C0000}"/>
    <cellStyle name="Normal 85 12 2 11" xfId="19632" xr:uid="{00000000-0005-0000-0000-0000B54C0000}"/>
    <cellStyle name="Normal 85 12 2 2" xfId="19633" xr:uid="{00000000-0005-0000-0000-0000B64C0000}"/>
    <cellStyle name="Normal 85 12 2 3" xfId="19634" xr:uid="{00000000-0005-0000-0000-0000B74C0000}"/>
    <cellStyle name="Normal 85 12 2 4" xfId="19635" xr:uid="{00000000-0005-0000-0000-0000B84C0000}"/>
    <cellStyle name="Normal 85 12 2 5" xfId="19636" xr:uid="{00000000-0005-0000-0000-0000B94C0000}"/>
    <cellStyle name="Normal 85 12 2 6" xfId="19637" xr:uid="{00000000-0005-0000-0000-0000BA4C0000}"/>
    <cellStyle name="Normal 85 12 2 7" xfId="19638" xr:uid="{00000000-0005-0000-0000-0000BB4C0000}"/>
    <cellStyle name="Normal 85 12 2 8" xfId="19639" xr:uid="{00000000-0005-0000-0000-0000BC4C0000}"/>
    <cellStyle name="Normal 85 12 2 9" xfId="19640" xr:uid="{00000000-0005-0000-0000-0000BD4C0000}"/>
    <cellStyle name="Normal 85 12 3" xfId="19641" xr:uid="{00000000-0005-0000-0000-0000BE4C0000}"/>
    <cellStyle name="Normal 85 12 4" xfId="19642" xr:uid="{00000000-0005-0000-0000-0000BF4C0000}"/>
    <cellStyle name="Normal 85 12 5" xfId="19643" xr:uid="{00000000-0005-0000-0000-0000C04C0000}"/>
    <cellStyle name="Normal 85 12 6" xfId="19644" xr:uid="{00000000-0005-0000-0000-0000C14C0000}"/>
    <cellStyle name="Normal 85 12 7" xfId="19645" xr:uid="{00000000-0005-0000-0000-0000C24C0000}"/>
    <cellStyle name="Normal 85 12 8" xfId="19646" xr:uid="{00000000-0005-0000-0000-0000C34C0000}"/>
    <cellStyle name="Normal 85 12 9" xfId="19647" xr:uid="{00000000-0005-0000-0000-0000C44C0000}"/>
    <cellStyle name="Normal 85 13" xfId="19648" xr:uid="{00000000-0005-0000-0000-0000C54C0000}"/>
    <cellStyle name="Normal 85 13 10" xfId="19649" xr:uid="{00000000-0005-0000-0000-0000C64C0000}"/>
    <cellStyle name="Normal 85 13 11" xfId="19650" xr:uid="{00000000-0005-0000-0000-0000C74C0000}"/>
    <cellStyle name="Normal 85 13 12" xfId="19651" xr:uid="{00000000-0005-0000-0000-0000C84C0000}"/>
    <cellStyle name="Normal 85 13 13" xfId="19652" xr:uid="{00000000-0005-0000-0000-0000C94C0000}"/>
    <cellStyle name="Normal 85 13 2" xfId="19653" xr:uid="{00000000-0005-0000-0000-0000CA4C0000}"/>
    <cellStyle name="Normal 85 13 2 10" xfId="19654" xr:uid="{00000000-0005-0000-0000-0000CB4C0000}"/>
    <cellStyle name="Normal 85 13 2 11" xfId="19655" xr:uid="{00000000-0005-0000-0000-0000CC4C0000}"/>
    <cellStyle name="Normal 85 13 2 2" xfId="19656" xr:uid="{00000000-0005-0000-0000-0000CD4C0000}"/>
    <cellStyle name="Normal 85 13 2 3" xfId="19657" xr:uid="{00000000-0005-0000-0000-0000CE4C0000}"/>
    <cellStyle name="Normal 85 13 2 4" xfId="19658" xr:uid="{00000000-0005-0000-0000-0000CF4C0000}"/>
    <cellStyle name="Normal 85 13 2 5" xfId="19659" xr:uid="{00000000-0005-0000-0000-0000D04C0000}"/>
    <cellStyle name="Normal 85 13 2 6" xfId="19660" xr:uid="{00000000-0005-0000-0000-0000D14C0000}"/>
    <cellStyle name="Normal 85 13 2 7" xfId="19661" xr:uid="{00000000-0005-0000-0000-0000D24C0000}"/>
    <cellStyle name="Normal 85 13 2 8" xfId="19662" xr:uid="{00000000-0005-0000-0000-0000D34C0000}"/>
    <cellStyle name="Normal 85 13 2 9" xfId="19663" xr:uid="{00000000-0005-0000-0000-0000D44C0000}"/>
    <cellStyle name="Normal 85 13 3" xfId="19664" xr:uid="{00000000-0005-0000-0000-0000D54C0000}"/>
    <cellStyle name="Normal 85 13 4" xfId="19665" xr:uid="{00000000-0005-0000-0000-0000D64C0000}"/>
    <cellStyle name="Normal 85 13 5" xfId="19666" xr:uid="{00000000-0005-0000-0000-0000D74C0000}"/>
    <cellStyle name="Normal 85 13 6" xfId="19667" xr:uid="{00000000-0005-0000-0000-0000D84C0000}"/>
    <cellStyle name="Normal 85 13 7" xfId="19668" xr:uid="{00000000-0005-0000-0000-0000D94C0000}"/>
    <cellStyle name="Normal 85 13 8" xfId="19669" xr:uid="{00000000-0005-0000-0000-0000DA4C0000}"/>
    <cellStyle name="Normal 85 13 9" xfId="19670" xr:uid="{00000000-0005-0000-0000-0000DB4C0000}"/>
    <cellStyle name="Normal 85 14" xfId="19671" xr:uid="{00000000-0005-0000-0000-0000DC4C0000}"/>
    <cellStyle name="Normal 85 14 10" xfId="19672" xr:uid="{00000000-0005-0000-0000-0000DD4C0000}"/>
    <cellStyle name="Normal 85 14 11" xfId="19673" xr:uid="{00000000-0005-0000-0000-0000DE4C0000}"/>
    <cellStyle name="Normal 85 14 2" xfId="19674" xr:uid="{00000000-0005-0000-0000-0000DF4C0000}"/>
    <cellStyle name="Normal 85 14 3" xfId="19675" xr:uid="{00000000-0005-0000-0000-0000E04C0000}"/>
    <cellStyle name="Normal 85 14 4" xfId="19676" xr:uid="{00000000-0005-0000-0000-0000E14C0000}"/>
    <cellStyle name="Normal 85 14 5" xfId="19677" xr:uid="{00000000-0005-0000-0000-0000E24C0000}"/>
    <cellStyle name="Normal 85 14 6" xfId="19678" xr:uid="{00000000-0005-0000-0000-0000E34C0000}"/>
    <cellStyle name="Normal 85 14 7" xfId="19679" xr:uid="{00000000-0005-0000-0000-0000E44C0000}"/>
    <cellStyle name="Normal 85 14 8" xfId="19680" xr:uid="{00000000-0005-0000-0000-0000E54C0000}"/>
    <cellStyle name="Normal 85 14 9" xfId="19681" xr:uid="{00000000-0005-0000-0000-0000E64C0000}"/>
    <cellStyle name="Normal 85 15" xfId="19682" xr:uid="{00000000-0005-0000-0000-0000E74C0000}"/>
    <cellStyle name="Normal 85 16" xfId="19683" xr:uid="{00000000-0005-0000-0000-0000E84C0000}"/>
    <cellStyle name="Normal 85 17" xfId="19684" xr:uid="{00000000-0005-0000-0000-0000E94C0000}"/>
    <cellStyle name="Normal 85 18" xfId="19685" xr:uid="{00000000-0005-0000-0000-0000EA4C0000}"/>
    <cellStyle name="Normal 85 19" xfId="19686" xr:uid="{00000000-0005-0000-0000-0000EB4C0000}"/>
    <cellStyle name="Normal 85 2" xfId="19687" xr:uid="{00000000-0005-0000-0000-0000EC4C0000}"/>
    <cellStyle name="Normal 85 2 10" xfId="19688" xr:uid="{00000000-0005-0000-0000-0000ED4C0000}"/>
    <cellStyle name="Normal 85 2 11" xfId="19689" xr:uid="{00000000-0005-0000-0000-0000EE4C0000}"/>
    <cellStyle name="Normal 85 2 12" xfId="19690" xr:uid="{00000000-0005-0000-0000-0000EF4C0000}"/>
    <cellStyle name="Normal 85 2 13" xfId="19691" xr:uid="{00000000-0005-0000-0000-0000F04C0000}"/>
    <cellStyle name="Normal 85 2 2" xfId="19692" xr:uid="{00000000-0005-0000-0000-0000F14C0000}"/>
    <cellStyle name="Normal 85 2 2 10" xfId="19693" xr:uid="{00000000-0005-0000-0000-0000F24C0000}"/>
    <cellStyle name="Normal 85 2 2 11" xfId="19694" xr:uid="{00000000-0005-0000-0000-0000F34C0000}"/>
    <cellStyle name="Normal 85 2 2 2" xfId="19695" xr:uid="{00000000-0005-0000-0000-0000F44C0000}"/>
    <cellStyle name="Normal 85 2 2 3" xfId="19696" xr:uid="{00000000-0005-0000-0000-0000F54C0000}"/>
    <cellStyle name="Normal 85 2 2 4" xfId="19697" xr:uid="{00000000-0005-0000-0000-0000F64C0000}"/>
    <cellStyle name="Normal 85 2 2 5" xfId="19698" xr:uid="{00000000-0005-0000-0000-0000F74C0000}"/>
    <cellStyle name="Normal 85 2 2 6" xfId="19699" xr:uid="{00000000-0005-0000-0000-0000F84C0000}"/>
    <cellStyle name="Normal 85 2 2 7" xfId="19700" xr:uid="{00000000-0005-0000-0000-0000F94C0000}"/>
    <cellStyle name="Normal 85 2 2 8" xfId="19701" xr:uid="{00000000-0005-0000-0000-0000FA4C0000}"/>
    <cellStyle name="Normal 85 2 2 9" xfId="19702" xr:uid="{00000000-0005-0000-0000-0000FB4C0000}"/>
    <cellStyle name="Normal 85 2 3" xfId="19703" xr:uid="{00000000-0005-0000-0000-0000FC4C0000}"/>
    <cellStyle name="Normal 85 2 4" xfId="19704" xr:uid="{00000000-0005-0000-0000-0000FD4C0000}"/>
    <cellStyle name="Normal 85 2 5" xfId="19705" xr:uid="{00000000-0005-0000-0000-0000FE4C0000}"/>
    <cellStyle name="Normal 85 2 6" xfId="19706" xr:uid="{00000000-0005-0000-0000-0000FF4C0000}"/>
    <cellStyle name="Normal 85 2 7" xfId="19707" xr:uid="{00000000-0005-0000-0000-0000004D0000}"/>
    <cellStyle name="Normal 85 2 8" xfId="19708" xr:uid="{00000000-0005-0000-0000-0000014D0000}"/>
    <cellStyle name="Normal 85 2 9" xfId="19709" xr:uid="{00000000-0005-0000-0000-0000024D0000}"/>
    <cellStyle name="Normal 85 20" xfId="19710" xr:uid="{00000000-0005-0000-0000-0000034D0000}"/>
    <cellStyle name="Normal 85 21" xfId="19711" xr:uid="{00000000-0005-0000-0000-0000044D0000}"/>
    <cellStyle name="Normal 85 22" xfId="19712" xr:uid="{00000000-0005-0000-0000-0000054D0000}"/>
    <cellStyle name="Normal 85 23" xfId="19713" xr:uid="{00000000-0005-0000-0000-0000064D0000}"/>
    <cellStyle name="Normal 85 24" xfId="19714" xr:uid="{00000000-0005-0000-0000-0000074D0000}"/>
    <cellStyle name="Normal 85 25" xfId="19715" xr:uid="{00000000-0005-0000-0000-0000084D0000}"/>
    <cellStyle name="Normal 85 3" xfId="19716" xr:uid="{00000000-0005-0000-0000-0000094D0000}"/>
    <cellStyle name="Normal 85 3 10" xfId="19717" xr:uid="{00000000-0005-0000-0000-00000A4D0000}"/>
    <cellStyle name="Normal 85 3 11" xfId="19718" xr:uid="{00000000-0005-0000-0000-00000B4D0000}"/>
    <cellStyle name="Normal 85 3 12" xfId="19719" xr:uid="{00000000-0005-0000-0000-00000C4D0000}"/>
    <cellStyle name="Normal 85 3 13" xfId="19720" xr:uid="{00000000-0005-0000-0000-00000D4D0000}"/>
    <cellStyle name="Normal 85 3 2" xfId="19721" xr:uid="{00000000-0005-0000-0000-00000E4D0000}"/>
    <cellStyle name="Normal 85 3 2 10" xfId="19722" xr:uid="{00000000-0005-0000-0000-00000F4D0000}"/>
    <cellStyle name="Normal 85 3 2 11" xfId="19723" xr:uid="{00000000-0005-0000-0000-0000104D0000}"/>
    <cellStyle name="Normal 85 3 2 2" xfId="19724" xr:uid="{00000000-0005-0000-0000-0000114D0000}"/>
    <cellStyle name="Normal 85 3 2 3" xfId="19725" xr:uid="{00000000-0005-0000-0000-0000124D0000}"/>
    <cellStyle name="Normal 85 3 2 4" xfId="19726" xr:uid="{00000000-0005-0000-0000-0000134D0000}"/>
    <cellStyle name="Normal 85 3 2 5" xfId="19727" xr:uid="{00000000-0005-0000-0000-0000144D0000}"/>
    <cellStyle name="Normal 85 3 2 6" xfId="19728" xr:uid="{00000000-0005-0000-0000-0000154D0000}"/>
    <cellStyle name="Normal 85 3 2 7" xfId="19729" xr:uid="{00000000-0005-0000-0000-0000164D0000}"/>
    <cellStyle name="Normal 85 3 2 8" xfId="19730" xr:uid="{00000000-0005-0000-0000-0000174D0000}"/>
    <cellStyle name="Normal 85 3 2 9" xfId="19731" xr:uid="{00000000-0005-0000-0000-0000184D0000}"/>
    <cellStyle name="Normal 85 3 3" xfId="19732" xr:uid="{00000000-0005-0000-0000-0000194D0000}"/>
    <cellStyle name="Normal 85 3 4" xfId="19733" xr:uid="{00000000-0005-0000-0000-00001A4D0000}"/>
    <cellStyle name="Normal 85 3 5" xfId="19734" xr:uid="{00000000-0005-0000-0000-00001B4D0000}"/>
    <cellStyle name="Normal 85 3 6" xfId="19735" xr:uid="{00000000-0005-0000-0000-00001C4D0000}"/>
    <cellStyle name="Normal 85 3 7" xfId="19736" xr:uid="{00000000-0005-0000-0000-00001D4D0000}"/>
    <cellStyle name="Normal 85 3 8" xfId="19737" xr:uid="{00000000-0005-0000-0000-00001E4D0000}"/>
    <cellStyle name="Normal 85 3 9" xfId="19738" xr:uid="{00000000-0005-0000-0000-00001F4D0000}"/>
    <cellStyle name="Normal 85 4" xfId="19739" xr:uid="{00000000-0005-0000-0000-0000204D0000}"/>
    <cellStyle name="Normal 85 4 10" xfId="19740" xr:uid="{00000000-0005-0000-0000-0000214D0000}"/>
    <cellStyle name="Normal 85 4 11" xfId="19741" xr:uid="{00000000-0005-0000-0000-0000224D0000}"/>
    <cellStyle name="Normal 85 4 12" xfId="19742" xr:uid="{00000000-0005-0000-0000-0000234D0000}"/>
    <cellStyle name="Normal 85 4 13" xfId="19743" xr:uid="{00000000-0005-0000-0000-0000244D0000}"/>
    <cellStyle name="Normal 85 4 2" xfId="19744" xr:uid="{00000000-0005-0000-0000-0000254D0000}"/>
    <cellStyle name="Normal 85 4 2 10" xfId="19745" xr:uid="{00000000-0005-0000-0000-0000264D0000}"/>
    <cellStyle name="Normal 85 4 2 11" xfId="19746" xr:uid="{00000000-0005-0000-0000-0000274D0000}"/>
    <cellStyle name="Normal 85 4 2 2" xfId="19747" xr:uid="{00000000-0005-0000-0000-0000284D0000}"/>
    <cellStyle name="Normal 85 4 2 3" xfId="19748" xr:uid="{00000000-0005-0000-0000-0000294D0000}"/>
    <cellStyle name="Normal 85 4 2 4" xfId="19749" xr:uid="{00000000-0005-0000-0000-00002A4D0000}"/>
    <cellStyle name="Normal 85 4 2 5" xfId="19750" xr:uid="{00000000-0005-0000-0000-00002B4D0000}"/>
    <cellStyle name="Normal 85 4 2 6" xfId="19751" xr:uid="{00000000-0005-0000-0000-00002C4D0000}"/>
    <cellStyle name="Normal 85 4 2 7" xfId="19752" xr:uid="{00000000-0005-0000-0000-00002D4D0000}"/>
    <cellStyle name="Normal 85 4 2 8" xfId="19753" xr:uid="{00000000-0005-0000-0000-00002E4D0000}"/>
    <cellStyle name="Normal 85 4 2 9" xfId="19754" xr:uid="{00000000-0005-0000-0000-00002F4D0000}"/>
    <cellStyle name="Normal 85 4 3" xfId="19755" xr:uid="{00000000-0005-0000-0000-0000304D0000}"/>
    <cellStyle name="Normal 85 4 4" xfId="19756" xr:uid="{00000000-0005-0000-0000-0000314D0000}"/>
    <cellStyle name="Normal 85 4 5" xfId="19757" xr:uid="{00000000-0005-0000-0000-0000324D0000}"/>
    <cellStyle name="Normal 85 4 6" xfId="19758" xr:uid="{00000000-0005-0000-0000-0000334D0000}"/>
    <cellStyle name="Normal 85 4 7" xfId="19759" xr:uid="{00000000-0005-0000-0000-0000344D0000}"/>
    <cellStyle name="Normal 85 4 8" xfId="19760" xr:uid="{00000000-0005-0000-0000-0000354D0000}"/>
    <cellStyle name="Normal 85 4 9" xfId="19761" xr:uid="{00000000-0005-0000-0000-0000364D0000}"/>
    <cellStyle name="Normal 85 5" xfId="19762" xr:uid="{00000000-0005-0000-0000-0000374D0000}"/>
    <cellStyle name="Normal 85 5 10" xfId="19763" xr:uid="{00000000-0005-0000-0000-0000384D0000}"/>
    <cellStyle name="Normal 85 5 11" xfId="19764" xr:uid="{00000000-0005-0000-0000-0000394D0000}"/>
    <cellStyle name="Normal 85 5 12" xfId="19765" xr:uid="{00000000-0005-0000-0000-00003A4D0000}"/>
    <cellStyle name="Normal 85 5 13" xfId="19766" xr:uid="{00000000-0005-0000-0000-00003B4D0000}"/>
    <cellStyle name="Normal 85 5 2" xfId="19767" xr:uid="{00000000-0005-0000-0000-00003C4D0000}"/>
    <cellStyle name="Normal 85 5 2 10" xfId="19768" xr:uid="{00000000-0005-0000-0000-00003D4D0000}"/>
    <cellStyle name="Normal 85 5 2 11" xfId="19769" xr:uid="{00000000-0005-0000-0000-00003E4D0000}"/>
    <cellStyle name="Normal 85 5 2 2" xfId="19770" xr:uid="{00000000-0005-0000-0000-00003F4D0000}"/>
    <cellStyle name="Normal 85 5 2 3" xfId="19771" xr:uid="{00000000-0005-0000-0000-0000404D0000}"/>
    <cellStyle name="Normal 85 5 2 4" xfId="19772" xr:uid="{00000000-0005-0000-0000-0000414D0000}"/>
    <cellStyle name="Normal 85 5 2 5" xfId="19773" xr:uid="{00000000-0005-0000-0000-0000424D0000}"/>
    <cellStyle name="Normal 85 5 2 6" xfId="19774" xr:uid="{00000000-0005-0000-0000-0000434D0000}"/>
    <cellStyle name="Normal 85 5 2 7" xfId="19775" xr:uid="{00000000-0005-0000-0000-0000444D0000}"/>
    <cellStyle name="Normal 85 5 2 8" xfId="19776" xr:uid="{00000000-0005-0000-0000-0000454D0000}"/>
    <cellStyle name="Normal 85 5 2 9" xfId="19777" xr:uid="{00000000-0005-0000-0000-0000464D0000}"/>
    <cellStyle name="Normal 85 5 3" xfId="19778" xr:uid="{00000000-0005-0000-0000-0000474D0000}"/>
    <cellStyle name="Normal 85 5 4" xfId="19779" xr:uid="{00000000-0005-0000-0000-0000484D0000}"/>
    <cellStyle name="Normal 85 5 5" xfId="19780" xr:uid="{00000000-0005-0000-0000-0000494D0000}"/>
    <cellStyle name="Normal 85 5 6" xfId="19781" xr:uid="{00000000-0005-0000-0000-00004A4D0000}"/>
    <cellStyle name="Normal 85 5 7" xfId="19782" xr:uid="{00000000-0005-0000-0000-00004B4D0000}"/>
    <cellStyle name="Normal 85 5 8" xfId="19783" xr:uid="{00000000-0005-0000-0000-00004C4D0000}"/>
    <cellStyle name="Normal 85 5 9" xfId="19784" xr:uid="{00000000-0005-0000-0000-00004D4D0000}"/>
    <cellStyle name="Normal 85 6" xfId="19785" xr:uid="{00000000-0005-0000-0000-00004E4D0000}"/>
    <cellStyle name="Normal 85 6 10" xfId="19786" xr:uid="{00000000-0005-0000-0000-00004F4D0000}"/>
    <cellStyle name="Normal 85 6 11" xfId="19787" xr:uid="{00000000-0005-0000-0000-0000504D0000}"/>
    <cellStyle name="Normal 85 6 12" xfId="19788" xr:uid="{00000000-0005-0000-0000-0000514D0000}"/>
    <cellStyle name="Normal 85 6 13" xfId="19789" xr:uid="{00000000-0005-0000-0000-0000524D0000}"/>
    <cellStyle name="Normal 85 6 2" xfId="19790" xr:uid="{00000000-0005-0000-0000-0000534D0000}"/>
    <cellStyle name="Normal 85 6 2 10" xfId="19791" xr:uid="{00000000-0005-0000-0000-0000544D0000}"/>
    <cellStyle name="Normal 85 6 2 11" xfId="19792" xr:uid="{00000000-0005-0000-0000-0000554D0000}"/>
    <cellStyle name="Normal 85 6 2 2" xfId="19793" xr:uid="{00000000-0005-0000-0000-0000564D0000}"/>
    <cellStyle name="Normal 85 6 2 3" xfId="19794" xr:uid="{00000000-0005-0000-0000-0000574D0000}"/>
    <cellStyle name="Normal 85 6 2 4" xfId="19795" xr:uid="{00000000-0005-0000-0000-0000584D0000}"/>
    <cellStyle name="Normal 85 6 2 5" xfId="19796" xr:uid="{00000000-0005-0000-0000-0000594D0000}"/>
    <cellStyle name="Normal 85 6 2 6" xfId="19797" xr:uid="{00000000-0005-0000-0000-00005A4D0000}"/>
    <cellStyle name="Normal 85 6 2 7" xfId="19798" xr:uid="{00000000-0005-0000-0000-00005B4D0000}"/>
    <cellStyle name="Normal 85 6 2 8" xfId="19799" xr:uid="{00000000-0005-0000-0000-00005C4D0000}"/>
    <cellStyle name="Normal 85 6 2 9" xfId="19800" xr:uid="{00000000-0005-0000-0000-00005D4D0000}"/>
    <cellStyle name="Normal 85 6 3" xfId="19801" xr:uid="{00000000-0005-0000-0000-00005E4D0000}"/>
    <cellStyle name="Normal 85 6 4" xfId="19802" xr:uid="{00000000-0005-0000-0000-00005F4D0000}"/>
    <cellStyle name="Normal 85 6 5" xfId="19803" xr:uid="{00000000-0005-0000-0000-0000604D0000}"/>
    <cellStyle name="Normal 85 6 6" xfId="19804" xr:uid="{00000000-0005-0000-0000-0000614D0000}"/>
    <cellStyle name="Normal 85 6 7" xfId="19805" xr:uid="{00000000-0005-0000-0000-0000624D0000}"/>
    <cellStyle name="Normal 85 6 8" xfId="19806" xr:uid="{00000000-0005-0000-0000-0000634D0000}"/>
    <cellStyle name="Normal 85 6 9" xfId="19807" xr:uid="{00000000-0005-0000-0000-0000644D0000}"/>
    <cellStyle name="Normal 85 7" xfId="19808" xr:uid="{00000000-0005-0000-0000-0000654D0000}"/>
    <cellStyle name="Normal 85 7 10" xfId="19809" xr:uid="{00000000-0005-0000-0000-0000664D0000}"/>
    <cellStyle name="Normal 85 7 11" xfId="19810" xr:uid="{00000000-0005-0000-0000-0000674D0000}"/>
    <cellStyle name="Normal 85 7 12" xfId="19811" xr:uid="{00000000-0005-0000-0000-0000684D0000}"/>
    <cellStyle name="Normal 85 7 13" xfId="19812" xr:uid="{00000000-0005-0000-0000-0000694D0000}"/>
    <cellStyle name="Normal 85 7 2" xfId="19813" xr:uid="{00000000-0005-0000-0000-00006A4D0000}"/>
    <cellStyle name="Normal 85 7 2 10" xfId="19814" xr:uid="{00000000-0005-0000-0000-00006B4D0000}"/>
    <cellStyle name="Normal 85 7 2 11" xfId="19815" xr:uid="{00000000-0005-0000-0000-00006C4D0000}"/>
    <cellStyle name="Normal 85 7 2 2" xfId="19816" xr:uid="{00000000-0005-0000-0000-00006D4D0000}"/>
    <cellStyle name="Normal 85 7 2 3" xfId="19817" xr:uid="{00000000-0005-0000-0000-00006E4D0000}"/>
    <cellStyle name="Normal 85 7 2 4" xfId="19818" xr:uid="{00000000-0005-0000-0000-00006F4D0000}"/>
    <cellStyle name="Normal 85 7 2 5" xfId="19819" xr:uid="{00000000-0005-0000-0000-0000704D0000}"/>
    <cellStyle name="Normal 85 7 2 6" xfId="19820" xr:uid="{00000000-0005-0000-0000-0000714D0000}"/>
    <cellStyle name="Normal 85 7 2 7" xfId="19821" xr:uid="{00000000-0005-0000-0000-0000724D0000}"/>
    <cellStyle name="Normal 85 7 2 8" xfId="19822" xr:uid="{00000000-0005-0000-0000-0000734D0000}"/>
    <cellStyle name="Normal 85 7 2 9" xfId="19823" xr:uid="{00000000-0005-0000-0000-0000744D0000}"/>
    <cellStyle name="Normal 85 7 3" xfId="19824" xr:uid="{00000000-0005-0000-0000-0000754D0000}"/>
    <cellStyle name="Normal 85 7 4" xfId="19825" xr:uid="{00000000-0005-0000-0000-0000764D0000}"/>
    <cellStyle name="Normal 85 7 5" xfId="19826" xr:uid="{00000000-0005-0000-0000-0000774D0000}"/>
    <cellStyle name="Normal 85 7 6" xfId="19827" xr:uid="{00000000-0005-0000-0000-0000784D0000}"/>
    <cellStyle name="Normal 85 7 7" xfId="19828" xr:uid="{00000000-0005-0000-0000-0000794D0000}"/>
    <cellStyle name="Normal 85 7 8" xfId="19829" xr:uid="{00000000-0005-0000-0000-00007A4D0000}"/>
    <cellStyle name="Normal 85 7 9" xfId="19830" xr:uid="{00000000-0005-0000-0000-00007B4D0000}"/>
    <cellStyle name="Normal 85 8" xfId="19831" xr:uid="{00000000-0005-0000-0000-00007C4D0000}"/>
    <cellStyle name="Normal 85 8 10" xfId="19832" xr:uid="{00000000-0005-0000-0000-00007D4D0000}"/>
    <cellStyle name="Normal 85 8 11" xfId="19833" xr:uid="{00000000-0005-0000-0000-00007E4D0000}"/>
    <cellStyle name="Normal 85 8 12" xfId="19834" xr:uid="{00000000-0005-0000-0000-00007F4D0000}"/>
    <cellStyle name="Normal 85 8 13" xfId="19835" xr:uid="{00000000-0005-0000-0000-0000804D0000}"/>
    <cellStyle name="Normal 85 8 2" xfId="19836" xr:uid="{00000000-0005-0000-0000-0000814D0000}"/>
    <cellStyle name="Normal 85 8 2 10" xfId="19837" xr:uid="{00000000-0005-0000-0000-0000824D0000}"/>
    <cellStyle name="Normal 85 8 2 11" xfId="19838" xr:uid="{00000000-0005-0000-0000-0000834D0000}"/>
    <cellStyle name="Normal 85 8 2 2" xfId="19839" xr:uid="{00000000-0005-0000-0000-0000844D0000}"/>
    <cellStyle name="Normal 85 8 2 3" xfId="19840" xr:uid="{00000000-0005-0000-0000-0000854D0000}"/>
    <cellStyle name="Normal 85 8 2 4" xfId="19841" xr:uid="{00000000-0005-0000-0000-0000864D0000}"/>
    <cellStyle name="Normal 85 8 2 5" xfId="19842" xr:uid="{00000000-0005-0000-0000-0000874D0000}"/>
    <cellStyle name="Normal 85 8 2 6" xfId="19843" xr:uid="{00000000-0005-0000-0000-0000884D0000}"/>
    <cellStyle name="Normal 85 8 2 7" xfId="19844" xr:uid="{00000000-0005-0000-0000-0000894D0000}"/>
    <cellStyle name="Normal 85 8 2 8" xfId="19845" xr:uid="{00000000-0005-0000-0000-00008A4D0000}"/>
    <cellStyle name="Normal 85 8 2 9" xfId="19846" xr:uid="{00000000-0005-0000-0000-00008B4D0000}"/>
    <cellStyle name="Normal 85 8 3" xfId="19847" xr:uid="{00000000-0005-0000-0000-00008C4D0000}"/>
    <cellStyle name="Normal 85 8 4" xfId="19848" xr:uid="{00000000-0005-0000-0000-00008D4D0000}"/>
    <cellStyle name="Normal 85 8 5" xfId="19849" xr:uid="{00000000-0005-0000-0000-00008E4D0000}"/>
    <cellStyle name="Normal 85 8 6" xfId="19850" xr:uid="{00000000-0005-0000-0000-00008F4D0000}"/>
    <cellStyle name="Normal 85 8 7" xfId="19851" xr:uid="{00000000-0005-0000-0000-0000904D0000}"/>
    <cellStyle name="Normal 85 8 8" xfId="19852" xr:uid="{00000000-0005-0000-0000-0000914D0000}"/>
    <cellStyle name="Normal 85 8 9" xfId="19853" xr:uid="{00000000-0005-0000-0000-0000924D0000}"/>
    <cellStyle name="Normal 85 9" xfId="19854" xr:uid="{00000000-0005-0000-0000-0000934D0000}"/>
    <cellStyle name="Normal 85 9 10" xfId="19855" xr:uid="{00000000-0005-0000-0000-0000944D0000}"/>
    <cellStyle name="Normal 85 9 11" xfId="19856" xr:uid="{00000000-0005-0000-0000-0000954D0000}"/>
    <cellStyle name="Normal 85 9 12" xfId="19857" xr:uid="{00000000-0005-0000-0000-0000964D0000}"/>
    <cellStyle name="Normal 85 9 13" xfId="19858" xr:uid="{00000000-0005-0000-0000-0000974D0000}"/>
    <cellStyle name="Normal 85 9 2" xfId="19859" xr:uid="{00000000-0005-0000-0000-0000984D0000}"/>
    <cellStyle name="Normal 85 9 2 10" xfId="19860" xr:uid="{00000000-0005-0000-0000-0000994D0000}"/>
    <cellStyle name="Normal 85 9 2 11" xfId="19861" xr:uid="{00000000-0005-0000-0000-00009A4D0000}"/>
    <cellStyle name="Normal 85 9 2 2" xfId="19862" xr:uid="{00000000-0005-0000-0000-00009B4D0000}"/>
    <cellStyle name="Normal 85 9 2 3" xfId="19863" xr:uid="{00000000-0005-0000-0000-00009C4D0000}"/>
    <cellStyle name="Normal 85 9 2 4" xfId="19864" xr:uid="{00000000-0005-0000-0000-00009D4D0000}"/>
    <cellStyle name="Normal 85 9 2 5" xfId="19865" xr:uid="{00000000-0005-0000-0000-00009E4D0000}"/>
    <cellStyle name="Normal 85 9 2 6" xfId="19866" xr:uid="{00000000-0005-0000-0000-00009F4D0000}"/>
    <cellStyle name="Normal 85 9 2 7" xfId="19867" xr:uid="{00000000-0005-0000-0000-0000A04D0000}"/>
    <cellStyle name="Normal 85 9 2 8" xfId="19868" xr:uid="{00000000-0005-0000-0000-0000A14D0000}"/>
    <cellStyle name="Normal 85 9 2 9" xfId="19869" xr:uid="{00000000-0005-0000-0000-0000A24D0000}"/>
    <cellStyle name="Normal 85 9 3" xfId="19870" xr:uid="{00000000-0005-0000-0000-0000A34D0000}"/>
    <cellStyle name="Normal 85 9 4" xfId="19871" xr:uid="{00000000-0005-0000-0000-0000A44D0000}"/>
    <cellStyle name="Normal 85 9 5" xfId="19872" xr:uid="{00000000-0005-0000-0000-0000A54D0000}"/>
    <cellStyle name="Normal 85 9 6" xfId="19873" xr:uid="{00000000-0005-0000-0000-0000A64D0000}"/>
    <cellStyle name="Normal 85 9 7" xfId="19874" xr:uid="{00000000-0005-0000-0000-0000A74D0000}"/>
    <cellStyle name="Normal 85 9 8" xfId="19875" xr:uid="{00000000-0005-0000-0000-0000A84D0000}"/>
    <cellStyle name="Normal 85 9 9" xfId="19876" xr:uid="{00000000-0005-0000-0000-0000A94D0000}"/>
    <cellStyle name="Normal 86" xfId="19877" xr:uid="{00000000-0005-0000-0000-0000AA4D0000}"/>
    <cellStyle name="Normal 86 10" xfId="19878" xr:uid="{00000000-0005-0000-0000-0000AB4D0000}"/>
    <cellStyle name="Normal 86 10 10" xfId="19879" xr:uid="{00000000-0005-0000-0000-0000AC4D0000}"/>
    <cellStyle name="Normal 86 10 11" xfId="19880" xr:uid="{00000000-0005-0000-0000-0000AD4D0000}"/>
    <cellStyle name="Normal 86 10 12" xfId="19881" xr:uid="{00000000-0005-0000-0000-0000AE4D0000}"/>
    <cellStyle name="Normal 86 10 13" xfId="19882" xr:uid="{00000000-0005-0000-0000-0000AF4D0000}"/>
    <cellStyle name="Normal 86 10 2" xfId="19883" xr:uid="{00000000-0005-0000-0000-0000B04D0000}"/>
    <cellStyle name="Normal 86 10 2 10" xfId="19884" xr:uid="{00000000-0005-0000-0000-0000B14D0000}"/>
    <cellStyle name="Normal 86 10 2 11" xfId="19885" xr:uid="{00000000-0005-0000-0000-0000B24D0000}"/>
    <cellStyle name="Normal 86 10 2 2" xfId="19886" xr:uid="{00000000-0005-0000-0000-0000B34D0000}"/>
    <cellStyle name="Normal 86 10 2 3" xfId="19887" xr:uid="{00000000-0005-0000-0000-0000B44D0000}"/>
    <cellStyle name="Normal 86 10 2 4" xfId="19888" xr:uid="{00000000-0005-0000-0000-0000B54D0000}"/>
    <cellStyle name="Normal 86 10 2 5" xfId="19889" xr:uid="{00000000-0005-0000-0000-0000B64D0000}"/>
    <cellStyle name="Normal 86 10 2 6" xfId="19890" xr:uid="{00000000-0005-0000-0000-0000B74D0000}"/>
    <cellStyle name="Normal 86 10 2 7" xfId="19891" xr:uid="{00000000-0005-0000-0000-0000B84D0000}"/>
    <cellStyle name="Normal 86 10 2 8" xfId="19892" xr:uid="{00000000-0005-0000-0000-0000B94D0000}"/>
    <cellStyle name="Normal 86 10 2 9" xfId="19893" xr:uid="{00000000-0005-0000-0000-0000BA4D0000}"/>
    <cellStyle name="Normal 86 10 3" xfId="19894" xr:uid="{00000000-0005-0000-0000-0000BB4D0000}"/>
    <cellStyle name="Normal 86 10 4" xfId="19895" xr:uid="{00000000-0005-0000-0000-0000BC4D0000}"/>
    <cellStyle name="Normal 86 10 5" xfId="19896" xr:uid="{00000000-0005-0000-0000-0000BD4D0000}"/>
    <cellStyle name="Normal 86 10 6" xfId="19897" xr:uid="{00000000-0005-0000-0000-0000BE4D0000}"/>
    <cellStyle name="Normal 86 10 7" xfId="19898" xr:uid="{00000000-0005-0000-0000-0000BF4D0000}"/>
    <cellStyle name="Normal 86 10 8" xfId="19899" xr:uid="{00000000-0005-0000-0000-0000C04D0000}"/>
    <cellStyle name="Normal 86 10 9" xfId="19900" xr:uid="{00000000-0005-0000-0000-0000C14D0000}"/>
    <cellStyle name="Normal 86 11" xfId="19901" xr:uid="{00000000-0005-0000-0000-0000C24D0000}"/>
    <cellStyle name="Normal 86 11 10" xfId="19902" xr:uid="{00000000-0005-0000-0000-0000C34D0000}"/>
    <cellStyle name="Normal 86 11 11" xfId="19903" xr:uid="{00000000-0005-0000-0000-0000C44D0000}"/>
    <cellStyle name="Normal 86 11 12" xfId="19904" xr:uid="{00000000-0005-0000-0000-0000C54D0000}"/>
    <cellStyle name="Normal 86 11 13" xfId="19905" xr:uid="{00000000-0005-0000-0000-0000C64D0000}"/>
    <cellStyle name="Normal 86 11 2" xfId="19906" xr:uid="{00000000-0005-0000-0000-0000C74D0000}"/>
    <cellStyle name="Normal 86 11 2 10" xfId="19907" xr:uid="{00000000-0005-0000-0000-0000C84D0000}"/>
    <cellStyle name="Normal 86 11 2 11" xfId="19908" xr:uid="{00000000-0005-0000-0000-0000C94D0000}"/>
    <cellStyle name="Normal 86 11 2 2" xfId="19909" xr:uid="{00000000-0005-0000-0000-0000CA4D0000}"/>
    <cellStyle name="Normal 86 11 2 3" xfId="19910" xr:uid="{00000000-0005-0000-0000-0000CB4D0000}"/>
    <cellStyle name="Normal 86 11 2 4" xfId="19911" xr:uid="{00000000-0005-0000-0000-0000CC4D0000}"/>
    <cellStyle name="Normal 86 11 2 5" xfId="19912" xr:uid="{00000000-0005-0000-0000-0000CD4D0000}"/>
    <cellStyle name="Normal 86 11 2 6" xfId="19913" xr:uid="{00000000-0005-0000-0000-0000CE4D0000}"/>
    <cellStyle name="Normal 86 11 2 7" xfId="19914" xr:uid="{00000000-0005-0000-0000-0000CF4D0000}"/>
    <cellStyle name="Normal 86 11 2 8" xfId="19915" xr:uid="{00000000-0005-0000-0000-0000D04D0000}"/>
    <cellStyle name="Normal 86 11 2 9" xfId="19916" xr:uid="{00000000-0005-0000-0000-0000D14D0000}"/>
    <cellStyle name="Normal 86 11 3" xfId="19917" xr:uid="{00000000-0005-0000-0000-0000D24D0000}"/>
    <cellStyle name="Normal 86 11 4" xfId="19918" xr:uid="{00000000-0005-0000-0000-0000D34D0000}"/>
    <cellStyle name="Normal 86 11 5" xfId="19919" xr:uid="{00000000-0005-0000-0000-0000D44D0000}"/>
    <cellStyle name="Normal 86 11 6" xfId="19920" xr:uid="{00000000-0005-0000-0000-0000D54D0000}"/>
    <cellStyle name="Normal 86 11 7" xfId="19921" xr:uid="{00000000-0005-0000-0000-0000D64D0000}"/>
    <cellStyle name="Normal 86 11 8" xfId="19922" xr:uid="{00000000-0005-0000-0000-0000D74D0000}"/>
    <cellStyle name="Normal 86 11 9" xfId="19923" xr:uid="{00000000-0005-0000-0000-0000D84D0000}"/>
    <cellStyle name="Normal 86 12" xfId="19924" xr:uid="{00000000-0005-0000-0000-0000D94D0000}"/>
    <cellStyle name="Normal 86 12 10" xfId="19925" xr:uid="{00000000-0005-0000-0000-0000DA4D0000}"/>
    <cellStyle name="Normal 86 12 11" xfId="19926" xr:uid="{00000000-0005-0000-0000-0000DB4D0000}"/>
    <cellStyle name="Normal 86 12 12" xfId="19927" xr:uid="{00000000-0005-0000-0000-0000DC4D0000}"/>
    <cellStyle name="Normal 86 12 13" xfId="19928" xr:uid="{00000000-0005-0000-0000-0000DD4D0000}"/>
    <cellStyle name="Normal 86 12 2" xfId="19929" xr:uid="{00000000-0005-0000-0000-0000DE4D0000}"/>
    <cellStyle name="Normal 86 12 2 10" xfId="19930" xr:uid="{00000000-0005-0000-0000-0000DF4D0000}"/>
    <cellStyle name="Normal 86 12 2 11" xfId="19931" xr:uid="{00000000-0005-0000-0000-0000E04D0000}"/>
    <cellStyle name="Normal 86 12 2 2" xfId="19932" xr:uid="{00000000-0005-0000-0000-0000E14D0000}"/>
    <cellStyle name="Normal 86 12 2 3" xfId="19933" xr:uid="{00000000-0005-0000-0000-0000E24D0000}"/>
    <cellStyle name="Normal 86 12 2 4" xfId="19934" xr:uid="{00000000-0005-0000-0000-0000E34D0000}"/>
    <cellStyle name="Normal 86 12 2 5" xfId="19935" xr:uid="{00000000-0005-0000-0000-0000E44D0000}"/>
    <cellStyle name="Normal 86 12 2 6" xfId="19936" xr:uid="{00000000-0005-0000-0000-0000E54D0000}"/>
    <cellStyle name="Normal 86 12 2 7" xfId="19937" xr:uid="{00000000-0005-0000-0000-0000E64D0000}"/>
    <cellStyle name="Normal 86 12 2 8" xfId="19938" xr:uid="{00000000-0005-0000-0000-0000E74D0000}"/>
    <cellStyle name="Normal 86 12 2 9" xfId="19939" xr:uid="{00000000-0005-0000-0000-0000E84D0000}"/>
    <cellStyle name="Normal 86 12 3" xfId="19940" xr:uid="{00000000-0005-0000-0000-0000E94D0000}"/>
    <cellStyle name="Normal 86 12 4" xfId="19941" xr:uid="{00000000-0005-0000-0000-0000EA4D0000}"/>
    <cellStyle name="Normal 86 12 5" xfId="19942" xr:uid="{00000000-0005-0000-0000-0000EB4D0000}"/>
    <cellStyle name="Normal 86 12 6" xfId="19943" xr:uid="{00000000-0005-0000-0000-0000EC4D0000}"/>
    <cellStyle name="Normal 86 12 7" xfId="19944" xr:uid="{00000000-0005-0000-0000-0000ED4D0000}"/>
    <cellStyle name="Normal 86 12 8" xfId="19945" xr:uid="{00000000-0005-0000-0000-0000EE4D0000}"/>
    <cellStyle name="Normal 86 12 9" xfId="19946" xr:uid="{00000000-0005-0000-0000-0000EF4D0000}"/>
    <cellStyle name="Normal 86 13" xfId="19947" xr:uid="{00000000-0005-0000-0000-0000F04D0000}"/>
    <cellStyle name="Normal 86 13 10" xfId="19948" xr:uid="{00000000-0005-0000-0000-0000F14D0000}"/>
    <cellStyle name="Normal 86 13 11" xfId="19949" xr:uid="{00000000-0005-0000-0000-0000F24D0000}"/>
    <cellStyle name="Normal 86 13 12" xfId="19950" xr:uid="{00000000-0005-0000-0000-0000F34D0000}"/>
    <cellStyle name="Normal 86 13 13" xfId="19951" xr:uid="{00000000-0005-0000-0000-0000F44D0000}"/>
    <cellStyle name="Normal 86 13 2" xfId="19952" xr:uid="{00000000-0005-0000-0000-0000F54D0000}"/>
    <cellStyle name="Normal 86 13 2 10" xfId="19953" xr:uid="{00000000-0005-0000-0000-0000F64D0000}"/>
    <cellStyle name="Normal 86 13 2 11" xfId="19954" xr:uid="{00000000-0005-0000-0000-0000F74D0000}"/>
    <cellStyle name="Normal 86 13 2 2" xfId="19955" xr:uid="{00000000-0005-0000-0000-0000F84D0000}"/>
    <cellStyle name="Normal 86 13 2 3" xfId="19956" xr:uid="{00000000-0005-0000-0000-0000F94D0000}"/>
    <cellStyle name="Normal 86 13 2 4" xfId="19957" xr:uid="{00000000-0005-0000-0000-0000FA4D0000}"/>
    <cellStyle name="Normal 86 13 2 5" xfId="19958" xr:uid="{00000000-0005-0000-0000-0000FB4D0000}"/>
    <cellStyle name="Normal 86 13 2 6" xfId="19959" xr:uid="{00000000-0005-0000-0000-0000FC4D0000}"/>
    <cellStyle name="Normal 86 13 2 7" xfId="19960" xr:uid="{00000000-0005-0000-0000-0000FD4D0000}"/>
    <cellStyle name="Normal 86 13 2 8" xfId="19961" xr:uid="{00000000-0005-0000-0000-0000FE4D0000}"/>
    <cellStyle name="Normal 86 13 2 9" xfId="19962" xr:uid="{00000000-0005-0000-0000-0000FF4D0000}"/>
    <cellStyle name="Normal 86 13 3" xfId="19963" xr:uid="{00000000-0005-0000-0000-0000004E0000}"/>
    <cellStyle name="Normal 86 13 4" xfId="19964" xr:uid="{00000000-0005-0000-0000-0000014E0000}"/>
    <cellStyle name="Normal 86 13 5" xfId="19965" xr:uid="{00000000-0005-0000-0000-0000024E0000}"/>
    <cellStyle name="Normal 86 13 6" xfId="19966" xr:uid="{00000000-0005-0000-0000-0000034E0000}"/>
    <cellStyle name="Normal 86 13 7" xfId="19967" xr:uid="{00000000-0005-0000-0000-0000044E0000}"/>
    <cellStyle name="Normal 86 13 8" xfId="19968" xr:uid="{00000000-0005-0000-0000-0000054E0000}"/>
    <cellStyle name="Normal 86 13 9" xfId="19969" xr:uid="{00000000-0005-0000-0000-0000064E0000}"/>
    <cellStyle name="Normal 86 14" xfId="19970" xr:uid="{00000000-0005-0000-0000-0000074E0000}"/>
    <cellStyle name="Normal 86 14 10" xfId="19971" xr:uid="{00000000-0005-0000-0000-0000084E0000}"/>
    <cellStyle name="Normal 86 14 11" xfId="19972" xr:uid="{00000000-0005-0000-0000-0000094E0000}"/>
    <cellStyle name="Normal 86 14 2" xfId="19973" xr:uid="{00000000-0005-0000-0000-00000A4E0000}"/>
    <cellStyle name="Normal 86 14 3" xfId="19974" xr:uid="{00000000-0005-0000-0000-00000B4E0000}"/>
    <cellStyle name="Normal 86 14 4" xfId="19975" xr:uid="{00000000-0005-0000-0000-00000C4E0000}"/>
    <cellStyle name="Normal 86 14 5" xfId="19976" xr:uid="{00000000-0005-0000-0000-00000D4E0000}"/>
    <cellStyle name="Normal 86 14 6" xfId="19977" xr:uid="{00000000-0005-0000-0000-00000E4E0000}"/>
    <cellStyle name="Normal 86 14 7" xfId="19978" xr:uid="{00000000-0005-0000-0000-00000F4E0000}"/>
    <cellStyle name="Normal 86 14 8" xfId="19979" xr:uid="{00000000-0005-0000-0000-0000104E0000}"/>
    <cellStyle name="Normal 86 14 9" xfId="19980" xr:uid="{00000000-0005-0000-0000-0000114E0000}"/>
    <cellStyle name="Normal 86 15" xfId="19981" xr:uid="{00000000-0005-0000-0000-0000124E0000}"/>
    <cellStyle name="Normal 86 16" xfId="19982" xr:uid="{00000000-0005-0000-0000-0000134E0000}"/>
    <cellStyle name="Normal 86 17" xfId="19983" xr:uid="{00000000-0005-0000-0000-0000144E0000}"/>
    <cellStyle name="Normal 86 18" xfId="19984" xr:uid="{00000000-0005-0000-0000-0000154E0000}"/>
    <cellStyle name="Normal 86 19" xfId="19985" xr:uid="{00000000-0005-0000-0000-0000164E0000}"/>
    <cellStyle name="Normal 86 2" xfId="19986" xr:uid="{00000000-0005-0000-0000-0000174E0000}"/>
    <cellStyle name="Normal 86 2 10" xfId="19987" xr:uid="{00000000-0005-0000-0000-0000184E0000}"/>
    <cellStyle name="Normal 86 2 11" xfId="19988" xr:uid="{00000000-0005-0000-0000-0000194E0000}"/>
    <cellStyle name="Normal 86 2 12" xfId="19989" xr:uid="{00000000-0005-0000-0000-00001A4E0000}"/>
    <cellStyle name="Normal 86 2 13" xfId="19990" xr:uid="{00000000-0005-0000-0000-00001B4E0000}"/>
    <cellStyle name="Normal 86 2 2" xfId="19991" xr:uid="{00000000-0005-0000-0000-00001C4E0000}"/>
    <cellStyle name="Normal 86 2 2 10" xfId="19992" xr:uid="{00000000-0005-0000-0000-00001D4E0000}"/>
    <cellStyle name="Normal 86 2 2 11" xfId="19993" xr:uid="{00000000-0005-0000-0000-00001E4E0000}"/>
    <cellStyle name="Normal 86 2 2 2" xfId="19994" xr:uid="{00000000-0005-0000-0000-00001F4E0000}"/>
    <cellStyle name="Normal 86 2 2 3" xfId="19995" xr:uid="{00000000-0005-0000-0000-0000204E0000}"/>
    <cellStyle name="Normal 86 2 2 4" xfId="19996" xr:uid="{00000000-0005-0000-0000-0000214E0000}"/>
    <cellStyle name="Normal 86 2 2 5" xfId="19997" xr:uid="{00000000-0005-0000-0000-0000224E0000}"/>
    <cellStyle name="Normal 86 2 2 6" xfId="19998" xr:uid="{00000000-0005-0000-0000-0000234E0000}"/>
    <cellStyle name="Normal 86 2 2 7" xfId="19999" xr:uid="{00000000-0005-0000-0000-0000244E0000}"/>
    <cellStyle name="Normal 86 2 2 8" xfId="20000" xr:uid="{00000000-0005-0000-0000-0000254E0000}"/>
    <cellStyle name="Normal 86 2 2 9" xfId="20001" xr:uid="{00000000-0005-0000-0000-0000264E0000}"/>
    <cellStyle name="Normal 86 2 3" xfId="20002" xr:uid="{00000000-0005-0000-0000-0000274E0000}"/>
    <cellStyle name="Normal 86 2 4" xfId="20003" xr:uid="{00000000-0005-0000-0000-0000284E0000}"/>
    <cellStyle name="Normal 86 2 5" xfId="20004" xr:uid="{00000000-0005-0000-0000-0000294E0000}"/>
    <cellStyle name="Normal 86 2 6" xfId="20005" xr:uid="{00000000-0005-0000-0000-00002A4E0000}"/>
    <cellStyle name="Normal 86 2 7" xfId="20006" xr:uid="{00000000-0005-0000-0000-00002B4E0000}"/>
    <cellStyle name="Normal 86 2 8" xfId="20007" xr:uid="{00000000-0005-0000-0000-00002C4E0000}"/>
    <cellStyle name="Normal 86 2 9" xfId="20008" xr:uid="{00000000-0005-0000-0000-00002D4E0000}"/>
    <cellStyle name="Normal 86 20" xfId="20009" xr:uid="{00000000-0005-0000-0000-00002E4E0000}"/>
    <cellStyle name="Normal 86 21" xfId="20010" xr:uid="{00000000-0005-0000-0000-00002F4E0000}"/>
    <cellStyle name="Normal 86 22" xfId="20011" xr:uid="{00000000-0005-0000-0000-0000304E0000}"/>
    <cellStyle name="Normal 86 23" xfId="20012" xr:uid="{00000000-0005-0000-0000-0000314E0000}"/>
    <cellStyle name="Normal 86 24" xfId="20013" xr:uid="{00000000-0005-0000-0000-0000324E0000}"/>
    <cellStyle name="Normal 86 25" xfId="20014" xr:uid="{00000000-0005-0000-0000-0000334E0000}"/>
    <cellStyle name="Normal 86 3" xfId="20015" xr:uid="{00000000-0005-0000-0000-0000344E0000}"/>
    <cellStyle name="Normal 86 3 10" xfId="20016" xr:uid="{00000000-0005-0000-0000-0000354E0000}"/>
    <cellStyle name="Normal 86 3 11" xfId="20017" xr:uid="{00000000-0005-0000-0000-0000364E0000}"/>
    <cellStyle name="Normal 86 3 12" xfId="20018" xr:uid="{00000000-0005-0000-0000-0000374E0000}"/>
    <cellStyle name="Normal 86 3 13" xfId="20019" xr:uid="{00000000-0005-0000-0000-0000384E0000}"/>
    <cellStyle name="Normal 86 3 2" xfId="20020" xr:uid="{00000000-0005-0000-0000-0000394E0000}"/>
    <cellStyle name="Normal 86 3 2 10" xfId="20021" xr:uid="{00000000-0005-0000-0000-00003A4E0000}"/>
    <cellStyle name="Normal 86 3 2 11" xfId="20022" xr:uid="{00000000-0005-0000-0000-00003B4E0000}"/>
    <cellStyle name="Normal 86 3 2 2" xfId="20023" xr:uid="{00000000-0005-0000-0000-00003C4E0000}"/>
    <cellStyle name="Normal 86 3 2 3" xfId="20024" xr:uid="{00000000-0005-0000-0000-00003D4E0000}"/>
    <cellStyle name="Normal 86 3 2 4" xfId="20025" xr:uid="{00000000-0005-0000-0000-00003E4E0000}"/>
    <cellStyle name="Normal 86 3 2 5" xfId="20026" xr:uid="{00000000-0005-0000-0000-00003F4E0000}"/>
    <cellStyle name="Normal 86 3 2 6" xfId="20027" xr:uid="{00000000-0005-0000-0000-0000404E0000}"/>
    <cellStyle name="Normal 86 3 2 7" xfId="20028" xr:uid="{00000000-0005-0000-0000-0000414E0000}"/>
    <cellStyle name="Normal 86 3 2 8" xfId="20029" xr:uid="{00000000-0005-0000-0000-0000424E0000}"/>
    <cellStyle name="Normal 86 3 2 9" xfId="20030" xr:uid="{00000000-0005-0000-0000-0000434E0000}"/>
    <cellStyle name="Normal 86 3 3" xfId="20031" xr:uid="{00000000-0005-0000-0000-0000444E0000}"/>
    <cellStyle name="Normal 86 3 4" xfId="20032" xr:uid="{00000000-0005-0000-0000-0000454E0000}"/>
    <cellStyle name="Normal 86 3 5" xfId="20033" xr:uid="{00000000-0005-0000-0000-0000464E0000}"/>
    <cellStyle name="Normal 86 3 6" xfId="20034" xr:uid="{00000000-0005-0000-0000-0000474E0000}"/>
    <cellStyle name="Normal 86 3 7" xfId="20035" xr:uid="{00000000-0005-0000-0000-0000484E0000}"/>
    <cellStyle name="Normal 86 3 8" xfId="20036" xr:uid="{00000000-0005-0000-0000-0000494E0000}"/>
    <cellStyle name="Normal 86 3 9" xfId="20037" xr:uid="{00000000-0005-0000-0000-00004A4E0000}"/>
    <cellStyle name="Normal 86 4" xfId="20038" xr:uid="{00000000-0005-0000-0000-00004B4E0000}"/>
    <cellStyle name="Normal 86 4 10" xfId="20039" xr:uid="{00000000-0005-0000-0000-00004C4E0000}"/>
    <cellStyle name="Normal 86 4 11" xfId="20040" xr:uid="{00000000-0005-0000-0000-00004D4E0000}"/>
    <cellStyle name="Normal 86 4 12" xfId="20041" xr:uid="{00000000-0005-0000-0000-00004E4E0000}"/>
    <cellStyle name="Normal 86 4 13" xfId="20042" xr:uid="{00000000-0005-0000-0000-00004F4E0000}"/>
    <cellStyle name="Normal 86 4 2" xfId="20043" xr:uid="{00000000-0005-0000-0000-0000504E0000}"/>
    <cellStyle name="Normal 86 4 2 10" xfId="20044" xr:uid="{00000000-0005-0000-0000-0000514E0000}"/>
    <cellStyle name="Normal 86 4 2 11" xfId="20045" xr:uid="{00000000-0005-0000-0000-0000524E0000}"/>
    <cellStyle name="Normal 86 4 2 2" xfId="20046" xr:uid="{00000000-0005-0000-0000-0000534E0000}"/>
    <cellStyle name="Normal 86 4 2 3" xfId="20047" xr:uid="{00000000-0005-0000-0000-0000544E0000}"/>
    <cellStyle name="Normal 86 4 2 4" xfId="20048" xr:uid="{00000000-0005-0000-0000-0000554E0000}"/>
    <cellStyle name="Normal 86 4 2 5" xfId="20049" xr:uid="{00000000-0005-0000-0000-0000564E0000}"/>
    <cellStyle name="Normal 86 4 2 6" xfId="20050" xr:uid="{00000000-0005-0000-0000-0000574E0000}"/>
    <cellStyle name="Normal 86 4 2 7" xfId="20051" xr:uid="{00000000-0005-0000-0000-0000584E0000}"/>
    <cellStyle name="Normal 86 4 2 8" xfId="20052" xr:uid="{00000000-0005-0000-0000-0000594E0000}"/>
    <cellStyle name="Normal 86 4 2 9" xfId="20053" xr:uid="{00000000-0005-0000-0000-00005A4E0000}"/>
    <cellStyle name="Normal 86 4 3" xfId="20054" xr:uid="{00000000-0005-0000-0000-00005B4E0000}"/>
    <cellStyle name="Normal 86 4 4" xfId="20055" xr:uid="{00000000-0005-0000-0000-00005C4E0000}"/>
    <cellStyle name="Normal 86 4 5" xfId="20056" xr:uid="{00000000-0005-0000-0000-00005D4E0000}"/>
    <cellStyle name="Normal 86 4 6" xfId="20057" xr:uid="{00000000-0005-0000-0000-00005E4E0000}"/>
    <cellStyle name="Normal 86 4 7" xfId="20058" xr:uid="{00000000-0005-0000-0000-00005F4E0000}"/>
    <cellStyle name="Normal 86 4 8" xfId="20059" xr:uid="{00000000-0005-0000-0000-0000604E0000}"/>
    <cellStyle name="Normal 86 4 9" xfId="20060" xr:uid="{00000000-0005-0000-0000-0000614E0000}"/>
    <cellStyle name="Normal 86 5" xfId="20061" xr:uid="{00000000-0005-0000-0000-0000624E0000}"/>
    <cellStyle name="Normal 86 5 10" xfId="20062" xr:uid="{00000000-0005-0000-0000-0000634E0000}"/>
    <cellStyle name="Normal 86 5 11" xfId="20063" xr:uid="{00000000-0005-0000-0000-0000644E0000}"/>
    <cellStyle name="Normal 86 5 12" xfId="20064" xr:uid="{00000000-0005-0000-0000-0000654E0000}"/>
    <cellStyle name="Normal 86 5 13" xfId="20065" xr:uid="{00000000-0005-0000-0000-0000664E0000}"/>
    <cellStyle name="Normal 86 5 2" xfId="20066" xr:uid="{00000000-0005-0000-0000-0000674E0000}"/>
    <cellStyle name="Normal 86 5 2 10" xfId="20067" xr:uid="{00000000-0005-0000-0000-0000684E0000}"/>
    <cellStyle name="Normal 86 5 2 11" xfId="20068" xr:uid="{00000000-0005-0000-0000-0000694E0000}"/>
    <cellStyle name="Normal 86 5 2 2" xfId="20069" xr:uid="{00000000-0005-0000-0000-00006A4E0000}"/>
    <cellStyle name="Normal 86 5 2 3" xfId="20070" xr:uid="{00000000-0005-0000-0000-00006B4E0000}"/>
    <cellStyle name="Normal 86 5 2 4" xfId="20071" xr:uid="{00000000-0005-0000-0000-00006C4E0000}"/>
    <cellStyle name="Normal 86 5 2 5" xfId="20072" xr:uid="{00000000-0005-0000-0000-00006D4E0000}"/>
    <cellStyle name="Normal 86 5 2 6" xfId="20073" xr:uid="{00000000-0005-0000-0000-00006E4E0000}"/>
    <cellStyle name="Normal 86 5 2 7" xfId="20074" xr:uid="{00000000-0005-0000-0000-00006F4E0000}"/>
    <cellStyle name="Normal 86 5 2 8" xfId="20075" xr:uid="{00000000-0005-0000-0000-0000704E0000}"/>
    <cellStyle name="Normal 86 5 2 9" xfId="20076" xr:uid="{00000000-0005-0000-0000-0000714E0000}"/>
    <cellStyle name="Normal 86 5 3" xfId="20077" xr:uid="{00000000-0005-0000-0000-0000724E0000}"/>
    <cellStyle name="Normal 86 5 4" xfId="20078" xr:uid="{00000000-0005-0000-0000-0000734E0000}"/>
    <cellStyle name="Normal 86 5 5" xfId="20079" xr:uid="{00000000-0005-0000-0000-0000744E0000}"/>
    <cellStyle name="Normal 86 5 6" xfId="20080" xr:uid="{00000000-0005-0000-0000-0000754E0000}"/>
    <cellStyle name="Normal 86 5 7" xfId="20081" xr:uid="{00000000-0005-0000-0000-0000764E0000}"/>
    <cellStyle name="Normal 86 5 8" xfId="20082" xr:uid="{00000000-0005-0000-0000-0000774E0000}"/>
    <cellStyle name="Normal 86 5 9" xfId="20083" xr:uid="{00000000-0005-0000-0000-0000784E0000}"/>
    <cellStyle name="Normal 86 6" xfId="20084" xr:uid="{00000000-0005-0000-0000-0000794E0000}"/>
    <cellStyle name="Normal 86 6 10" xfId="20085" xr:uid="{00000000-0005-0000-0000-00007A4E0000}"/>
    <cellStyle name="Normal 86 6 11" xfId="20086" xr:uid="{00000000-0005-0000-0000-00007B4E0000}"/>
    <cellStyle name="Normal 86 6 12" xfId="20087" xr:uid="{00000000-0005-0000-0000-00007C4E0000}"/>
    <cellStyle name="Normal 86 6 13" xfId="20088" xr:uid="{00000000-0005-0000-0000-00007D4E0000}"/>
    <cellStyle name="Normal 86 6 2" xfId="20089" xr:uid="{00000000-0005-0000-0000-00007E4E0000}"/>
    <cellStyle name="Normal 86 6 2 10" xfId="20090" xr:uid="{00000000-0005-0000-0000-00007F4E0000}"/>
    <cellStyle name="Normal 86 6 2 11" xfId="20091" xr:uid="{00000000-0005-0000-0000-0000804E0000}"/>
    <cellStyle name="Normal 86 6 2 2" xfId="20092" xr:uid="{00000000-0005-0000-0000-0000814E0000}"/>
    <cellStyle name="Normal 86 6 2 3" xfId="20093" xr:uid="{00000000-0005-0000-0000-0000824E0000}"/>
    <cellStyle name="Normal 86 6 2 4" xfId="20094" xr:uid="{00000000-0005-0000-0000-0000834E0000}"/>
    <cellStyle name="Normal 86 6 2 5" xfId="20095" xr:uid="{00000000-0005-0000-0000-0000844E0000}"/>
    <cellStyle name="Normal 86 6 2 6" xfId="20096" xr:uid="{00000000-0005-0000-0000-0000854E0000}"/>
    <cellStyle name="Normal 86 6 2 7" xfId="20097" xr:uid="{00000000-0005-0000-0000-0000864E0000}"/>
    <cellStyle name="Normal 86 6 2 8" xfId="20098" xr:uid="{00000000-0005-0000-0000-0000874E0000}"/>
    <cellStyle name="Normal 86 6 2 9" xfId="20099" xr:uid="{00000000-0005-0000-0000-0000884E0000}"/>
    <cellStyle name="Normal 86 6 3" xfId="20100" xr:uid="{00000000-0005-0000-0000-0000894E0000}"/>
    <cellStyle name="Normal 86 6 4" xfId="20101" xr:uid="{00000000-0005-0000-0000-00008A4E0000}"/>
    <cellStyle name="Normal 86 6 5" xfId="20102" xr:uid="{00000000-0005-0000-0000-00008B4E0000}"/>
    <cellStyle name="Normal 86 6 6" xfId="20103" xr:uid="{00000000-0005-0000-0000-00008C4E0000}"/>
    <cellStyle name="Normal 86 6 7" xfId="20104" xr:uid="{00000000-0005-0000-0000-00008D4E0000}"/>
    <cellStyle name="Normal 86 6 8" xfId="20105" xr:uid="{00000000-0005-0000-0000-00008E4E0000}"/>
    <cellStyle name="Normal 86 6 9" xfId="20106" xr:uid="{00000000-0005-0000-0000-00008F4E0000}"/>
    <cellStyle name="Normal 86 7" xfId="20107" xr:uid="{00000000-0005-0000-0000-0000904E0000}"/>
    <cellStyle name="Normal 86 7 10" xfId="20108" xr:uid="{00000000-0005-0000-0000-0000914E0000}"/>
    <cellStyle name="Normal 86 7 11" xfId="20109" xr:uid="{00000000-0005-0000-0000-0000924E0000}"/>
    <cellStyle name="Normal 86 7 12" xfId="20110" xr:uid="{00000000-0005-0000-0000-0000934E0000}"/>
    <cellStyle name="Normal 86 7 13" xfId="20111" xr:uid="{00000000-0005-0000-0000-0000944E0000}"/>
    <cellStyle name="Normal 86 7 2" xfId="20112" xr:uid="{00000000-0005-0000-0000-0000954E0000}"/>
    <cellStyle name="Normal 86 7 2 10" xfId="20113" xr:uid="{00000000-0005-0000-0000-0000964E0000}"/>
    <cellStyle name="Normal 86 7 2 11" xfId="20114" xr:uid="{00000000-0005-0000-0000-0000974E0000}"/>
    <cellStyle name="Normal 86 7 2 2" xfId="20115" xr:uid="{00000000-0005-0000-0000-0000984E0000}"/>
    <cellStyle name="Normal 86 7 2 3" xfId="20116" xr:uid="{00000000-0005-0000-0000-0000994E0000}"/>
    <cellStyle name="Normal 86 7 2 4" xfId="20117" xr:uid="{00000000-0005-0000-0000-00009A4E0000}"/>
    <cellStyle name="Normal 86 7 2 5" xfId="20118" xr:uid="{00000000-0005-0000-0000-00009B4E0000}"/>
    <cellStyle name="Normal 86 7 2 6" xfId="20119" xr:uid="{00000000-0005-0000-0000-00009C4E0000}"/>
    <cellStyle name="Normal 86 7 2 7" xfId="20120" xr:uid="{00000000-0005-0000-0000-00009D4E0000}"/>
    <cellStyle name="Normal 86 7 2 8" xfId="20121" xr:uid="{00000000-0005-0000-0000-00009E4E0000}"/>
    <cellStyle name="Normal 86 7 2 9" xfId="20122" xr:uid="{00000000-0005-0000-0000-00009F4E0000}"/>
    <cellStyle name="Normal 86 7 3" xfId="20123" xr:uid="{00000000-0005-0000-0000-0000A04E0000}"/>
    <cellStyle name="Normal 86 7 4" xfId="20124" xr:uid="{00000000-0005-0000-0000-0000A14E0000}"/>
    <cellStyle name="Normal 86 7 5" xfId="20125" xr:uid="{00000000-0005-0000-0000-0000A24E0000}"/>
    <cellStyle name="Normal 86 7 6" xfId="20126" xr:uid="{00000000-0005-0000-0000-0000A34E0000}"/>
    <cellStyle name="Normal 86 7 7" xfId="20127" xr:uid="{00000000-0005-0000-0000-0000A44E0000}"/>
    <cellStyle name="Normal 86 7 8" xfId="20128" xr:uid="{00000000-0005-0000-0000-0000A54E0000}"/>
    <cellStyle name="Normal 86 7 9" xfId="20129" xr:uid="{00000000-0005-0000-0000-0000A64E0000}"/>
    <cellStyle name="Normal 86 8" xfId="20130" xr:uid="{00000000-0005-0000-0000-0000A74E0000}"/>
    <cellStyle name="Normal 86 8 10" xfId="20131" xr:uid="{00000000-0005-0000-0000-0000A84E0000}"/>
    <cellStyle name="Normal 86 8 11" xfId="20132" xr:uid="{00000000-0005-0000-0000-0000A94E0000}"/>
    <cellStyle name="Normal 86 8 12" xfId="20133" xr:uid="{00000000-0005-0000-0000-0000AA4E0000}"/>
    <cellStyle name="Normal 86 8 13" xfId="20134" xr:uid="{00000000-0005-0000-0000-0000AB4E0000}"/>
    <cellStyle name="Normal 86 8 2" xfId="20135" xr:uid="{00000000-0005-0000-0000-0000AC4E0000}"/>
    <cellStyle name="Normal 86 8 2 10" xfId="20136" xr:uid="{00000000-0005-0000-0000-0000AD4E0000}"/>
    <cellStyle name="Normal 86 8 2 11" xfId="20137" xr:uid="{00000000-0005-0000-0000-0000AE4E0000}"/>
    <cellStyle name="Normal 86 8 2 2" xfId="20138" xr:uid="{00000000-0005-0000-0000-0000AF4E0000}"/>
    <cellStyle name="Normal 86 8 2 3" xfId="20139" xr:uid="{00000000-0005-0000-0000-0000B04E0000}"/>
    <cellStyle name="Normal 86 8 2 4" xfId="20140" xr:uid="{00000000-0005-0000-0000-0000B14E0000}"/>
    <cellStyle name="Normal 86 8 2 5" xfId="20141" xr:uid="{00000000-0005-0000-0000-0000B24E0000}"/>
    <cellStyle name="Normal 86 8 2 6" xfId="20142" xr:uid="{00000000-0005-0000-0000-0000B34E0000}"/>
    <cellStyle name="Normal 86 8 2 7" xfId="20143" xr:uid="{00000000-0005-0000-0000-0000B44E0000}"/>
    <cellStyle name="Normal 86 8 2 8" xfId="20144" xr:uid="{00000000-0005-0000-0000-0000B54E0000}"/>
    <cellStyle name="Normal 86 8 2 9" xfId="20145" xr:uid="{00000000-0005-0000-0000-0000B64E0000}"/>
    <cellStyle name="Normal 86 8 3" xfId="20146" xr:uid="{00000000-0005-0000-0000-0000B74E0000}"/>
    <cellStyle name="Normal 86 8 4" xfId="20147" xr:uid="{00000000-0005-0000-0000-0000B84E0000}"/>
    <cellStyle name="Normal 86 8 5" xfId="20148" xr:uid="{00000000-0005-0000-0000-0000B94E0000}"/>
    <cellStyle name="Normal 86 8 6" xfId="20149" xr:uid="{00000000-0005-0000-0000-0000BA4E0000}"/>
    <cellStyle name="Normal 86 8 7" xfId="20150" xr:uid="{00000000-0005-0000-0000-0000BB4E0000}"/>
    <cellStyle name="Normal 86 8 8" xfId="20151" xr:uid="{00000000-0005-0000-0000-0000BC4E0000}"/>
    <cellStyle name="Normal 86 8 9" xfId="20152" xr:uid="{00000000-0005-0000-0000-0000BD4E0000}"/>
    <cellStyle name="Normal 86 9" xfId="20153" xr:uid="{00000000-0005-0000-0000-0000BE4E0000}"/>
    <cellStyle name="Normal 86 9 10" xfId="20154" xr:uid="{00000000-0005-0000-0000-0000BF4E0000}"/>
    <cellStyle name="Normal 86 9 11" xfId="20155" xr:uid="{00000000-0005-0000-0000-0000C04E0000}"/>
    <cellStyle name="Normal 86 9 12" xfId="20156" xr:uid="{00000000-0005-0000-0000-0000C14E0000}"/>
    <cellStyle name="Normal 86 9 13" xfId="20157" xr:uid="{00000000-0005-0000-0000-0000C24E0000}"/>
    <cellStyle name="Normal 86 9 2" xfId="20158" xr:uid="{00000000-0005-0000-0000-0000C34E0000}"/>
    <cellStyle name="Normal 86 9 2 10" xfId="20159" xr:uid="{00000000-0005-0000-0000-0000C44E0000}"/>
    <cellStyle name="Normal 86 9 2 11" xfId="20160" xr:uid="{00000000-0005-0000-0000-0000C54E0000}"/>
    <cellStyle name="Normal 86 9 2 2" xfId="20161" xr:uid="{00000000-0005-0000-0000-0000C64E0000}"/>
    <cellStyle name="Normal 86 9 2 3" xfId="20162" xr:uid="{00000000-0005-0000-0000-0000C74E0000}"/>
    <cellStyle name="Normal 86 9 2 4" xfId="20163" xr:uid="{00000000-0005-0000-0000-0000C84E0000}"/>
    <cellStyle name="Normal 86 9 2 5" xfId="20164" xr:uid="{00000000-0005-0000-0000-0000C94E0000}"/>
    <cellStyle name="Normal 86 9 2 6" xfId="20165" xr:uid="{00000000-0005-0000-0000-0000CA4E0000}"/>
    <cellStyle name="Normal 86 9 2 7" xfId="20166" xr:uid="{00000000-0005-0000-0000-0000CB4E0000}"/>
    <cellStyle name="Normal 86 9 2 8" xfId="20167" xr:uid="{00000000-0005-0000-0000-0000CC4E0000}"/>
    <cellStyle name="Normal 86 9 2 9" xfId="20168" xr:uid="{00000000-0005-0000-0000-0000CD4E0000}"/>
    <cellStyle name="Normal 86 9 3" xfId="20169" xr:uid="{00000000-0005-0000-0000-0000CE4E0000}"/>
    <cellStyle name="Normal 86 9 4" xfId="20170" xr:uid="{00000000-0005-0000-0000-0000CF4E0000}"/>
    <cellStyle name="Normal 86 9 5" xfId="20171" xr:uid="{00000000-0005-0000-0000-0000D04E0000}"/>
    <cellStyle name="Normal 86 9 6" xfId="20172" xr:uid="{00000000-0005-0000-0000-0000D14E0000}"/>
    <cellStyle name="Normal 86 9 7" xfId="20173" xr:uid="{00000000-0005-0000-0000-0000D24E0000}"/>
    <cellStyle name="Normal 86 9 8" xfId="20174" xr:uid="{00000000-0005-0000-0000-0000D34E0000}"/>
    <cellStyle name="Normal 86 9 9" xfId="20175" xr:uid="{00000000-0005-0000-0000-0000D44E0000}"/>
    <cellStyle name="Normal 87" xfId="20176" xr:uid="{00000000-0005-0000-0000-0000D54E0000}"/>
    <cellStyle name="Normal 87 10" xfId="20177" xr:uid="{00000000-0005-0000-0000-0000D64E0000}"/>
    <cellStyle name="Normal 87 11" xfId="20178" xr:uid="{00000000-0005-0000-0000-0000D74E0000}"/>
    <cellStyle name="Normal 87 12" xfId="20179" xr:uid="{00000000-0005-0000-0000-0000D84E0000}"/>
    <cellStyle name="Normal 87 13" xfId="20180" xr:uid="{00000000-0005-0000-0000-0000D94E0000}"/>
    <cellStyle name="Normal 87 2" xfId="20181" xr:uid="{00000000-0005-0000-0000-0000DA4E0000}"/>
    <cellStyle name="Normal 87 2 10" xfId="20182" xr:uid="{00000000-0005-0000-0000-0000DB4E0000}"/>
    <cellStyle name="Normal 87 2 11" xfId="20183" xr:uid="{00000000-0005-0000-0000-0000DC4E0000}"/>
    <cellStyle name="Normal 87 2 2" xfId="20184" xr:uid="{00000000-0005-0000-0000-0000DD4E0000}"/>
    <cellStyle name="Normal 87 2 3" xfId="20185" xr:uid="{00000000-0005-0000-0000-0000DE4E0000}"/>
    <cellStyle name="Normal 87 2 4" xfId="20186" xr:uid="{00000000-0005-0000-0000-0000DF4E0000}"/>
    <cellStyle name="Normal 87 2 5" xfId="20187" xr:uid="{00000000-0005-0000-0000-0000E04E0000}"/>
    <cellStyle name="Normal 87 2 6" xfId="20188" xr:uid="{00000000-0005-0000-0000-0000E14E0000}"/>
    <cellStyle name="Normal 87 2 7" xfId="20189" xr:uid="{00000000-0005-0000-0000-0000E24E0000}"/>
    <cellStyle name="Normal 87 2 8" xfId="20190" xr:uid="{00000000-0005-0000-0000-0000E34E0000}"/>
    <cellStyle name="Normal 87 2 9" xfId="20191" xr:uid="{00000000-0005-0000-0000-0000E44E0000}"/>
    <cellStyle name="Normal 87 3" xfId="20192" xr:uid="{00000000-0005-0000-0000-0000E54E0000}"/>
    <cellStyle name="Normal 87 4" xfId="20193" xr:uid="{00000000-0005-0000-0000-0000E64E0000}"/>
    <cellStyle name="Normal 87 5" xfId="20194" xr:uid="{00000000-0005-0000-0000-0000E74E0000}"/>
    <cellStyle name="Normal 87 6" xfId="20195" xr:uid="{00000000-0005-0000-0000-0000E84E0000}"/>
    <cellStyle name="Normal 87 7" xfId="20196" xr:uid="{00000000-0005-0000-0000-0000E94E0000}"/>
    <cellStyle name="Normal 87 8" xfId="20197" xr:uid="{00000000-0005-0000-0000-0000EA4E0000}"/>
    <cellStyle name="Normal 87 9" xfId="20198" xr:uid="{00000000-0005-0000-0000-0000EB4E0000}"/>
    <cellStyle name="Normal 88" xfId="20199" xr:uid="{00000000-0005-0000-0000-0000EC4E0000}"/>
    <cellStyle name="Normal 88 10" xfId="20200" xr:uid="{00000000-0005-0000-0000-0000ED4E0000}"/>
    <cellStyle name="Normal 88 11" xfId="20201" xr:uid="{00000000-0005-0000-0000-0000EE4E0000}"/>
    <cellStyle name="Normal 88 12" xfId="20202" xr:uid="{00000000-0005-0000-0000-0000EF4E0000}"/>
    <cellStyle name="Normal 88 13" xfId="20203" xr:uid="{00000000-0005-0000-0000-0000F04E0000}"/>
    <cellStyle name="Normal 88 2" xfId="20204" xr:uid="{00000000-0005-0000-0000-0000F14E0000}"/>
    <cellStyle name="Normal 88 2 10" xfId="20205" xr:uid="{00000000-0005-0000-0000-0000F24E0000}"/>
    <cellStyle name="Normal 88 2 11" xfId="20206" xr:uid="{00000000-0005-0000-0000-0000F34E0000}"/>
    <cellStyle name="Normal 88 2 2" xfId="20207" xr:uid="{00000000-0005-0000-0000-0000F44E0000}"/>
    <cellStyle name="Normal 88 2 3" xfId="20208" xr:uid="{00000000-0005-0000-0000-0000F54E0000}"/>
    <cellStyle name="Normal 88 2 4" xfId="20209" xr:uid="{00000000-0005-0000-0000-0000F64E0000}"/>
    <cellStyle name="Normal 88 2 5" xfId="20210" xr:uid="{00000000-0005-0000-0000-0000F74E0000}"/>
    <cellStyle name="Normal 88 2 6" xfId="20211" xr:uid="{00000000-0005-0000-0000-0000F84E0000}"/>
    <cellStyle name="Normal 88 2 7" xfId="20212" xr:uid="{00000000-0005-0000-0000-0000F94E0000}"/>
    <cellStyle name="Normal 88 2 8" xfId="20213" xr:uid="{00000000-0005-0000-0000-0000FA4E0000}"/>
    <cellStyle name="Normal 88 2 9" xfId="20214" xr:uid="{00000000-0005-0000-0000-0000FB4E0000}"/>
    <cellStyle name="Normal 88 3" xfId="20215" xr:uid="{00000000-0005-0000-0000-0000FC4E0000}"/>
    <cellStyle name="Normal 88 4" xfId="20216" xr:uid="{00000000-0005-0000-0000-0000FD4E0000}"/>
    <cellStyle name="Normal 88 5" xfId="20217" xr:uid="{00000000-0005-0000-0000-0000FE4E0000}"/>
    <cellStyle name="Normal 88 6" xfId="20218" xr:uid="{00000000-0005-0000-0000-0000FF4E0000}"/>
    <cellStyle name="Normal 88 7" xfId="20219" xr:uid="{00000000-0005-0000-0000-0000004F0000}"/>
    <cellStyle name="Normal 88 8" xfId="20220" xr:uid="{00000000-0005-0000-0000-0000014F0000}"/>
    <cellStyle name="Normal 88 9" xfId="20221" xr:uid="{00000000-0005-0000-0000-0000024F0000}"/>
    <cellStyle name="Normal 89" xfId="20222" xr:uid="{00000000-0005-0000-0000-0000034F0000}"/>
    <cellStyle name="Normal 89 10" xfId="20223" xr:uid="{00000000-0005-0000-0000-0000044F0000}"/>
    <cellStyle name="Normal 89 11" xfId="20224" xr:uid="{00000000-0005-0000-0000-0000054F0000}"/>
    <cellStyle name="Normal 89 12" xfId="20225" xr:uid="{00000000-0005-0000-0000-0000064F0000}"/>
    <cellStyle name="Normal 89 13" xfId="20226" xr:uid="{00000000-0005-0000-0000-0000074F0000}"/>
    <cellStyle name="Normal 89 2" xfId="20227" xr:uid="{00000000-0005-0000-0000-0000084F0000}"/>
    <cellStyle name="Normal 89 2 10" xfId="20228" xr:uid="{00000000-0005-0000-0000-0000094F0000}"/>
    <cellStyle name="Normal 89 2 11" xfId="20229" xr:uid="{00000000-0005-0000-0000-00000A4F0000}"/>
    <cellStyle name="Normal 89 2 2" xfId="20230" xr:uid="{00000000-0005-0000-0000-00000B4F0000}"/>
    <cellStyle name="Normal 89 2 3" xfId="20231" xr:uid="{00000000-0005-0000-0000-00000C4F0000}"/>
    <cellStyle name="Normal 89 2 4" xfId="20232" xr:uid="{00000000-0005-0000-0000-00000D4F0000}"/>
    <cellStyle name="Normal 89 2 5" xfId="20233" xr:uid="{00000000-0005-0000-0000-00000E4F0000}"/>
    <cellStyle name="Normal 89 2 6" xfId="20234" xr:uid="{00000000-0005-0000-0000-00000F4F0000}"/>
    <cellStyle name="Normal 89 2 7" xfId="20235" xr:uid="{00000000-0005-0000-0000-0000104F0000}"/>
    <cellStyle name="Normal 89 2 8" xfId="20236" xr:uid="{00000000-0005-0000-0000-0000114F0000}"/>
    <cellStyle name="Normal 89 2 9" xfId="20237" xr:uid="{00000000-0005-0000-0000-0000124F0000}"/>
    <cellStyle name="Normal 89 3" xfId="20238" xr:uid="{00000000-0005-0000-0000-0000134F0000}"/>
    <cellStyle name="Normal 89 4" xfId="20239" xr:uid="{00000000-0005-0000-0000-0000144F0000}"/>
    <cellStyle name="Normal 89 5" xfId="20240" xr:uid="{00000000-0005-0000-0000-0000154F0000}"/>
    <cellStyle name="Normal 89 6" xfId="20241" xr:uid="{00000000-0005-0000-0000-0000164F0000}"/>
    <cellStyle name="Normal 89 7" xfId="20242" xr:uid="{00000000-0005-0000-0000-0000174F0000}"/>
    <cellStyle name="Normal 89 8" xfId="20243" xr:uid="{00000000-0005-0000-0000-0000184F0000}"/>
    <cellStyle name="Normal 89 9" xfId="20244" xr:uid="{00000000-0005-0000-0000-0000194F0000}"/>
    <cellStyle name="Normal 9" xfId="20245" xr:uid="{00000000-0005-0000-0000-00001A4F0000}"/>
    <cellStyle name="Normal 9 10" xfId="20246" xr:uid="{00000000-0005-0000-0000-00001B4F0000}"/>
    <cellStyle name="Normal 9 10 10" xfId="20247" xr:uid="{00000000-0005-0000-0000-00001C4F0000}"/>
    <cellStyle name="Normal 9 10 11" xfId="20248" xr:uid="{00000000-0005-0000-0000-00001D4F0000}"/>
    <cellStyle name="Normal 9 10 12" xfId="20249" xr:uid="{00000000-0005-0000-0000-00001E4F0000}"/>
    <cellStyle name="Normal 9 10 13" xfId="20250" xr:uid="{00000000-0005-0000-0000-00001F4F0000}"/>
    <cellStyle name="Normal 9 10 2" xfId="20251" xr:uid="{00000000-0005-0000-0000-0000204F0000}"/>
    <cellStyle name="Normal 9 10 2 10" xfId="20252" xr:uid="{00000000-0005-0000-0000-0000214F0000}"/>
    <cellStyle name="Normal 9 10 2 11" xfId="20253" xr:uid="{00000000-0005-0000-0000-0000224F0000}"/>
    <cellStyle name="Normal 9 10 2 2" xfId="20254" xr:uid="{00000000-0005-0000-0000-0000234F0000}"/>
    <cellStyle name="Normal 9 10 2 3" xfId="20255" xr:uid="{00000000-0005-0000-0000-0000244F0000}"/>
    <cellStyle name="Normal 9 10 2 4" xfId="20256" xr:uid="{00000000-0005-0000-0000-0000254F0000}"/>
    <cellStyle name="Normal 9 10 2 5" xfId="20257" xr:uid="{00000000-0005-0000-0000-0000264F0000}"/>
    <cellStyle name="Normal 9 10 2 6" xfId="20258" xr:uid="{00000000-0005-0000-0000-0000274F0000}"/>
    <cellStyle name="Normal 9 10 2 7" xfId="20259" xr:uid="{00000000-0005-0000-0000-0000284F0000}"/>
    <cellStyle name="Normal 9 10 2 8" xfId="20260" xr:uid="{00000000-0005-0000-0000-0000294F0000}"/>
    <cellStyle name="Normal 9 10 2 9" xfId="20261" xr:uid="{00000000-0005-0000-0000-00002A4F0000}"/>
    <cellStyle name="Normal 9 10 3" xfId="20262" xr:uid="{00000000-0005-0000-0000-00002B4F0000}"/>
    <cellStyle name="Normal 9 10 4" xfId="20263" xr:uid="{00000000-0005-0000-0000-00002C4F0000}"/>
    <cellStyle name="Normal 9 10 5" xfId="20264" xr:uid="{00000000-0005-0000-0000-00002D4F0000}"/>
    <cellStyle name="Normal 9 10 6" xfId="20265" xr:uid="{00000000-0005-0000-0000-00002E4F0000}"/>
    <cellStyle name="Normal 9 10 7" xfId="20266" xr:uid="{00000000-0005-0000-0000-00002F4F0000}"/>
    <cellStyle name="Normal 9 10 8" xfId="20267" xr:uid="{00000000-0005-0000-0000-0000304F0000}"/>
    <cellStyle name="Normal 9 10 9" xfId="20268" xr:uid="{00000000-0005-0000-0000-0000314F0000}"/>
    <cellStyle name="Normal 9 11" xfId="20269" xr:uid="{00000000-0005-0000-0000-0000324F0000}"/>
    <cellStyle name="Normal 9 11 10" xfId="20270" xr:uid="{00000000-0005-0000-0000-0000334F0000}"/>
    <cellStyle name="Normal 9 11 11" xfId="20271" xr:uid="{00000000-0005-0000-0000-0000344F0000}"/>
    <cellStyle name="Normal 9 11 12" xfId="20272" xr:uid="{00000000-0005-0000-0000-0000354F0000}"/>
    <cellStyle name="Normal 9 11 13" xfId="20273" xr:uid="{00000000-0005-0000-0000-0000364F0000}"/>
    <cellStyle name="Normal 9 11 2" xfId="20274" xr:uid="{00000000-0005-0000-0000-0000374F0000}"/>
    <cellStyle name="Normal 9 11 2 10" xfId="20275" xr:uid="{00000000-0005-0000-0000-0000384F0000}"/>
    <cellStyle name="Normal 9 11 2 11" xfId="20276" xr:uid="{00000000-0005-0000-0000-0000394F0000}"/>
    <cellStyle name="Normal 9 11 2 2" xfId="20277" xr:uid="{00000000-0005-0000-0000-00003A4F0000}"/>
    <cellStyle name="Normal 9 11 2 3" xfId="20278" xr:uid="{00000000-0005-0000-0000-00003B4F0000}"/>
    <cellStyle name="Normal 9 11 2 4" xfId="20279" xr:uid="{00000000-0005-0000-0000-00003C4F0000}"/>
    <cellStyle name="Normal 9 11 2 5" xfId="20280" xr:uid="{00000000-0005-0000-0000-00003D4F0000}"/>
    <cellStyle name="Normal 9 11 2 6" xfId="20281" xr:uid="{00000000-0005-0000-0000-00003E4F0000}"/>
    <cellStyle name="Normal 9 11 2 7" xfId="20282" xr:uid="{00000000-0005-0000-0000-00003F4F0000}"/>
    <cellStyle name="Normal 9 11 2 8" xfId="20283" xr:uid="{00000000-0005-0000-0000-0000404F0000}"/>
    <cellStyle name="Normal 9 11 2 9" xfId="20284" xr:uid="{00000000-0005-0000-0000-0000414F0000}"/>
    <cellStyle name="Normal 9 11 3" xfId="20285" xr:uid="{00000000-0005-0000-0000-0000424F0000}"/>
    <cellStyle name="Normal 9 11 4" xfId="20286" xr:uid="{00000000-0005-0000-0000-0000434F0000}"/>
    <cellStyle name="Normal 9 11 5" xfId="20287" xr:uid="{00000000-0005-0000-0000-0000444F0000}"/>
    <cellStyle name="Normal 9 11 6" xfId="20288" xr:uid="{00000000-0005-0000-0000-0000454F0000}"/>
    <cellStyle name="Normal 9 11 7" xfId="20289" xr:uid="{00000000-0005-0000-0000-0000464F0000}"/>
    <cellStyle name="Normal 9 11 8" xfId="20290" xr:uid="{00000000-0005-0000-0000-0000474F0000}"/>
    <cellStyle name="Normal 9 11 9" xfId="20291" xr:uid="{00000000-0005-0000-0000-0000484F0000}"/>
    <cellStyle name="Normal 9 12" xfId="20292" xr:uid="{00000000-0005-0000-0000-0000494F0000}"/>
    <cellStyle name="Normal 9 12 10" xfId="20293" xr:uid="{00000000-0005-0000-0000-00004A4F0000}"/>
    <cellStyle name="Normal 9 12 11" xfId="20294" xr:uid="{00000000-0005-0000-0000-00004B4F0000}"/>
    <cellStyle name="Normal 9 12 12" xfId="20295" xr:uid="{00000000-0005-0000-0000-00004C4F0000}"/>
    <cellStyle name="Normal 9 12 13" xfId="20296" xr:uid="{00000000-0005-0000-0000-00004D4F0000}"/>
    <cellStyle name="Normal 9 12 2" xfId="20297" xr:uid="{00000000-0005-0000-0000-00004E4F0000}"/>
    <cellStyle name="Normal 9 12 2 10" xfId="20298" xr:uid="{00000000-0005-0000-0000-00004F4F0000}"/>
    <cellStyle name="Normal 9 12 2 11" xfId="20299" xr:uid="{00000000-0005-0000-0000-0000504F0000}"/>
    <cellStyle name="Normal 9 12 2 2" xfId="20300" xr:uid="{00000000-0005-0000-0000-0000514F0000}"/>
    <cellStyle name="Normal 9 12 2 3" xfId="20301" xr:uid="{00000000-0005-0000-0000-0000524F0000}"/>
    <cellStyle name="Normal 9 12 2 4" xfId="20302" xr:uid="{00000000-0005-0000-0000-0000534F0000}"/>
    <cellStyle name="Normal 9 12 2 5" xfId="20303" xr:uid="{00000000-0005-0000-0000-0000544F0000}"/>
    <cellStyle name="Normal 9 12 2 6" xfId="20304" xr:uid="{00000000-0005-0000-0000-0000554F0000}"/>
    <cellStyle name="Normal 9 12 2 7" xfId="20305" xr:uid="{00000000-0005-0000-0000-0000564F0000}"/>
    <cellStyle name="Normal 9 12 2 8" xfId="20306" xr:uid="{00000000-0005-0000-0000-0000574F0000}"/>
    <cellStyle name="Normal 9 12 2 9" xfId="20307" xr:uid="{00000000-0005-0000-0000-0000584F0000}"/>
    <cellStyle name="Normal 9 12 3" xfId="20308" xr:uid="{00000000-0005-0000-0000-0000594F0000}"/>
    <cellStyle name="Normal 9 12 4" xfId="20309" xr:uid="{00000000-0005-0000-0000-00005A4F0000}"/>
    <cellStyle name="Normal 9 12 5" xfId="20310" xr:uid="{00000000-0005-0000-0000-00005B4F0000}"/>
    <cellStyle name="Normal 9 12 6" xfId="20311" xr:uid="{00000000-0005-0000-0000-00005C4F0000}"/>
    <cellStyle name="Normal 9 12 7" xfId="20312" xr:uid="{00000000-0005-0000-0000-00005D4F0000}"/>
    <cellStyle name="Normal 9 12 8" xfId="20313" xr:uid="{00000000-0005-0000-0000-00005E4F0000}"/>
    <cellStyle name="Normal 9 12 9" xfId="20314" xr:uid="{00000000-0005-0000-0000-00005F4F0000}"/>
    <cellStyle name="Normal 9 13" xfId="20315" xr:uid="{00000000-0005-0000-0000-0000604F0000}"/>
    <cellStyle name="Normal 9 13 10" xfId="20316" xr:uid="{00000000-0005-0000-0000-0000614F0000}"/>
    <cellStyle name="Normal 9 13 11" xfId="20317" xr:uid="{00000000-0005-0000-0000-0000624F0000}"/>
    <cellStyle name="Normal 9 13 12" xfId="20318" xr:uid="{00000000-0005-0000-0000-0000634F0000}"/>
    <cellStyle name="Normal 9 13 13" xfId="20319" xr:uid="{00000000-0005-0000-0000-0000644F0000}"/>
    <cellStyle name="Normal 9 13 2" xfId="20320" xr:uid="{00000000-0005-0000-0000-0000654F0000}"/>
    <cellStyle name="Normal 9 13 2 10" xfId="20321" xr:uid="{00000000-0005-0000-0000-0000664F0000}"/>
    <cellStyle name="Normal 9 13 2 11" xfId="20322" xr:uid="{00000000-0005-0000-0000-0000674F0000}"/>
    <cellStyle name="Normal 9 13 2 2" xfId="20323" xr:uid="{00000000-0005-0000-0000-0000684F0000}"/>
    <cellStyle name="Normal 9 13 2 3" xfId="20324" xr:uid="{00000000-0005-0000-0000-0000694F0000}"/>
    <cellStyle name="Normal 9 13 2 4" xfId="20325" xr:uid="{00000000-0005-0000-0000-00006A4F0000}"/>
    <cellStyle name="Normal 9 13 2 5" xfId="20326" xr:uid="{00000000-0005-0000-0000-00006B4F0000}"/>
    <cellStyle name="Normal 9 13 2 6" xfId="20327" xr:uid="{00000000-0005-0000-0000-00006C4F0000}"/>
    <cellStyle name="Normal 9 13 2 7" xfId="20328" xr:uid="{00000000-0005-0000-0000-00006D4F0000}"/>
    <cellStyle name="Normal 9 13 2 8" xfId="20329" xr:uid="{00000000-0005-0000-0000-00006E4F0000}"/>
    <cellStyle name="Normal 9 13 2 9" xfId="20330" xr:uid="{00000000-0005-0000-0000-00006F4F0000}"/>
    <cellStyle name="Normal 9 13 3" xfId="20331" xr:uid="{00000000-0005-0000-0000-0000704F0000}"/>
    <cellStyle name="Normal 9 13 4" xfId="20332" xr:uid="{00000000-0005-0000-0000-0000714F0000}"/>
    <cellStyle name="Normal 9 13 5" xfId="20333" xr:uid="{00000000-0005-0000-0000-0000724F0000}"/>
    <cellStyle name="Normal 9 13 6" xfId="20334" xr:uid="{00000000-0005-0000-0000-0000734F0000}"/>
    <cellStyle name="Normal 9 13 7" xfId="20335" xr:uid="{00000000-0005-0000-0000-0000744F0000}"/>
    <cellStyle name="Normal 9 13 8" xfId="20336" xr:uid="{00000000-0005-0000-0000-0000754F0000}"/>
    <cellStyle name="Normal 9 13 9" xfId="20337" xr:uid="{00000000-0005-0000-0000-0000764F0000}"/>
    <cellStyle name="Normal 9 14" xfId="20338" xr:uid="{00000000-0005-0000-0000-0000774F0000}"/>
    <cellStyle name="Normal 9 14 10" xfId="20339" xr:uid="{00000000-0005-0000-0000-0000784F0000}"/>
    <cellStyle name="Normal 9 14 11" xfId="20340" xr:uid="{00000000-0005-0000-0000-0000794F0000}"/>
    <cellStyle name="Normal 9 14 2" xfId="20341" xr:uid="{00000000-0005-0000-0000-00007A4F0000}"/>
    <cellStyle name="Normal 9 14 3" xfId="20342" xr:uid="{00000000-0005-0000-0000-00007B4F0000}"/>
    <cellStyle name="Normal 9 14 4" xfId="20343" xr:uid="{00000000-0005-0000-0000-00007C4F0000}"/>
    <cellStyle name="Normal 9 14 5" xfId="20344" xr:uid="{00000000-0005-0000-0000-00007D4F0000}"/>
    <cellStyle name="Normal 9 14 6" xfId="20345" xr:uid="{00000000-0005-0000-0000-00007E4F0000}"/>
    <cellStyle name="Normal 9 14 7" xfId="20346" xr:uid="{00000000-0005-0000-0000-00007F4F0000}"/>
    <cellStyle name="Normal 9 14 8" xfId="20347" xr:uid="{00000000-0005-0000-0000-0000804F0000}"/>
    <cellStyle name="Normal 9 14 9" xfId="20348" xr:uid="{00000000-0005-0000-0000-0000814F0000}"/>
    <cellStyle name="Normal 9 15" xfId="20349" xr:uid="{00000000-0005-0000-0000-0000824F0000}"/>
    <cellStyle name="Normal 9 16" xfId="20350" xr:uid="{00000000-0005-0000-0000-0000834F0000}"/>
    <cellStyle name="Normal 9 17" xfId="20351" xr:uid="{00000000-0005-0000-0000-0000844F0000}"/>
    <cellStyle name="Normal 9 18" xfId="20352" xr:uid="{00000000-0005-0000-0000-0000854F0000}"/>
    <cellStyle name="Normal 9 19" xfId="20353" xr:uid="{00000000-0005-0000-0000-0000864F0000}"/>
    <cellStyle name="Normal 9 2" xfId="20354" xr:uid="{00000000-0005-0000-0000-0000874F0000}"/>
    <cellStyle name="Normal 9 2 10" xfId="20355" xr:uid="{00000000-0005-0000-0000-0000884F0000}"/>
    <cellStyle name="Normal 9 2 11" xfId="20356" xr:uid="{00000000-0005-0000-0000-0000894F0000}"/>
    <cellStyle name="Normal 9 2 12" xfId="20357" xr:uid="{00000000-0005-0000-0000-00008A4F0000}"/>
    <cellStyle name="Normal 9 2 13" xfId="20358" xr:uid="{00000000-0005-0000-0000-00008B4F0000}"/>
    <cellStyle name="Normal 9 2 2" xfId="20359" xr:uid="{00000000-0005-0000-0000-00008C4F0000}"/>
    <cellStyle name="Normal 9 2 2 10" xfId="20360" xr:uid="{00000000-0005-0000-0000-00008D4F0000}"/>
    <cellStyle name="Normal 9 2 2 11" xfId="20361" xr:uid="{00000000-0005-0000-0000-00008E4F0000}"/>
    <cellStyle name="Normal 9 2 2 2" xfId="20362" xr:uid="{00000000-0005-0000-0000-00008F4F0000}"/>
    <cellStyle name="Normal 9 2 2 3" xfId="20363" xr:uid="{00000000-0005-0000-0000-0000904F0000}"/>
    <cellStyle name="Normal 9 2 2 4" xfId="20364" xr:uid="{00000000-0005-0000-0000-0000914F0000}"/>
    <cellStyle name="Normal 9 2 2 5" xfId="20365" xr:uid="{00000000-0005-0000-0000-0000924F0000}"/>
    <cellStyle name="Normal 9 2 2 6" xfId="20366" xr:uid="{00000000-0005-0000-0000-0000934F0000}"/>
    <cellStyle name="Normal 9 2 2 7" xfId="20367" xr:uid="{00000000-0005-0000-0000-0000944F0000}"/>
    <cellStyle name="Normal 9 2 2 8" xfId="20368" xr:uid="{00000000-0005-0000-0000-0000954F0000}"/>
    <cellStyle name="Normal 9 2 2 9" xfId="20369" xr:uid="{00000000-0005-0000-0000-0000964F0000}"/>
    <cellStyle name="Normal 9 2 3" xfId="20370" xr:uid="{00000000-0005-0000-0000-0000974F0000}"/>
    <cellStyle name="Normal 9 2 4" xfId="20371" xr:uid="{00000000-0005-0000-0000-0000984F0000}"/>
    <cellStyle name="Normal 9 2 5" xfId="20372" xr:uid="{00000000-0005-0000-0000-0000994F0000}"/>
    <cellStyle name="Normal 9 2 6" xfId="20373" xr:uid="{00000000-0005-0000-0000-00009A4F0000}"/>
    <cellStyle name="Normal 9 2 7" xfId="20374" xr:uid="{00000000-0005-0000-0000-00009B4F0000}"/>
    <cellStyle name="Normal 9 2 8" xfId="20375" xr:uid="{00000000-0005-0000-0000-00009C4F0000}"/>
    <cellStyle name="Normal 9 2 9" xfId="20376" xr:uid="{00000000-0005-0000-0000-00009D4F0000}"/>
    <cellStyle name="Normal 9 20" xfId="20377" xr:uid="{00000000-0005-0000-0000-00009E4F0000}"/>
    <cellStyle name="Normal 9 21" xfId="20378" xr:uid="{00000000-0005-0000-0000-00009F4F0000}"/>
    <cellStyle name="Normal 9 22" xfId="20379" xr:uid="{00000000-0005-0000-0000-0000A04F0000}"/>
    <cellStyle name="Normal 9 23" xfId="20380" xr:uid="{00000000-0005-0000-0000-0000A14F0000}"/>
    <cellStyle name="Normal 9 24" xfId="20381" xr:uid="{00000000-0005-0000-0000-0000A24F0000}"/>
    <cellStyle name="Normal 9 25" xfId="20382" xr:uid="{00000000-0005-0000-0000-0000A34F0000}"/>
    <cellStyle name="Normal 9 3" xfId="20383" xr:uid="{00000000-0005-0000-0000-0000A44F0000}"/>
    <cellStyle name="Normal 9 3 10" xfId="20384" xr:uid="{00000000-0005-0000-0000-0000A54F0000}"/>
    <cellStyle name="Normal 9 3 11" xfId="20385" xr:uid="{00000000-0005-0000-0000-0000A64F0000}"/>
    <cellStyle name="Normal 9 3 12" xfId="20386" xr:uid="{00000000-0005-0000-0000-0000A74F0000}"/>
    <cellStyle name="Normal 9 3 13" xfId="20387" xr:uid="{00000000-0005-0000-0000-0000A84F0000}"/>
    <cellStyle name="Normal 9 3 2" xfId="20388" xr:uid="{00000000-0005-0000-0000-0000A94F0000}"/>
    <cellStyle name="Normal 9 3 2 10" xfId="20389" xr:uid="{00000000-0005-0000-0000-0000AA4F0000}"/>
    <cellStyle name="Normal 9 3 2 11" xfId="20390" xr:uid="{00000000-0005-0000-0000-0000AB4F0000}"/>
    <cellStyle name="Normal 9 3 2 2" xfId="20391" xr:uid="{00000000-0005-0000-0000-0000AC4F0000}"/>
    <cellStyle name="Normal 9 3 2 3" xfId="20392" xr:uid="{00000000-0005-0000-0000-0000AD4F0000}"/>
    <cellStyle name="Normal 9 3 2 4" xfId="20393" xr:uid="{00000000-0005-0000-0000-0000AE4F0000}"/>
    <cellStyle name="Normal 9 3 2 5" xfId="20394" xr:uid="{00000000-0005-0000-0000-0000AF4F0000}"/>
    <cellStyle name="Normal 9 3 2 6" xfId="20395" xr:uid="{00000000-0005-0000-0000-0000B04F0000}"/>
    <cellStyle name="Normal 9 3 2 7" xfId="20396" xr:uid="{00000000-0005-0000-0000-0000B14F0000}"/>
    <cellStyle name="Normal 9 3 2 8" xfId="20397" xr:uid="{00000000-0005-0000-0000-0000B24F0000}"/>
    <cellStyle name="Normal 9 3 2 9" xfId="20398" xr:uid="{00000000-0005-0000-0000-0000B34F0000}"/>
    <cellStyle name="Normal 9 3 3" xfId="20399" xr:uid="{00000000-0005-0000-0000-0000B44F0000}"/>
    <cellStyle name="Normal 9 3 4" xfId="20400" xr:uid="{00000000-0005-0000-0000-0000B54F0000}"/>
    <cellStyle name="Normal 9 3 5" xfId="20401" xr:uid="{00000000-0005-0000-0000-0000B64F0000}"/>
    <cellStyle name="Normal 9 3 6" xfId="20402" xr:uid="{00000000-0005-0000-0000-0000B74F0000}"/>
    <cellStyle name="Normal 9 3 7" xfId="20403" xr:uid="{00000000-0005-0000-0000-0000B84F0000}"/>
    <cellStyle name="Normal 9 3 8" xfId="20404" xr:uid="{00000000-0005-0000-0000-0000B94F0000}"/>
    <cellStyle name="Normal 9 3 9" xfId="20405" xr:uid="{00000000-0005-0000-0000-0000BA4F0000}"/>
    <cellStyle name="Normal 9 4" xfId="20406" xr:uid="{00000000-0005-0000-0000-0000BB4F0000}"/>
    <cellStyle name="Normal 9 4 10" xfId="20407" xr:uid="{00000000-0005-0000-0000-0000BC4F0000}"/>
    <cellStyle name="Normal 9 4 11" xfId="20408" xr:uid="{00000000-0005-0000-0000-0000BD4F0000}"/>
    <cellStyle name="Normal 9 4 12" xfId="20409" xr:uid="{00000000-0005-0000-0000-0000BE4F0000}"/>
    <cellStyle name="Normal 9 4 13" xfId="20410" xr:uid="{00000000-0005-0000-0000-0000BF4F0000}"/>
    <cellStyle name="Normal 9 4 2" xfId="20411" xr:uid="{00000000-0005-0000-0000-0000C04F0000}"/>
    <cellStyle name="Normal 9 4 2 10" xfId="20412" xr:uid="{00000000-0005-0000-0000-0000C14F0000}"/>
    <cellStyle name="Normal 9 4 2 11" xfId="20413" xr:uid="{00000000-0005-0000-0000-0000C24F0000}"/>
    <cellStyle name="Normal 9 4 2 2" xfId="20414" xr:uid="{00000000-0005-0000-0000-0000C34F0000}"/>
    <cellStyle name="Normal 9 4 2 3" xfId="20415" xr:uid="{00000000-0005-0000-0000-0000C44F0000}"/>
    <cellStyle name="Normal 9 4 2 4" xfId="20416" xr:uid="{00000000-0005-0000-0000-0000C54F0000}"/>
    <cellStyle name="Normal 9 4 2 5" xfId="20417" xr:uid="{00000000-0005-0000-0000-0000C64F0000}"/>
    <cellStyle name="Normal 9 4 2 6" xfId="20418" xr:uid="{00000000-0005-0000-0000-0000C74F0000}"/>
    <cellStyle name="Normal 9 4 2 7" xfId="20419" xr:uid="{00000000-0005-0000-0000-0000C84F0000}"/>
    <cellStyle name="Normal 9 4 2 8" xfId="20420" xr:uid="{00000000-0005-0000-0000-0000C94F0000}"/>
    <cellStyle name="Normal 9 4 2 9" xfId="20421" xr:uid="{00000000-0005-0000-0000-0000CA4F0000}"/>
    <cellStyle name="Normal 9 4 3" xfId="20422" xr:uid="{00000000-0005-0000-0000-0000CB4F0000}"/>
    <cellStyle name="Normal 9 4 4" xfId="20423" xr:uid="{00000000-0005-0000-0000-0000CC4F0000}"/>
    <cellStyle name="Normal 9 4 5" xfId="20424" xr:uid="{00000000-0005-0000-0000-0000CD4F0000}"/>
    <cellStyle name="Normal 9 4 6" xfId="20425" xr:uid="{00000000-0005-0000-0000-0000CE4F0000}"/>
    <cellStyle name="Normal 9 4 7" xfId="20426" xr:uid="{00000000-0005-0000-0000-0000CF4F0000}"/>
    <cellStyle name="Normal 9 4 8" xfId="20427" xr:uid="{00000000-0005-0000-0000-0000D04F0000}"/>
    <cellStyle name="Normal 9 4 9" xfId="20428" xr:uid="{00000000-0005-0000-0000-0000D14F0000}"/>
    <cellStyle name="Normal 9 5" xfId="20429" xr:uid="{00000000-0005-0000-0000-0000D24F0000}"/>
    <cellStyle name="Normal 9 5 10" xfId="20430" xr:uid="{00000000-0005-0000-0000-0000D34F0000}"/>
    <cellStyle name="Normal 9 5 11" xfId="20431" xr:uid="{00000000-0005-0000-0000-0000D44F0000}"/>
    <cellStyle name="Normal 9 5 12" xfId="20432" xr:uid="{00000000-0005-0000-0000-0000D54F0000}"/>
    <cellStyle name="Normal 9 5 13" xfId="20433" xr:uid="{00000000-0005-0000-0000-0000D64F0000}"/>
    <cellStyle name="Normal 9 5 2" xfId="20434" xr:uid="{00000000-0005-0000-0000-0000D74F0000}"/>
    <cellStyle name="Normal 9 5 2 10" xfId="20435" xr:uid="{00000000-0005-0000-0000-0000D84F0000}"/>
    <cellStyle name="Normal 9 5 2 11" xfId="20436" xr:uid="{00000000-0005-0000-0000-0000D94F0000}"/>
    <cellStyle name="Normal 9 5 2 2" xfId="20437" xr:uid="{00000000-0005-0000-0000-0000DA4F0000}"/>
    <cellStyle name="Normal 9 5 2 3" xfId="20438" xr:uid="{00000000-0005-0000-0000-0000DB4F0000}"/>
    <cellStyle name="Normal 9 5 2 4" xfId="20439" xr:uid="{00000000-0005-0000-0000-0000DC4F0000}"/>
    <cellStyle name="Normal 9 5 2 5" xfId="20440" xr:uid="{00000000-0005-0000-0000-0000DD4F0000}"/>
    <cellStyle name="Normal 9 5 2 6" xfId="20441" xr:uid="{00000000-0005-0000-0000-0000DE4F0000}"/>
    <cellStyle name="Normal 9 5 2 7" xfId="20442" xr:uid="{00000000-0005-0000-0000-0000DF4F0000}"/>
    <cellStyle name="Normal 9 5 2 8" xfId="20443" xr:uid="{00000000-0005-0000-0000-0000E04F0000}"/>
    <cellStyle name="Normal 9 5 2 9" xfId="20444" xr:uid="{00000000-0005-0000-0000-0000E14F0000}"/>
    <cellStyle name="Normal 9 5 3" xfId="20445" xr:uid="{00000000-0005-0000-0000-0000E24F0000}"/>
    <cellStyle name="Normal 9 5 4" xfId="20446" xr:uid="{00000000-0005-0000-0000-0000E34F0000}"/>
    <cellStyle name="Normal 9 5 5" xfId="20447" xr:uid="{00000000-0005-0000-0000-0000E44F0000}"/>
    <cellStyle name="Normal 9 5 6" xfId="20448" xr:uid="{00000000-0005-0000-0000-0000E54F0000}"/>
    <cellStyle name="Normal 9 5 7" xfId="20449" xr:uid="{00000000-0005-0000-0000-0000E64F0000}"/>
    <cellStyle name="Normal 9 5 8" xfId="20450" xr:uid="{00000000-0005-0000-0000-0000E74F0000}"/>
    <cellStyle name="Normal 9 5 9" xfId="20451" xr:uid="{00000000-0005-0000-0000-0000E84F0000}"/>
    <cellStyle name="Normal 9 6" xfId="20452" xr:uid="{00000000-0005-0000-0000-0000E94F0000}"/>
    <cellStyle name="Normal 9 6 10" xfId="20453" xr:uid="{00000000-0005-0000-0000-0000EA4F0000}"/>
    <cellStyle name="Normal 9 6 11" xfId="20454" xr:uid="{00000000-0005-0000-0000-0000EB4F0000}"/>
    <cellStyle name="Normal 9 6 12" xfId="20455" xr:uid="{00000000-0005-0000-0000-0000EC4F0000}"/>
    <cellStyle name="Normal 9 6 13" xfId="20456" xr:uid="{00000000-0005-0000-0000-0000ED4F0000}"/>
    <cellStyle name="Normal 9 6 2" xfId="20457" xr:uid="{00000000-0005-0000-0000-0000EE4F0000}"/>
    <cellStyle name="Normal 9 6 2 10" xfId="20458" xr:uid="{00000000-0005-0000-0000-0000EF4F0000}"/>
    <cellStyle name="Normal 9 6 2 11" xfId="20459" xr:uid="{00000000-0005-0000-0000-0000F04F0000}"/>
    <cellStyle name="Normal 9 6 2 2" xfId="20460" xr:uid="{00000000-0005-0000-0000-0000F14F0000}"/>
    <cellStyle name="Normal 9 6 2 3" xfId="20461" xr:uid="{00000000-0005-0000-0000-0000F24F0000}"/>
    <cellStyle name="Normal 9 6 2 4" xfId="20462" xr:uid="{00000000-0005-0000-0000-0000F34F0000}"/>
    <cellStyle name="Normal 9 6 2 5" xfId="20463" xr:uid="{00000000-0005-0000-0000-0000F44F0000}"/>
    <cellStyle name="Normal 9 6 2 6" xfId="20464" xr:uid="{00000000-0005-0000-0000-0000F54F0000}"/>
    <cellStyle name="Normal 9 6 2 7" xfId="20465" xr:uid="{00000000-0005-0000-0000-0000F64F0000}"/>
    <cellStyle name="Normal 9 6 2 8" xfId="20466" xr:uid="{00000000-0005-0000-0000-0000F74F0000}"/>
    <cellStyle name="Normal 9 6 2 9" xfId="20467" xr:uid="{00000000-0005-0000-0000-0000F84F0000}"/>
    <cellStyle name="Normal 9 6 3" xfId="20468" xr:uid="{00000000-0005-0000-0000-0000F94F0000}"/>
    <cellStyle name="Normal 9 6 4" xfId="20469" xr:uid="{00000000-0005-0000-0000-0000FA4F0000}"/>
    <cellStyle name="Normal 9 6 5" xfId="20470" xr:uid="{00000000-0005-0000-0000-0000FB4F0000}"/>
    <cellStyle name="Normal 9 6 6" xfId="20471" xr:uid="{00000000-0005-0000-0000-0000FC4F0000}"/>
    <cellStyle name="Normal 9 6 7" xfId="20472" xr:uid="{00000000-0005-0000-0000-0000FD4F0000}"/>
    <cellStyle name="Normal 9 6 8" xfId="20473" xr:uid="{00000000-0005-0000-0000-0000FE4F0000}"/>
    <cellStyle name="Normal 9 6 9" xfId="20474" xr:uid="{00000000-0005-0000-0000-0000FF4F0000}"/>
    <cellStyle name="Normal 9 7" xfId="20475" xr:uid="{00000000-0005-0000-0000-000000500000}"/>
    <cellStyle name="Normal 9 7 10" xfId="20476" xr:uid="{00000000-0005-0000-0000-000001500000}"/>
    <cellStyle name="Normal 9 7 11" xfId="20477" xr:uid="{00000000-0005-0000-0000-000002500000}"/>
    <cellStyle name="Normal 9 7 12" xfId="20478" xr:uid="{00000000-0005-0000-0000-000003500000}"/>
    <cellStyle name="Normal 9 7 13" xfId="20479" xr:uid="{00000000-0005-0000-0000-000004500000}"/>
    <cellStyle name="Normal 9 7 2" xfId="20480" xr:uid="{00000000-0005-0000-0000-000005500000}"/>
    <cellStyle name="Normal 9 7 2 10" xfId="20481" xr:uid="{00000000-0005-0000-0000-000006500000}"/>
    <cellStyle name="Normal 9 7 2 11" xfId="20482" xr:uid="{00000000-0005-0000-0000-000007500000}"/>
    <cellStyle name="Normal 9 7 2 2" xfId="20483" xr:uid="{00000000-0005-0000-0000-000008500000}"/>
    <cellStyle name="Normal 9 7 2 3" xfId="20484" xr:uid="{00000000-0005-0000-0000-000009500000}"/>
    <cellStyle name="Normal 9 7 2 4" xfId="20485" xr:uid="{00000000-0005-0000-0000-00000A500000}"/>
    <cellStyle name="Normal 9 7 2 5" xfId="20486" xr:uid="{00000000-0005-0000-0000-00000B500000}"/>
    <cellStyle name="Normal 9 7 2 6" xfId="20487" xr:uid="{00000000-0005-0000-0000-00000C500000}"/>
    <cellStyle name="Normal 9 7 2 7" xfId="20488" xr:uid="{00000000-0005-0000-0000-00000D500000}"/>
    <cellStyle name="Normal 9 7 2 8" xfId="20489" xr:uid="{00000000-0005-0000-0000-00000E500000}"/>
    <cellStyle name="Normal 9 7 2 9" xfId="20490" xr:uid="{00000000-0005-0000-0000-00000F500000}"/>
    <cellStyle name="Normal 9 7 3" xfId="20491" xr:uid="{00000000-0005-0000-0000-000010500000}"/>
    <cellStyle name="Normal 9 7 4" xfId="20492" xr:uid="{00000000-0005-0000-0000-000011500000}"/>
    <cellStyle name="Normal 9 7 5" xfId="20493" xr:uid="{00000000-0005-0000-0000-000012500000}"/>
    <cellStyle name="Normal 9 7 6" xfId="20494" xr:uid="{00000000-0005-0000-0000-000013500000}"/>
    <cellStyle name="Normal 9 7 7" xfId="20495" xr:uid="{00000000-0005-0000-0000-000014500000}"/>
    <cellStyle name="Normal 9 7 8" xfId="20496" xr:uid="{00000000-0005-0000-0000-000015500000}"/>
    <cellStyle name="Normal 9 7 9" xfId="20497" xr:uid="{00000000-0005-0000-0000-000016500000}"/>
    <cellStyle name="Normal 9 8" xfId="20498" xr:uid="{00000000-0005-0000-0000-000017500000}"/>
    <cellStyle name="Normal 9 8 10" xfId="20499" xr:uid="{00000000-0005-0000-0000-000018500000}"/>
    <cellStyle name="Normal 9 8 11" xfId="20500" xr:uid="{00000000-0005-0000-0000-000019500000}"/>
    <cellStyle name="Normal 9 8 12" xfId="20501" xr:uid="{00000000-0005-0000-0000-00001A500000}"/>
    <cellStyle name="Normal 9 8 13" xfId="20502" xr:uid="{00000000-0005-0000-0000-00001B500000}"/>
    <cellStyle name="Normal 9 8 2" xfId="20503" xr:uid="{00000000-0005-0000-0000-00001C500000}"/>
    <cellStyle name="Normal 9 8 2 10" xfId="20504" xr:uid="{00000000-0005-0000-0000-00001D500000}"/>
    <cellStyle name="Normal 9 8 2 11" xfId="20505" xr:uid="{00000000-0005-0000-0000-00001E500000}"/>
    <cellStyle name="Normal 9 8 2 2" xfId="20506" xr:uid="{00000000-0005-0000-0000-00001F500000}"/>
    <cellStyle name="Normal 9 8 2 3" xfId="20507" xr:uid="{00000000-0005-0000-0000-000020500000}"/>
    <cellStyle name="Normal 9 8 2 4" xfId="20508" xr:uid="{00000000-0005-0000-0000-000021500000}"/>
    <cellStyle name="Normal 9 8 2 5" xfId="20509" xr:uid="{00000000-0005-0000-0000-000022500000}"/>
    <cellStyle name="Normal 9 8 2 6" xfId="20510" xr:uid="{00000000-0005-0000-0000-000023500000}"/>
    <cellStyle name="Normal 9 8 2 7" xfId="20511" xr:uid="{00000000-0005-0000-0000-000024500000}"/>
    <cellStyle name="Normal 9 8 2 8" xfId="20512" xr:uid="{00000000-0005-0000-0000-000025500000}"/>
    <cellStyle name="Normal 9 8 2 9" xfId="20513" xr:uid="{00000000-0005-0000-0000-000026500000}"/>
    <cellStyle name="Normal 9 8 3" xfId="20514" xr:uid="{00000000-0005-0000-0000-000027500000}"/>
    <cellStyle name="Normal 9 8 4" xfId="20515" xr:uid="{00000000-0005-0000-0000-000028500000}"/>
    <cellStyle name="Normal 9 8 5" xfId="20516" xr:uid="{00000000-0005-0000-0000-000029500000}"/>
    <cellStyle name="Normal 9 8 6" xfId="20517" xr:uid="{00000000-0005-0000-0000-00002A500000}"/>
    <cellStyle name="Normal 9 8 7" xfId="20518" xr:uid="{00000000-0005-0000-0000-00002B500000}"/>
    <cellStyle name="Normal 9 8 8" xfId="20519" xr:uid="{00000000-0005-0000-0000-00002C500000}"/>
    <cellStyle name="Normal 9 8 9" xfId="20520" xr:uid="{00000000-0005-0000-0000-00002D500000}"/>
    <cellStyle name="Normal 9 9" xfId="20521" xr:uid="{00000000-0005-0000-0000-00002E500000}"/>
    <cellStyle name="Normal 9 9 10" xfId="20522" xr:uid="{00000000-0005-0000-0000-00002F500000}"/>
    <cellStyle name="Normal 9 9 11" xfId="20523" xr:uid="{00000000-0005-0000-0000-000030500000}"/>
    <cellStyle name="Normal 9 9 12" xfId="20524" xr:uid="{00000000-0005-0000-0000-000031500000}"/>
    <cellStyle name="Normal 9 9 13" xfId="20525" xr:uid="{00000000-0005-0000-0000-000032500000}"/>
    <cellStyle name="Normal 9 9 2" xfId="20526" xr:uid="{00000000-0005-0000-0000-000033500000}"/>
    <cellStyle name="Normal 9 9 2 10" xfId="20527" xr:uid="{00000000-0005-0000-0000-000034500000}"/>
    <cellStyle name="Normal 9 9 2 11" xfId="20528" xr:uid="{00000000-0005-0000-0000-000035500000}"/>
    <cellStyle name="Normal 9 9 2 2" xfId="20529" xr:uid="{00000000-0005-0000-0000-000036500000}"/>
    <cellStyle name="Normal 9 9 2 3" xfId="20530" xr:uid="{00000000-0005-0000-0000-000037500000}"/>
    <cellStyle name="Normal 9 9 2 4" xfId="20531" xr:uid="{00000000-0005-0000-0000-000038500000}"/>
    <cellStyle name="Normal 9 9 2 5" xfId="20532" xr:uid="{00000000-0005-0000-0000-000039500000}"/>
    <cellStyle name="Normal 9 9 2 6" xfId="20533" xr:uid="{00000000-0005-0000-0000-00003A500000}"/>
    <cellStyle name="Normal 9 9 2 7" xfId="20534" xr:uid="{00000000-0005-0000-0000-00003B500000}"/>
    <cellStyle name="Normal 9 9 2 8" xfId="20535" xr:uid="{00000000-0005-0000-0000-00003C500000}"/>
    <cellStyle name="Normal 9 9 2 9" xfId="20536" xr:uid="{00000000-0005-0000-0000-00003D500000}"/>
    <cellStyle name="Normal 9 9 3" xfId="20537" xr:uid="{00000000-0005-0000-0000-00003E500000}"/>
    <cellStyle name="Normal 9 9 4" xfId="20538" xr:uid="{00000000-0005-0000-0000-00003F500000}"/>
    <cellStyle name="Normal 9 9 5" xfId="20539" xr:uid="{00000000-0005-0000-0000-000040500000}"/>
    <cellStyle name="Normal 9 9 6" xfId="20540" xr:uid="{00000000-0005-0000-0000-000041500000}"/>
    <cellStyle name="Normal 9 9 7" xfId="20541" xr:uid="{00000000-0005-0000-0000-000042500000}"/>
    <cellStyle name="Normal 9 9 8" xfId="20542" xr:uid="{00000000-0005-0000-0000-000043500000}"/>
    <cellStyle name="Normal 9 9 9" xfId="20543" xr:uid="{00000000-0005-0000-0000-000044500000}"/>
    <cellStyle name="Normal 90" xfId="20544" xr:uid="{00000000-0005-0000-0000-000045500000}"/>
    <cellStyle name="Normal 91" xfId="20545" xr:uid="{00000000-0005-0000-0000-000046500000}"/>
    <cellStyle name="Normal 92" xfId="20546" xr:uid="{00000000-0005-0000-0000-000047500000}"/>
    <cellStyle name="Normal 93" xfId="20547" xr:uid="{00000000-0005-0000-0000-000048500000}"/>
    <cellStyle name="Normal 93 10" xfId="20548" xr:uid="{00000000-0005-0000-0000-000049500000}"/>
    <cellStyle name="Normal 93 11" xfId="20549" xr:uid="{00000000-0005-0000-0000-00004A500000}"/>
    <cellStyle name="Normal 93 12" xfId="20550" xr:uid="{00000000-0005-0000-0000-00004B500000}"/>
    <cellStyle name="Normal 93 13" xfId="20551" xr:uid="{00000000-0005-0000-0000-00004C500000}"/>
    <cellStyle name="Normal 93 2" xfId="20552" xr:uid="{00000000-0005-0000-0000-00004D500000}"/>
    <cellStyle name="Normal 93 2 10" xfId="20553" xr:uid="{00000000-0005-0000-0000-00004E500000}"/>
    <cellStyle name="Normal 93 2 11" xfId="20554" xr:uid="{00000000-0005-0000-0000-00004F500000}"/>
    <cellStyle name="Normal 93 2 2" xfId="20555" xr:uid="{00000000-0005-0000-0000-000050500000}"/>
    <cellStyle name="Normal 93 2 3" xfId="20556" xr:uid="{00000000-0005-0000-0000-000051500000}"/>
    <cellStyle name="Normal 93 2 4" xfId="20557" xr:uid="{00000000-0005-0000-0000-000052500000}"/>
    <cellStyle name="Normal 93 2 5" xfId="20558" xr:uid="{00000000-0005-0000-0000-000053500000}"/>
    <cellStyle name="Normal 93 2 6" xfId="20559" xr:uid="{00000000-0005-0000-0000-000054500000}"/>
    <cellStyle name="Normal 93 2 7" xfId="20560" xr:uid="{00000000-0005-0000-0000-000055500000}"/>
    <cellStyle name="Normal 93 2 8" xfId="20561" xr:uid="{00000000-0005-0000-0000-000056500000}"/>
    <cellStyle name="Normal 93 2 9" xfId="20562" xr:uid="{00000000-0005-0000-0000-000057500000}"/>
    <cellStyle name="Normal 93 3" xfId="20563" xr:uid="{00000000-0005-0000-0000-000058500000}"/>
    <cellStyle name="Normal 93 4" xfId="20564" xr:uid="{00000000-0005-0000-0000-000059500000}"/>
    <cellStyle name="Normal 93 5" xfId="20565" xr:uid="{00000000-0005-0000-0000-00005A500000}"/>
    <cellStyle name="Normal 93 6" xfId="20566" xr:uid="{00000000-0005-0000-0000-00005B500000}"/>
    <cellStyle name="Normal 93 7" xfId="20567" xr:uid="{00000000-0005-0000-0000-00005C500000}"/>
    <cellStyle name="Normal 93 8" xfId="20568" xr:uid="{00000000-0005-0000-0000-00005D500000}"/>
    <cellStyle name="Normal 93 9" xfId="20569" xr:uid="{00000000-0005-0000-0000-00005E500000}"/>
    <cellStyle name="Normal 94" xfId="20570" xr:uid="{00000000-0005-0000-0000-00005F500000}"/>
    <cellStyle name="Normal 94 10" xfId="20571" xr:uid="{00000000-0005-0000-0000-000060500000}"/>
    <cellStyle name="Normal 94 11" xfId="20572" xr:uid="{00000000-0005-0000-0000-000061500000}"/>
    <cellStyle name="Normal 94 12" xfId="20573" xr:uid="{00000000-0005-0000-0000-000062500000}"/>
    <cellStyle name="Normal 94 13" xfId="20574" xr:uid="{00000000-0005-0000-0000-000063500000}"/>
    <cellStyle name="Normal 94 2" xfId="20575" xr:uid="{00000000-0005-0000-0000-000064500000}"/>
    <cellStyle name="Normal 94 2 10" xfId="20576" xr:uid="{00000000-0005-0000-0000-000065500000}"/>
    <cellStyle name="Normal 94 2 11" xfId="20577" xr:uid="{00000000-0005-0000-0000-000066500000}"/>
    <cellStyle name="Normal 94 2 2" xfId="20578" xr:uid="{00000000-0005-0000-0000-000067500000}"/>
    <cellStyle name="Normal 94 2 3" xfId="20579" xr:uid="{00000000-0005-0000-0000-000068500000}"/>
    <cellStyle name="Normal 94 2 4" xfId="20580" xr:uid="{00000000-0005-0000-0000-000069500000}"/>
    <cellStyle name="Normal 94 2 5" xfId="20581" xr:uid="{00000000-0005-0000-0000-00006A500000}"/>
    <cellStyle name="Normal 94 2 6" xfId="20582" xr:uid="{00000000-0005-0000-0000-00006B500000}"/>
    <cellStyle name="Normal 94 2 7" xfId="20583" xr:uid="{00000000-0005-0000-0000-00006C500000}"/>
    <cellStyle name="Normal 94 2 8" xfId="20584" xr:uid="{00000000-0005-0000-0000-00006D500000}"/>
    <cellStyle name="Normal 94 2 9" xfId="20585" xr:uid="{00000000-0005-0000-0000-00006E500000}"/>
    <cellStyle name="Normal 94 3" xfId="20586" xr:uid="{00000000-0005-0000-0000-00006F500000}"/>
    <cellStyle name="Normal 94 4" xfId="20587" xr:uid="{00000000-0005-0000-0000-000070500000}"/>
    <cellStyle name="Normal 94 5" xfId="20588" xr:uid="{00000000-0005-0000-0000-000071500000}"/>
    <cellStyle name="Normal 94 6" xfId="20589" xr:uid="{00000000-0005-0000-0000-000072500000}"/>
    <cellStyle name="Normal 94 7" xfId="20590" xr:uid="{00000000-0005-0000-0000-000073500000}"/>
    <cellStyle name="Normal 94 8" xfId="20591" xr:uid="{00000000-0005-0000-0000-000074500000}"/>
    <cellStyle name="Normal 94 9" xfId="20592" xr:uid="{00000000-0005-0000-0000-000075500000}"/>
    <cellStyle name="Normal 95" xfId="20593" xr:uid="{00000000-0005-0000-0000-000076500000}"/>
    <cellStyle name="Normal 95 10" xfId="20594" xr:uid="{00000000-0005-0000-0000-000077500000}"/>
    <cellStyle name="Normal 95 11" xfId="20595" xr:uid="{00000000-0005-0000-0000-000078500000}"/>
    <cellStyle name="Normal 95 12" xfId="20596" xr:uid="{00000000-0005-0000-0000-000079500000}"/>
    <cellStyle name="Normal 95 13" xfId="20597" xr:uid="{00000000-0005-0000-0000-00007A500000}"/>
    <cellStyle name="Normal 95 2" xfId="20598" xr:uid="{00000000-0005-0000-0000-00007B500000}"/>
    <cellStyle name="Normal 95 2 10" xfId="20599" xr:uid="{00000000-0005-0000-0000-00007C500000}"/>
    <cellStyle name="Normal 95 2 11" xfId="20600" xr:uid="{00000000-0005-0000-0000-00007D500000}"/>
    <cellStyle name="Normal 95 2 2" xfId="20601" xr:uid="{00000000-0005-0000-0000-00007E500000}"/>
    <cellStyle name="Normal 95 2 3" xfId="20602" xr:uid="{00000000-0005-0000-0000-00007F500000}"/>
    <cellStyle name="Normal 95 2 4" xfId="20603" xr:uid="{00000000-0005-0000-0000-000080500000}"/>
    <cellStyle name="Normal 95 2 5" xfId="20604" xr:uid="{00000000-0005-0000-0000-000081500000}"/>
    <cellStyle name="Normal 95 2 6" xfId="20605" xr:uid="{00000000-0005-0000-0000-000082500000}"/>
    <cellStyle name="Normal 95 2 7" xfId="20606" xr:uid="{00000000-0005-0000-0000-000083500000}"/>
    <cellStyle name="Normal 95 2 8" xfId="20607" xr:uid="{00000000-0005-0000-0000-000084500000}"/>
    <cellStyle name="Normal 95 2 9" xfId="20608" xr:uid="{00000000-0005-0000-0000-000085500000}"/>
    <cellStyle name="Normal 95 3" xfId="20609" xr:uid="{00000000-0005-0000-0000-000086500000}"/>
    <cellStyle name="Normal 95 4" xfId="20610" xr:uid="{00000000-0005-0000-0000-000087500000}"/>
    <cellStyle name="Normal 95 5" xfId="20611" xr:uid="{00000000-0005-0000-0000-000088500000}"/>
    <cellStyle name="Normal 95 6" xfId="20612" xr:uid="{00000000-0005-0000-0000-000089500000}"/>
    <cellStyle name="Normal 95 7" xfId="20613" xr:uid="{00000000-0005-0000-0000-00008A500000}"/>
    <cellStyle name="Normal 95 8" xfId="20614" xr:uid="{00000000-0005-0000-0000-00008B500000}"/>
    <cellStyle name="Normal 95 9" xfId="20615" xr:uid="{00000000-0005-0000-0000-00008C500000}"/>
    <cellStyle name="Normal 96" xfId="20616" xr:uid="{00000000-0005-0000-0000-00008D500000}"/>
    <cellStyle name="Normal 96 10" xfId="20617" xr:uid="{00000000-0005-0000-0000-00008E500000}"/>
    <cellStyle name="Normal 96 11" xfId="20618" xr:uid="{00000000-0005-0000-0000-00008F500000}"/>
    <cellStyle name="Normal 96 12" xfId="20619" xr:uid="{00000000-0005-0000-0000-000090500000}"/>
    <cellStyle name="Normal 96 13" xfId="20620" xr:uid="{00000000-0005-0000-0000-000091500000}"/>
    <cellStyle name="Normal 96 2" xfId="20621" xr:uid="{00000000-0005-0000-0000-000092500000}"/>
    <cellStyle name="Normal 96 2 10" xfId="20622" xr:uid="{00000000-0005-0000-0000-000093500000}"/>
    <cellStyle name="Normal 96 2 11" xfId="20623" xr:uid="{00000000-0005-0000-0000-000094500000}"/>
    <cellStyle name="Normal 96 2 2" xfId="20624" xr:uid="{00000000-0005-0000-0000-000095500000}"/>
    <cellStyle name="Normal 96 2 3" xfId="20625" xr:uid="{00000000-0005-0000-0000-000096500000}"/>
    <cellStyle name="Normal 96 2 4" xfId="20626" xr:uid="{00000000-0005-0000-0000-000097500000}"/>
    <cellStyle name="Normal 96 2 5" xfId="20627" xr:uid="{00000000-0005-0000-0000-000098500000}"/>
    <cellStyle name="Normal 96 2 6" xfId="20628" xr:uid="{00000000-0005-0000-0000-000099500000}"/>
    <cellStyle name="Normal 96 2 7" xfId="20629" xr:uid="{00000000-0005-0000-0000-00009A500000}"/>
    <cellStyle name="Normal 96 2 8" xfId="20630" xr:uid="{00000000-0005-0000-0000-00009B500000}"/>
    <cellStyle name="Normal 96 2 9" xfId="20631" xr:uid="{00000000-0005-0000-0000-00009C500000}"/>
    <cellStyle name="Normal 96 3" xfId="20632" xr:uid="{00000000-0005-0000-0000-00009D500000}"/>
    <cellStyle name="Normal 96 4" xfId="20633" xr:uid="{00000000-0005-0000-0000-00009E500000}"/>
    <cellStyle name="Normal 96 5" xfId="20634" xr:uid="{00000000-0005-0000-0000-00009F500000}"/>
    <cellStyle name="Normal 96 6" xfId="20635" xr:uid="{00000000-0005-0000-0000-0000A0500000}"/>
    <cellStyle name="Normal 96 7" xfId="20636" xr:uid="{00000000-0005-0000-0000-0000A1500000}"/>
    <cellStyle name="Normal 96 8" xfId="20637" xr:uid="{00000000-0005-0000-0000-0000A2500000}"/>
    <cellStyle name="Normal 96 9" xfId="20638" xr:uid="{00000000-0005-0000-0000-0000A3500000}"/>
    <cellStyle name="Normal 97" xfId="20639" xr:uid="{00000000-0005-0000-0000-0000A4500000}"/>
    <cellStyle name="Normal 97 10" xfId="20640" xr:uid="{00000000-0005-0000-0000-0000A5500000}"/>
    <cellStyle name="Normal 97 11" xfId="20641" xr:uid="{00000000-0005-0000-0000-0000A6500000}"/>
    <cellStyle name="Normal 97 12" xfId="20642" xr:uid="{00000000-0005-0000-0000-0000A7500000}"/>
    <cellStyle name="Normal 97 13" xfId="20643" xr:uid="{00000000-0005-0000-0000-0000A8500000}"/>
    <cellStyle name="Normal 97 2" xfId="20644" xr:uid="{00000000-0005-0000-0000-0000A9500000}"/>
    <cellStyle name="Normal 97 2 10" xfId="20645" xr:uid="{00000000-0005-0000-0000-0000AA500000}"/>
    <cellStyle name="Normal 97 2 11" xfId="20646" xr:uid="{00000000-0005-0000-0000-0000AB500000}"/>
    <cellStyle name="Normal 97 2 2" xfId="20647" xr:uid="{00000000-0005-0000-0000-0000AC500000}"/>
    <cellStyle name="Normal 97 2 3" xfId="20648" xr:uid="{00000000-0005-0000-0000-0000AD500000}"/>
    <cellStyle name="Normal 97 2 4" xfId="20649" xr:uid="{00000000-0005-0000-0000-0000AE500000}"/>
    <cellStyle name="Normal 97 2 5" xfId="20650" xr:uid="{00000000-0005-0000-0000-0000AF500000}"/>
    <cellStyle name="Normal 97 2 6" xfId="20651" xr:uid="{00000000-0005-0000-0000-0000B0500000}"/>
    <cellStyle name="Normal 97 2 7" xfId="20652" xr:uid="{00000000-0005-0000-0000-0000B1500000}"/>
    <cellStyle name="Normal 97 2 8" xfId="20653" xr:uid="{00000000-0005-0000-0000-0000B2500000}"/>
    <cellStyle name="Normal 97 2 9" xfId="20654" xr:uid="{00000000-0005-0000-0000-0000B3500000}"/>
    <cellStyle name="Normal 97 3" xfId="20655" xr:uid="{00000000-0005-0000-0000-0000B4500000}"/>
    <cellStyle name="Normal 97 4" xfId="20656" xr:uid="{00000000-0005-0000-0000-0000B5500000}"/>
    <cellStyle name="Normal 97 5" xfId="20657" xr:uid="{00000000-0005-0000-0000-0000B6500000}"/>
    <cellStyle name="Normal 97 6" xfId="20658" xr:uid="{00000000-0005-0000-0000-0000B7500000}"/>
    <cellStyle name="Normal 97 7" xfId="20659" xr:uid="{00000000-0005-0000-0000-0000B8500000}"/>
    <cellStyle name="Normal 97 8" xfId="20660" xr:uid="{00000000-0005-0000-0000-0000B9500000}"/>
    <cellStyle name="Normal 97 9" xfId="20661" xr:uid="{00000000-0005-0000-0000-0000BA500000}"/>
    <cellStyle name="Normal 98" xfId="20662" xr:uid="{00000000-0005-0000-0000-0000BB500000}"/>
    <cellStyle name="Normal 98 10" xfId="20663" xr:uid="{00000000-0005-0000-0000-0000BC500000}"/>
    <cellStyle name="Normal 98 11" xfId="20664" xr:uid="{00000000-0005-0000-0000-0000BD500000}"/>
    <cellStyle name="Normal 98 12" xfId="20665" xr:uid="{00000000-0005-0000-0000-0000BE500000}"/>
    <cellStyle name="Normal 98 13" xfId="20666" xr:uid="{00000000-0005-0000-0000-0000BF500000}"/>
    <cellStyle name="Normal 98 2" xfId="20667" xr:uid="{00000000-0005-0000-0000-0000C0500000}"/>
    <cellStyle name="Normal 98 2 10" xfId="20668" xr:uid="{00000000-0005-0000-0000-0000C1500000}"/>
    <cellStyle name="Normal 98 2 11" xfId="20669" xr:uid="{00000000-0005-0000-0000-0000C2500000}"/>
    <cellStyle name="Normal 98 2 2" xfId="20670" xr:uid="{00000000-0005-0000-0000-0000C3500000}"/>
    <cellStyle name="Normal 98 2 3" xfId="20671" xr:uid="{00000000-0005-0000-0000-0000C4500000}"/>
    <cellStyle name="Normal 98 2 4" xfId="20672" xr:uid="{00000000-0005-0000-0000-0000C5500000}"/>
    <cellStyle name="Normal 98 2 5" xfId="20673" xr:uid="{00000000-0005-0000-0000-0000C6500000}"/>
    <cellStyle name="Normal 98 2 6" xfId="20674" xr:uid="{00000000-0005-0000-0000-0000C7500000}"/>
    <cellStyle name="Normal 98 2 7" xfId="20675" xr:uid="{00000000-0005-0000-0000-0000C8500000}"/>
    <cellStyle name="Normal 98 2 8" xfId="20676" xr:uid="{00000000-0005-0000-0000-0000C9500000}"/>
    <cellStyle name="Normal 98 2 9" xfId="20677" xr:uid="{00000000-0005-0000-0000-0000CA500000}"/>
    <cellStyle name="Normal 98 3" xfId="20678" xr:uid="{00000000-0005-0000-0000-0000CB500000}"/>
    <cellStyle name="Normal 98 4" xfId="20679" xr:uid="{00000000-0005-0000-0000-0000CC500000}"/>
    <cellStyle name="Normal 98 5" xfId="20680" xr:uid="{00000000-0005-0000-0000-0000CD500000}"/>
    <cellStyle name="Normal 98 6" xfId="20681" xr:uid="{00000000-0005-0000-0000-0000CE500000}"/>
    <cellStyle name="Normal 98 7" xfId="20682" xr:uid="{00000000-0005-0000-0000-0000CF500000}"/>
    <cellStyle name="Normal 98 8" xfId="20683" xr:uid="{00000000-0005-0000-0000-0000D0500000}"/>
    <cellStyle name="Normal 98 9" xfId="20684" xr:uid="{00000000-0005-0000-0000-0000D1500000}"/>
    <cellStyle name="Normal 99" xfId="20685" xr:uid="{00000000-0005-0000-0000-0000D2500000}"/>
    <cellStyle name="Normal 99 10" xfId="20686" xr:uid="{00000000-0005-0000-0000-0000D3500000}"/>
    <cellStyle name="Normal 99 11" xfId="20687" xr:uid="{00000000-0005-0000-0000-0000D4500000}"/>
    <cellStyle name="Normal 99 12" xfId="20688" xr:uid="{00000000-0005-0000-0000-0000D5500000}"/>
    <cellStyle name="Normal 99 13" xfId="20689" xr:uid="{00000000-0005-0000-0000-0000D6500000}"/>
    <cellStyle name="Normal 99 2" xfId="20690" xr:uid="{00000000-0005-0000-0000-0000D7500000}"/>
    <cellStyle name="Normal 99 2 10" xfId="20691" xr:uid="{00000000-0005-0000-0000-0000D8500000}"/>
    <cellStyle name="Normal 99 2 11" xfId="20692" xr:uid="{00000000-0005-0000-0000-0000D9500000}"/>
    <cellStyle name="Normal 99 2 2" xfId="20693" xr:uid="{00000000-0005-0000-0000-0000DA500000}"/>
    <cellStyle name="Normal 99 2 3" xfId="20694" xr:uid="{00000000-0005-0000-0000-0000DB500000}"/>
    <cellStyle name="Normal 99 2 4" xfId="20695" xr:uid="{00000000-0005-0000-0000-0000DC500000}"/>
    <cellStyle name="Normal 99 2 5" xfId="20696" xr:uid="{00000000-0005-0000-0000-0000DD500000}"/>
    <cellStyle name="Normal 99 2 6" xfId="20697" xr:uid="{00000000-0005-0000-0000-0000DE500000}"/>
    <cellStyle name="Normal 99 2 7" xfId="20698" xr:uid="{00000000-0005-0000-0000-0000DF500000}"/>
    <cellStyle name="Normal 99 2 8" xfId="20699" xr:uid="{00000000-0005-0000-0000-0000E0500000}"/>
    <cellStyle name="Normal 99 2 9" xfId="20700" xr:uid="{00000000-0005-0000-0000-0000E1500000}"/>
    <cellStyle name="Normal 99 3" xfId="20701" xr:uid="{00000000-0005-0000-0000-0000E2500000}"/>
    <cellStyle name="Normal 99 4" xfId="20702" xr:uid="{00000000-0005-0000-0000-0000E3500000}"/>
    <cellStyle name="Normal 99 5" xfId="20703" xr:uid="{00000000-0005-0000-0000-0000E4500000}"/>
    <cellStyle name="Normal 99 6" xfId="20704" xr:uid="{00000000-0005-0000-0000-0000E5500000}"/>
    <cellStyle name="Normal 99 7" xfId="20705" xr:uid="{00000000-0005-0000-0000-0000E6500000}"/>
    <cellStyle name="Normal 99 8" xfId="20706" xr:uid="{00000000-0005-0000-0000-0000E7500000}"/>
    <cellStyle name="Normal 99 9" xfId="20707" xr:uid="{00000000-0005-0000-0000-0000E8500000}"/>
    <cellStyle name="Note 2" xfId="20708" xr:uid="{00000000-0005-0000-0000-0000E9500000}"/>
    <cellStyle name="Note 3" xfId="20709" xr:uid="{00000000-0005-0000-0000-0000EA500000}"/>
    <cellStyle name="Output 2" xfId="20710" xr:uid="{00000000-0005-0000-0000-0000EB500000}"/>
    <cellStyle name="Percent 2" xfId="20711" xr:uid="{00000000-0005-0000-0000-0000EC500000}"/>
    <cellStyle name="Total 2" xfId="20712" xr:uid="{00000000-0005-0000-0000-0000ED500000}"/>
    <cellStyle name="Warning Text 2" xfId="20713" xr:uid="{00000000-0005-0000-0000-0000EE5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C3D69B"/>
      <rgbColor rgb="FF0000FF"/>
      <rgbColor rgb="FFFCD5B5"/>
      <rgbColor rgb="FFFFC7CE"/>
      <rgbColor rgb="FFB7DEE8"/>
      <rgbColor rgb="FF9C0006"/>
      <rgbColor rgb="FF006100"/>
      <rgbColor rgb="FF000080"/>
      <rgbColor rgb="FF9C6500"/>
      <rgbColor rgb="FFFDEADA"/>
      <rgbColor rgb="FFD7E4BD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1F497D"/>
      <rgbColor rgb="FFC6D9F1"/>
      <rgbColor rgb="FF000080"/>
      <rgbColor rgb="FFF2DCDB"/>
      <rgbColor rgb="FFFFF2CC"/>
      <rgbColor rgb="FFB9CDE5"/>
      <rgbColor rgb="FFF2F2F2"/>
      <rgbColor rgb="FF800000"/>
      <rgbColor rgb="FFE6E0EC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3A5F"/>
      <rgbColor rgb="FFB2B2B2"/>
      <rgbColor rgb="FF003300"/>
      <rgbColor rgb="FFEBF1DE"/>
      <rgbColor rgb="FFF8CBAD"/>
      <rgbColor rgb="FFE6B9B8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niv%20apc%20spend%202012-1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v apc spend 2012-1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28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ColWidth="8.59765625" defaultRowHeight="13.8" x14ac:dyDescent="0.25"/>
  <cols>
    <col min="1" max="1" width="12" customWidth="1"/>
    <col min="2" max="2" width="13" customWidth="1"/>
    <col min="3" max="3" width="11" customWidth="1"/>
    <col min="4" max="4" width="34" customWidth="1"/>
    <col min="5" max="5" width="40" customWidth="1"/>
    <col min="6" max="6" width="9" customWidth="1"/>
    <col min="7" max="7" width="60" customWidth="1"/>
    <col min="8" max="8" width="12" customWidth="1"/>
    <col min="9" max="11" width="8" customWidth="1"/>
    <col min="12" max="13" width="9" customWidth="1"/>
    <col min="14" max="14" width="8" customWidth="1"/>
    <col min="15" max="15" width="44" customWidth="1"/>
  </cols>
  <sheetData>
    <row r="1" spans="1:15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3">
        <v>2379.54</v>
      </c>
      <c r="I2">
        <v>934</v>
      </c>
      <c r="J2">
        <v>0</v>
      </c>
      <c r="K2">
        <v>41</v>
      </c>
      <c r="L2" s="4">
        <v>0.94164318422332405</v>
      </c>
      <c r="M2" s="4">
        <v>5.8356815776676403E-2</v>
      </c>
      <c r="N2">
        <v>0</v>
      </c>
    </row>
    <row r="3" spans="1:15" x14ac:dyDescent="0.25">
      <c r="A3" s="2"/>
      <c r="B3" t="s">
        <v>21</v>
      </c>
      <c r="C3" t="s">
        <v>16</v>
      </c>
      <c r="D3" t="s">
        <v>22</v>
      </c>
      <c r="E3" t="s">
        <v>23</v>
      </c>
      <c r="F3" t="s">
        <v>24</v>
      </c>
      <c r="G3" t="s">
        <v>25</v>
      </c>
      <c r="H3" s="3">
        <v>1294.5899999999999</v>
      </c>
      <c r="I3">
        <v>823</v>
      </c>
      <c r="J3">
        <v>0</v>
      </c>
      <c r="K3">
        <v>45</v>
      </c>
      <c r="L3" s="4">
        <v>0.67563785822073097</v>
      </c>
      <c r="M3" s="4">
        <v>0.32436214177926898</v>
      </c>
      <c r="N3">
        <v>0</v>
      </c>
    </row>
    <row r="4" spans="1:15" x14ac:dyDescent="0.25">
      <c r="A4" s="2"/>
      <c r="B4" t="s">
        <v>26</v>
      </c>
      <c r="C4" t="s">
        <v>16</v>
      </c>
      <c r="D4" t="s">
        <v>22</v>
      </c>
      <c r="E4" t="s">
        <v>23</v>
      </c>
      <c r="F4" t="s">
        <v>24</v>
      </c>
      <c r="G4" t="s">
        <v>27</v>
      </c>
      <c r="H4" s="3">
        <v>1294.78</v>
      </c>
      <c r="I4">
        <v>866</v>
      </c>
      <c r="K4">
        <v>48</v>
      </c>
      <c r="L4" s="4">
        <v>0.98747018937856201</v>
      </c>
      <c r="M4" s="4">
        <v>1.25298106214385E-2</v>
      </c>
      <c r="N4">
        <v>0</v>
      </c>
    </row>
    <row r="5" spans="1:15" x14ac:dyDescent="0.25">
      <c r="A5" s="2"/>
      <c r="C5" t="s">
        <v>28</v>
      </c>
      <c r="D5" t="s">
        <v>22</v>
      </c>
      <c r="E5" t="s">
        <v>23</v>
      </c>
      <c r="F5" t="s">
        <v>24</v>
      </c>
      <c r="G5" t="s">
        <v>29</v>
      </c>
      <c r="H5" s="3">
        <v>947.07</v>
      </c>
      <c r="I5">
        <v>76</v>
      </c>
      <c r="J5">
        <v>1</v>
      </c>
      <c r="K5">
        <v>11</v>
      </c>
      <c r="L5" s="4">
        <v>3.6687967358434198E-3</v>
      </c>
      <c r="M5" s="4">
        <v>0.99633120326415703</v>
      </c>
      <c r="N5">
        <v>0</v>
      </c>
    </row>
    <row r="6" spans="1:15" x14ac:dyDescent="0.25">
      <c r="A6" s="2">
        <v>24015914</v>
      </c>
      <c r="B6" t="s">
        <v>30</v>
      </c>
      <c r="C6" t="s">
        <v>31</v>
      </c>
      <c r="D6" t="s">
        <v>22</v>
      </c>
      <c r="E6" t="s">
        <v>23</v>
      </c>
      <c r="F6" t="s">
        <v>24</v>
      </c>
      <c r="G6" t="s">
        <v>32</v>
      </c>
      <c r="H6" s="3">
        <v>1267.76</v>
      </c>
      <c r="J6">
        <v>1</v>
      </c>
      <c r="K6">
        <v>21</v>
      </c>
      <c r="L6" s="4">
        <v>8.2053729853146407E-2</v>
      </c>
      <c r="M6" s="4">
        <v>0.91794627014685404</v>
      </c>
      <c r="N6">
        <v>0</v>
      </c>
    </row>
    <row r="7" spans="1:15" x14ac:dyDescent="0.25">
      <c r="A7" s="2"/>
      <c r="B7" t="s">
        <v>33</v>
      </c>
      <c r="C7" t="s">
        <v>16</v>
      </c>
      <c r="D7" t="s">
        <v>22</v>
      </c>
      <c r="E7" t="s">
        <v>23</v>
      </c>
      <c r="F7" t="s">
        <v>24</v>
      </c>
      <c r="G7" t="s">
        <v>34</v>
      </c>
      <c r="H7" s="3">
        <v>2286.73</v>
      </c>
      <c r="I7">
        <v>179</v>
      </c>
      <c r="J7">
        <v>0</v>
      </c>
      <c r="K7">
        <v>9</v>
      </c>
      <c r="L7" s="4">
        <v>0.64735028721395405</v>
      </c>
      <c r="M7" s="4">
        <v>0.35264971278604601</v>
      </c>
      <c r="N7">
        <v>0</v>
      </c>
    </row>
    <row r="8" spans="1:15" x14ac:dyDescent="0.25">
      <c r="A8" s="2"/>
      <c r="B8" t="s">
        <v>35</v>
      </c>
      <c r="C8" t="s">
        <v>16</v>
      </c>
      <c r="D8" t="s">
        <v>22</v>
      </c>
      <c r="E8" t="s">
        <v>36</v>
      </c>
      <c r="F8" t="s">
        <v>37</v>
      </c>
      <c r="G8" t="s">
        <v>38</v>
      </c>
      <c r="H8" s="3">
        <v>1186.8</v>
      </c>
      <c r="I8">
        <v>45</v>
      </c>
      <c r="J8">
        <v>1</v>
      </c>
      <c r="K8">
        <v>18</v>
      </c>
      <c r="L8" s="4">
        <v>0.42829474511027399</v>
      </c>
      <c r="M8" s="4">
        <v>0.57170525488972601</v>
      </c>
      <c r="N8">
        <v>0</v>
      </c>
    </row>
    <row r="9" spans="1:15" x14ac:dyDescent="0.25">
      <c r="A9" s="2"/>
      <c r="B9" t="s">
        <v>39</v>
      </c>
      <c r="C9" t="s">
        <v>16</v>
      </c>
      <c r="D9" t="s">
        <v>22</v>
      </c>
      <c r="E9" t="s">
        <v>40</v>
      </c>
      <c r="F9" t="s">
        <v>41</v>
      </c>
      <c r="G9" t="s">
        <v>42</v>
      </c>
      <c r="H9" s="3">
        <v>642.89</v>
      </c>
      <c r="I9">
        <v>60</v>
      </c>
      <c r="J9">
        <v>0</v>
      </c>
      <c r="K9">
        <v>17</v>
      </c>
      <c r="L9" s="4">
        <v>0.27927523743329502</v>
      </c>
      <c r="M9" s="4">
        <v>0.72072476256670504</v>
      </c>
      <c r="N9">
        <v>0</v>
      </c>
    </row>
    <row r="10" spans="1:15" x14ac:dyDescent="0.25">
      <c r="A10" s="2">
        <v>23373658</v>
      </c>
      <c r="C10" t="s">
        <v>0</v>
      </c>
      <c r="D10" t="s">
        <v>22</v>
      </c>
      <c r="E10" t="s">
        <v>40</v>
      </c>
      <c r="F10" t="s">
        <v>41</v>
      </c>
      <c r="G10" t="s">
        <v>43</v>
      </c>
      <c r="H10" s="3">
        <v>693.39</v>
      </c>
      <c r="I10">
        <v>606</v>
      </c>
      <c r="J10">
        <v>0</v>
      </c>
      <c r="L10" s="4">
        <v>0.84485895104205899</v>
      </c>
      <c r="M10" s="4">
        <v>0.15514104895794101</v>
      </c>
      <c r="N10">
        <v>0</v>
      </c>
    </row>
    <row r="11" spans="1:15" x14ac:dyDescent="0.25">
      <c r="A11" s="2"/>
      <c r="B11" t="s">
        <v>44</v>
      </c>
      <c r="C11" t="s">
        <v>16</v>
      </c>
      <c r="D11" t="s">
        <v>45</v>
      </c>
      <c r="E11" t="s">
        <v>46</v>
      </c>
      <c r="F11" t="s">
        <v>47</v>
      </c>
      <c r="G11" t="s">
        <v>48</v>
      </c>
      <c r="H11" s="3">
        <v>771.42</v>
      </c>
      <c r="I11">
        <v>480</v>
      </c>
      <c r="J11">
        <v>1</v>
      </c>
      <c r="K11">
        <v>22</v>
      </c>
      <c r="L11" s="4">
        <v>0.90950791768732897</v>
      </c>
      <c r="M11" s="4">
        <v>9.0492082312670599E-2</v>
      </c>
      <c r="N11">
        <v>0</v>
      </c>
    </row>
    <row r="12" spans="1:15" x14ac:dyDescent="0.25">
      <c r="A12" s="2"/>
      <c r="B12" t="s">
        <v>49</v>
      </c>
      <c r="C12" t="s">
        <v>16</v>
      </c>
      <c r="D12" t="s">
        <v>45</v>
      </c>
      <c r="E12" t="s">
        <v>46</v>
      </c>
      <c r="F12" t="s">
        <v>47</v>
      </c>
      <c r="G12" t="s">
        <v>50</v>
      </c>
      <c r="H12" s="3">
        <v>773.74</v>
      </c>
      <c r="I12">
        <v>690</v>
      </c>
      <c r="J12">
        <v>1</v>
      </c>
      <c r="K12">
        <v>3</v>
      </c>
      <c r="L12" s="4">
        <v>0.65722672583686104</v>
      </c>
      <c r="M12" s="4">
        <v>0.34277327416313902</v>
      </c>
      <c r="N12">
        <v>0</v>
      </c>
    </row>
    <row r="13" spans="1:15" x14ac:dyDescent="0.25">
      <c r="A13" s="2"/>
      <c r="B13" t="s">
        <v>51</v>
      </c>
      <c r="C13" t="s">
        <v>16</v>
      </c>
      <c r="D13" t="s">
        <v>45</v>
      </c>
      <c r="E13" t="s">
        <v>52</v>
      </c>
      <c r="F13" t="s">
        <v>53</v>
      </c>
      <c r="G13" t="s">
        <v>54</v>
      </c>
      <c r="H13" s="3">
        <v>785.6</v>
      </c>
      <c r="I13">
        <v>603</v>
      </c>
      <c r="K13">
        <v>32</v>
      </c>
      <c r="L13" s="4">
        <v>0.54983985882351505</v>
      </c>
      <c r="M13" s="4">
        <v>0.45016014117648501</v>
      </c>
      <c r="N13">
        <v>0</v>
      </c>
    </row>
    <row r="14" spans="1:15" x14ac:dyDescent="0.25">
      <c r="A14" s="2"/>
      <c r="B14" t="s">
        <v>55</v>
      </c>
      <c r="C14" t="s">
        <v>16</v>
      </c>
      <c r="D14" t="s">
        <v>45</v>
      </c>
      <c r="E14" t="s">
        <v>52</v>
      </c>
      <c r="F14" t="s">
        <v>53</v>
      </c>
      <c r="G14" t="s">
        <v>56</v>
      </c>
      <c r="H14" s="3">
        <v>807.67</v>
      </c>
      <c r="I14">
        <v>485</v>
      </c>
      <c r="J14">
        <v>0</v>
      </c>
      <c r="K14">
        <v>40</v>
      </c>
      <c r="L14" s="4">
        <v>0.53955410043495999</v>
      </c>
      <c r="M14" s="4">
        <v>0.46044589956504001</v>
      </c>
      <c r="N14">
        <v>0</v>
      </c>
    </row>
    <row r="15" spans="1:15" x14ac:dyDescent="0.25">
      <c r="A15" s="2"/>
      <c r="B15" t="s">
        <v>57</v>
      </c>
      <c r="C15" t="s">
        <v>16</v>
      </c>
      <c r="D15" t="s">
        <v>45</v>
      </c>
      <c r="E15" t="s">
        <v>46</v>
      </c>
      <c r="F15" t="s">
        <v>47</v>
      </c>
      <c r="G15" t="s">
        <v>58</v>
      </c>
      <c r="H15" s="3">
        <v>757.18</v>
      </c>
      <c r="I15">
        <v>15</v>
      </c>
      <c r="J15">
        <v>0</v>
      </c>
      <c r="K15">
        <v>49</v>
      </c>
      <c r="L15" s="4">
        <v>0.91762089530982904</v>
      </c>
      <c r="M15" s="4">
        <v>8.2379104690170596E-2</v>
      </c>
      <c r="N15">
        <v>0</v>
      </c>
    </row>
    <row r="16" spans="1:15" x14ac:dyDescent="0.25">
      <c r="A16" s="2">
        <v>22993091</v>
      </c>
      <c r="B16" t="s">
        <v>59</v>
      </c>
      <c r="C16" t="s">
        <v>31</v>
      </c>
      <c r="D16" t="s">
        <v>45</v>
      </c>
      <c r="E16" t="s">
        <v>46</v>
      </c>
      <c r="F16" t="s">
        <v>47</v>
      </c>
      <c r="G16" t="s">
        <v>60</v>
      </c>
      <c r="H16" s="3">
        <v>774.19</v>
      </c>
      <c r="I16">
        <v>376</v>
      </c>
      <c r="J16">
        <v>1</v>
      </c>
      <c r="K16">
        <v>15</v>
      </c>
      <c r="L16" s="4">
        <v>0.54700916684623002</v>
      </c>
      <c r="M16" s="4">
        <v>0.45299083315376998</v>
      </c>
      <c r="N16">
        <v>0</v>
      </c>
    </row>
    <row r="17" spans="1:15" x14ac:dyDescent="0.25">
      <c r="A17" s="2"/>
      <c r="B17" t="s">
        <v>61</v>
      </c>
      <c r="C17" t="s">
        <v>16</v>
      </c>
      <c r="D17" t="s">
        <v>45</v>
      </c>
      <c r="E17" t="s">
        <v>46</v>
      </c>
      <c r="F17" t="s">
        <v>62</v>
      </c>
      <c r="G17" t="s">
        <v>63</v>
      </c>
      <c r="H17" s="3">
        <v>750.16</v>
      </c>
      <c r="I17">
        <v>904</v>
      </c>
      <c r="J17">
        <v>1</v>
      </c>
      <c r="K17">
        <v>19</v>
      </c>
      <c r="L17" s="4">
        <v>0.10131625495544</v>
      </c>
      <c r="M17" s="4">
        <v>0.89868374504455995</v>
      </c>
      <c r="N17">
        <v>0</v>
      </c>
    </row>
    <row r="18" spans="1:15" x14ac:dyDescent="0.25">
      <c r="A18" s="2"/>
      <c r="B18" t="s">
        <v>64</v>
      </c>
      <c r="C18" t="s">
        <v>16</v>
      </c>
      <c r="D18" t="s">
        <v>65</v>
      </c>
      <c r="E18" t="s">
        <v>66</v>
      </c>
      <c r="F18" t="s">
        <v>67</v>
      </c>
      <c r="G18" t="s">
        <v>68</v>
      </c>
      <c r="H18" s="3">
        <v>653.96</v>
      </c>
      <c r="I18">
        <v>322</v>
      </c>
      <c r="J18">
        <v>1</v>
      </c>
      <c r="K18">
        <v>25</v>
      </c>
      <c r="L18" s="4">
        <v>0.184078864503708</v>
      </c>
      <c r="M18" s="4">
        <v>0.81592113549629197</v>
      </c>
      <c r="N18">
        <v>0</v>
      </c>
    </row>
    <row r="19" spans="1:15" x14ac:dyDescent="0.25">
      <c r="A19" s="2">
        <v>23828613</v>
      </c>
      <c r="C19" t="s">
        <v>0</v>
      </c>
      <c r="D19" t="s">
        <v>69</v>
      </c>
      <c r="E19" t="s">
        <v>70</v>
      </c>
      <c r="F19" t="s">
        <v>62</v>
      </c>
      <c r="G19" t="s">
        <v>71</v>
      </c>
      <c r="H19" s="3">
        <v>2336.2800000000002</v>
      </c>
      <c r="I19">
        <v>544</v>
      </c>
      <c r="J19">
        <v>0</v>
      </c>
      <c r="L19" s="4">
        <v>0.21081328626975199</v>
      </c>
      <c r="M19" s="4">
        <v>0.78918671373024796</v>
      </c>
      <c r="N19">
        <v>0</v>
      </c>
    </row>
    <row r="20" spans="1:15" x14ac:dyDescent="0.25">
      <c r="A20" s="2"/>
      <c r="B20" t="s">
        <v>72</v>
      </c>
      <c r="C20" t="s">
        <v>16</v>
      </c>
      <c r="D20" t="s">
        <v>45</v>
      </c>
      <c r="E20" t="s">
        <v>52</v>
      </c>
      <c r="F20" t="s">
        <v>73</v>
      </c>
      <c r="G20" t="s">
        <v>74</v>
      </c>
      <c r="H20" s="3">
        <v>754.9</v>
      </c>
      <c r="I20">
        <v>476</v>
      </c>
      <c r="J20">
        <v>1</v>
      </c>
      <c r="K20">
        <v>19</v>
      </c>
      <c r="L20" s="4">
        <v>0.29987595933679601</v>
      </c>
      <c r="M20" s="4">
        <v>0.70012404066320399</v>
      </c>
      <c r="N20">
        <v>0</v>
      </c>
    </row>
    <row r="21" spans="1:15" x14ac:dyDescent="0.25">
      <c r="A21" s="2"/>
      <c r="B21" t="s">
        <v>75</v>
      </c>
      <c r="C21" t="s">
        <v>16</v>
      </c>
      <c r="D21" t="s">
        <v>69</v>
      </c>
      <c r="E21" t="s">
        <v>76</v>
      </c>
      <c r="F21" t="s">
        <v>77</v>
      </c>
      <c r="G21" t="s">
        <v>78</v>
      </c>
      <c r="H21" s="3">
        <v>1901.04</v>
      </c>
      <c r="I21">
        <v>666</v>
      </c>
      <c r="J21">
        <v>0</v>
      </c>
      <c r="L21" s="4">
        <v>0.29481324006985898</v>
      </c>
      <c r="M21" s="4">
        <v>0.70518675993014102</v>
      </c>
      <c r="N21">
        <v>0</v>
      </c>
    </row>
    <row r="22" spans="1:15" x14ac:dyDescent="0.25">
      <c r="A22" s="2"/>
      <c r="C22" t="s">
        <v>28</v>
      </c>
      <c r="D22" t="s">
        <v>69</v>
      </c>
      <c r="E22" t="s">
        <v>76</v>
      </c>
      <c r="F22" t="s">
        <v>77</v>
      </c>
      <c r="G22" t="s">
        <v>79</v>
      </c>
      <c r="H22" s="3">
        <v>1884.01</v>
      </c>
      <c r="I22">
        <v>94</v>
      </c>
      <c r="J22">
        <v>1</v>
      </c>
      <c r="K22">
        <v>10</v>
      </c>
      <c r="L22" s="4">
        <v>0.38723498224019398</v>
      </c>
      <c r="M22" s="4">
        <v>0.61276501775980596</v>
      </c>
      <c r="N22">
        <v>0</v>
      </c>
    </row>
    <row r="23" spans="1:15" x14ac:dyDescent="0.25">
      <c r="A23" s="2"/>
      <c r="B23" t="s">
        <v>80</v>
      </c>
      <c r="C23" t="s">
        <v>16</v>
      </c>
      <c r="D23" t="s">
        <v>69</v>
      </c>
      <c r="E23" t="s">
        <v>76</v>
      </c>
      <c r="F23" t="s">
        <v>77</v>
      </c>
      <c r="G23" t="s">
        <v>81</v>
      </c>
      <c r="H23" s="3">
        <v>2250.9699999999998</v>
      </c>
      <c r="I23">
        <v>62</v>
      </c>
      <c r="J23">
        <v>1</v>
      </c>
      <c r="K23">
        <v>26</v>
      </c>
      <c r="L23" s="4">
        <v>0.32758913089719199</v>
      </c>
      <c r="M23" s="4">
        <v>0.67241086910280801</v>
      </c>
      <c r="N23">
        <v>0</v>
      </c>
    </row>
    <row r="24" spans="1:15" x14ac:dyDescent="0.25">
      <c r="A24" s="2"/>
      <c r="B24" t="s">
        <v>82</v>
      </c>
      <c r="C24" t="s">
        <v>16</v>
      </c>
      <c r="D24" t="s">
        <v>69</v>
      </c>
      <c r="E24" t="s">
        <v>76</v>
      </c>
      <c r="F24" t="s">
        <v>77</v>
      </c>
      <c r="G24" t="s">
        <v>83</v>
      </c>
      <c r="H24" s="5"/>
      <c r="I24">
        <v>188</v>
      </c>
      <c r="J24">
        <v>1</v>
      </c>
      <c r="K24">
        <v>34</v>
      </c>
      <c r="L24" s="4">
        <v>1.9121600004575402E-2</v>
      </c>
      <c r="M24" s="4">
        <v>0.98087839999542503</v>
      </c>
      <c r="N24">
        <v>0</v>
      </c>
      <c r="O24" s="25"/>
    </row>
    <row r="25" spans="1:15" x14ac:dyDescent="0.25">
      <c r="A25" s="2"/>
      <c r="B25" t="s">
        <v>85</v>
      </c>
      <c r="C25" t="s">
        <v>16</v>
      </c>
      <c r="D25" t="s">
        <v>86</v>
      </c>
      <c r="E25" t="s">
        <v>87</v>
      </c>
      <c r="F25" t="s">
        <v>88</v>
      </c>
      <c r="G25" t="s">
        <v>89</v>
      </c>
      <c r="H25" s="3">
        <v>2270.16</v>
      </c>
      <c r="I25">
        <v>764</v>
      </c>
      <c r="J25">
        <v>0</v>
      </c>
      <c r="K25">
        <v>15</v>
      </c>
      <c r="L25" s="4">
        <v>0.80451020197608503</v>
      </c>
      <c r="M25" s="4">
        <v>0.195489798023915</v>
      </c>
      <c r="N25">
        <v>0</v>
      </c>
    </row>
    <row r="26" spans="1:15" x14ac:dyDescent="0.25">
      <c r="A26" s="2">
        <v>21624095</v>
      </c>
      <c r="B26" t="s">
        <v>90</v>
      </c>
      <c r="C26" t="s">
        <v>31</v>
      </c>
      <c r="D26" t="s">
        <v>86</v>
      </c>
      <c r="E26" t="s">
        <v>91</v>
      </c>
      <c r="F26" t="s">
        <v>92</v>
      </c>
      <c r="G26" t="s">
        <v>93</v>
      </c>
      <c r="H26" s="3">
        <v>1991.5</v>
      </c>
      <c r="I26">
        <v>513</v>
      </c>
      <c r="J26">
        <v>0</v>
      </c>
      <c r="K26">
        <v>8</v>
      </c>
      <c r="L26" s="4">
        <v>0.34607205157472598</v>
      </c>
      <c r="M26" s="4">
        <v>0.65392794842527402</v>
      </c>
      <c r="N26">
        <v>0</v>
      </c>
    </row>
    <row r="27" spans="1:15" x14ac:dyDescent="0.25">
      <c r="A27" s="2"/>
      <c r="C27" t="s">
        <v>28</v>
      </c>
      <c r="D27" t="s">
        <v>86</v>
      </c>
      <c r="E27" t="s">
        <v>94</v>
      </c>
      <c r="F27" t="s">
        <v>95</v>
      </c>
      <c r="G27" t="s">
        <v>96</v>
      </c>
      <c r="H27" s="3">
        <v>1919.51</v>
      </c>
      <c r="I27">
        <v>180</v>
      </c>
      <c r="J27">
        <v>0</v>
      </c>
      <c r="K27">
        <v>43</v>
      </c>
      <c r="L27" s="4">
        <v>0.96653616661646802</v>
      </c>
      <c r="M27" s="4">
        <v>3.3463833383531899E-2</v>
      </c>
      <c r="N27">
        <v>0</v>
      </c>
    </row>
    <row r="28" spans="1:15" x14ac:dyDescent="0.25">
      <c r="A28" s="2">
        <v>23734913</v>
      </c>
      <c r="C28" t="s">
        <v>0</v>
      </c>
      <c r="D28" t="s">
        <v>86</v>
      </c>
      <c r="E28" t="s">
        <v>94</v>
      </c>
      <c r="F28" t="s">
        <v>95</v>
      </c>
      <c r="G28" t="s">
        <v>97</v>
      </c>
      <c r="H28" s="3">
        <v>2352.94</v>
      </c>
      <c r="I28">
        <v>520</v>
      </c>
      <c r="J28">
        <v>0</v>
      </c>
      <c r="K28">
        <v>31</v>
      </c>
      <c r="L28" s="4">
        <v>8.6637113231671906E-2</v>
      </c>
      <c r="M28" s="4">
        <v>0.913362886768328</v>
      </c>
      <c r="N28">
        <v>0</v>
      </c>
    </row>
    <row r="29" spans="1:15" x14ac:dyDescent="0.25">
      <c r="A29" s="2"/>
      <c r="C29" t="s">
        <v>28</v>
      </c>
      <c r="D29" t="s">
        <v>69</v>
      </c>
      <c r="E29" t="s">
        <v>98</v>
      </c>
      <c r="F29" t="s">
        <v>99</v>
      </c>
      <c r="G29" t="s">
        <v>100</v>
      </c>
      <c r="H29" s="3">
        <v>1928.45</v>
      </c>
      <c r="I29">
        <v>818</v>
      </c>
      <c r="J29">
        <v>0</v>
      </c>
      <c r="K29">
        <v>15</v>
      </c>
      <c r="L29" s="4">
        <v>0.78811469213136298</v>
      </c>
      <c r="M29" s="4">
        <v>0.21188530786863699</v>
      </c>
      <c r="N29">
        <v>0</v>
      </c>
    </row>
    <row r="30" spans="1:15" x14ac:dyDescent="0.25">
      <c r="A30" s="2"/>
      <c r="C30" t="s">
        <v>28</v>
      </c>
      <c r="D30" t="s">
        <v>69</v>
      </c>
      <c r="E30" t="s">
        <v>98</v>
      </c>
      <c r="F30" t="s">
        <v>99</v>
      </c>
      <c r="G30" t="s">
        <v>101</v>
      </c>
      <c r="H30" s="3">
        <v>1928.46</v>
      </c>
      <c r="I30">
        <v>153</v>
      </c>
      <c r="J30">
        <v>1</v>
      </c>
      <c r="K30">
        <v>1</v>
      </c>
      <c r="L30" s="4">
        <v>0.46789625515227101</v>
      </c>
      <c r="M30" s="4">
        <v>0.53210374484772904</v>
      </c>
      <c r="N30">
        <v>0</v>
      </c>
    </row>
    <row r="31" spans="1:15" x14ac:dyDescent="0.25">
      <c r="A31" s="2"/>
      <c r="C31" t="s">
        <v>28</v>
      </c>
      <c r="D31" t="s">
        <v>69</v>
      </c>
      <c r="E31" t="s">
        <v>98</v>
      </c>
      <c r="F31" t="s">
        <v>99</v>
      </c>
      <c r="G31" t="s">
        <v>102</v>
      </c>
      <c r="H31" s="3">
        <v>1928.46</v>
      </c>
      <c r="I31">
        <v>606</v>
      </c>
      <c r="J31">
        <v>0</v>
      </c>
      <c r="K31">
        <v>20</v>
      </c>
      <c r="L31" s="4">
        <v>0.32231036910097199</v>
      </c>
      <c r="M31" s="4">
        <v>0.67768963089902801</v>
      </c>
      <c r="N31">
        <v>0</v>
      </c>
    </row>
    <row r="32" spans="1:15" x14ac:dyDescent="0.25">
      <c r="A32" s="2"/>
      <c r="C32" t="s">
        <v>28</v>
      </c>
      <c r="D32" t="s">
        <v>69</v>
      </c>
      <c r="E32" t="s">
        <v>98</v>
      </c>
      <c r="F32" t="s">
        <v>99</v>
      </c>
      <c r="G32" t="s">
        <v>103</v>
      </c>
      <c r="H32" s="3">
        <v>1928.46</v>
      </c>
      <c r="I32">
        <v>288</v>
      </c>
      <c r="J32">
        <v>1</v>
      </c>
      <c r="K32">
        <v>2</v>
      </c>
      <c r="L32" s="4">
        <v>0.45128437586041298</v>
      </c>
      <c r="M32" s="4">
        <v>0.54871562413958797</v>
      </c>
      <c r="N32">
        <v>0</v>
      </c>
    </row>
    <row r="33" spans="1:14" x14ac:dyDescent="0.25">
      <c r="A33" s="2">
        <v>21948184</v>
      </c>
      <c r="B33" t="s">
        <v>104</v>
      </c>
      <c r="C33" t="s">
        <v>31</v>
      </c>
      <c r="D33" t="s">
        <v>69</v>
      </c>
      <c r="E33" t="s">
        <v>105</v>
      </c>
      <c r="F33" t="s">
        <v>106</v>
      </c>
      <c r="G33" t="s">
        <v>107</v>
      </c>
      <c r="H33" s="3">
        <v>2338.2800000000002</v>
      </c>
      <c r="I33">
        <v>528</v>
      </c>
      <c r="J33">
        <v>1</v>
      </c>
      <c r="K33">
        <v>9</v>
      </c>
      <c r="L33" s="4">
        <v>0.26363813785956203</v>
      </c>
      <c r="M33" s="4">
        <v>0.73636186214043897</v>
      </c>
      <c r="N33">
        <v>0</v>
      </c>
    </row>
    <row r="34" spans="1:14" x14ac:dyDescent="0.25">
      <c r="A34" s="2">
        <v>23340916</v>
      </c>
      <c r="C34" t="s">
        <v>0</v>
      </c>
      <c r="D34" t="s">
        <v>69</v>
      </c>
      <c r="E34" t="s">
        <v>105</v>
      </c>
      <c r="F34" t="s">
        <v>106</v>
      </c>
      <c r="G34" t="s">
        <v>108</v>
      </c>
      <c r="H34" s="3">
        <v>2002</v>
      </c>
      <c r="I34">
        <v>420</v>
      </c>
      <c r="J34">
        <v>1</v>
      </c>
      <c r="K34">
        <v>45</v>
      </c>
      <c r="L34" s="4">
        <v>0.101240673602363</v>
      </c>
      <c r="M34" s="4">
        <v>0.898759326397637</v>
      </c>
      <c r="N34">
        <v>0</v>
      </c>
    </row>
    <row r="35" spans="1:14" x14ac:dyDescent="0.25">
      <c r="A35" s="2">
        <v>23672932</v>
      </c>
      <c r="B35" t="s">
        <v>109</v>
      </c>
      <c r="C35" t="s">
        <v>31</v>
      </c>
      <c r="D35" t="s">
        <v>110</v>
      </c>
      <c r="E35" t="s">
        <v>111</v>
      </c>
      <c r="F35" t="s">
        <v>106</v>
      </c>
      <c r="G35" t="s">
        <v>112</v>
      </c>
      <c r="H35" s="3">
        <v>2040</v>
      </c>
      <c r="I35">
        <v>371</v>
      </c>
      <c r="J35">
        <v>1</v>
      </c>
      <c r="K35">
        <v>25</v>
      </c>
      <c r="L35" s="4">
        <v>0.99817274940258205</v>
      </c>
      <c r="M35" s="4">
        <v>1.8272505974179501E-3</v>
      </c>
      <c r="N35">
        <v>0</v>
      </c>
    </row>
    <row r="36" spans="1:14" x14ac:dyDescent="0.25">
      <c r="A36" s="2"/>
      <c r="C36" t="s">
        <v>28</v>
      </c>
      <c r="D36" t="s">
        <v>113</v>
      </c>
      <c r="E36" t="s">
        <v>114</v>
      </c>
      <c r="F36" t="s">
        <v>115</v>
      </c>
      <c r="G36" t="s">
        <v>116</v>
      </c>
      <c r="H36" s="3">
        <v>1695</v>
      </c>
      <c r="I36">
        <v>363</v>
      </c>
      <c r="J36">
        <v>0</v>
      </c>
      <c r="K36">
        <v>2</v>
      </c>
      <c r="L36" s="4">
        <v>0.88108645004680397</v>
      </c>
      <c r="M36" s="4">
        <v>0.118913549953196</v>
      </c>
      <c r="N36">
        <v>0</v>
      </c>
    </row>
    <row r="37" spans="1:14" x14ac:dyDescent="0.25">
      <c r="A37" s="2"/>
      <c r="C37" t="s">
        <v>28</v>
      </c>
      <c r="D37" t="s">
        <v>86</v>
      </c>
      <c r="E37" t="s">
        <v>117</v>
      </c>
      <c r="F37" t="s">
        <v>118</v>
      </c>
      <c r="G37" t="s">
        <v>119</v>
      </c>
      <c r="H37" s="3">
        <v>1970.57</v>
      </c>
      <c r="I37">
        <v>288</v>
      </c>
      <c r="K37">
        <v>41</v>
      </c>
      <c r="L37" s="4">
        <v>0.51888946128159097</v>
      </c>
      <c r="M37" s="4">
        <v>0.48111053871840898</v>
      </c>
      <c r="N37">
        <v>0</v>
      </c>
    </row>
    <row r="38" spans="1:14" x14ac:dyDescent="0.25">
      <c r="A38" s="2"/>
      <c r="B38" t="s">
        <v>120</v>
      </c>
      <c r="C38" t="s">
        <v>16</v>
      </c>
      <c r="D38" t="s">
        <v>121</v>
      </c>
      <c r="E38" t="s">
        <v>122</v>
      </c>
      <c r="F38" t="s">
        <v>123</v>
      </c>
      <c r="G38" t="s">
        <v>124</v>
      </c>
      <c r="H38" s="3">
        <v>1968.63</v>
      </c>
      <c r="I38">
        <v>372</v>
      </c>
      <c r="J38">
        <v>0</v>
      </c>
      <c r="K38">
        <v>27</v>
      </c>
      <c r="L38" s="4">
        <v>0.72814812604696</v>
      </c>
      <c r="M38" s="4">
        <v>0.27185187395304</v>
      </c>
      <c r="N38">
        <v>0</v>
      </c>
    </row>
    <row r="39" spans="1:14" x14ac:dyDescent="0.25">
      <c r="A39" s="2"/>
      <c r="B39" t="s">
        <v>125</v>
      </c>
      <c r="C39" t="s">
        <v>16</v>
      </c>
      <c r="D39" t="s">
        <v>121</v>
      </c>
      <c r="E39" t="s">
        <v>122</v>
      </c>
      <c r="F39" t="s">
        <v>123</v>
      </c>
      <c r="G39" t="s">
        <v>126</v>
      </c>
      <c r="H39" s="3">
        <v>1834.77</v>
      </c>
      <c r="I39">
        <v>968</v>
      </c>
      <c r="J39">
        <v>0</v>
      </c>
      <c r="L39" s="4">
        <v>0.55407174470302301</v>
      </c>
      <c r="M39" s="4">
        <v>0.44592825529697699</v>
      </c>
      <c r="N39">
        <v>1582</v>
      </c>
    </row>
    <row r="40" spans="1:14" x14ac:dyDescent="0.25">
      <c r="A40" s="2"/>
      <c r="B40" t="s">
        <v>127</v>
      </c>
      <c r="C40" t="s">
        <v>16</v>
      </c>
      <c r="D40" t="s">
        <v>121</v>
      </c>
      <c r="E40" t="s">
        <v>122</v>
      </c>
      <c r="F40" t="s">
        <v>123</v>
      </c>
      <c r="G40" t="s">
        <v>128</v>
      </c>
      <c r="H40" s="3">
        <v>2374.52</v>
      </c>
      <c r="I40">
        <v>202</v>
      </c>
      <c r="J40">
        <v>1</v>
      </c>
      <c r="K40">
        <v>20</v>
      </c>
      <c r="L40" s="4">
        <v>0.43837387226268798</v>
      </c>
      <c r="M40" s="4">
        <v>0.56162612773731202</v>
      </c>
      <c r="N40">
        <v>0</v>
      </c>
    </row>
    <row r="41" spans="1:14" x14ac:dyDescent="0.25">
      <c r="A41" s="2"/>
      <c r="B41" t="s">
        <v>129</v>
      </c>
      <c r="C41" t="s">
        <v>16</v>
      </c>
      <c r="D41" t="s">
        <v>69</v>
      </c>
      <c r="E41" t="s">
        <v>130</v>
      </c>
      <c r="F41" t="s">
        <v>131</v>
      </c>
      <c r="G41" t="s">
        <v>132</v>
      </c>
      <c r="H41" s="3">
        <v>1834.77</v>
      </c>
      <c r="I41">
        <v>154</v>
      </c>
      <c r="J41">
        <v>1</v>
      </c>
      <c r="K41">
        <v>31</v>
      </c>
      <c r="L41" s="4">
        <v>0.76078285956708802</v>
      </c>
      <c r="M41" s="4">
        <v>0.23921714043291201</v>
      </c>
      <c r="N41">
        <v>998</v>
      </c>
    </row>
    <row r="42" spans="1:14" x14ac:dyDescent="0.25">
      <c r="A42" s="2"/>
      <c r="C42" t="s">
        <v>28</v>
      </c>
      <c r="D42" t="s">
        <v>133</v>
      </c>
      <c r="E42" t="s">
        <v>134</v>
      </c>
      <c r="F42" t="s">
        <v>135</v>
      </c>
      <c r="G42" t="s">
        <v>136</v>
      </c>
      <c r="H42" s="3">
        <v>2145.6</v>
      </c>
      <c r="I42">
        <v>223</v>
      </c>
      <c r="J42">
        <v>0</v>
      </c>
      <c r="K42">
        <v>33</v>
      </c>
      <c r="L42" s="4">
        <v>0.68969294807591996</v>
      </c>
      <c r="M42" s="4">
        <v>0.31030705192407998</v>
      </c>
      <c r="N42">
        <v>0</v>
      </c>
    </row>
    <row r="43" spans="1:14" x14ac:dyDescent="0.25">
      <c r="A43" s="2"/>
      <c r="B43" t="s">
        <v>137</v>
      </c>
      <c r="C43" t="s">
        <v>16</v>
      </c>
      <c r="D43" t="s">
        <v>133</v>
      </c>
      <c r="E43" t="s">
        <v>134</v>
      </c>
      <c r="F43" t="s">
        <v>135</v>
      </c>
      <c r="G43" t="s">
        <v>138</v>
      </c>
      <c r="H43" s="3">
        <v>2399.2800000000002</v>
      </c>
      <c r="I43">
        <v>124</v>
      </c>
      <c r="J43">
        <v>0</v>
      </c>
      <c r="K43">
        <v>10</v>
      </c>
      <c r="L43" s="4">
        <v>0.67490891341098902</v>
      </c>
      <c r="M43" s="4">
        <v>0.32509108658901098</v>
      </c>
      <c r="N43">
        <v>0</v>
      </c>
    </row>
    <row r="44" spans="1:14" x14ac:dyDescent="0.25">
      <c r="A44" s="2"/>
      <c r="B44" t="s">
        <v>139</v>
      </c>
      <c r="C44" t="s">
        <v>16</v>
      </c>
      <c r="D44" t="s">
        <v>133</v>
      </c>
      <c r="E44" t="s">
        <v>134</v>
      </c>
      <c r="F44" t="s">
        <v>135</v>
      </c>
      <c r="G44" t="s">
        <v>140</v>
      </c>
      <c r="H44" s="3">
        <v>2399.2800000000002</v>
      </c>
      <c r="I44">
        <v>47</v>
      </c>
      <c r="J44">
        <v>1</v>
      </c>
      <c r="K44">
        <v>41</v>
      </c>
      <c r="L44" s="4">
        <v>3.2079190253510602E-2</v>
      </c>
      <c r="M44" s="4">
        <v>0.96792080974648897</v>
      </c>
      <c r="N44">
        <v>0</v>
      </c>
    </row>
    <row r="45" spans="1:14" x14ac:dyDescent="0.25">
      <c r="A45" s="2"/>
      <c r="B45" t="s">
        <v>141</v>
      </c>
      <c r="C45" t="s">
        <v>16</v>
      </c>
      <c r="D45" t="s">
        <v>133</v>
      </c>
      <c r="E45" t="s">
        <v>134</v>
      </c>
      <c r="F45" t="s">
        <v>135</v>
      </c>
      <c r="G45" t="s">
        <v>142</v>
      </c>
      <c r="H45" s="3">
        <v>2232.7399999999998</v>
      </c>
      <c r="I45">
        <v>906</v>
      </c>
      <c r="J45">
        <v>1</v>
      </c>
      <c r="K45">
        <v>42</v>
      </c>
      <c r="L45" s="4">
        <v>0.33505783428337399</v>
      </c>
      <c r="M45" s="4">
        <v>0.66494216571662601</v>
      </c>
      <c r="N45">
        <v>0</v>
      </c>
    </row>
    <row r="46" spans="1:14" x14ac:dyDescent="0.25">
      <c r="A46" s="2"/>
      <c r="B46" t="s">
        <v>143</v>
      </c>
      <c r="C46" t="s">
        <v>16</v>
      </c>
      <c r="D46" t="s">
        <v>121</v>
      </c>
      <c r="E46" t="s">
        <v>144</v>
      </c>
      <c r="F46" t="s">
        <v>145</v>
      </c>
      <c r="G46" t="s">
        <v>146</v>
      </c>
      <c r="H46" s="3">
        <v>2015.72</v>
      </c>
      <c r="J46">
        <v>0</v>
      </c>
      <c r="K46">
        <v>13</v>
      </c>
      <c r="L46" s="4">
        <v>0.69217947024827398</v>
      </c>
      <c r="M46" s="4">
        <v>0.30782052975172602</v>
      </c>
      <c r="N46">
        <v>0</v>
      </c>
    </row>
    <row r="47" spans="1:14" x14ac:dyDescent="0.25">
      <c r="A47" s="2"/>
      <c r="B47" t="s">
        <v>147</v>
      </c>
      <c r="C47" t="s">
        <v>16</v>
      </c>
      <c r="D47" t="s">
        <v>148</v>
      </c>
      <c r="E47" t="s">
        <v>149</v>
      </c>
      <c r="F47" t="s">
        <v>150</v>
      </c>
      <c r="G47" t="s">
        <v>151</v>
      </c>
      <c r="H47" s="3">
        <v>1240</v>
      </c>
      <c r="I47">
        <v>187</v>
      </c>
      <c r="J47">
        <v>1</v>
      </c>
      <c r="K47">
        <v>19</v>
      </c>
      <c r="L47" s="4">
        <v>0.95668546876723104</v>
      </c>
      <c r="M47" s="4">
        <v>4.3314531232769203E-2</v>
      </c>
      <c r="N47">
        <v>0</v>
      </c>
    </row>
    <row r="48" spans="1:14" x14ac:dyDescent="0.25">
      <c r="A48" s="2"/>
      <c r="B48" t="s">
        <v>152</v>
      </c>
      <c r="C48" t="s">
        <v>16</v>
      </c>
      <c r="D48" t="s">
        <v>121</v>
      </c>
      <c r="E48" t="s">
        <v>153</v>
      </c>
      <c r="F48" t="s">
        <v>154</v>
      </c>
      <c r="G48" t="s">
        <v>155</v>
      </c>
      <c r="H48" s="3">
        <v>1836.92</v>
      </c>
      <c r="I48">
        <v>781</v>
      </c>
      <c r="J48">
        <v>1</v>
      </c>
      <c r="K48">
        <v>39</v>
      </c>
      <c r="L48" s="4">
        <v>0.49013332509823998</v>
      </c>
      <c r="M48" s="4">
        <v>0.50986667490175996</v>
      </c>
      <c r="N48">
        <v>0</v>
      </c>
    </row>
    <row r="49" spans="1:14" x14ac:dyDescent="0.25">
      <c r="A49" s="2"/>
      <c r="B49" t="s">
        <v>156</v>
      </c>
      <c r="C49" t="s">
        <v>16</v>
      </c>
      <c r="D49" t="s">
        <v>121</v>
      </c>
      <c r="E49" t="s">
        <v>153</v>
      </c>
      <c r="F49" t="s">
        <v>154</v>
      </c>
      <c r="G49" t="s">
        <v>157</v>
      </c>
      <c r="H49" s="3">
        <v>1836.92</v>
      </c>
      <c r="I49">
        <v>220</v>
      </c>
      <c r="J49">
        <v>0</v>
      </c>
      <c r="K49">
        <v>36</v>
      </c>
      <c r="L49" s="4">
        <v>0.91862639317919004</v>
      </c>
      <c r="M49" s="4">
        <v>8.1373606820810296E-2</v>
      </c>
      <c r="N49">
        <v>0</v>
      </c>
    </row>
    <row r="50" spans="1:14" x14ac:dyDescent="0.25">
      <c r="A50" s="2"/>
      <c r="B50" t="s">
        <v>158</v>
      </c>
      <c r="C50" t="s">
        <v>16</v>
      </c>
      <c r="D50" t="s">
        <v>110</v>
      </c>
      <c r="E50" t="s">
        <v>159</v>
      </c>
      <c r="F50" t="s">
        <v>160</v>
      </c>
      <c r="G50" t="s">
        <v>161</v>
      </c>
      <c r="H50" s="3">
        <v>2040</v>
      </c>
      <c r="I50">
        <v>663</v>
      </c>
      <c r="J50">
        <v>0</v>
      </c>
      <c r="K50">
        <v>1</v>
      </c>
      <c r="L50" s="4">
        <v>0.26470402478694199</v>
      </c>
      <c r="M50" s="4">
        <v>0.73529597521305801</v>
      </c>
      <c r="N50">
        <v>0</v>
      </c>
    </row>
    <row r="51" spans="1:14" x14ac:dyDescent="0.25">
      <c r="A51" s="2"/>
      <c r="B51" t="s">
        <v>162</v>
      </c>
      <c r="C51" t="s">
        <v>16</v>
      </c>
      <c r="D51" t="s">
        <v>86</v>
      </c>
      <c r="E51" t="s">
        <v>163</v>
      </c>
      <c r="F51" t="s">
        <v>164</v>
      </c>
      <c r="G51" t="s">
        <v>165</v>
      </c>
      <c r="H51" s="3">
        <v>2373.59</v>
      </c>
      <c r="J51">
        <v>1</v>
      </c>
      <c r="K51">
        <v>11</v>
      </c>
      <c r="L51" s="4">
        <v>0.87654668036542904</v>
      </c>
      <c r="M51" s="4">
        <v>0.123453319634571</v>
      </c>
      <c r="N51">
        <v>0</v>
      </c>
    </row>
    <row r="52" spans="1:14" x14ac:dyDescent="0.25">
      <c r="A52" s="2"/>
      <c r="B52" t="s">
        <v>166</v>
      </c>
      <c r="C52" t="s">
        <v>16</v>
      </c>
      <c r="D52" t="s">
        <v>86</v>
      </c>
      <c r="E52" t="s">
        <v>163</v>
      </c>
      <c r="F52" t="s">
        <v>164</v>
      </c>
      <c r="G52" t="s">
        <v>167</v>
      </c>
      <c r="H52" s="3">
        <v>2373.59</v>
      </c>
      <c r="I52">
        <v>963</v>
      </c>
      <c r="J52">
        <v>0</v>
      </c>
      <c r="L52" s="4">
        <v>0.28264502943067599</v>
      </c>
      <c r="M52" s="4">
        <v>0.71735497056932396</v>
      </c>
      <c r="N52">
        <v>0</v>
      </c>
    </row>
    <row r="53" spans="1:14" x14ac:dyDescent="0.25">
      <c r="A53" s="2">
        <v>23514390</v>
      </c>
      <c r="C53" t="s">
        <v>0</v>
      </c>
      <c r="D53" t="s">
        <v>133</v>
      </c>
      <c r="E53" t="s">
        <v>168</v>
      </c>
      <c r="F53" t="s">
        <v>169</v>
      </c>
      <c r="G53" t="s">
        <v>170</v>
      </c>
      <c r="H53" s="3">
        <v>1804.19</v>
      </c>
      <c r="I53">
        <v>896</v>
      </c>
      <c r="J53">
        <v>0</v>
      </c>
      <c r="K53">
        <v>4</v>
      </c>
      <c r="L53" s="4">
        <v>0.45372108306441999</v>
      </c>
      <c r="M53" s="4">
        <v>0.54627891693557995</v>
      </c>
      <c r="N53">
        <v>0</v>
      </c>
    </row>
    <row r="54" spans="1:14" x14ac:dyDescent="0.25">
      <c r="A54" s="2"/>
      <c r="B54" t="s">
        <v>171</v>
      </c>
      <c r="C54" t="s">
        <v>16</v>
      </c>
      <c r="D54" t="s">
        <v>172</v>
      </c>
      <c r="E54" t="s">
        <v>173</v>
      </c>
      <c r="F54" t="s">
        <v>174</v>
      </c>
      <c r="G54" t="s">
        <v>175</v>
      </c>
      <c r="H54" s="3">
        <v>1152.5</v>
      </c>
      <c r="I54">
        <v>232</v>
      </c>
      <c r="J54">
        <v>1</v>
      </c>
      <c r="K54">
        <v>42</v>
      </c>
      <c r="L54" s="4">
        <v>0.91886063580893096</v>
      </c>
      <c r="M54" s="4">
        <v>8.1139364191068597E-2</v>
      </c>
      <c r="N54">
        <v>0</v>
      </c>
    </row>
    <row r="55" spans="1:14" x14ac:dyDescent="0.25">
      <c r="A55" s="2">
        <v>23599091</v>
      </c>
      <c r="C55" t="s">
        <v>0</v>
      </c>
      <c r="D55" t="s">
        <v>176</v>
      </c>
      <c r="E55" t="s">
        <v>177</v>
      </c>
      <c r="F55" t="s">
        <v>178</v>
      </c>
      <c r="G55" t="s">
        <v>179</v>
      </c>
      <c r="H55" s="3">
        <v>2350.02</v>
      </c>
      <c r="I55">
        <v>898</v>
      </c>
      <c r="J55">
        <v>1</v>
      </c>
      <c r="L55" s="4">
        <v>7.6149394182248906E-2</v>
      </c>
      <c r="M55" s="4">
        <v>0.92385060581775102</v>
      </c>
      <c r="N55">
        <v>0</v>
      </c>
    </row>
    <row r="56" spans="1:14" x14ac:dyDescent="0.25">
      <c r="A56" s="2">
        <v>22971149</v>
      </c>
      <c r="B56" t="s">
        <v>180</v>
      </c>
      <c r="C56" t="s">
        <v>31</v>
      </c>
      <c r="D56" t="s">
        <v>22</v>
      </c>
      <c r="E56" t="s">
        <v>22</v>
      </c>
      <c r="F56" t="s">
        <v>181</v>
      </c>
      <c r="G56" t="s">
        <v>182</v>
      </c>
      <c r="H56" s="3">
        <v>1533.29</v>
      </c>
      <c r="I56">
        <v>836</v>
      </c>
      <c r="J56">
        <v>0</v>
      </c>
      <c r="K56">
        <v>6</v>
      </c>
      <c r="L56" s="4">
        <v>0.78163229945874602</v>
      </c>
      <c r="M56" s="4">
        <v>0.21836770054125401</v>
      </c>
      <c r="N56">
        <v>0</v>
      </c>
    </row>
    <row r="57" spans="1:14" x14ac:dyDescent="0.25">
      <c r="A57" s="2"/>
      <c r="C57" t="s">
        <v>28</v>
      </c>
      <c r="D57" t="s">
        <v>86</v>
      </c>
      <c r="E57" t="s">
        <v>183</v>
      </c>
      <c r="F57" t="s">
        <v>184</v>
      </c>
      <c r="G57" t="s">
        <v>185</v>
      </c>
      <c r="H57" s="3">
        <v>1870.32</v>
      </c>
      <c r="I57">
        <v>577</v>
      </c>
      <c r="J57">
        <v>0</v>
      </c>
      <c r="K57">
        <v>40</v>
      </c>
      <c r="L57" s="4">
        <v>8.2446470114451199E-3</v>
      </c>
      <c r="M57" s="4">
        <v>0.99175535298855499</v>
      </c>
      <c r="N57">
        <v>0</v>
      </c>
    </row>
    <row r="58" spans="1:14" x14ac:dyDescent="0.25">
      <c r="A58" s="2"/>
      <c r="C58" t="s">
        <v>28</v>
      </c>
      <c r="D58" t="s">
        <v>86</v>
      </c>
      <c r="E58" t="s">
        <v>183</v>
      </c>
      <c r="F58" t="s">
        <v>184</v>
      </c>
      <c r="G58" t="s">
        <v>186</v>
      </c>
      <c r="H58" s="3">
        <v>1870.67</v>
      </c>
      <c r="I58">
        <v>902</v>
      </c>
      <c r="J58">
        <v>0</v>
      </c>
      <c r="K58">
        <v>9</v>
      </c>
      <c r="L58" s="4">
        <v>0.77091583934752195</v>
      </c>
      <c r="M58" s="4">
        <v>0.229084160652478</v>
      </c>
      <c r="N58">
        <v>0</v>
      </c>
    </row>
    <row r="59" spans="1:14" x14ac:dyDescent="0.25">
      <c r="A59" s="2"/>
      <c r="B59" t="s">
        <v>187</v>
      </c>
      <c r="C59" t="s">
        <v>16</v>
      </c>
      <c r="D59" t="s">
        <v>110</v>
      </c>
      <c r="E59" t="s">
        <v>188</v>
      </c>
      <c r="G59" t="s">
        <v>189</v>
      </c>
      <c r="H59" s="3">
        <v>2040</v>
      </c>
      <c r="I59">
        <v>309</v>
      </c>
      <c r="J59">
        <v>0</v>
      </c>
      <c r="K59">
        <v>22</v>
      </c>
      <c r="L59" s="4">
        <v>0.40418154303838799</v>
      </c>
      <c r="M59" s="4">
        <v>0.59581845696161195</v>
      </c>
      <c r="N59">
        <v>0</v>
      </c>
    </row>
    <row r="60" spans="1:14" x14ac:dyDescent="0.25">
      <c r="A60" s="2"/>
      <c r="B60" t="s">
        <v>190</v>
      </c>
      <c r="C60" t="s">
        <v>16</v>
      </c>
      <c r="D60" t="s">
        <v>191</v>
      </c>
      <c r="E60" t="s">
        <v>192</v>
      </c>
      <c r="F60" t="s">
        <v>193</v>
      </c>
      <c r="G60" t="s">
        <v>194</v>
      </c>
      <c r="H60" s="3">
        <v>1891.19</v>
      </c>
      <c r="I60">
        <v>742</v>
      </c>
      <c r="J60">
        <v>0</v>
      </c>
      <c r="K60">
        <v>1</v>
      </c>
      <c r="L60" s="4">
        <v>0.77604857592957199</v>
      </c>
      <c r="M60" s="4">
        <v>0.22395142407042801</v>
      </c>
      <c r="N60">
        <v>0</v>
      </c>
    </row>
    <row r="61" spans="1:14" x14ac:dyDescent="0.25">
      <c r="A61" s="2"/>
      <c r="B61" t="s">
        <v>195</v>
      </c>
      <c r="C61" t="s">
        <v>16</v>
      </c>
      <c r="D61" t="s">
        <v>133</v>
      </c>
      <c r="E61" t="s">
        <v>196</v>
      </c>
      <c r="F61" t="s">
        <v>197</v>
      </c>
      <c r="G61" t="s">
        <v>198</v>
      </c>
      <c r="H61" s="3">
        <v>2465.77</v>
      </c>
      <c r="I61">
        <v>598</v>
      </c>
      <c r="J61">
        <v>1</v>
      </c>
      <c r="L61" s="4">
        <v>0.24321978732071101</v>
      </c>
      <c r="M61" s="4">
        <v>0.75678021267928897</v>
      </c>
      <c r="N61">
        <v>0</v>
      </c>
    </row>
    <row r="62" spans="1:14" x14ac:dyDescent="0.25">
      <c r="A62" s="2"/>
      <c r="B62" t="s">
        <v>199</v>
      </c>
      <c r="C62" t="s">
        <v>16</v>
      </c>
      <c r="D62" t="s">
        <v>191</v>
      </c>
      <c r="E62" t="s">
        <v>192</v>
      </c>
      <c r="F62" t="s">
        <v>193</v>
      </c>
      <c r="G62" t="s">
        <v>200</v>
      </c>
      <c r="H62" s="3">
        <v>1953.76</v>
      </c>
      <c r="I62">
        <v>353</v>
      </c>
      <c r="J62">
        <v>1</v>
      </c>
      <c r="K62">
        <v>39</v>
      </c>
      <c r="L62" s="4">
        <v>0.88438689013302296</v>
      </c>
      <c r="M62" s="4">
        <v>0.115613109866977</v>
      </c>
      <c r="N62">
        <v>0</v>
      </c>
    </row>
    <row r="63" spans="1:14" x14ac:dyDescent="0.25">
      <c r="A63" s="2"/>
      <c r="B63" t="s">
        <v>201</v>
      </c>
      <c r="C63" t="s">
        <v>16</v>
      </c>
      <c r="D63" t="s">
        <v>110</v>
      </c>
      <c r="E63" t="s">
        <v>188</v>
      </c>
      <c r="F63" t="s">
        <v>202</v>
      </c>
      <c r="G63" t="s">
        <v>203</v>
      </c>
      <c r="H63" s="3">
        <v>2040</v>
      </c>
      <c r="I63">
        <v>963</v>
      </c>
      <c r="J63">
        <v>0</v>
      </c>
      <c r="K63">
        <v>40</v>
      </c>
      <c r="L63" s="4">
        <v>9.6936973392792197E-2</v>
      </c>
      <c r="M63" s="4">
        <v>0.90306302660720805</v>
      </c>
      <c r="N63">
        <v>0</v>
      </c>
    </row>
    <row r="64" spans="1:14" x14ac:dyDescent="0.25">
      <c r="A64" s="2"/>
      <c r="B64" t="s">
        <v>204</v>
      </c>
      <c r="C64" t="s">
        <v>16</v>
      </c>
      <c r="D64" t="s">
        <v>110</v>
      </c>
      <c r="E64" t="s">
        <v>188</v>
      </c>
      <c r="F64" t="s">
        <v>202</v>
      </c>
      <c r="G64" t="s">
        <v>205</v>
      </c>
      <c r="H64" s="3">
        <v>2040</v>
      </c>
      <c r="I64">
        <v>626</v>
      </c>
      <c r="J64">
        <v>1</v>
      </c>
      <c r="L64" s="4">
        <v>0.54027734880990397</v>
      </c>
      <c r="M64" s="4">
        <v>0.45972265119009598</v>
      </c>
      <c r="N64">
        <v>0</v>
      </c>
    </row>
    <row r="65" spans="1:14" x14ac:dyDescent="0.25">
      <c r="A65" s="2"/>
      <c r="B65" t="s">
        <v>206</v>
      </c>
      <c r="C65" t="s">
        <v>16</v>
      </c>
      <c r="D65" t="s">
        <v>110</v>
      </c>
      <c r="E65" t="s">
        <v>188</v>
      </c>
      <c r="F65" t="s">
        <v>202</v>
      </c>
      <c r="G65" t="s">
        <v>207</v>
      </c>
      <c r="H65" s="3">
        <v>1700</v>
      </c>
      <c r="I65">
        <v>289</v>
      </c>
      <c r="J65">
        <v>1</v>
      </c>
      <c r="K65">
        <v>19</v>
      </c>
      <c r="L65" s="4">
        <v>0.78390842804966199</v>
      </c>
      <c r="M65" s="4">
        <v>0.21609157195033801</v>
      </c>
      <c r="N65">
        <v>0</v>
      </c>
    </row>
    <row r="66" spans="1:14" x14ac:dyDescent="0.25">
      <c r="A66" s="2">
        <v>23907068</v>
      </c>
      <c r="B66" t="s">
        <v>208</v>
      </c>
      <c r="C66" t="s">
        <v>31</v>
      </c>
      <c r="D66" t="s">
        <v>17</v>
      </c>
      <c r="E66" t="s">
        <v>209</v>
      </c>
      <c r="F66" t="s">
        <v>210</v>
      </c>
      <c r="G66" t="s">
        <v>211</v>
      </c>
      <c r="H66" s="3">
        <v>2404.5300000000002</v>
      </c>
      <c r="I66">
        <v>671</v>
      </c>
      <c r="J66">
        <v>1</v>
      </c>
      <c r="K66">
        <v>38</v>
      </c>
      <c r="L66" s="4">
        <v>0.21261847494813399</v>
      </c>
      <c r="M66" s="4">
        <v>0.78738152505186598</v>
      </c>
      <c r="N66">
        <v>0</v>
      </c>
    </row>
    <row r="67" spans="1:14" x14ac:dyDescent="0.25">
      <c r="A67" s="2"/>
      <c r="B67" t="s">
        <v>212</v>
      </c>
      <c r="C67" t="s">
        <v>16</v>
      </c>
      <c r="D67" t="s">
        <v>213</v>
      </c>
      <c r="E67" t="s">
        <v>214</v>
      </c>
      <c r="F67" t="s">
        <v>215</v>
      </c>
      <c r="G67" t="s">
        <v>216</v>
      </c>
      <c r="H67" s="3">
        <v>2418.34</v>
      </c>
      <c r="I67">
        <v>865</v>
      </c>
      <c r="J67">
        <v>1</v>
      </c>
      <c r="K67">
        <v>31</v>
      </c>
      <c r="L67" s="4">
        <v>0.52011426511201597</v>
      </c>
      <c r="M67" s="4">
        <v>0.47988573488798397</v>
      </c>
      <c r="N67">
        <v>0</v>
      </c>
    </row>
    <row r="68" spans="1:14" x14ac:dyDescent="0.25">
      <c r="A68" s="2"/>
      <c r="B68" t="s">
        <v>217</v>
      </c>
      <c r="C68" t="s">
        <v>16</v>
      </c>
      <c r="D68" t="s">
        <v>17</v>
      </c>
      <c r="E68" t="s">
        <v>214</v>
      </c>
      <c r="F68" t="s">
        <v>215</v>
      </c>
      <c r="G68" t="s">
        <v>218</v>
      </c>
      <c r="H68" s="3">
        <v>2296.94</v>
      </c>
      <c r="I68">
        <v>522</v>
      </c>
      <c r="K68">
        <v>48</v>
      </c>
      <c r="L68" s="4">
        <v>0.66591684945169105</v>
      </c>
      <c r="M68" s="4">
        <v>0.334083150548309</v>
      </c>
      <c r="N68">
        <v>0</v>
      </c>
    </row>
    <row r="69" spans="1:14" x14ac:dyDescent="0.25">
      <c r="A69" s="2"/>
      <c r="B69" t="s">
        <v>219</v>
      </c>
      <c r="C69" t="s">
        <v>16</v>
      </c>
      <c r="D69" t="s">
        <v>17</v>
      </c>
      <c r="E69" t="s">
        <v>214</v>
      </c>
      <c r="F69" t="s">
        <v>215</v>
      </c>
      <c r="G69" t="s">
        <v>220</v>
      </c>
      <c r="H69" s="3">
        <v>2334.41</v>
      </c>
      <c r="I69">
        <v>658</v>
      </c>
      <c r="J69">
        <v>1</v>
      </c>
      <c r="K69">
        <v>12</v>
      </c>
      <c r="L69" s="4">
        <v>0.36606357614541002</v>
      </c>
      <c r="M69" s="4">
        <v>0.63393642385459004</v>
      </c>
      <c r="N69">
        <v>0</v>
      </c>
    </row>
    <row r="70" spans="1:14" x14ac:dyDescent="0.25">
      <c r="A70" s="2"/>
      <c r="B70" t="s">
        <v>221</v>
      </c>
      <c r="C70" t="s">
        <v>16</v>
      </c>
      <c r="D70" t="s">
        <v>17</v>
      </c>
      <c r="E70" t="s">
        <v>214</v>
      </c>
      <c r="F70" t="s">
        <v>215</v>
      </c>
      <c r="G70" t="s">
        <v>222</v>
      </c>
      <c r="H70" s="3">
        <v>2434.04</v>
      </c>
      <c r="I70">
        <v>14</v>
      </c>
      <c r="J70">
        <v>1</v>
      </c>
      <c r="K70">
        <v>17</v>
      </c>
      <c r="L70" s="4">
        <v>0.71742881260550595</v>
      </c>
      <c r="M70" s="4">
        <v>0.28257118739449399</v>
      </c>
      <c r="N70">
        <v>0</v>
      </c>
    </row>
    <row r="71" spans="1:14" x14ac:dyDescent="0.25">
      <c r="A71" s="2"/>
      <c r="B71" t="s">
        <v>223</v>
      </c>
      <c r="C71" t="s">
        <v>16</v>
      </c>
      <c r="D71" t="s">
        <v>17</v>
      </c>
      <c r="E71" t="s">
        <v>214</v>
      </c>
      <c r="F71" t="s">
        <v>215</v>
      </c>
      <c r="G71" t="s">
        <v>224</v>
      </c>
      <c r="H71" s="3">
        <v>3938.82</v>
      </c>
      <c r="I71">
        <v>714</v>
      </c>
      <c r="J71">
        <v>1</v>
      </c>
      <c r="K71">
        <v>19</v>
      </c>
      <c r="L71" s="4">
        <v>0.60827238330046896</v>
      </c>
      <c r="M71" s="4">
        <v>0.39172761669953099</v>
      </c>
      <c r="N71">
        <v>0</v>
      </c>
    </row>
    <row r="72" spans="1:14" x14ac:dyDescent="0.25">
      <c r="A72" s="2"/>
      <c r="B72" t="s">
        <v>225</v>
      </c>
      <c r="C72" t="s">
        <v>16</v>
      </c>
      <c r="D72" t="s">
        <v>86</v>
      </c>
      <c r="E72" t="s">
        <v>226</v>
      </c>
      <c r="F72" t="s">
        <v>227</v>
      </c>
      <c r="G72" t="s">
        <v>228</v>
      </c>
      <c r="H72" s="3">
        <v>2307.0100000000002</v>
      </c>
      <c r="I72">
        <v>756</v>
      </c>
      <c r="J72">
        <v>1</v>
      </c>
      <c r="K72">
        <v>41</v>
      </c>
      <c r="L72" s="4">
        <v>0.34304247626972501</v>
      </c>
      <c r="M72" s="4">
        <v>0.65695752373027505</v>
      </c>
      <c r="N72">
        <v>0</v>
      </c>
    </row>
    <row r="73" spans="1:14" x14ac:dyDescent="0.25">
      <c r="A73" s="2"/>
      <c r="C73" t="s">
        <v>28</v>
      </c>
      <c r="D73" t="s">
        <v>86</v>
      </c>
      <c r="E73" t="s">
        <v>229</v>
      </c>
      <c r="F73" t="s">
        <v>230</v>
      </c>
      <c r="G73" t="s">
        <v>231</v>
      </c>
      <c r="H73" s="3">
        <v>1500</v>
      </c>
      <c r="J73">
        <v>0</v>
      </c>
      <c r="L73" s="4">
        <v>0.59058504793205302</v>
      </c>
      <c r="M73" s="4">
        <v>0.40941495206794698</v>
      </c>
      <c r="N73">
        <v>0</v>
      </c>
    </row>
    <row r="74" spans="1:14" x14ac:dyDescent="0.25">
      <c r="A74" s="2"/>
      <c r="B74" t="s">
        <v>232</v>
      </c>
      <c r="C74" t="s">
        <v>16</v>
      </c>
      <c r="D74" t="s">
        <v>233</v>
      </c>
      <c r="E74" t="s">
        <v>234</v>
      </c>
      <c r="F74" t="s">
        <v>178</v>
      </c>
      <c r="G74" t="s">
        <v>235</v>
      </c>
      <c r="H74" s="3">
        <v>995.31</v>
      </c>
      <c r="I74">
        <v>106</v>
      </c>
      <c r="J74">
        <v>1</v>
      </c>
      <c r="K74">
        <v>18</v>
      </c>
      <c r="L74" s="4">
        <v>0.17713949197503301</v>
      </c>
      <c r="M74" s="4">
        <v>0.82286050802496702</v>
      </c>
      <c r="N74">
        <v>0</v>
      </c>
    </row>
    <row r="75" spans="1:14" x14ac:dyDescent="0.25">
      <c r="A75" s="2">
        <v>22898127</v>
      </c>
      <c r="B75" t="s">
        <v>236</v>
      </c>
      <c r="C75" t="s">
        <v>31</v>
      </c>
      <c r="D75" t="s">
        <v>17</v>
      </c>
      <c r="E75" t="s">
        <v>237</v>
      </c>
      <c r="F75" t="s">
        <v>238</v>
      </c>
      <c r="G75" t="s">
        <v>239</v>
      </c>
      <c r="H75" s="3">
        <v>2377.65</v>
      </c>
      <c r="I75">
        <v>317</v>
      </c>
      <c r="J75">
        <v>0</v>
      </c>
      <c r="K75">
        <v>45</v>
      </c>
      <c r="L75" s="4">
        <v>0.43688484240471998</v>
      </c>
      <c r="M75" s="4">
        <v>0.56311515759527997</v>
      </c>
      <c r="N75">
        <v>0</v>
      </c>
    </row>
    <row r="76" spans="1:14" x14ac:dyDescent="0.25">
      <c r="A76" s="2">
        <v>23159264</v>
      </c>
      <c r="B76" t="s">
        <v>240</v>
      </c>
      <c r="C76" t="s">
        <v>31</v>
      </c>
      <c r="D76" t="s">
        <v>17</v>
      </c>
      <c r="E76" t="s">
        <v>237</v>
      </c>
      <c r="F76" t="s">
        <v>238</v>
      </c>
      <c r="G76" t="s">
        <v>241</v>
      </c>
      <c r="H76" s="3">
        <v>2377.65</v>
      </c>
      <c r="I76">
        <v>210</v>
      </c>
      <c r="J76">
        <v>1</v>
      </c>
      <c r="K76">
        <v>32</v>
      </c>
      <c r="L76" s="4">
        <v>0.61042730930158695</v>
      </c>
      <c r="M76" s="4">
        <v>0.38957269069841299</v>
      </c>
      <c r="N76">
        <v>0</v>
      </c>
    </row>
    <row r="77" spans="1:14" x14ac:dyDescent="0.25">
      <c r="A77" s="2"/>
      <c r="B77" t="s">
        <v>242</v>
      </c>
      <c r="C77" t="s">
        <v>16</v>
      </c>
      <c r="D77" t="s">
        <v>17</v>
      </c>
      <c r="E77" t="s">
        <v>237</v>
      </c>
      <c r="F77" t="s">
        <v>238</v>
      </c>
      <c r="G77" t="s">
        <v>243</v>
      </c>
      <c r="H77" s="3">
        <v>1834.77</v>
      </c>
      <c r="I77">
        <v>825</v>
      </c>
      <c r="J77">
        <v>0</v>
      </c>
      <c r="L77" s="4">
        <v>0.34321372070998701</v>
      </c>
      <c r="M77" s="4">
        <v>0.65678627929001299</v>
      </c>
      <c r="N77">
        <v>0</v>
      </c>
    </row>
    <row r="78" spans="1:14" x14ac:dyDescent="0.25">
      <c r="A78" s="2"/>
      <c r="C78" t="s">
        <v>28</v>
      </c>
      <c r="D78" t="s">
        <v>244</v>
      </c>
      <c r="E78" t="s">
        <v>177</v>
      </c>
      <c r="F78" t="s">
        <v>178</v>
      </c>
      <c r="G78" t="s">
        <v>245</v>
      </c>
      <c r="H78" s="3">
        <v>2351.73</v>
      </c>
      <c r="K78">
        <v>19</v>
      </c>
      <c r="L78" s="4">
        <v>0.30198471952205003</v>
      </c>
      <c r="M78" s="4">
        <v>0.69801528047795003</v>
      </c>
      <c r="N78">
        <v>0</v>
      </c>
    </row>
    <row r="79" spans="1:14" x14ac:dyDescent="0.25">
      <c r="A79" s="2">
        <v>23409903</v>
      </c>
      <c r="C79" t="s">
        <v>0</v>
      </c>
      <c r="D79" t="s">
        <v>246</v>
      </c>
      <c r="E79" t="s">
        <v>247</v>
      </c>
      <c r="F79" t="s">
        <v>248</v>
      </c>
      <c r="G79" t="s">
        <v>249</v>
      </c>
      <c r="H79" s="3">
        <v>1422.25</v>
      </c>
      <c r="I79">
        <v>217</v>
      </c>
      <c r="J79">
        <v>1</v>
      </c>
      <c r="K79">
        <v>22</v>
      </c>
      <c r="L79" s="4">
        <v>2.9030202201105901E-2</v>
      </c>
      <c r="M79" s="4">
        <v>0.97096979779889403</v>
      </c>
      <c r="N79">
        <v>0</v>
      </c>
    </row>
    <row r="80" spans="1:14" x14ac:dyDescent="0.25">
      <c r="A80" s="2">
        <v>23331923</v>
      </c>
      <c r="C80" t="s">
        <v>0</v>
      </c>
      <c r="D80" t="s">
        <v>86</v>
      </c>
      <c r="E80" t="s">
        <v>250</v>
      </c>
      <c r="F80" t="s">
        <v>251</v>
      </c>
      <c r="G80" t="s">
        <v>252</v>
      </c>
      <c r="H80" s="3">
        <v>1884.3</v>
      </c>
      <c r="I80">
        <v>28</v>
      </c>
      <c r="J80">
        <v>0</v>
      </c>
      <c r="K80">
        <v>22</v>
      </c>
      <c r="L80" s="4">
        <v>0.64727691847617697</v>
      </c>
      <c r="M80" s="4">
        <v>0.35272308152382298</v>
      </c>
      <c r="N80">
        <v>0</v>
      </c>
    </row>
    <row r="81" spans="1:15" x14ac:dyDescent="0.25">
      <c r="A81" s="2"/>
      <c r="B81" t="s">
        <v>253</v>
      </c>
      <c r="C81" t="s">
        <v>16</v>
      </c>
      <c r="D81" t="s">
        <v>86</v>
      </c>
      <c r="E81" t="s">
        <v>250</v>
      </c>
      <c r="F81" t="s">
        <v>251</v>
      </c>
      <c r="G81" t="s">
        <v>254</v>
      </c>
      <c r="H81" s="3">
        <v>2373.84</v>
      </c>
      <c r="I81">
        <v>419</v>
      </c>
      <c r="J81">
        <v>1</v>
      </c>
      <c r="K81">
        <v>20</v>
      </c>
      <c r="L81" s="4">
        <v>0.80848275715662998</v>
      </c>
      <c r="M81" s="4">
        <v>0.19151724284336999</v>
      </c>
      <c r="N81">
        <v>0</v>
      </c>
    </row>
    <row r="82" spans="1:15" x14ac:dyDescent="0.25">
      <c r="A82" s="2"/>
      <c r="B82" t="s">
        <v>255</v>
      </c>
      <c r="C82" t="s">
        <v>16</v>
      </c>
      <c r="D82" t="s">
        <v>86</v>
      </c>
      <c r="E82" t="s">
        <v>250</v>
      </c>
      <c r="F82" t="s">
        <v>251</v>
      </c>
      <c r="G82" t="s">
        <v>256</v>
      </c>
      <c r="H82" s="3">
        <v>1900.7</v>
      </c>
      <c r="I82">
        <v>68</v>
      </c>
      <c r="J82">
        <v>0</v>
      </c>
      <c r="K82">
        <v>8</v>
      </c>
      <c r="L82" s="4">
        <v>0.55484267225238404</v>
      </c>
      <c r="M82" s="4">
        <v>0.44515732774761602</v>
      </c>
      <c r="N82">
        <v>0</v>
      </c>
    </row>
    <row r="83" spans="1:15" x14ac:dyDescent="0.25">
      <c r="A83" s="2"/>
      <c r="B83" t="s">
        <v>257</v>
      </c>
      <c r="C83" t="s">
        <v>16</v>
      </c>
      <c r="D83" t="s">
        <v>172</v>
      </c>
      <c r="E83" t="s">
        <v>173</v>
      </c>
      <c r="F83" t="s">
        <v>174</v>
      </c>
      <c r="G83" t="s">
        <v>258</v>
      </c>
      <c r="H83" s="3">
        <v>1646.36</v>
      </c>
      <c r="I83">
        <v>109</v>
      </c>
      <c r="J83">
        <v>1</v>
      </c>
      <c r="L83" s="4">
        <v>0.58972684594711799</v>
      </c>
      <c r="M83" s="4">
        <v>0.41027315405288201</v>
      </c>
      <c r="N83">
        <v>0</v>
      </c>
    </row>
    <row r="84" spans="1:15" x14ac:dyDescent="0.25">
      <c r="A84" s="2"/>
      <c r="B84" t="s">
        <v>259</v>
      </c>
      <c r="C84" t="s">
        <v>16</v>
      </c>
      <c r="D84" t="s">
        <v>172</v>
      </c>
      <c r="E84" t="s">
        <v>173</v>
      </c>
      <c r="F84" t="s">
        <v>174</v>
      </c>
      <c r="G84" t="s">
        <v>260</v>
      </c>
      <c r="H84" s="3">
        <v>1646.36</v>
      </c>
      <c r="I84">
        <v>517</v>
      </c>
      <c r="J84">
        <v>0</v>
      </c>
      <c r="K84">
        <v>42</v>
      </c>
      <c r="L84" s="4">
        <v>0.887769948884233</v>
      </c>
      <c r="M84" s="4">
        <v>0.112230051115767</v>
      </c>
      <c r="N84">
        <v>0</v>
      </c>
    </row>
    <row r="85" spans="1:15" x14ac:dyDescent="0.25">
      <c r="A85" s="2"/>
      <c r="B85" t="s">
        <v>261</v>
      </c>
      <c r="C85" t="s">
        <v>16</v>
      </c>
      <c r="D85" t="s">
        <v>172</v>
      </c>
      <c r="E85" t="s">
        <v>173</v>
      </c>
      <c r="F85" t="s">
        <v>174</v>
      </c>
      <c r="G85" t="s">
        <v>262</v>
      </c>
      <c r="H85" s="3">
        <v>1651.3</v>
      </c>
      <c r="I85">
        <v>955</v>
      </c>
      <c r="J85">
        <v>0</v>
      </c>
      <c r="K85">
        <v>29</v>
      </c>
      <c r="L85" s="4">
        <v>0.44988666358180102</v>
      </c>
      <c r="M85" s="4">
        <v>0.55011333641819904</v>
      </c>
      <c r="N85">
        <v>0</v>
      </c>
    </row>
    <row r="86" spans="1:15" x14ac:dyDescent="0.25">
      <c r="A86" s="2"/>
      <c r="C86" t="s">
        <v>28</v>
      </c>
      <c r="D86" t="s">
        <v>263</v>
      </c>
      <c r="E86" t="s">
        <v>263</v>
      </c>
      <c r="F86" t="s">
        <v>264</v>
      </c>
      <c r="G86" t="s">
        <v>265</v>
      </c>
      <c r="H86" s="6">
        <v>45.94</v>
      </c>
      <c r="I86">
        <v>896</v>
      </c>
      <c r="J86">
        <v>1</v>
      </c>
      <c r="K86">
        <v>41</v>
      </c>
      <c r="L86" s="4">
        <v>0.110627443784718</v>
      </c>
      <c r="M86" s="4">
        <v>0.889372556215282</v>
      </c>
      <c r="N86">
        <v>0</v>
      </c>
      <c r="O86" s="25"/>
    </row>
    <row r="87" spans="1:15" x14ac:dyDescent="0.25">
      <c r="A87" s="2"/>
      <c r="B87" t="s">
        <v>267</v>
      </c>
      <c r="C87" t="s">
        <v>16</v>
      </c>
      <c r="D87" t="s">
        <v>69</v>
      </c>
      <c r="E87" t="s">
        <v>268</v>
      </c>
      <c r="F87" t="s">
        <v>269</v>
      </c>
      <c r="G87" t="s">
        <v>270</v>
      </c>
      <c r="H87" s="3">
        <v>1902.97</v>
      </c>
      <c r="I87">
        <v>988</v>
      </c>
      <c r="J87">
        <v>1</v>
      </c>
      <c r="K87">
        <v>2</v>
      </c>
      <c r="L87" s="4">
        <v>0.353765103646621</v>
      </c>
      <c r="M87" s="4">
        <v>0.64623489635337905</v>
      </c>
      <c r="N87">
        <v>0</v>
      </c>
    </row>
    <row r="88" spans="1:15" x14ac:dyDescent="0.25">
      <c r="A88" s="2"/>
      <c r="B88" t="s">
        <v>271</v>
      </c>
      <c r="C88" t="s">
        <v>16</v>
      </c>
      <c r="D88" t="s">
        <v>17</v>
      </c>
      <c r="E88" t="s">
        <v>272</v>
      </c>
      <c r="F88" t="s">
        <v>273</v>
      </c>
      <c r="G88" t="s">
        <v>274</v>
      </c>
      <c r="H88" s="3">
        <v>2381.62</v>
      </c>
      <c r="I88">
        <v>171</v>
      </c>
      <c r="J88">
        <v>1</v>
      </c>
      <c r="L88" s="4">
        <v>0.76864344623978498</v>
      </c>
      <c r="M88" s="4">
        <v>0.23135655376021499</v>
      </c>
      <c r="N88">
        <v>0</v>
      </c>
    </row>
    <row r="89" spans="1:15" x14ac:dyDescent="0.25">
      <c r="A89" s="2"/>
      <c r="B89" t="s">
        <v>275</v>
      </c>
      <c r="C89" t="s">
        <v>16</v>
      </c>
      <c r="D89" t="s">
        <v>22</v>
      </c>
      <c r="E89" t="s">
        <v>276</v>
      </c>
      <c r="G89" t="s">
        <v>277</v>
      </c>
      <c r="H89" s="3">
        <v>759.67</v>
      </c>
      <c r="I89">
        <v>106</v>
      </c>
      <c r="J89">
        <v>1</v>
      </c>
      <c r="K89">
        <v>24</v>
      </c>
      <c r="L89" s="4">
        <v>0.26631865721012599</v>
      </c>
      <c r="M89" s="4">
        <v>0.73368134278987496</v>
      </c>
      <c r="N89">
        <v>0</v>
      </c>
    </row>
    <row r="90" spans="1:15" x14ac:dyDescent="0.25">
      <c r="A90" s="2">
        <v>23072351</v>
      </c>
      <c r="C90" t="s">
        <v>0</v>
      </c>
      <c r="D90" t="s">
        <v>22</v>
      </c>
      <c r="E90" t="s">
        <v>276</v>
      </c>
      <c r="G90" t="s">
        <v>278</v>
      </c>
      <c r="H90" s="3">
        <v>2082.7399999999998</v>
      </c>
      <c r="I90">
        <v>524</v>
      </c>
      <c r="J90">
        <v>0</v>
      </c>
      <c r="K90">
        <v>38</v>
      </c>
      <c r="L90" s="4">
        <v>0.960327627347072</v>
      </c>
      <c r="M90" s="4">
        <v>3.96723726529278E-2</v>
      </c>
      <c r="N90">
        <v>0</v>
      </c>
    </row>
    <row r="91" spans="1:15" x14ac:dyDescent="0.25">
      <c r="A91" s="2"/>
      <c r="B91" t="s">
        <v>279</v>
      </c>
      <c r="C91" t="s">
        <v>16</v>
      </c>
      <c r="D91" t="s">
        <v>22</v>
      </c>
      <c r="E91" t="s">
        <v>276</v>
      </c>
      <c r="G91" t="s">
        <v>280</v>
      </c>
      <c r="H91" s="3">
        <v>2314.1</v>
      </c>
      <c r="I91">
        <v>253</v>
      </c>
      <c r="J91">
        <v>0</v>
      </c>
      <c r="K91">
        <v>2</v>
      </c>
      <c r="L91" s="4">
        <v>0.155547457981312</v>
      </c>
      <c r="M91" s="4">
        <v>0.84445254201868802</v>
      </c>
      <c r="N91">
        <v>0</v>
      </c>
    </row>
    <row r="92" spans="1:15" x14ac:dyDescent="0.25">
      <c r="A92" s="2">
        <v>23670821</v>
      </c>
      <c r="B92" t="s">
        <v>281</v>
      </c>
      <c r="C92" t="s">
        <v>31</v>
      </c>
      <c r="D92" t="s">
        <v>86</v>
      </c>
      <c r="E92" t="s">
        <v>282</v>
      </c>
      <c r="F92" t="s">
        <v>283</v>
      </c>
      <c r="G92" t="s">
        <v>284</v>
      </c>
      <c r="H92" s="3">
        <v>3026.17</v>
      </c>
      <c r="I92">
        <v>549</v>
      </c>
      <c r="J92">
        <v>0</v>
      </c>
      <c r="K92">
        <v>17</v>
      </c>
      <c r="L92" s="4">
        <v>0.120933001595992</v>
      </c>
      <c r="M92" s="4">
        <v>0.87906699840400804</v>
      </c>
      <c r="N92">
        <v>0</v>
      </c>
    </row>
    <row r="93" spans="1:15" x14ac:dyDescent="0.25">
      <c r="A93" s="2"/>
      <c r="B93" t="s">
        <v>285</v>
      </c>
      <c r="C93" t="s">
        <v>16</v>
      </c>
      <c r="D93" t="s">
        <v>86</v>
      </c>
      <c r="E93" t="s">
        <v>282</v>
      </c>
      <c r="F93" t="s">
        <v>286</v>
      </c>
      <c r="G93" t="s">
        <v>287</v>
      </c>
      <c r="H93" s="3">
        <v>2979.91</v>
      </c>
      <c r="I93">
        <v>66</v>
      </c>
      <c r="J93">
        <v>1</v>
      </c>
      <c r="K93">
        <v>2</v>
      </c>
      <c r="L93" s="4">
        <v>0.46722532270212902</v>
      </c>
      <c r="M93" s="4">
        <v>0.53277467729787098</v>
      </c>
      <c r="N93">
        <v>0</v>
      </c>
    </row>
    <row r="94" spans="1:15" x14ac:dyDescent="0.25">
      <c r="A94" s="2"/>
      <c r="C94" t="s">
        <v>28</v>
      </c>
      <c r="D94" t="s">
        <v>86</v>
      </c>
      <c r="E94" t="s">
        <v>282</v>
      </c>
      <c r="F94" t="s">
        <v>286</v>
      </c>
      <c r="G94" t="s">
        <v>288</v>
      </c>
      <c r="H94" s="3">
        <v>2250</v>
      </c>
      <c r="I94">
        <v>985</v>
      </c>
      <c r="J94">
        <v>1</v>
      </c>
      <c r="K94">
        <v>28</v>
      </c>
      <c r="L94" s="4">
        <v>2.7110986709305299E-2</v>
      </c>
      <c r="M94" s="4">
        <v>0.97288901329069499</v>
      </c>
      <c r="N94">
        <v>0</v>
      </c>
    </row>
    <row r="95" spans="1:15" x14ac:dyDescent="0.25">
      <c r="A95" s="2">
        <v>22961729</v>
      </c>
      <c r="B95" t="s">
        <v>289</v>
      </c>
      <c r="C95" t="s">
        <v>31</v>
      </c>
      <c r="D95" t="s">
        <v>86</v>
      </c>
      <c r="E95" t="s">
        <v>282</v>
      </c>
      <c r="F95" t="s">
        <v>290</v>
      </c>
      <c r="G95" t="s">
        <v>291</v>
      </c>
      <c r="H95" s="3">
        <v>2437.19</v>
      </c>
      <c r="I95">
        <v>488</v>
      </c>
      <c r="J95">
        <v>1</v>
      </c>
      <c r="K95">
        <v>4</v>
      </c>
      <c r="L95" s="4">
        <v>0.655121350150629</v>
      </c>
      <c r="M95" s="4">
        <v>0.344878649849371</v>
      </c>
      <c r="N95">
        <v>0</v>
      </c>
    </row>
    <row r="96" spans="1:15" x14ac:dyDescent="0.25">
      <c r="A96" s="2">
        <v>22730171</v>
      </c>
      <c r="B96" t="s">
        <v>292</v>
      </c>
      <c r="C96" t="s">
        <v>31</v>
      </c>
      <c r="D96" t="s">
        <v>86</v>
      </c>
      <c r="E96" t="s">
        <v>282</v>
      </c>
      <c r="F96" t="s">
        <v>290</v>
      </c>
      <c r="G96" t="s">
        <v>293</v>
      </c>
      <c r="H96" s="3">
        <v>2437.19</v>
      </c>
      <c r="I96">
        <v>432</v>
      </c>
      <c r="J96">
        <v>0</v>
      </c>
      <c r="K96">
        <v>36</v>
      </c>
      <c r="L96" s="4">
        <v>0.39412542164367398</v>
      </c>
      <c r="M96" s="4">
        <v>0.60587457835632597</v>
      </c>
      <c r="N96">
        <v>0</v>
      </c>
    </row>
    <row r="97" spans="1:14" x14ac:dyDescent="0.25">
      <c r="A97" s="2">
        <v>21472932</v>
      </c>
      <c r="B97" t="s">
        <v>294</v>
      </c>
      <c r="C97" t="s">
        <v>31</v>
      </c>
      <c r="D97" t="s">
        <v>86</v>
      </c>
      <c r="E97" t="s">
        <v>282</v>
      </c>
      <c r="F97" t="s">
        <v>290</v>
      </c>
      <c r="G97" t="s">
        <v>295</v>
      </c>
      <c r="H97" s="3">
        <v>2437.19</v>
      </c>
      <c r="I97">
        <v>574</v>
      </c>
      <c r="J97">
        <v>1</v>
      </c>
      <c r="K97">
        <v>47</v>
      </c>
      <c r="L97" s="4">
        <v>0.20765139029779101</v>
      </c>
      <c r="M97" s="4">
        <v>0.79234860970220899</v>
      </c>
      <c r="N97">
        <v>0</v>
      </c>
    </row>
    <row r="98" spans="1:14" x14ac:dyDescent="0.25">
      <c r="A98" s="2"/>
      <c r="B98" t="s">
        <v>296</v>
      </c>
      <c r="C98" t="s">
        <v>16</v>
      </c>
      <c r="D98" t="s">
        <v>17</v>
      </c>
      <c r="E98" t="s">
        <v>297</v>
      </c>
      <c r="F98" t="s">
        <v>298</v>
      </c>
      <c r="G98" t="s">
        <v>299</v>
      </c>
      <c r="H98" s="3">
        <v>1806.38</v>
      </c>
      <c r="I98">
        <v>778</v>
      </c>
      <c r="J98">
        <v>0</v>
      </c>
      <c r="K98">
        <v>15</v>
      </c>
      <c r="L98" s="4">
        <v>0.78916660216052903</v>
      </c>
      <c r="M98" s="4">
        <v>0.210833397839471</v>
      </c>
      <c r="N98">
        <v>0</v>
      </c>
    </row>
    <row r="99" spans="1:14" x14ac:dyDescent="0.25">
      <c r="A99" s="2"/>
      <c r="B99" t="s">
        <v>300</v>
      </c>
      <c r="C99" t="s">
        <v>16</v>
      </c>
      <c r="D99" t="s">
        <v>17</v>
      </c>
      <c r="E99" t="s">
        <v>297</v>
      </c>
      <c r="F99" t="s">
        <v>298</v>
      </c>
      <c r="G99" t="s">
        <v>301</v>
      </c>
      <c r="H99" s="3">
        <v>1816.38</v>
      </c>
      <c r="I99">
        <v>418</v>
      </c>
      <c r="J99">
        <v>0</v>
      </c>
      <c r="L99" s="4">
        <v>0.108819477900474</v>
      </c>
      <c r="M99" s="4">
        <v>0.89118052209952603</v>
      </c>
      <c r="N99">
        <v>0</v>
      </c>
    </row>
    <row r="100" spans="1:14" x14ac:dyDescent="0.25">
      <c r="A100" s="2"/>
      <c r="B100" t="s">
        <v>302</v>
      </c>
      <c r="C100" t="s">
        <v>16</v>
      </c>
      <c r="D100" t="s">
        <v>86</v>
      </c>
      <c r="E100" t="s">
        <v>303</v>
      </c>
      <c r="F100" t="s">
        <v>304</v>
      </c>
      <c r="G100" t="s">
        <v>305</v>
      </c>
      <c r="H100" s="3">
        <v>2234.61</v>
      </c>
      <c r="I100">
        <v>774</v>
      </c>
      <c r="J100">
        <v>0</v>
      </c>
      <c r="K100">
        <v>11</v>
      </c>
      <c r="L100" s="4">
        <v>0.502114841996252</v>
      </c>
      <c r="M100" s="4">
        <v>0.497885158003748</v>
      </c>
      <c r="N100">
        <v>0</v>
      </c>
    </row>
    <row r="101" spans="1:14" x14ac:dyDescent="0.25">
      <c r="A101" s="2"/>
      <c r="B101" t="s">
        <v>306</v>
      </c>
      <c r="C101" t="s">
        <v>16</v>
      </c>
      <c r="D101" t="s">
        <v>86</v>
      </c>
      <c r="E101" t="s">
        <v>307</v>
      </c>
      <c r="F101" t="s">
        <v>308</v>
      </c>
      <c r="G101" t="s">
        <v>309</v>
      </c>
      <c r="H101" s="3">
        <v>1500</v>
      </c>
      <c r="I101">
        <v>995</v>
      </c>
      <c r="J101">
        <v>1</v>
      </c>
      <c r="K101">
        <v>12</v>
      </c>
      <c r="L101" s="4">
        <v>0.56197428564004204</v>
      </c>
      <c r="M101" s="4">
        <v>0.43802571435995802</v>
      </c>
      <c r="N101">
        <v>0</v>
      </c>
    </row>
    <row r="102" spans="1:14" x14ac:dyDescent="0.25">
      <c r="A102" s="2"/>
      <c r="B102" t="s">
        <v>310</v>
      </c>
      <c r="C102" t="s">
        <v>16</v>
      </c>
      <c r="D102" t="s">
        <v>86</v>
      </c>
      <c r="E102" t="s">
        <v>307</v>
      </c>
      <c r="F102" t="s">
        <v>308</v>
      </c>
      <c r="G102" t="s">
        <v>311</v>
      </c>
      <c r="H102" s="3">
        <v>2184.2199999999998</v>
      </c>
      <c r="I102">
        <v>826</v>
      </c>
      <c r="J102">
        <v>0</v>
      </c>
      <c r="K102">
        <v>31</v>
      </c>
      <c r="L102" s="4">
        <v>0.62771935761527897</v>
      </c>
      <c r="M102" s="4">
        <v>0.37228064238472097</v>
      </c>
      <c r="N102">
        <v>0</v>
      </c>
    </row>
    <row r="103" spans="1:14" x14ac:dyDescent="0.25">
      <c r="A103" s="2"/>
      <c r="B103" t="s">
        <v>312</v>
      </c>
      <c r="C103" t="s">
        <v>16</v>
      </c>
      <c r="D103" t="s">
        <v>86</v>
      </c>
      <c r="E103" t="s">
        <v>307</v>
      </c>
      <c r="F103" t="s">
        <v>308</v>
      </c>
      <c r="G103" t="s">
        <v>313</v>
      </c>
      <c r="H103" s="3">
        <v>2276.48</v>
      </c>
      <c r="I103">
        <v>730</v>
      </c>
      <c r="J103">
        <v>0</v>
      </c>
      <c r="K103">
        <v>19</v>
      </c>
      <c r="L103" s="4">
        <v>0.47342730518430898</v>
      </c>
      <c r="M103" s="4">
        <v>0.52657269481569102</v>
      </c>
      <c r="N103">
        <v>0</v>
      </c>
    </row>
    <row r="104" spans="1:14" x14ac:dyDescent="0.25">
      <c r="A104" s="2"/>
      <c r="B104" t="s">
        <v>314</v>
      </c>
      <c r="C104" t="s">
        <v>16</v>
      </c>
      <c r="D104" t="s">
        <v>86</v>
      </c>
      <c r="E104" t="s">
        <v>307</v>
      </c>
      <c r="F104" t="s">
        <v>308</v>
      </c>
      <c r="G104" t="s">
        <v>315</v>
      </c>
      <c r="H104" s="3">
        <v>2010.24</v>
      </c>
      <c r="I104">
        <v>196</v>
      </c>
      <c r="J104">
        <v>0</v>
      </c>
      <c r="K104">
        <v>33</v>
      </c>
      <c r="L104" s="4">
        <v>0.87717195275607895</v>
      </c>
      <c r="M104" s="4">
        <v>0.122828047243921</v>
      </c>
      <c r="N104">
        <v>0</v>
      </c>
    </row>
    <row r="105" spans="1:14" x14ac:dyDescent="0.25">
      <c r="A105" s="2"/>
      <c r="B105" t="s">
        <v>316</v>
      </c>
      <c r="C105" t="s">
        <v>16</v>
      </c>
      <c r="D105" t="s">
        <v>86</v>
      </c>
      <c r="E105" t="s">
        <v>307</v>
      </c>
      <c r="F105" t="s">
        <v>308</v>
      </c>
      <c r="G105" t="s">
        <v>317</v>
      </c>
      <c r="H105" s="3">
        <v>2010.24</v>
      </c>
      <c r="I105">
        <v>167</v>
      </c>
      <c r="J105">
        <v>1</v>
      </c>
      <c r="K105">
        <v>7</v>
      </c>
      <c r="L105" s="4">
        <v>0.12591185526672699</v>
      </c>
      <c r="M105" s="4">
        <v>0.87408814473327301</v>
      </c>
      <c r="N105">
        <v>0</v>
      </c>
    </row>
    <row r="106" spans="1:14" x14ac:dyDescent="0.25">
      <c r="A106" s="2"/>
      <c r="B106" t="s">
        <v>318</v>
      </c>
      <c r="C106" t="s">
        <v>16</v>
      </c>
      <c r="D106" t="s">
        <v>133</v>
      </c>
      <c r="E106" t="s">
        <v>319</v>
      </c>
      <c r="F106" t="s">
        <v>320</v>
      </c>
      <c r="G106" t="s">
        <v>321</v>
      </c>
      <c r="H106" s="3">
        <v>2337.6</v>
      </c>
      <c r="I106">
        <v>591</v>
      </c>
      <c r="J106">
        <v>0</v>
      </c>
      <c r="K106">
        <v>34</v>
      </c>
      <c r="L106" s="4">
        <v>4.8964606614512202E-3</v>
      </c>
      <c r="M106" s="4">
        <v>0.995103539338549</v>
      </c>
      <c r="N106">
        <v>0</v>
      </c>
    </row>
    <row r="107" spans="1:14" x14ac:dyDescent="0.25">
      <c r="A107" s="2"/>
      <c r="C107" t="s">
        <v>28</v>
      </c>
      <c r="D107" t="s">
        <v>86</v>
      </c>
      <c r="E107" t="s">
        <v>322</v>
      </c>
      <c r="F107" t="s">
        <v>323</v>
      </c>
      <c r="G107" t="s">
        <v>324</v>
      </c>
      <c r="H107" s="3">
        <v>1500</v>
      </c>
      <c r="I107">
        <v>383</v>
      </c>
      <c r="J107">
        <v>0</v>
      </c>
      <c r="K107">
        <v>1</v>
      </c>
      <c r="L107" s="4">
        <v>0.37754438905749699</v>
      </c>
      <c r="M107" s="4">
        <v>0.62245561094250301</v>
      </c>
      <c r="N107">
        <v>0</v>
      </c>
    </row>
    <row r="108" spans="1:14" x14ac:dyDescent="0.25">
      <c r="A108" s="2"/>
      <c r="B108" t="s">
        <v>325</v>
      </c>
      <c r="C108" t="s">
        <v>16</v>
      </c>
      <c r="D108" t="s">
        <v>86</v>
      </c>
      <c r="E108" t="s">
        <v>322</v>
      </c>
      <c r="F108" t="s">
        <v>323</v>
      </c>
      <c r="G108" t="s">
        <v>326</v>
      </c>
      <c r="H108" s="3">
        <v>2293.27</v>
      </c>
      <c r="I108">
        <v>986</v>
      </c>
      <c r="J108">
        <v>1</v>
      </c>
      <c r="K108">
        <v>42</v>
      </c>
      <c r="L108" s="4">
        <v>0.126725050098426</v>
      </c>
      <c r="M108" s="4">
        <v>0.87327494990157395</v>
      </c>
      <c r="N108">
        <v>0</v>
      </c>
    </row>
    <row r="109" spans="1:14" x14ac:dyDescent="0.25">
      <c r="A109" s="2">
        <v>23089748</v>
      </c>
      <c r="B109" t="s">
        <v>327</v>
      </c>
      <c r="C109" t="s">
        <v>31</v>
      </c>
      <c r="D109" t="s">
        <v>328</v>
      </c>
      <c r="E109" t="s">
        <v>329</v>
      </c>
      <c r="F109" t="s">
        <v>330</v>
      </c>
      <c r="G109" t="s">
        <v>331</v>
      </c>
      <c r="H109" s="3">
        <v>1831.18</v>
      </c>
      <c r="I109">
        <v>37</v>
      </c>
      <c r="J109">
        <v>1</v>
      </c>
      <c r="K109">
        <v>4</v>
      </c>
      <c r="L109" s="4">
        <v>0.43106742565133199</v>
      </c>
      <c r="M109" s="4">
        <v>0.56893257434866795</v>
      </c>
      <c r="N109">
        <v>0</v>
      </c>
    </row>
    <row r="110" spans="1:14" x14ac:dyDescent="0.25">
      <c r="A110" s="2">
        <v>23856774</v>
      </c>
      <c r="B110" t="s">
        <v>332</v>
      </c>
      <c r="C110" t="s">
        <v>31</v>
      </c>
      <c r="D110" t="s">
        <v>333</v>
      </c>
      <c r="E110" t="s">
        <v>329</v>
      </c>
      <c r="F110" t="s">
        <v>330</v>
      </c>
      <c r="G110" t="s">
        <v>334</v>
      </c>
      <c r="H110" s="3">
        <v>1287.19</v>
      </c>
      <c r="I110">
        <v>20</v>
      </c>
      <c r="J110">
        <v>1</v>
      </c>
      <c r="K110">
        <v>39</v>
      </c>
      <c r="L110" s="4">
        <v>0.74699297873485404</v>
      </c>
      <c r="M110" s="4">
        <v>0.25300702126514601</v>
      </c>
      <c r="N110">
        <v>0</v>
      </c>
    </row>
    <row r="111" spans="1:14" x14ac:dyDescent="0.25">
      <c r="A111" s="2"/>
      <c r="B111" t="s">
        <v>335</v>
      </c>
      <c r="C111" t="s">
        <v>16</v>
      </c>
      <c r="D111" t="s">
        <v>333</v>
      </c>
      <c r="E111" t="s">
        <v>329</v>
      </c>
      <c r="F111" t="s">
        <v>330</v>
      </c>
      <c r="G111" t="s">
        <v>336</v>
      </c>
      <c r="H111" s="3">
        <v>1287.2</v>
      </c>
      <c r="I111">
        <v>217</v>
      </c>
      <c r="J111">
        <v>0</v>
      </c>
      <c r="K111">
        <v>32</v>
      </c>
      <c r="L111" s="4">
        <v>0.92397073684804298</v>
      </c>
      <c r="M111" s="4">
        <v>7.6029263151957502E-2</v>
      </c>
      <c r="N111">
        <v>0</v>
      </c>
    </row>
    <row r="112" spans="1:14" x14ac:dyDescent="0.25">
      <c r="A112" s="2">
        <v>23817378</v>
      </c>
      <c r="B112" t="s">
        <v>337</v>
      </c>
      <c r="C112" t="s">
        <v>31</v>
      </c>
      <c r="D112" t="s">
        <v>333</v>
      </c>
      <c r="E112" t="s">
        <v>329</v>
      </c>
      <c r="F112" t="s">
        <v>330</v>
      </c>
      <c r="G112" t="s">
        <v>338</v>
      </c>
      <c r="H112" s="3">
        <v>1521.66</v>
      </c>
      <c r="I112">
        <v>976</v>
      </c>
      <c r="J112">
        <v>1</v>
      </c>
      <c r="K112">
        <v>29</v>
      </c>
      <c r="L112" s="4">
        <v>0.916660903825952</v>
      </c>
      <c r="M112" s="4">
        <v>8.3339096174047805E-2</v>
      </c>
      <c r="N112">
        <v>0</v>
      </c>
    </row>
    <row r="113" spans="1:14" x14ac:dyDescent="0.25">
      <c r="A113" s="2"/>
      <c r="B113" t="s">
        <v>339</v>
      </c>
      <c r="C113" t="s">
        <v>16</v>
      </c>
      <c r="D113" t="s">
        <v>333</v>
      </c>
      <c r="E113" t="s">
        <v>329</v>
      </c>
      <c r="F113" t="s">
        <v>330</v>
      </c>
      <c r="G113" t="s">
        <v>340</v>
      </c>
      <c r="H113" s="3">
        <v>1299.3900000000001</v>
      </c>
      <c r="I113">
        <v>469</v>
      </c>
      <c r="J113">
        <v>1</v>
      </c>
      <c r="K113">
        <v>48</v>
      </c>
      <c r="L113" s="4">
        <v>0.43845076090483198</v>
      </c>
      <c r="M113" s="4">
        <v>0.56154923909516796</v>
      </c>
      <c r="N113">
        <v>0</v>
      </c>
    </row>
    <row r="114" spans="1:14" x14ac:dyDescent="0.25">
      <c r="A114" s="2">
        <v>23877697</v>
      </c>
      <c r="C114" t="s">
        <v>0</v>
      </c>
      <c r="D114" t="s">
        <v>333</v>
      </c>
      <c r="E114" t="s">
        <v>329</v>
      </c>
      <c r="F114" t="s">
        <v>330</v>
      </c>
      <c r="G114" t="s">
        <v>341</v>
      </c>
      <c r="H114" s="3">
        <v>3750.05</v>
      </c>
      <c r="I114">
        <v>225</v>
      </c>
      <c r="J114">
        <v>1</v>
      </c>
      <c r="K114">
        <v>11</v>
      </c>
      <c r="L114" s="4">
        <v>0.56794138459707499</v>
      </c>
      <c r="M114" s="4">
        <v>0.43205861540292501</v>
      </c>
      <c r="N114">
        <v>0</v>
      </c>
    </row>
    <row r="115" spans="1:14" x14ac:dyDescent="0.25">
      <c r="A115" s="2"/>
      <c r="B115" t="s">
        <v>342</v>
      </c>
      <c r="C115" t="s">
        <v>16</v>
      </c>
      <c r="D115" t="s">
        <v>343</v>
      </c>
      <c r="E115" t="s">
        <v>344</v>
      </c>
      <c r="F115" t="s">
        <v>345</v>
      </c>
      <c r="G115" t="s">
        <v>346</v>
      </c>
      <c r="H115" s="3">
        <v>1347.79</v>
      </c>
      <c r="I115">
        <v>509</v>
      </c>
      <c r="J115">
        <v>1</v>
      </c>
      <c r="K115">
        <v>48</v>
      </c>
      <c r="L115" s="4">
        <v>0.39561025861275101</v>
      </c>
      <c r="M115" s="4">
        <v>0.60438974138724899</v>
      </c>
      <c r="N115">
        <v>0</v>
      </c>
    </row>
    <row r="116" spans="1:14" x14ac:dyDescent="0.25">
      <c r="A116" s="2">
        <v>23706023</v>
      </c>
      <c r="C116" t="s">
        <v>0</v>
      </c>
      <c r="D116" t="s">
        <v>343</v>
      </c>
      <c r="E116" t="s">
        <v>344</v>
      </c>
      <c r="F116" t="s">
        <v>345</v>
      </c>
      <c r="G116" t="s">
        <v>347</v>
      </c>
      <c r="H116" s="3">
        <v>1681.94</v>
      </c>
      <c r="I116">
        <v>350</v>
      </c>
      <c r="J116">
        <v>1</v>
      </c>
      <c r="K116">
        <v>25</v>
      </c>
      <c r="L116" s="4">
        <v>0.32588619969515098</v>
      </c>
      <c r="M116" s="4">
        <v>0.67411380030484902</v>
      </c>
      <c r="N116">
        <v>0</v>
      </c>
    </row>
    <row r="117" spans="1:14" x14ac:dyDescent="0.25">
      <c r="A117" s="2">
        <v>23758132</v>
      </c>
      <c r="C117" t="s">
        <v>0</v>
      </c>
      <c r="D117" t="s">
        <v>343</v>
      </c>
      <c r="E117" t="s">
        <v>344</v>
      </c>
      <c r="F117" t="s">
        <v>345</v>
      </c>
      <c r="G117" t="s">
        <v>348</v>
      </c>
      <c r="H117" s="3">
        <v>2528.64</v>
      </c>
      <c r="I117">
        <v>741</v>
      </c>
      <c r="J117">
        <v>0</v>
      </c>
      <c r="K117">
        <v>22</v>
      </c>
      <c r="L117" s="4">
        <v>0.23920996637775899</v>
      </c>
      <c r="M117" s="4">
        <v>0.76079003362224096</v>
      </c>
      <c r="N117">
        <v>0</v>
      </c>
    </row>
    <row r="118" spans="1:14" x14ac:dyDescent="0.25">
      <c r="A118" s="2"/>
      <c r="C118" t="s">
        <v>28</v>
      </c>
      <c r="D118" t="s">
        <v>17</v>
      </c>
      <c r="E118" t="s">
        <v>349</v>
      </c>
      <c r="F118" t="s">
        <v>350</v>
      </c>
      <c r="G118" t="s">
        <v>351</v>
      </c>
      <c r="H118" s="3">
        <v>2377.65</v>
      </c>
      <c r="I118">
        <v>964</v>
      </c>
      <c r="J118">
        <v>0</v>
      </c>
      <c r="K118">
        <v>25</v>
      </c>
      <c r="L118" s="4">
        <v>0.70590029846050895</v>
      </c>
      <c r="M118" s="4">
        <v>0.294099701539492</v>
      </c>
      <c r="N118">
        <v>0</v>
      </c>
    </row>
    <row r="119" spans="1:14" x14ac:dyDescent="0.25">
      <c r="A119" s="2">
        <v>21903599</v>
      </c>
      <c r="C119" t="s">
        <v>0</v>
      </c>
      <c r="D119" t="s">
        <v>352</v>
      </c>
      <c r="E119" t="s">
        <v>353</v>
      </c>
      <c r="F119" t="s">
        <v>354</v>
      </c>
      <c r="G119" t="s">
        <v>355</v>
      </c>
      <c r="H119" s="3">
        <v>2040</v>
      </c>
      <c r="I119">
        <v>72</v>
      </c>
      <c r="J119">
        <v>0</v>
      </c>
      <c r="K119">
        <v>6</v>
      </c>
      <c r="L119" s="4">
        <v>0.95620303489284697</v>
      </c>
      <c r="M119" s="4">
        <v>4.3796965107153502E-2</v>
      </c>
      <c r="N119">
        <v>0</v>
      </c>
    </row>
    <row r="120" spans="1:14" x14ac:dyDescent="0.25">
      <c r="A120" s="2">
        <v>24061777</v>
      </c>
      <c r="C120" t="s">
        <v>0</v>
      </c>
      <c r="D120" t="s">
        <v>352</v>
      </c>
      <c r="E120" t="s">
        <v>353</v>
      </c>
      <c r="F120" t="s">
        <v>354</v>
      </c>
      <c r="G120" t="s">
        <v>356</v>
      </c>
      <c r="H120" s="3">
        <v>2340</v>
      </c>
      <c r="I120">
        <v>225</v>
      </c>
      <c r="J120">
        <v>1</v>
      </c>
      <c r="K120">
        <v>22</v>
      </c>
      <c r="L120" s="4">
        <v>0.31029469707414198</v>
      </c>
      <c r="M120" s="4">
        <v>0.68970530292585797</v>
      </c>
      <c r="N120">
        <v>0</v>
      </c>
    </row>
    <row r="121" spans="1:14" x14ac:dyDescent="0.25">
      <c r="A121" s="2"/>
      <c r="B121" t="s">
        <v>357</v>
      </c>
      <c r="C121" t="s">
        <v>16</v>
      </c>
      <c r="D121" t="s">
        <v>352</v>
      </c>
      <c r="E121" t="s">
        <v>353</v>
      </c>
      <c r="F121" t="s">
        <v>354</v>
      </c>
      <c r="G121" t="s">
        <v>358</v>
      </c>
      <c r="H121" s="3">
        <v>2040</v>
      </c>
      <c r="I121">
        <v>132</v>
      </c>
      <c r="J121">
        <v>1</v>
      </c>
      <c r="K121">
        <v>11</v>
      </c>
      <c r="L121" s="4">
        <v>0.40256899836910098</v>
      </c>
      <c r="M121" s="4">
        <v>0.59743100163089902</v>
      </c>
      <c r="N121">
        <v>0</v>
      </c>
    </row>
    <row r="122" spans="1:14" x14ac:dyDescent="0.25">
      <c r="A122" s="2"/>
      <c r="B122" t="s">
        <v>359</v>
      </c>
      <c r="C122" t="s">
        <v>16</v>
      </c>
      <c r="D122" t="s">
        <v>86</v>
      </c>
      <c r="E122" t="s">
        <v>360</v>
      </c>
      <c r="F122" t="s">
        <v>361</v>
      </c>
      <c r="G122" t="s">
        <v>362</v>
      </c>
      <c r="H122" s="3">
        <v>1000</v>
      </c>
      <c r="I122">
        <v>644</v>
      </c>
      <c r="J122">
        <v>1</v>
      </c>
      <c r="K122">
        <v>50</v>
      </c>
      <c r="L122" s="4">
        <v>0.73377191651389095</v>
      </c>
      <c r="M122" s="4">
        <v>0.26622808348610899</v>
      </c>
      <c r="N122">
        <v>0</v>
      </c>
    </row>
    <row r="123" spans="1:14" x14ac:dyDescent="0.25">
      <c r="A123" s="2"/>
      <c r="B123" t="s">
        <v>363</v>
      </c>
      <c r="C123" t="s">
        <v>16</v>
      </c>
      <c r="D123" t="s">
        <v>86</v>
      </c>
      <c r="E123" t="s">
        <v>360</v>
      </c>
      <c r="F123" t="s">
        <v>361</v>
      </c>
      <c r="G123" t="s">
        <v>364</v>
      </c>
      <c r="H123" s="3">
        <v>1500</v>
      </c>
      <c r="J123">
        <v>0</v>
      </c>
      <c r="K123">
        <v>47</v>
      </c>
      <c r="L123" s="4">
        <v>0.35190068630917098</v>
      </c>
      <c r="M123" s="4">
        <v>0.64809931369082896</v>
      </c>
      <c r="N123">
        <v>0</v>
      </c>
    </row>
    <row r="124" spans="1:14" x14ac:dyDescent="0.25">
      <c r="A124" s="2"/>
      <c r="C124" t="s">
        <v>28</v>
      </c>
      <c r="D124" t="s">
        <v>86</v>
      </c>
      <c r="E124" t="s">
        <v>360</v>
      </c>
      <c r="F124" t="s">
        <v>361</v>
      </c>
      <c r="G124" t="s">
        <v>365</v>
      </c>
      <c r="H124" s="3">
        <v>1969.02</v>
      </c>
      <c r="I124">
        <v>980</v>
      </c>
      <c r="J124">
        <v>0</v>
      </c>
      <c r="K124">
        <v>11</v>
      </c>
      <c r="L124" s="4">
        <v>0.64105258584588398</v>
      </c>
      <c r="M124" s="4">
        <v>0.35894741415411702</v>
      </c>
      <c r="N124">
        <v>0</v>
      </c>
    </row>
    <row r="125" spans="1:14" x14ac:dyDescent="0.25">
      <c r="A125" s="2">
        <v>23740368</v>
      </c>
      <c r="B125" t="s">
        <v>366</v>
      </c>
      <c r="C125" t="s">
        <v>31</v>
      </c>
      <c r="D125" t="s">
        <v>86</v>
      </c>
      <c r="E125" t="s">
        <v>360</v>
      </c>
      <c r="F125" t="s">
        <v>361</v>
      </c>
      <c r="G125" t="s">
        <v>367</v>
      </c>
      <c r="H125" s="3">
        <v>1500</v>
      </c>
      <c r="I125">
        <v>770</v>
      </c>
      <c r="J125">
        <v>1</v>
      </c>
      <c r="K125">
        <v>37</v>
      </c>
      <c r="L125" s="4">
        <v>0.65169100746127395</v>
      </c>
      <c r="M125" s="4">
        <v>0.34830899253872599</v>
      </c>
      <c r="N125">
        <v>0</v>
      </c>
    </row>
    <row r="126" spans="1:14" x14ac:dyDescent="0.25">
      <c r="A126" s="2">
        <v>23460124</v>
      </c>
      <c r="B126" t="s">
        <v>368</v>
      </c>
      <c r="C126" t="s">
        <v>31</v>
      </c>
      <c r="D126" t="s">
        <v>86</v>
      </c>
      <c r="E126" t="s">
        <v>360</v>
      </c>
      <c r="F126" t="s">
        <v>361</v>
      </c>
      <c r="G126" t="s">
        <v>369</v>
      </c>
      <c r="H126" s="3">
        <v>1500</v>
      </c>
      <c r="I126">
        <v>890</v>
      </c>
      <c r="J126">
        <v>0</v>
      </c>
      <c r="L126" s="4">
        <v>0.13421521297026701</v>
      </c>
      <c r="M126" s="4">
        <v>0.86578478702973305</v>
      </c>
      <c r="N126">
        <v>0</v>
      </c>
    </row>
    <row r="127" spans="1:14" x14ac:dyDescent="0.25">
      <c r="A127" s="2">
        <v>23971731</v>
      </c>
      <c r="C127" t="s">
        <v>0</v>
      </c>
      <c r="D127" t="s">
        <v>148</v>
      </c>
      <c r="E127" t="s">
        <v>370</v>
      </c>
      <c r="F127" t="s">
        <v>371</v>
      </c>
      <c r="G127" t="s">
        <v>372</v>
      </c>
      <c r="H127" s="3">
        <v>1608</v>
      </c>
      <c r="I127">
        <v>365</v>
      </c>
      <c r="J127">
        <v>1</v>
      </c>
      <c r="K127">
        <v>3</v>
      </c>
      <c r="L127" s="4">
        <v>0.99579023544568201</v>
      </c>
      <c r="M127" s="4">
        <v>4.2097645543182098E-3</v>
      </c>
      <c r="N127">
        <v>0</v>
      </c>
    </row>
    <row r="128" spans="1:14" x14ac:dyDescent="0.25">
      <c r="A128" s="2"/>
      <c r="C128" t="s">
        <v>28</v>
      </c>
      <c r="D128" t="s">
        <v>148</v>
      </c>
      <c r="E128" t="s">
        <v>370</v>
      </c>
      <c r="F128" t="s">
        <v>371</v>
      </c>
      <c r="G128" t="s">
        <v>373</v>
      </c>
      <c r="H128" s="3">
        <v>1315.8</v>
      </c>
      <c r="I128">
        <v>765</v>
      </c>
      <c r="J128">
        <v>0</v>
      </c>
      <c r="K128">
        <v>31</v>
      </c>
      <c r="L128" s="4">
        <v>0.217586340982</v>
      </c>
      <c r="M128" s="4">
        <v>0.78241365901799997</v>
      </c>
      <c r="N128">
        <v>0</v>
      </c>
    </row>
    <row r="129" spans="1:14" x14ac:dyDescent="0.25">
      <c r="A129" s="2"/>
      <c r="C129" t="s">
        <v>28</v>
      </c>
      <c r="D129" t="s">
        <v>17</v>
      </c>
      <c r="E129" t="s">
        <v>374</v>
      </c>
      <c r="F129" t="s">
        <v>178</v>
      </c>
      <c r="G129" t="s">
        <v>375</v>
      </c>
      <c r="H129" s="3">
        <v>2014.59</v>
      </c>
      <c r="I129">
        <v>829</v>
      </c>
      <c r="J129">
        <v>1</v>
      </c>
      <c r="K129">
        <v>44</v>
      </c>
      <c r="L129" s="4">
        <v>0.287943717305848</v>
      </c>
      <c r="M129" s="4">
        <v>0.712056282694152</v>
      </c>
      <c r="N129">
        <v>0</v>
      </c>
    </row>
    <row r="130" spans="1:14" x14ac:dyDescent="0.25">
      <c r="A130" s="2"/>
      <c r="B130" t="s">
        <v>376</v>
      </c>
      <c r="C130" t="s">
        <v>16</v>
      </c>
      <c r="D130" t="s">
        <v>17</v>
      </c>
      <c r="E130" t="s">
        <v>374</v>
      </c>
      <c r="F130" t="s">
        <v>178</v>
      </c>
      <c r="G130" t="s">
        <v>377</v>
      </c>
      <c r="H130" s="3">
        <v>2423.27</v>
      </c>
      <c r="J130">
        <v>0</v>
      </c>
      <c r="K130">
        <v>27</v>
      </c>
      <c r="L130" s="4">
        <v>0.43206271809130098</v>
      </c>
      <c r="M130" s="4">
        <v>0.56793728190869897</v>
      </c>
      <c r="N130">
        <v>0</v>
      </c>
    </row>
    <row r="131" spans="1:14" x14ac:dyDescent="0.25">
      <c r="A131" s="2"/>
      <c r="C131" t="s">
        <v>28</v>
      </c>
      <c r="D131" t="s">
        <v>378</v>
      </c>
      <c r="E131" t="s">
        <v>379</v>
      </c>
      <c r="F131" t="s">
        <v>380</v>
      </c>
      <c r="G131" t="s">
        <v>381</v>
      </c>
      <c r="H131" s="3">
        <v>1453.42</v>
      </c>
      <c r="I131">
        <v>207</v>
      </c>
      <c r="J131">
        <v>0</v>
      </c>
      <c r="K131">
        <v>43</v>
      </c>
      <c r="L131" s="4">
        <v>0.31991419302996299</v>
      </c>
      <c r="M131" s="4">
        <v>0.68008580697003695</v>
      </c>
      <c r="N131">
        <v>0</v>
      </c>
    </row>
    <row r="132" spans="1:14" x14ac:dyDescent="0.25">
      <c r="A132" s="2"/>
      <c r="C132" t="s">
        <v>28</v>
      </c>
      <c r="D132" t="s">
        <v>17</v>
      </c>
      <c r="E132" t="s">
        <v>382</v>
      </c>
      <c r="F132" t="s">
        <v>383</v>
      </c>
      <c r="G132" t="s">
        <v>384</v>
      </c>
      <c r="H132" s="3">
        <v>2317.94</v>
      </c>
      <c r="I132">
        <v>792</v>
      </c>
      <c r="J132">
        <v>0</v>
      </c>
      <c r="K132">
        <v>1</v>
      </c>
      <c r="L132" s="4">
        <v>0.56027911909518402</v>
      </c>
      <c r="M132" s="4">
        <v>0.43972088090481598</v>
      </c>
      <c r="N132">
        <v>0</v>
      </c>
    </row>
    <row r="133" spans="1:14" x14ac:dyDescent="0.25">
      <c r="A133" s="2"/>
      <c r="B133" t="s">
        <v>385</v>
      </c>
      <c r="C133" t="s">
        <v>16</v>
      </c>
      <c r="D133" t="s">
        <v>17</v>
      </c>
      <c r="E133" t="s">
        <v>382</v>
      </c>
      <c r="F133" t="s">
        <v>383</v>
      </c>
      <c r="G133" t="s">
        <v>386</v>
      </c>
      <c r="H133" s="3">
        <v>2404.27</v>
      </c>
      <c r="I133">
        <v>45</v>
      </c>
      <c r="J133">
        <v>0</v>
      </c>
      <c r="K133">
        <v>36</v>
      </c>
      <c r="L133" s="4">
        <v>0.13799960787059801</v>
      </c>
      <c r="M133" s="4">
        <v>0.86200039212940205</v>
      </c>
      <c r="N133">
        <v>0</v>
      </c>
    </row>
    <row r="134" spans="1:14" x14ac:dyDescent="0.25">
      <c r="A134" s="2">
        <v>22302008</v>
      </c>
      <c r="B134" t="s">
        <v>387</v>
      </c>
      <c r="C134" t="s">
        <v>31</v>
      </c>
      <c r="D134" t="s">
        <v>388</v>
      </c>
      <c r="E134" t="s">
        <v>389</v>
      </c>
      <c r="F134" t="s">
        <v>390</v>
      </c>
      <c r="G134" t="s">
        <v>391</v>
      </c>
      <c r="H134" s="3">
        <v>601.1</v>
      </c>
      <c r="I134">
        <v>127</v>
      </c>
      <c r="J134">
        <v>1</v>
      </c>
      <c r="K134">
        <v>29</v>
      </c>
      <c r="L134" s="4">
        <v>0.79445659286224801</v>
      </c>
      <c r="M134" s="4">
        <v>0.20554340713775199</v>
      </c>
      <c r="N134">
        <v>0</v>
      </c>
    </row>
    <row r="135" spans="1:14" x14ac:dyDescent="0.25">
      <c r="A135" s="2"/>
      <c r="C135" t="s">
        <v>28</v>
      </c>
      <c r="D135" t="s">
        <v>133</v>
      </c>
      <c r="E135" t="s">
        <v>392</v>
      </c>
      <c r="F135" t="s">
        <v>393</v>
      </c>
      <c r="G135" t="s">
        <v>394</v>
      </c>
      <c r="H135" s="3">
        <v>1823.76</v>
      </c>
      <c r="I135">
        <v>530</v>
      </c>
      <c r="J135">
        <v>1</v>
      </c>
      <c r="K135">
        <v>44</v>
      </c>
      <c r="L135" s="4">
        <v>0.71899534692184297</v>
      </c>
      <c r="M135" s="4">
        <v>0.28100465307815697</v>
      </c>
      <c r="N135">
        <v>0</v>
      </c>
    </row>
    <row r="136" spans="1:14" x14ac:dyDescent="0.25">
      <c r="A136" s="2"/>
      <c r="B136" t="s">
        <v>395</v>
      </c>
      <c r="C136" t="s">
        <v>16</v>
      </c>
      <c r="D136" t="s">
        <v>17</v>
      </c>
      <c r="E136" t="s">
        <v>396</v>
      </c>
      <c r="F136" t="s">
        <v>397</v>
      </c>
      <c r="G136" t="s">
        <v>398</v>
      </c>
      <c r="H136" s="3">
        <v>2366.5700000000002</v>
      </c>
      <c r="I136">
        <v>550</v>
      </c>
      <c r="J136">
        <v>0</v>
      </c>
      <c r="K136">
        <v>14</v>
      </c>
      <c r="L136" s="4">
        <v>0.55725185033171598</v>
      </c>
      <c r="M136" s="4">
        <v>0.44274814966828402</v>
      </c>
      <c r="N136">
        <v>0</v>
      </c>
    </row>
    <row r="137" spans="1:14" x14ac:dyDescent="0.25">
      <c r="A137" s="2"/>
      <c r="B137" t="s">
        <v>399</v>
      </c>
      <c r="C137" t="s">
        <v>16</v>
      </c>
      <c r="D137" t="s">
        <v>17</v>
      </c>
      <c r="E137" t="s">
        <v>400</v>
      </c>
      <c r="F137" t="s">
        <v>401</v>
      </c>
      <c r="G137" t="s">
        <v>402</v>
      </c>
      <c r="H137" s="3">
        <v>2212.09</v>
      </c>
      <c r="I137">
        <v>133</v>
      </c>
      <c r="J137">
        <v>0</v>
      </c>
      <c r="K137">
        <v>42</v>
      </c>
      <c r="L137" s="4">
        <v>0.197001971693058</v>
      </c>
      <c r="M137" s="4">
        <v>0.802998028306942</v>
      </c>
      <c r="N137">
        <v>0</v>
      </c>
    </row>
    <row r="138" spans="1:14" x14ac:dyDescent="0.25">
      <c r="A138" s="2"/>
      <c r="B138" t="s">
        <v>403</v>
      </c>
      <c r="C138" t="s">
        <v>16</v>
      </c>
      <c r="D138" t="s">
        <v>17</v>
      </c>
      <c r="E138" t="s">
        <v>400</v>
      </c>
      <c r="F138" t="s">
        <v>401</v>
      </c>
      <c r="G138" t="s">
        <v>404</v>
      </c>
      <c r="H138" s="3">
        <v>2335.37</v>
      </c>
      <c r="I138">
        <v>922</v>
      </c>
      <c r="J138">
        <v>0</v>
      </c>
      <c r="K138">
        <v>50</v>
      </c>
      <c r="L138" s="4">
        <v>0.24943508287008401</v>
      </c>
      <c r="M138" s="4">
        <v>0.75056491712991602</v>
      </c>
      <c r="N138">
        <v>1029</v>
      </c>
    </row>
    <row r="139" spans="1:14" x14ac:dyDescent="0.25">
      <c r="A139" s="2">
        <v>23025831</v>
      </c>
      <c r="B139" t="s">
        <v>405</v>
      </c>
      <c r="C139" t="s">
        <v>31</v>
      </c>
      <c r="D139" t="s">
        <v>406</v>
      </c>
      <c r="E139" t="s">
        <v>407</v>
      </c>
      <c r="G139" t="s">
        <v>408</v>
      </c>
      <c r="H139" s="3">
        <v>3021.72</v>
      </c>
      <c r="I139">
        <v>694</v>
      </c>
      <c r="J139">
        <v>1</v>
      </c>
      <c r="K139">
        <v>16</v>
      </c>
      <c r="L139" s="4">
        <v>0.41479309801477099</v>
      </c>
      <c r="M139" s="4">
        <v>0.58520690198522896</v>
      </c>
      <c r="N139">
        <v>0</v>
      </c>
    </row>
    <row r="140" spans="1:14" x14ac:dyDescent="0.25">
      <c r="A140" s="2">
        <v>23731076</v>
      </c>
      <c r="B140" t="s">
        <v>409</v>
      </c>
      <c r="C140" t="s">
        <v>31</v>
      </c>
      <c r="D140" t="s">
        <v>406</v>
      </c>
      <c r="E140" t="s">
        <v>407</v>
      </c>
      <c r="G140" t="s">
        <v>410</v>
      </c>
      <c r="H140" s="3">
        <v>3209.63</v>
      </c>
      <c r="I140">
        <v>473</v>
      </c>
      <c r="J140">
        <v>1</v>
      </c>
      <c r="K140">
        <v>38</v>
      </c>
      <c r="L140" s="4">
        <v>0.97838035256612399</v>
      </c>
      <c r="M140" s="4">
        <v>2.1619647433875799E-2</v>
      </c>
      <c r="N140">
        <v>0</v>
      </c>
    </row>
    <row r="141" spans="1:14" x14ac:dyDescent="0.25">
      <c r="A141" s="2">
        <v>23244291</v>
      </c>
      <c r="B141" t="s">
        <v>411</v>
      </c>
      <c r="C141" t="s">
        <v>31</v>
      </c>
      <c r="D141" t="s">
        <v>406</v>
      </c>
      <c r="E141" t="s">
        <v>407</v>
      </c>
      <c r="G141" t="s">
        <v>412</v>
      </c>
      <c r="H141" s="3">
        <v>3211.77</v>
      </c>
      <c r="J141">
        <v>1</v>
      </c>
      <c r="L141" s="4">
        <v>0.68644135676050899</v>
      </c>
      <c r="M141" s="4">
        <v>0.31355864323949101</v>
      </c>
      <c r="N141">
        <v>0</v>
      </c>
    </row>
    <row r="142" spans="1:14" x14ac:dyDescent="0.25">
      <c r="A142" s="2"/>
      <c r="B142" t="s">
        <v>413</v>
      </c>
      <c r="C142" t="s">
        <v>16</v>
      </c>
      <c r="D142" t="s">
        <v>17</v>
      </c>
      <c r="E142" t="s">
        <v>400</v>
      </c>
      <c r="F142" t="s">
        <v>401</v>
      </c>
      <c r="G142" t="s">
        <v>414</v>
      </c>
      <c r="H142" s="3">
        <v>2269.5300000000002</v>
      </c>
      <c r="I142">
        <v>793</v>
      </c>
      <c r="J142">
        <v>0</v>
      </c>
      <c r="K142">
        <v>5</v>
      </c>
      <c r="L142" s="4">
        <v>0.180723228525622</v>
      </c>
      <c r="M142" s="4">
        <v>0.81927677147437805</v>
      </c>
      <c r="N142">
        <v>0</v>
      </c>
    </row>
    <row r="143" spans="1:14" x14ac:dyDescent="0.25">
      <c r="A143" s="2"/>
      <c r="B143" t="s">
        <v>415</v>
      </c>
      <c r="C143" t="s">
        <v>16</v>
      </c>
      <c r="D143" t="s">
        <v>17</v>
      </c>
      <c r="E143" t="s">
        <v>400</v>
      </c>
      <c r="F143" t="s">
        <v>401</v>
      </c>
      <c r="G143" t="s">
        <v>416</v>
      </c>
      <c r="H143" s="3">
        <v>2269.5300000000002</v>
      </c>
      <c r="I143">
        <v>25</v>
      </c>
      <c r="J143">
        <v>1</v>
      </c>
      <c r="K143">
        <v>50</v>
      </c>
      <c r="L143" s="4">
        <v>0.92195327238603497</v>
      </c>
      <c r="M143" s="4">
        <v>7.8046727613965403E-2</v>
      </c>
      <c r="N143">
        <v>0</v>
      </c>
    </row>
    <row r="144" spans="1:14" x14ac:dyDescent="0.25">
      <c r="A144" s="2"/>
      <c r="B144" t="s">
        <v>417</v>
      </c>
      <c r="C144" t="s">
        <v>16</v>
      </c>
      <c r="D144" t="s">
        <v>17</v>
      </c>
      <c r="E144" t="s">
        <v>418</v>
      </c>
      <c r="F144" t="s">
        <v>419</v>
      </c>
      <c r="G144" t="s">
        <v>420</v>
      </c>
      <c r="H144" s="3">
        <v>2298.35</v>
      </c>
      <c r="J144">
        <v>1</v>
      </c>
      <c r="K144">
        <v>28</v>
      </c>
      <c r="L144" s="4">
        <v>5.9009588549878901E-2</v>
      </c>
      <c r="M144" s="4">
        <v>0.94099041145012097</v>
      </c>
      <c r="N144">
        <v>0</v>
      </c>
    </row>
    <row r="145" spans="1:14" x14ac:dyDescent="0.25">
      <c r="A145" s="2">
        <v>23162054</v>
      </c>
      <c r="C145" t="s">
        <v>0</v>
      </c>
      <c r="D145" t="s">
        <v>110</v>
      </c>
      <c r="E145" t="s">
        <v>421</v>
      </c>
      <c r="F145" t="s">
        <v>422</v>
      </c>
      <c r="G145" t="s">
        <v>423</v>
      </c>
      <c r="H145" s="3">
        <v>1047</v>
      </c>
      <c r="I145">
        <v>128</v>
      </c>
      <c r="J145">
        <v>0</v>
      </c>
      <c r="K145">
        <v>41</v>
      </c>
      <c r="L145" s="4">
        <v>0.55140872806075103</v>
      </c>
      <c r="M145" s="4">
        <v>0.44859127193924903</v>
      </c>
      <c r="N145">
        <v>0</v>
      </c>
    </row>
    <row r="146" spans="1:14" x14ac:dyDescent="0.25">
      <c r="A146" s="2">
        <v>23713614</v>
      </c>
      <c r="C146" t="s">
        <v>0</v>
      </c>
      <c r="D146" t="s">
        <v>378</v>
      </c>
      <c r="E146" t="s">
        <v>424</v>
      </c>
      <c r="F146" t="s">
        <v>425</v>
      </c>
      <c r="G146" t="s">
        <v>426</v>
      </c>
      <c r="H146" s="3">
        <v>1800</v>
      </c>
      <c r="I146">
        <v>649</v>
      </c>
      <c r="J146">
        <v>1</v>
      </c>
      <c r="K146">
        <v>40</v>
      </c>
      <c r="L146" s="4">
        <v>6.3872977642634998E-3</v>
      </c>
      <c r="M146" s="4">
        <v>0.99361270223573706</v>
      </c>
      <c r="N146">
        <v>0</v>
      </c>
    </row>
    <row r="147" spans="1:14" x14ac:dyDescent="0.25">
      <c r="A147" s="2"/>
      <c r="B147" t="s">
        <v>427</v>
      </c>
      <c r="C147" t="s">
        <v>16</v>
      </c>
      <c r="D147" t="s">
        <v>378</v>
      </c>
      <c r="E147" t="s">
        <v>428</v>
      </c>
      <c r="F147" t="s">
        <v>429</v>
      </c>
      <c r="G147" t="s">
        <v>430</v>
      </c>
      <c r="H147" s="3">
        <v>1800</v>
      </c>
      <c r="I147">
        <v>489</v>
      </c>
      <c r="J147">
        <v>0</v>
      </c>
      <c r="K147">
        <v>46</v>
      </c>
      <c r="L147" s="4">
        <v>0.75933138120649901</v>
      </c>
      <c r="M147" s="4">
        <v>0.24066861879350099</v>
      </c>
      <c r="N147">
        <v>0</v>
      </c>
    </row>
    <row r="148" spans="1:14" x14ac:dyDescent="0.25">
      <c r="A148" s="2"/>
      <c r="B148" t="s">
        <v>431</v>
      </c>
      <c r="C148" t="s">
        <v>16</v>
      </c>
      <c r="D148" t="s">
        <v>17</v>
      </c>
      <c r="E148" t="s">
        <v>432</v>
      </c>
      <c r="F148" t="s">
        <v>433</v>
      </c>
      <c r="G148" t="s">
        <v>434</v>
      </c>
      <c r="H148" s="3">
        <v>1475.4</v>
      </c>
      <c r="I148">
        <v>147</v>
      </c>
      <c r="J148">
        <v>1</v>
      </c>
      <c r="K148">
        <v>14</v>
      </c>
      <c r="L148" s="4">
        <v>0.49806253117567501</v>
      </c>
      <c r="M148" s="4">
        <v>0.50193746882432499</v>
      </c>
      <c r="N148">
        <v>0</v>
      </c>
    </row>
    <row r="149" spans="1:14" x14ac:dyDescent="0.25">
      <c r="A149" s="2">
        <v>22326920</v>
      </c>
      <c r="B149" t="s">
        <v>435</v>
      </c>
      <c r="C149" t="s">
        <v>31</v>
      </c>
      <c r="D149" t="s">
        <v>17</v>
      </c>
      <c r="E149" t="s">
        <v>432</v>
      </c>
      <c r="F149" t="s">
        <v>433</v>
      </c>
      <c r="G149" t="s">
        <v>436</v>
      </c>
      <c r="H149" s="3">
        <v>2246.4</v>
      </c>
      <c r="I149">
        <v>669</v>
      </c>
      <c r="J149">
        <v>1</v>
      </c>
      <c r="L149" s="4">
        <v>0.99205034780333001</v>
      </c>
      <c r="M149" s="4">
        <v>7.9496521966701001E-3</v>
      </c>
      <c r="N149">
        <v>0</v>
      </c>
    </row>
    <row r="150" spans="1:14" x14ac:dyDescent="0.25">
      <c r="A150" s="2"/>
      <c r="B150" t="s">
        <v>437</v>
      </c>
      <c r="C150" t="s">
        <v>16</v>
      </c>
      <c r="D150" t="s">
        <v>378</v>
      </c>
      <c r="E150" t="s">
        <v>424</v>
      </c>
      <c r="F150" t="s">
        <v>425</v>
      </c>
      <c r="G150" t="s">
        <v>438</v>
      </c>
      <c r="H150" s="3">
        <v>1800</v>
      </c>
      <c r="I150">
        <v>422</v>
      </c>
      <c r="J150">
        <v>1</v>
      </c>
      <c r="K150">
        <v>8</v>
      </c>
      <c r="L150" s="4">
        <v>0.15811898520776599</v>
      </c>
      <c r="M150" s="4">
        <v>0.84188101479223398</v>
      </c>
      <c r="N150">
        <v>0</v>
      </c>
    </row>
    <row r="151" spans="1:14" x14ac:dyDescent="0.25">
      <c r="A151" s="2">
        <v>20377523</v>
      </c>
      <c r="B151" t="s">
        <v>439</v>
      </c>
      <c r="C151" t="s">
        <v>31</v>
      </c>
      <c r="D151" t="s">
        <v>378</v>
      </c>
      <c r="E151" t="s">
        <v>424</v>
      </c>
      <c r="F151" t="s">
        <v>425</v>
      </c>
      <c r="G151" t="s">
        <v>440</v>
      </c>
      <c r="H151" s="3">
        <v>1800</v>
      </c>
      <c r="I151">
        <v>7</v>
      </c>
      <c r="J151">
        <v>1</v>
      </c>
      <c r="L151" s="4">
        <v>0.59676218544122295</v>
      </c>
      <c r="M151" s="4">
        <v>0.403237814558777</v>
      </c>
      <c r="N151">
        <v>0</v>
      </c>
    </row>
    <row r="152" spans="1:14" x14ac:dyDescent="0.25">
      <c r="A152" s="2">
        <v>23009366</v>
      </c>
      <c r="B152" t="s">
        <v>441</v>
      </c>
      <c r="C152" t="s">
        <v>31</v>
      </c>
      <c r="D152" t="s">
        <v>378</v>
      </c>
      <c r="E152" t="s">
        <v>424</v>
      </c>
      <c r="F152" t="s">
        <v>425</v>
      </c>
      <c r="G152" t="s">
        <v>442</v>
      </c>
      <c r="H152" s="3">
        <v>1800</v>
      </c>
      <c r="I152">
        <v>696</v>
      </c>
      <c r="J152">
        <v>1</v>
      </c>
      <c r="K152">
        <v>40</v>
      </c>
      <c r="L152" s="4">
        <v>0.179499835913458</v>
      </c>
      <c r="M152" s="4">
        <v>0.82050016408654203</v>
      </c>
      <c r="N152">
        <v>0</v>
      </c>
    </row>
    <row r="153" spans="1:14" x14ac:dyDescent="0.25">
      <c r="A153" s="2"/>
      <c r="B153" t="s">
        <v>443</v>
      </c>
      <c r="C153" t="s">
        <v>16</v>
      </c>
      <c r="D153" t="s">
        <v>378</v>
      </c>
      <c r="E153" t="s">
        <v>424</v>
      </c>
      <c r="F153" t="s">
        <v>425</v>
      </c>
      <c r="G153" t="s">
        <v>444</v>
      </c>
      <c r="H153" s="3">
        <v>2050</v>
      </c>
      <c r="I153">
        <v>565</v>
      </c>
      <c r="J153">
        <v>0</v>
      </c>
      <c r="K153">
        <v>11</v>
      </c>
      <c r="L153" s="4">
        <v>0.92101998067934499</v>
      </c>
      <c r="M153" s="4">
        <v>7.8980019320655404E-2</v>
      </c>
      <c r="N153">
        <v>0</v>
      </c>
    </row>
    <row r="154" spans="1:14" x14ac:dyDescent="0.25">
      <c r="A154" s="2"/>
      <c r="B154" t="s">
        <v>445</v>
      </c>
      <c r="C154" t="s">
        <v>16</v>
      </c>
      <c r="D154" t="s">
        <v>378</v>
      </c>
      <c r="E154" t="s">
        <v>424</v>
      </c>
      <c r="F154" t="s">
        <v>425</v>
      </c>
      <c r="G154" t="s">
        <v>446</v>
      </c>
      <c r="H154" s="3">
        <v>1800</v>
      </c>
      <c r="I154">
        <v>891</v>
      </c>
      <c r="J154">
        <v>1</v>
      </c>
      <c r="K154">
        <v>10</v>
      </c>
      <c r="L154" s="4">
        <v>0.82278904387843299</v>
      </c>
      <c r="M154" s="4">
        <v>0.17721095612156701</v>
      </c>
      <c r="N154">
        <v>0</v>
      </c>
    </row>
    <row r="155" spans="1:14" x14ac:dyDescent="0.25">
      <c r="A155" s="2"/>
      <c r="B155" t="s">
        <v>447</v>
      </c>
      <c r="C155" t="s">
        <v>16</v>
      </c>
      <c r="D155" t="s">
        <v>378</v>
      </c>
      <c r="E155" t="s">
        <v>424</v>
      </c>
      <c r="F155" t="s">
        <v>425</v>
      </c>
      <c r="G155" t="s">
        <v>448</v>
      </c>
      <c r="H155" s="3">
        <v>1800</v>
      </c>
      <c r="I155">
        <v>891</v>
      </c>
      <c r="J155">
        <v>0</v>
      </c>
      <c r="K155">
        <v>27</v>
      </c>
      <c r="L155" s="4">
        <v>3.4624682692109499E-2</v>
      </c>
      <c r="M155" s="4">
        <v>0.96537531730789095</v>
      </c>
      <c r="N155">
        <v>0</v>
      </c>
    </row>
    <row r="156" spans="1:14" x14ac:dyDescent="0.25">
      <c r="A156" s="2"/>
      <c r="B156" t="s">
        <v>449</v>
      </c>
      <c r="C156" t="s">
        <v>16</v>
      </c>
      <c r="D156" t="s">
        <v>378</v>
      </c>
      <c r="E156" t="s">
        <v>424</v>
      </c>
      <c r="F156" t="s">
        <v>425</v>
      </c>
      <c r="G156" t="s">
        <v>450</v>
      </c>
      <c r="H156" s="3">
        <v>1800</v>
      </c>
      <c r="J156">
        <v>1</v>
      </c>
      <c r="K156">
        <v>41</v>
      </c>
      <c r="L156" s="4">
        <v>0.399202693637424</v>
      </c>
      <c r="M156" s="4">
        <v>0.600797306362576</v>
      </c>
      <c r="N156">
        <v>0</v>
      </c>
    </row>
    <row r="157" spans="1:14" x14ac:dyDescent="0.25">
      <c r="A157" s="2"/>
      <c r="B157" t="s">
        <v>451</v>
      </c>
      <c r="C157" t="s">
        <v>16</v>
      </c>
      <c r="D157" t="s">
        <v>378</v>
      </c>
      <c r="E157" t="s">
        <v>424</v>
      </c>
      <c r="F157" t="s">
        <v>425</v>
      </c>
      <c r="G157" t="s">
        <v>452</v>
      </c>
      <c r="H157" s="3">
        <v>1800</v>
      </c>
      <c r="I157">
        <v>542</v>
      </c>
      <c r="J157">
        <v>1</v>
      </c>
      <c r="K157">
        <v>21</v>
      </c>
      <c r="L157" s="4">
        <v>0.67365962117631895</v>
      </c>
      <c r="M157" s="4">
        <v>0.326340378823682</v>
      </c>
      <c r="N157">
        <v>0</v>
      </c>
    </row>
    <row r="158" spans="1:14" x14ac:dyDescent="0.25">
      <c r="A158" s="2"/>
      <c r="B158" t="s">
        <v>453</v>
      </c>
      <c r="C158" t="s">
        <v>16</v>
      </c>
      <c r="D158" t="s">
        <v>378</v>
      </c>
      <c r="E158" t="s">
        <v>424</v>
      </c>
      <c r="F158" t="s">
        <v>425</v>
      </c>
      <c r="G158" t="s">
        <v>454</v>
      </c>
      <c r="H158" s="3">
        <v>2100</v>
      </c>
      <c r="I158">
        <v>406</v>
      </c>
      <c r="J158">
        <v>0</v>
      </c>
      <c r="K158">
        <v>47</v>
      </c>
      <c r="L158" s="4">
        <v>0.820384943966325</v>
      </c>
      <c r="M158" s="4">
        <v>0.179615056033675</v>
      </c>
      <c r="N158">
        <v>0</v>
      </c>
    </row>
    <row r="159" spans="1:14" x14ac:dyDescent="0.25">
      <c r="A159" s="2"/>
      <c r="B159" t="s">
        <v>455</v>
      </c>
      <c r="C159" t="s">
        <v>16</v>
      </c>
      <c r="D159" t="s">
        <v>378</v>
      </c>
      <c r="E159" t="s">
        <v>424</v>
      </c>
      <c r="F159" t="s">
        <v>425</v>
      </c>
      <c r="G159" t="s">
        <v>456</v>
      </c>
      <c r="H159" s="3">
        <v>2100</v>
      </c>
      <c r="J159">
        <v>0</v>
      </c>
      <c r="K159">
        <v>47</v>
      </c>
      <c r="L159" s="4">
        <v>0.29121360012296499</v>
      </c>
      <c r="M159" s="4">
        <v>0.70878639987703496</v>
      </c>
      <c r="N159">
        <v>0</v>
      </c>
    </row>
    <row r="160" spans="1:14" x14ac:dyDescent="0.25">
      <c r="A160" s="2"/>
      <c r="B160" t="s">
        <v>457</v>
      </c>
      <c r="C160" t="s">
        <v>16</v>
      </c>
      <c r="D160" t="s">
        <v>378</v>
      </c>
      <c r="E160" t="s">
        <v>424</v>
      </c>
      <c r="F160" t="s">
        <v>425</v>
      </c>
      <c r="G160" t="s">
        <v>458</v>
      </c>
      <c r="H160" s="3">
        <v>2100</v>
      </c>
      <c r="I160">
        <v>400</v>
      </c>
      <c r="J160">
        <v>0</v>
      </c>
      <c r="K160">
        <v>17</v>
      </c>
      <c r="L160" s="4">
        <v>0.45579639942856198</v>
      </c>
      <c r="M160" s="4">
        <v>0.54420360057143802</v>
      </c>
      <c r="N160">
        <v>0</v>
      </c>
    </row>
    <row r="161" spans="1:14" x14ac:dyDescent="0.25">
      <c r="A161" s="2"/>
      <c r="C161" t="s">
        <v>28</v>
      </c>
      <c r="D161" t="s">
        <v>378</v>
      </c>
      <c r="E161" t="s">
        <v>424</v>
      </c>
      <c r="F161" t="s">
        <v>425</v>
      </c>
      <c r="G161" t="s">
        <v>459</v>
      </c>
      <c r="H161" s="3">
        <v>2100</v>
      </c>
      <c r="I161">
        <v>546</v>
      </c>
      <c r="J161">
        <v>0</v>
      </c>
      <c r="L161" s="4">
        <v>8.1806949003282697E-2</v>
      </c>
      <c r="M161" s="4">
        <v>0.918193050996717</v>
      </c>
      <c r="N161">
        <v>0</v>
      </c>
    </row>
    <row r="162" spans="1:14" x14ac:dyDescent="0.25">
      <c r="A162" s="2"/>
      <c r="B162" t="s">
        <v>460</v>
      </c>
      <c r="C162" t="s">
        <v>16</v>
      </c>
      <c r="D162" t="s">
        <v>378</v>
      </c>
      <c r="E162" t="s">
        <v>424</v>
      </c>
      <c r="F162" t="s">
        <v>425</v>
      </c>
      <c r="G162" t="s">
        <v>461</v>
      </c>
      <c r="H162" s="3">
        <v>1800</v>
      </c>
      <c r="I162">
        <v>40</v>
      </c>
      <c r="J162">
        <v>0</v>
      </c>
      <c r="K162">
        <v>33</v>
      </c>
      <c r="L162" s="4">
        <v>0.21784060412453601</v>
      </c>
      <c r="M162" s="4">
        <v>0.78215939587546401</v>
      </c>
      <c r="N162">
        <v>0</v>
      </c>
    </row>
    <row r="163" spans="1:14" x14ac:dyDescent="0.25">
      <c r="A163" s="2"/>
      <c r="B163" t="s">
        <v>462</v>
      </c>
      <c r="C163" t="s">
        <v>16</v>
      </c>
      <c r="D163" t="s">
        <v>17</v>
      </c>
      <c r="E163" t="s">
        <v>463</v>
      </c>
      <c r="F163" t="s">
        <v>464</v>
      </c>
      <c r="G163" t="s">
        <v>465</v>
      </c>
      <c r="H163" s="3">
        <v>2961.924</v>
      </c>
      <c r="I163">
        <v>308</v>
      </c>
      <c r="J163">
        <v>0</v>
      </c>
      <c r="L163" s="4">
        <v>0.90052969269615502</v>
      </c>
      <c r="M163" s="4">
        <v>9.9470307303845401E-2</v>
      </c>
      <c r="N163">
        <v>0</v>
      </c>
    </row>
    <row r="164" spans="1:14" x14ac:dyDescent="0.25">
      <c r="A164" s="2">
        <v>23356304</v>
      </c>
      <c r="B164" t="s">
        <v>466</v>
      </c>
      <c r="C164" t="s">
        <v>31</v>
      </c>
      <c r="D164" t="s">
        <v>378</v>
      </c>
      <c r="E164" t="s">
        <v>428</v>
      </c>
      <c r="F164" t="s">
        <v>467</v>
      </c>
      <c r="G164" t="s">
        <v>468</v>
      </c>
      <c r="H164" s="3">
        <v>900</v>
      </c>
      <c r="J164">
        <v>1</v>
      </c>
      <c r="K164">
        <v>22</v>
      </c>
      <c r="L164" s="4">
        <v>0.26074018253112702</v>
      </c>
      <c r="M164" s="4">
        <v>0.73925981746887304</v>
      </c>
      <c r="N164">
        <v>0</v>
      </c>
    </row>
    <row r="165" spans="1:14" x14ac:dyDescent="0.25">
      <c r="A165" s="2">
        <v>23697937</v>
      </c>
      <c r="B165" t="s">
        <v>469</v>
      </c>
      <c r="C165" t="s">
        <v>31</v>
      </c>
      <c r="D165" t="s">
        <v>378</v>
      </c>
      <c r="E165" t="s">
        <v>428</v>
      </c>
      <c r="F165" t="s">
        <v>467</v>
      </c>
      <c r="G165" t="s">
        <v>470</v>
      </c>
      <c r="H165" s="3">
        <v>2100</v>
      </c>
      <c r="I165">
        <v>606</v>
      </c>
      <c r="J165">
        <v>1</v>
      </c>
      <c r="K165">
        <v>47</v>
      </c>
      <c r="L165" s="4">
        <v>0.40284124774241598</v>
      </c>
      <c r="M165" s="4">
        <v>0.59715875225758497</v>
      </c>
      <c r="N165">
        <v>0</v>
      </c>
    </row>
    <row r="166" spans="1:14" x14ac:dyDescent="0.25">
      <c r="A166" s="2"/>
      <c r="B166" t="s">
        <v>471</v>
      </c>
      <c r="C166" t="s">
        <v>16</v>
      </c>
      <c r="D166" t="s">
        <v>378</v>
      </c>
      <c r="E166" t="s">
        <v>428</v>
      </c>
      <c r="F166" t="s">
        <v>467</v>
      </c>
      <c r="G166" t="s">
        <v>472</v>
      </c>
      <c r="H166" s="3">
        <v>1800</v>
      </c>
      <c r="I166">
        <v>661</v>
      </c>
      <c r="J166">
        <v>1</v>
      </c>
      <c r="K166">
        <v>15</v>
      </c>
      <c r="L166" s="4">
        <v>0.66567002182649604</v>
      </c>
      <c r="M166" s="4">
        <v>0.33432997817350502</v>
      </c>
      <c r="N166">
        <v>0</v>
      </c>
    </row>
    <row r="167" spans="1:14" x14ac:dyDescent="0.25">
      <c r="A167" s="2"/>
      <c r="B167" t="s">
        <v>473</v>
      </c>
      <c r="C167" t="s">
        <v>16</v>
      </c>
      <c r="D167" t="s">
        <v>22</v>
      </c>
      <c r="E167" t="s">
        <v>474</v>
      </c>
      <c r="F167" t="s">
        <v>475</v>
      </c>
      <c r="G167" t="s">
        <v>476</v>
      </c>
      <c r="H167" s="3">
        <v>665.64</v>
      </c>
      <c r="I167">
        <v>861</v>
      </c>
      <c r="J167">
        <v>0</v>
      </c>
      <c r="K167">
        <v>4</v>
      </c>
      <c r="L167" s="4">
        <v>0.96636501270754005</v>
      </c>
      <c r="M167" s="4">
        <v>3.3634987292459603E-2</v>
      </c>
      <c r="N167">
        <v>0</v>
      </c>
    </row>
    <row r="168" spans="1:14" x14ac:dyDescent="0.25">
      <c r="A168" s="2">
        <v>23459248</v>
      </c>
      <c r="C168" t="s">
        <v>0</v>
      </c>
      <c r="D168" t="s">
        <v>17</v>
      </c>
      <c r="E168" t="s">
        <v>477</v>
      </c>
      <c r="F168" t="s">
        <v>478</v>
      </c>
      <c r="G168" t="s">
        <v>479</v>
      </c>
      <c r="H168" s="3">
        <v>2476.42</v>
      </c>
      <c r="I168">
        <v>449</v>
      </c>
      <c r="J168">
        <v>0</v>
      </c>
      <c r="L168" s="4">
        <v>0.76250820916833095</v>
      </c>
      <c r="M168" s="4">
        <v>0.23749179083166899</v>
      </c>
      <c r="N168">
        <v>0</v>
      </c>
    </row>
    <row r="169" spans="1:14" x14ac:dyDescent="0.25">
      <c r="A169" s="2">
        <v>23085491</v>
      </c>
      <c r="B169" t="s">
        <v>480</v>
      </c>
      <c r="C169" t="s">
        <v>31</v>
      </c>
      <c r="D169" t="s">
        <v>17</v>
      </c>
      <c r="E169" t="s">
        <v>396</v>
      </c>
      <c r="F169" t="s">
        <v>397</v>
      </c>
      <c r="G169" t="s">
        <v>481</v>
      </c>
      <c r="H169" s="3">
        <v>2307.23</v>
      </c>
      <c r="I169">
        <v>983</v>
      </c>
      <c r="J169">
        <v>1</v>
      </c>
      <c r="K169">
        <v>49</v>
      </c>
      <c r="L169" s="4">
        <v>0.66807203038849305</v>
      </c>
      <c r="M169" s="4">
        <v>0.331927969611507</v>
      </c>
      <c r="N169">
        <v>0</v>
      </c>
    </row>
    <row r="170" spans="1:14" x14ac:dyDescent="0.25">
      <c r="A170" s="2"/>
      <c r="B170" t="s">
        <v>482</v>
      </c>
      <c r="C170" t="s">
        <v>16</v>
      </c>
      <c r="D170" t="s">
        <v>17</v>
      </c>
      <c r="E170" t="s">
        <v>396</v>
      </c>
      <c r="F170" t="s">
        <v>397</v>
      </c>
      <c r="G170" t="s">
        <v>483</v>
      </c>
      <c r="H170" s="3">
        <v>2370.96</v>
      </c>
      <c r="I170">
        <v>455</v>
      </c>
      <c r="J170">
        <v>1</v>
      </c>
      <c r="K170">
        <v>14</v>
      </c>
      <c r="L170" s="4">
        <v>0.68967805466467202</v>
      </c>
      <c r="M170" s="4">
        <v>0.31032194533532798</v>
      </c>
      <c r="N170">
        <v>0</v>
      </c>
    </row>
    <row r="171" spans="1:14" x14ac:dyDescent="0.25">
      <c r="A171" s="2"/>
      <c r="C171" t="s">
        <v>28</v>
      </c>
      <c r="D171" t="s">
        <v>17</v>
      </c>
      <c r="E171" t="s">
        <v>484</v>
      </c>
      <c r="F171" t="s">
        <v>485</v>
      </c>
      <c r="G171" t="s">
        <v>486</v>
      </c>
      <c r="H171" s="3">
        <v>2415.37</v>
      </c>
      <c r="I171">
        <v>903</v>
      </c>
      <c r="J171">
        <v>0</v>
      </c>
      <c r="K171">
        <v>26</v>
      </c>
      <c r="L171" s="4">
        <v>0.19963019614444499</v>
      </c>
      <c r="M171" s="4">
        <v>0.80036980385555501</v>
      </c>
      <c r="N171">
        <v>0</v>
      </c>
    </row>
    <row r="172" spans="1:14" x14ac:dyDescent="0.25">
      <c r="A172" s="2"/>
      <c r="B172" t="s">
        <v>487</v>
      </c>
      <c r="C172" t="s">
        <v>16</v>
      </c>
      <c r="D172" t="s">
        <v>17</v>
      </c>
      <c r="E172" t="s">
        <v>488</v>
      </c>
      <c r="F172" t="s">
        <v>489</v>
      </c>
      <c r="G172" t="s">
        <v>490</v>
      </c>
      <c r="H172" s="3">
        <v>2315.48</v>
      </c>
      <c r="I172">
        <v>154</v>
      </c>
      <c r="J172">
        <v>0</v>
      </c>
      <c r="L172" s="4">
        <v>0.79300088779811895</v>
      </c>
      <c r="M172" s="4">
        <v>0.206999112201881</v>
      </c>
      <c r="N172">
        <v>0</v>
      </c>
    </row>
    <row r="173" spans="1:14" x14ac:dyDescent="0.25">
      <c r="A173" s="2">
        <v>23458425</v>
      </c>
      <c r="B173" t="s">
        <v>491</v>
      </c>
      <c r="C173" t="s">
        <v>31</v>
      </c>
      <c r="D173" t="s">
        <v>22</v>
      </c>
      <c r="E173" t="s">
        <v>492</v>
      </c>
      <c r="F173" t="s">
        <v>47</v>
      </c>
      <c r="G173" t="s">
        <v>493</v>
      </c>
      <c r="H173" s="3">
        <v>1565.26</v>
      </c>
      <c r="I173">
        <v>471</v>
      </c>
      <c r="J173">
        <v>1</v>
      </c>
      <c r="K173">
        <v>9</v>
      </c>
      <c r="L173" s="4">
        <v>0.96855017071725402</v>
      </c>
      <c r="M173" s="4">
        <v>3.1449829282746103E-2</v>
      </c>
      <c r="N173">
        <v>0</v>
      </c>
    </row>
    <row r="174" spans="1:14" x14ac:dyDescent="0.25">
      <c r="A174" s="2"/>
      <c r="B174" t="s">
        <v>494</v>
      </c>
      <c r="C174" t="s">
        <v>16</v>
      </c>
      <c r="D174" t="s">
        <v>86</v>
      </c>
      <c r="E174" t="s">
        <v>495</v>
      </c>
      <c r="F174" t="s">
        <v>496</v>
      </c>
      <c r="G174" t="s">
        <v>497</v>
      </c>
      <c r="H174" s="3">
        <v>1901.02</v>
      </c>
      <c r="I174">
        <v>988</v>
      </c>
      <c r="J174">
        <v>0</v>
      </c>
      <c r="L174" s="4">
        <v>0.54027342733383199</v>
      </c>
      <c r="M174" s="4">
        <v>0.45972657266616801</v>
      </c>
      <c r="N174">
        <v>0</v>
      </c>
    </row>
    <row r="175" spans="1:14" x14ac:dyDescent="0.25">
      <c r="A175" s="2"/>
      <c r="B175" t="s">
        <v>498</v>
      </c>
      <c r="C175" t="s">
        <v>16</v>
      </c>
      <c r="D175" t="s">
        <v>86</v>
      </c>
      <c r="E175" t="s">
        <v>495</v>
      </c>
      <c r="F175" t="s">
        <v>496</v>
      </c>
      <c r="G175" t="s">
        <v>499</v>
      </c>
      <c r="H175" s="3">
        <v>1969.41</v>
      </c>
      <c r="I175">
        <v>907</v>
      </c>
      <c r="J175">
        <v>0</v>
      </c>
      <c r="K175">
        <v>17</v>
      </c>
      <c r="L175" s="4">
        <v>0.22889992027078801</v>
      </c>
      <c r="M175" s="4">
        <v>0.77110007972921202</v>
      </c>
      <c r="N175">
        <v>0</v>
      </c>
    </row>
    <row r="176" spans="1:14" x14ac:dyDescent="0.25">
      <c r="A176" s="2"/>
      <c r="B176" t="s">
        <v>500</v>
      </c>
      <c r="C176" t="s">
        <v>16</v>
      </c>
      <c r="D176" t="s">
        <v>86</v>
      </c>
      <c r="E176" t="s">
        <v>495</v>
      </c>
      <c r="F176" t="s">
        <v>496</v>
      </c>
      <c r="G176" t="s">
        <v>501</v>
      </c>
      <c r="H176" s="3">
        <v>1969.41</v>
      </c>
      <c r="I176">
        <v>340</v>
      </c>
      <c r="J176">
        <v>0</v>
      </c>
      <c r="K176">
        <v>15</v>
      </c>
      <c r="L176" s="4">
        <v>0.28279406488255499</v>
      </c>
      <c r="M176" s="4">
        <v>0.71720593511744501</v>
      </c>
      <c r="N176">
        <v>0</v>
      </c>
    </row>
    <row r="177" spans="1:14" x14ac:dyDescent="0.25">
      <c r="A177" s="2"/>
      <c r="B177" t="s">
        <v>502</v>
      </c>
      <c r="C177" t="s">
        <v>16</v>
      </c>
      <c r="D177" t="s">
        <v>86</v>
      </c>
      <c r="E177" t="s">
        <v>495</v>
      </c>
      <c r="F177" t="s">
        <v>496</v>
      </c>
      <c r="G177" t="s">
        <v>503</v>
      </c>
      <c r="H177" s="3">
        <v>1898.01</v>
      </c>
      <c r="I177">
        <v>13</v>
      </c>
      <c r="J177">
        <v>0</v>
      </c>
      <c r="K177">
        <v>26</v>
      </c>
      <c r="L177" s="4">
        <v>0.53365610612593395</v>
      </c>
      <c r="M177" s="4">
        <v>0.466343893874066</v>
      </c>
      <c r="N177">
        <v>1375</v>
      </c>
    </row>
    <row r="178" spans="1:14" x14ac:dyDescent="0.25">
      <c r="A178" s="2"/>
      <c r="B178" t="s">
        <v>504</v>
      </c>
      <c r="C178" t="s">
        <v>16</v>
      </c>
      <c r="D178" t="s">
        <v>69</v>
      </c>
      <c r="E178" t="s">
        <v>505</v>
      </c>
      <c r="F178" t="s">
        <v>506</v>
      </c>
      <c r="G178" t="s">
        <v>507</v>
      </c>
      <c r="H178" s="3">
        <v>2282.59</v>
      </c>
      <c r="I178">
        <v>247</v>
      </c>
      <c r="J178">
        <v>0</v>
      </c>
      <c r="K178">
        <v>29</v>
      </c>
      <c r="L178" s="4">
        <v>0.133385381462268</v>
      </c>
      <c r="M178" s="4">
        <v>0.86661461853773203</v>
      </c>
      <c r="N178">
        <v>0</v>
      </c>
    </row>
    <row r="179" spans="1:14" x14ac:dyDescent="0.25">
      <c r="A179" s="2"/>
      <c r="B179" t="s">
        <v>508</v>
      </c>
      <c r="C179" t="s">
        <v>16</v>
      </c>
      <c r="D179" t="s">
        <v>110</v>
      </c>
      <c r="E179" t="s">
        <v>421</v>
      </c>
      <c r="F179" t="s">
        <v>509</v>
      </c>
      <c r="G179" t="s">
        <v>510</v>
      </c>
      <c r="H179" s="3">
        <v>1700</v>
      </c>
      <c r="I179">
        <v>897</v>
      </c>
      <c r="J179">
        <v>0</v>
      </c>
      <c r="K179">
        <v>30</v>
      </c>
      <c r="L179" s="4">
        <v>0.73324044563617297</v>
      </c>
      <c r="M179" s="4">
        <v>0.26675955436382698</v>
      </c>
      <c r="N179">
        <v>0</v>
      </c>
    </row>
    <row r="180" spans="1:14" x14ac:dyDescent="0.25">
      <c r="A180" s="2"/>
      <c r="B180" t="s">
        <v>511</v>
      </c>
      <c r="C180" t="s">
        <v>16</v>
      </c>
      <c r="D180" t="s">
        <v>110</v>
      </c>
      <c r="E180" t="s">
        <v>421</v>
      </c>
      <c r="F180" t="s">
        <v>509</v>
      </c>
      <c r="G180" t="s">
        <v>512</v>
      </c>
      <c r="H180" s="3">
        <v>1700</v>
      </c>
      <c r="I180">
        <v>864</v>
      </c>
      <c r="J180">
        <v>1</v>
      </c>
      <c r="K180">
        <v>24</v>
      </c>
      <c r="L180" s="4">
        <v>0.43214180988946799</v>
      </c>
      <c r="M180" s="4">
        <v>0.56785819011053296</v>
      </c>
      <c r="N180">
        <v>0</v>
      </c>
    </row>
    <row r="181" spans="1:14" x14ac:dyDescent="0.25">
      <c r="A181" s="2"/>
      <c r="B181" t="s">
        <v>513</v>
      </c>
      <c r="C181" t="s">
        <v>16</v>
      </c>
      <c r="D181" t="s">
        <v>110</v>
      </c>
      <c r="E181" t="s">
        <v>421</v>
      </c>
      <c r="F181" t="s">
        <v>509</v>
      </c>
      <c r="G181" t="s">
        <v>514</v>
      </c>
      <c r="H181" s="3">
        <v>2040</v>
      </c>
      <c r="I181">
        <v>86</v>
      </c>
      <c r="J181">
        <v>1</v>
      </c>
      <c r="K181">
        <v>49</v>
      </c>
      <c r="L181" s="4">
        <v>0.90582490348649003</v>
      </c>
      <c r="M181" s="4">
        <v>9.4175096513510095E-2</v>
      </c>
      <c r="N181">
        <v>0</v>
      </c>
    </row>
    <row r="182" spans="1:14" x14ac:dyDescent="0.25">
      <c r="A182" s="2">
        <v>23658422</v>
      </c>
      <c r="B182" t="s">
        <v>515</v>
      </c>
      <c r="C182" t="s">
        <v>31</v>
      </c>
      <c r="D182" t="s">
        <v>110</v>
      </c>
      <c r="E182" t="s">
        <v>421</v>
      </c>
      <c r="F182" t="s">
        <v>509</v>
      </c>
      <c r="G182" t="s">
        <v>516</v>
      </c>
      <c r="H182" s="3">
        <v>2100</v>
      </c>
      <c r="I182">
        <v>241</v>
      </c>
      <c r="J182">
        <v>1</v>
      </c>
      <c r="K182">
        <v>20</v>
      </c>
      <c r="L182" s="4">
        <v>0.87395222751986601</v>
      </c>
      <c r="M182" s="4">
        <v>0.12604777248013399</v>
      </c>
      <c r="N182">
        <v>0</v>
      </c>
    </row>
    <row r="183" spans="1:14" x14ac:dyDescent="0.25">
      <c r="A183" s="2"/>
      <c r="B183" t="s">
        <v>517</v>
      </c>
      <c r="C183" t="s">
        <v>16</v>
      </c>
      <c r="D183" t="s">
        <v>110</v>
      </c>
      <c r="E183" t="s">
        <v>421</v>
      </c>
      <c r="F183" t="s">
        <v>518</v>
      </c>
      <c r="G183" t="s">
        <v>519</v>
      </c>
      <c r="H183" s="3">
        <v>850</v>
      </c>
      <c r="I183">
        <v>812</v>
      </c>
      <c r="J183">
        <v>0</v>
      </c>
      <c r="K183">
        <v>15</v>
      </c>
      <c r="L183" s="4">
        <v>0.30933347888974999</v>
      </c>
      <c r="M183" s="4">
        <v>0.69066652111024995</v>
      </c>
      <c r="N183">
        <v>0</v>
      </c>
    </row>
    <row r="184" spans="1:14" x14ac:dyDescent="0.25">
      <c r="A184" s="2"/>
      <c r="B184" t="s">
        <v>520</v>
      </c>
      <c r="C184" t="s">
        <v>16</v>
      </c>
      <c r="D184" t="s">
        <v>110</v>
      </c>
      <c r="E184" t="s">
        <v>421</v>
      </c>
      <c r="F184" t="s">
        <v>518</v>
      </c>
      <c r="G184" t="s">
        <v>521</v>
      </c>
      <c r="H184" s="3">
        <v>850</v>
      </c>
      <c r="I184">
        <v>207</v>
      </c>
      <c r="J184">
        <v>0</v>
      </c>
      <c r="K184">
        <v>3</v>
      </c>
      <c r="L184" s="4">
        <v>0.38649302419509501</v>
      </c>
      <c r="M184" s="4">
        <v>0.61350697580490499</v>
      </c>
      <c r="N184">
        <v>0</v>
      </c>
    </row>
    <row r="185" spans="1:14" x14ac:dyDescent="0.25">
      <c r="A185" s="2"/>
      <c r="B185" t="s">
        <v>522</v>
      </c>
      <c r="C185" t="s">
        <v>16</v>
      </c>
      <c r="D185" t="s">
        <v>110</v>
      </c>
      <c r="E185" t="s">
        <v>421</v>
      </c>
      <c r="F185" t="s">
        <v>518</v>
      </c>
      <c r="G185" t="s">
        <v>523</v>
      </c>
      <c r="H185" s="3">
        <v>1700</v>
      </c>
      <c r="I185">
        <v>412</v>
      </c>
      <c r="J185">
        <v>1</v>
      </c>
      <c r="K185">
        <v>42</v>
      </c>
      <c r="L185" s="4">
        <v>0.66222400880023002</v>
      </c>
      <c r="M185" s="4">
        <v>0.33777599119976998</v>
      </c>
      <c r="N185">
        <v>0</v>
      </c>
    </row>
    <row r="186" spans="1:14" x14ac:dyDescent="0.25">
      <c r="A186" s="2"/>
      <c r="B186" t="s">
        <v>524</v>
      </c>
      <c r="C186" t="s">
        <v>16</v>
      </c>
      <c r="D186" t="s">
        <v>525</v>
      </c>
      <c r="E186" t="s">
        <v>526</v>
      </c>
      <c r="F186" t="s">
        <v>527</v>
      </c>
      <c r="G186" t="s">
        <v>528</v>
      </c>
      <c r="H186" s="3">
        <v>1014.74</v>
      </c>
      <c r="I186">
        <v>193</v>
      </c>
      <c r="J186">
        <v>1</v>
      </c>
      <c r="K186">
        <v>6</v>
      </c>
      <c r="L186" s="4">
        <v>0.68031174055150001</v>
      </c>
      <c r="M186" s="4">
        <v>0.31968825944850099</v>
      </c>
      <c r="N186">
        <v>0</v>
      </c>
    </row>
    <row r="187" spans="1:14" x14ac:dyDescent="0.25">
      <c r="A187" s="2"/>
      <c r="B187" t="s">
        <v>529</v>
      </c>
      <c r="C187" t="s">
        <v>16</v>
      </c>
      <c r="D187" t="s">
        <v>530</v>
      </c>
      <c r="E187" t="s">
        <v>531</v>
      </c>
      <c r="F187" t="s">
        <v>532</v>
      </c>
      <c r="G187" t="s">
        <v>533</v>
      </c>
      <c r="H187" s="3">
        <v>946.55</v>
      </c>
      <c r="I187">
        <v>965</v>
      </c>
      <c r="J187">
        <v>0</v>
      </c>
      <c r="K187">
        <v>30</v>
      </c>
      <c r="L187" s="4">
        <v>0.98346791725010796</v>
      </c>
      <c r="M187" s="4">
        <v>1.65320827498922E-2</v>
      </c>
      <c r="N187">
        <v>0</v>
      </c>
    </row>
    <row r="188" spans="1:14" x14ac:dyDescent="0.25">
      <c r="A188" s="2"/>
      <c r="B188" t="s">
        <v>534</v>
      </c>
      <c r="C188" t="s">
        <v>16</v>
      </c>
      <c r="D188" t="s">
        <v>17</v>
      </c>
      <c r="E188" t="s">
        <v>535</v>
      </c>
      <c r="F188" t="s">
        <v>464</v>
      </c>
      <c r="G188" t="s">
        <v>536</v>
      </c>
      <c r="H188" s="3">
        <v>2142.9299999999998</v>
      </c>
      <c r="I188">
        <v>197</v>
      </c>
      <c r="J188">
        <v>0</v>
      </c>
      <c r="K188">
        <v>49</v>
      </c>
      <c r="L188" s="4">
        <v>0.94884595300954599</v>
      </c>
      <c r="M188" s="4">
        <v>5.11540469904537E-2</v>
      </c>
      <c r="N188">
        <v>0</v>
      </c>
    </row>
    <row r="189" spans="1:14" x14ac:dyDescent="0.25">
      <c r="A189" s="2">
        <v>23245760</v>
      </c>
      <c r="C189" t="s">
        <v>0</v>
      </c>
      <c r="D189" t="s">
        <v>17</v>
      </c>
      <c r="E189" t="s">
        <v>535</v>
      </c>
      <c r="F189" t="s">
        <v>464</v>
      </c>
      <c r="G189" t="s">
        <v>537</v>
      </c>
      <c r="H189" s="3">
        <v>2330.13</v>
      </c>
      <c r="I189">
        <v>562</v>
      </c>
      <c r="J189">
        <v>1</v>
      </c>
      <c r="L189" s="4">
        <v>0.94742120513396899</v>
      </c>
      <c r="M189" s="4">
        <v>5.25787948660306E-2</v>
      </c>
      <c r="N189">
        <v>0</v>
      </c>
    </row>
    <row r="190" spans="1:14" x14ac:dyDescent="0.25">
      <c r="A190" s="2">
        <v>23452663</v>
      </c>
      <c r="C190" t="s">
        <v>0</v>
      </c>
      <c r="D190" t="s">
        <v>17</v>
      </c>
      <c r="E190" t="s">
        <v>535</v>
      </c>
      <c r="F190" t="s">
        <v>464</v>
      </c>
      <c r="G190" t="s">
        <v>538</v>
      </c>
      <c r="H190" s="3">
        <v>2429.17</v>
      </c>
      <c r="I190">
        <v>981</v>
      </c>
      <c r="J190">
        <v>1</v>
      </c>
      <c r="K190">
        <v>36</v>
      </c>
      <c r="L190" s="4">
        <v>0.99347884087748495</v>
      </c>
      <c r="M190" s="4">
        <v>6.5211591225151598E-3</v>
      </c>
      <c r="N190">
        <v>0</v>
      </c>
    </row>
    <row r="191" spans="1:14" x14ac:dyDescent="0.25">
      <c r="A191" s="2">
        <v>23510580</v>
      </c>
      <c r="C191" t="s">
        <v>0</v>
      </c>
      <c r="D191" t="s">
        <v>17</v>
      </c>
      <c r="E191" t="s">
        <v>535</v>
      </c>
      <c r="F191" t="s">
        <v>464</v>
      </c>
      <c r="G191" t="s">
        <v>539</v>
      </c>
      <c r="H191" s="3">
        <v>2469.9499999999998</v>
      </c>
      <c r="I191">
        <v>740</v>
      </c>
      <c r="J191">
        <v>0</v>
      </c>
      <c r="K191">
        <v>14</v>
      </c>
      <c r="L191" s="4">
        <v>3.2008489945982502E-2</v>
      </c>
      <c r="M191" s="4">
        <v>0.96799151005401796</v>
      </c>
      <c r="N191">
        <v>0</v>
      </c>
    </row>
    <row r="192" spans="1:14" x14ac:dyDescent="0.25">
      <c r="A192" s="2"/>
      <c r="B192" t="s">
        <v>540</v>
      </c>
      <c r="C192" t="s">
        <v>16</v>
      </c>
      <c r="D192" t="s">
        <v>17</v>
      </c>
      <c r="E192" t="s">
        <v>541</v>
      </c>
      <c r="F192" t="s">
        <v>542</v>
      </c>
      <c r="G192" t="s">
        <v>543</v>
      </c>
      <c r="H192" s="3">
        <v>2435.38</v>
      </c>
      <c r="I192">
        <v>85</v>
      </c>
      <c r="J192">
        <v>1</v>
      </c>
      <c r="K192">
        <v>15</v>
      </c>
      <c r="L192" s="4">
        <v>0.25020676113976298</v>
      </c>
      <c r="M192" s="4">
        <v>0.74979323886023697</v>
      </c>
      <c r="N192">
        <v>0</v>
      </c>
    </row>
    <row r="193" spans="1:14" x14ac:dyDescent="0.25">
      <c r="A193" s="2"/>
      <c r="B193" t="s">
        <v>544</v>
      </c>
      <c r="C193" t="s">
        <v>16</v>
      </c>
      <c r="D193" t="s">
        <v>530</v>
      </c>
      <c r="E193" t="s">
        <v>531</v>
      </c>
      <c r="F193" t="s">
        <v>47</v>
      </c>
      <c r="G193" t="s">
        <v>545</v>
      </c>
      <c r="H193" s="3">
        <v>1281.5899999999999</v>
      </c>
      <c r="I193">
        <v>320</v>
      </c>
      <c r="J193">
        <v>0</v>
      </c>
      <c r="K193">
        <v>43</v>
      </c>
      <c r="L193" s="4">
        <v>0.89394575669417498</v>
      </c>
      <c r="M193" s="4">
        <v>0.106054243305825</v>
      </c>
      <c r="N193">
        <v>0</v>
      </c>
    </row>
    <row r="194" spans="1:14" x14ac:dyDescent="0.25">
      <c r="A194" s="2"/>
      <c r="B194" t="s">
        <v>546</v>
      </c>
      <c r="C194" t="s">
        <v>16</v>
      </c>
      <c r="D194" t="s">
        <v>547</v>
      </c>
      <c r="E194" t="s">
        <v>548</v>
      </c>
      <c r="F194" t="s">
        <v>549</v>
      </c>
      <c r="G194" t="s">
        <v>550</v>
      </c>
      <c r="H194" s="3">
        <v>1836.91</v>
      </c>
      <c r="I194">
        <v>382</v>
      </c>
      <c r="J194">
        <v>0</v>
      </c>
      <c r="K194">
        <v>13</v>
      </c>
      <c r="L194" s="4">
        <v>0.56643943028462695</v>
      </c>
      <c r="M194" s="4">
        <v>0.43356056971537299</v>
      </c>
      <c r="N194">
        <v>0</v>
      </c>
    </row>
    <row r="195" spans="1:14" x14ac:dyDescent="0.25">
      <c r="A195" s="2"/>
      <c r="B195" t="s">
        <v>551</v>
      </c>
      <c r="C195" t="s">
        <v>16</v>
      </c>
      <c r="D195" t="s">
        <v>552</v>
      </c>
      <c r="E195" t="s">
        <v>553</v>
      </c>
      <c r="F195" t="s">
        <v>554</v>
      </c>
      <c r="G195" t="s">
        <v>555</v>
      </c>
      <c r="H195" s="3">
        <v>1260</v>
      </c>
      <c r="I195">
        <v>303</v>
      </c>
      <c r="J195">
        <v>0</v>
      </c>
      <c r="K195">
        <v>26</v>
      </c>
      <c r="L195" s="4">
        <v>0.121997633909391</v>
      </c>
      <c r="M195" s="4">
        <v>0.878002366090609</v>
      </c>
      <c r="N195">
        <v>0</v>
      </c>
    </row>
    <row r="196" spans="1:14" x14ac:dyDescent="0.25">
      <c r="A196" s="2"/>
      <c r="B196" t="s">
        <v>556</v>
      </c>
      <c r="C196" t="s">
        <v>16</v>
      </c>
      <c r="D196" t="s">
        <v>552</v>
      </c>
      <c r="E196" t="s">
        <v>553</v>
      </c>
      <c r="F196" t="s">
        <v>554</v>
      </c>
      <c r="G196" t="s">
        <v>557</v>
      </c>
      <c r="H196" s="3">
        <v>1680</v>
      </c>
      <c r="I196">
        <v>901</v>
      </c>
      <c r="J196">
        <v>1</v>
      </c>
      <c r="K196">
        <v>19</v>
      </c>
      <c r="L196" s="4">
        <v>0.41726813353929798</v>
      </c>
      <c r="M196" s="4">
        <v>0.58273186646070296</v>
      </c>
      <c r="N196">
        <v>0</v>
      </c>
    </row>
    <row r="197" spans="1:14" x14ac:dyDescent="0.25">
      <c r="A197" s="2"/>
      <c r="B197" t="s">
        <v>558</v>
      </c>
      <c r="C197" t="s">
        <v>16</v>
      </c>
      <c r="D197" t="s">
        <v>552</v>
      </c>
      <c r="E197" t="s">
        <v>553</v>
      </c>
      <c r="F197" t="s">
        <v>554</v>
      </c>
      <c r="G197" t="s">
        <v>559</v>
      </c>
      <c r="H197" s="3">
        <v>1680</v>
      </c>
      <c r="I197">
        <v>859</v>
      </c>
      <c r="J197">
        <v>1</v>
      </c>
      <c r="K197">
        <v>20</v>
      </c>
      <c r="L197" s="4">
        <v>0.65199348029877902</v>
      </c>
      <c r="M197" s="4">
        <v>0.34800651970122098</v>
      </c>
      <c r="N197">
        <v>0</v>
      </c>
    </row>
    <row r="198" spans="1:14" x14ac:dyDescent="0.25">
      <c r="A198" s="2"/>
      <c r="B198" t="s">
        <v>560</v>
      </c>
      <c r="C198" t="s">
        <v>16</v>
      </c>
      <c r="D198" t="s">
        <v>552</v>
      </c>
      <c r="E198" t="s">
        <v>553</v>
      </c>
      <c r="F198" t="s">
        <v>554</v>
      </c>
      <c r="G198" t="s">
        <v>561</v>
      </c>
      <c r="H198" s="3">
        <v>2040</v>
      </c>
      <c r="I198">
        <v>997</v>
      </c>
      <c r="J198">
        <v>1</v>
      </c>
      <c r="K198">
        <v>26</v>
      </c>
      <c r="L198" s="4">
        <v>0.94957461406139398</v>
      </c>
      <c r="M198" s="4">
        <v>5.0425385938606099E-2</v>
      </c>
      <c r="N198">
        <v>0</v>
      </c>
    </row>
    <row r="199" spans="1:14" x14ac:dyDescent="0.25">
      <c r="A199" s="2"/>
      <c r="B199" t="s">
        <v>562</v>
      </c>
      <c r="C199" t="s">
        <v>16</v>
      </c>
      <c r="D199" t="s">
        <v>525</v>
      </c>
      <c r="E199" t="s">
        <v>526</v>
      </c>
      <c r="F199" t="s">
        <v>518</v>
      </c>
      <c r="G199" t="s">
        <v>563</v>
      </c>
      <c r="H199" s="3">
        <v>1044</v>
      </c>
      <c r="I199">
        <v>795</v>
      </c>
      <c r="J199">
        <v>0</v>
      </c>
      <c r="K199">
        <v>25</v>
      </c>
      <c r="L199" s="4">
        <v>0.25848581046554098</v>
      </c>
      <c r="M199" s="4">
        <v>0.74151418953445902</v>
      </c>
      <c r="N199">
        <v>0</v>
      </c>
    </row>
    <row r="200" spans="1:14" x14ac:dyDescent="0.25">
      <c r="A200" s="2"/>
      <c r="B200" t="s">
        <v>564</v>
      </c>
      <c r="C200" t="s">
        <v>16</v>
      </c>
      <c r="D200" t="s">
        <v>525</v>
      </c>
      <c r="E200" t="s">
        <v>526</v>
      </c>
      <c r="F200" t="s">
        <v>518</v>
      </c>
      <c r="G200" t="s">
        <v>565</v>
      </c>
      <c r="H200" s="3">
        <v>1044</v>
      </c>
      <c r="I200">
        <v>794</v>
      </c>
      <c r="J200">
        <v>0</v>
      </c>
      <c r="K200">
        <v>34</v>
      </c>
      <c r="L200" s="4">
        <v>0.117654796044963</v>
      </c>
      <c r="M200" s="4">
        <v>0.88234520395503702</v>
      </c>
      <c r="N200">
        <v>0</v>
      </c>
    </row>
    <row r="201" spans="1:14" x14ac:dyDescent="0.25">
      <c r="A201" s="2"/>
      <c r="C201" t="s">
        <v>28</v>
      </c>
      <c r="D201" t="s">
        <v>525</v>
      </c>
      <c r="E201" t="s">
        <v>526</v>
      </c>
      <c r="F201" t="s">
        <v>518</v>
      </c>
      <c r="G201" t="s">
        <v>566</v>
      </c>
      <c r="H201" s="3">
        <v>1044</v>
      </c>
      <c r="I201">
        <v>405</v>
      </c>
      <c r="J201">
        <v>1</v>
      </c>
      <c r="K201">
        <v>13</v>
      </c>
      <c r="L201" s="4">
        <v>0.90222454988603795</v>
      </c>
      <c r="M201" s="4">
        <v>9.7775450113961604E-2</v>
      </c>
      <c r="N201">
        <v>0</v>
      </c>
    </row>
    <row r="202" spans="1:14" x14ac:dyDescent="0.25">
      <c r="A202" s="2"/>
      <c r="B202" t="s">
        <v>567</v>
      </c>
      <c r="C202" t="s">
        <v>16</v>
      </c>
      <c r="D202" t="s">
        <v>525</v>
      </c>
      <c r="E202" t="s">
        <v>526</v>
      </c>
      <c r="F202" t="s">
        <v>518</v>
      </c>
      <c r="G202" t="s">
        <v>568</v>
      </c>
      <c r="H202" s="3">
        <v>1044</v>
      </c>
      <c r="I202">
        <v>228</v>
      </c>
      <c r="J202">
        <v>1</v>
      </c>
      <c r="K202">
        <v>33</v>
      </c>
      <c r="L202" s="4">
        <v>0.71889940973021904</v>
      </c>
      <c r="M202" s="4">
        <v>0.28110059026978101</v>
      </c>
      <c r="N202">
        <v>0</v>
      </c>
    </row>
    <row r="203" spans="1:14" x14ac:dyDescent="0.25">
      <c r="A203" s="2"/>
      <c r="B203" t="s">
        <v>569</v>
      </c>
      <c r="C203" t="s">
        <v>16</v>
      </c>
      <c r="D203" t="s">
        <v>525</v>
      </c>
      <c r="E203" t="s">
        <v>526</v>
      </c>
      <c r="F203" t="s">
        <v>518</v>
      </c>
      <c r="G203" t="s">
        <v>570</v>
      </c>
      <c r="H203" s="3">
        <v>1044</v>
      </c>
      <c r="I203">
        <v>701</v>
      </c>
      <c r="J203">
        <v>1</v>
      </c>
      <c r="K203">
        <v>25</v>
      </c>
      <c r="L203" s="4">
        <v>0.54886341609637301</v>
      </c>
      <c r="M203" s="4">
        <v>0.45113658390362699</v>
      </c>
      <c r="N203">
        <v>0</v>
      </c>
    </row>
    <row r="204" spans="1:14" x14ac:dyDescent="0.25">
      <c r="A204" s="2"/>
      <c r="B204" t="s">
        <v>571</v>
      </c>
      <c r="C204" t="s">
        <v>16</v>
      </c>
      <c r="D204" t="s">
        <v>22</v>
      </c>
      <c r="E204" t="s">
        <v>572</v>
      </c>
      <c r="F204" t="s">
        <v>573</v>
      </c>
      <c r="G204" t="s">
        <v>574</v>
      </c>
      <c r="H204" s="3">
        <v>2381.04</v>
      </c>
      <c r="I204">
        <v>267</v>
      </c>
      <c r="J204">
        <v>0</v>
      </c>
      <c r="K204">
        <v>1</v>
      </c>
      <c r="L204" s="4">
        <v>0.13756436765562899</v>
      </c>
      <c r="M204" s="4">
        <v>0.86243563234437104</v>
      </c>
      <c r="N204">
        <v>0</v>
      </c>
    </row>
    <row r="205" spans="1:14" x14ac:dyDescent="0.25">
      <c r="A205" s="2"/>
      <c r="B205" t="s">
        <v>575</v>
      </c>
      <c r="C205" t="s">
        <v>16</v>
      </c>
      <c r="D205" t="s">
        <v>17</v>
      </c>
      <c r="E205" t="s">
        <v>576</v>
      </c>
      <c r="F205" t="s">
        <v>577</v>
      </c>
      <c r="G205" t="s">
        <v>578</v>
      </c>
      <c r="H205" s="3">
        <v>2329.0300000000002</v>
      </c>
      <c r="I205">
        <v>579</v>
      </c>
      <c r="J205">
        <v>0</v>
      </c>
      <c r="K205">
        <v>44</v>
      </c>
      <c r="L205" s="4">
        <v>0.77209498199763005</v>
      </c>
      <c r="M205" s="4">
        <v>0.22790501800237001</v>
      </c>
      <c r="N205">
        <v>0</v>
      </c>
    </row>
    <row r="206" spans="1:14" x14ac:dyDescent="0.25">
      <c r="A206" s="2"/>
      <c r="B206" t="s">
        <v>579</v>
      </c>
      <c r="C206" t="s">
        <v>16</v>
      </c>
      <c r="D206" t="s">
        <v>17</v>
      </c>
      <c r="E206" t="s">
        <v>576</v>
      </c>
      <c r="F206" t="s">
        <v>577</v>
      </c>
      <c r="G206" t="s">
        <v>580</v>
      </c>
      <c r="H206" s="3">
        <v>2466.39</v>
      </c>
      <c r="I206">
        <v>432</v>
      </c>
      <c r="J206">
        <v>1</v>
      </c>
      <c r="K206">
        <v>5</v>
      </c>
      <c r="L206" s="4">
        <v>0.85386911118085795</v>
      </c>
      <c r="M206" s="4">
        <v>0.14613088881914199</v>
      </c>
      <c r="N206">
        <v>0</v>
      </c>
    </row>
    <row r="207" spans="1:14" x14ac:dyDescent="0.25">
      <c r="A207" s="2">
        <v>22738332</v>
      </c>
      <c r="B207" t="s">
        <v>581</v>
      </c>
      <c r="C207" t="s">
        <v>31</v>
      </c>
      <c r="D207" t="s">
        <v>148</v>
      </c>
      <c r="E207" t="s">
        <v>148</v>
      </c>
      <c r="F207" t="s">
        <v>47</v>
      </c>
      <c r="G207" t="s">
        <v>582</v>
      </c>
      <c r="H207" s="3">
        <v>1350</v>
      </c>
      <c r="I207">
        <v>76</v>
      </c>
      <c r="J207">
        <v>0</v>
      </c>
      <c r="K207">
        <v>20</v>
      </c>
      <c r="L207" s="4">
        <v>0.75359922883157304</v>
      </c>
      <c r="M207" s="4">
        <v>0.24640077116842701</v>
      </c>
      <c r="N207">
        <v>0</v>
      </c>
    </row>
    <row r="208" spans="1:14" x14ac:dyDescent="0.25">
      <c r="A208" s="2"/>
      <c r="B208" t="s">
        <v>583</v>
      </c>
      <c r="C208" t="s">
        <v>16</v>
      </c>
      <c r="D208" t="s">
        <v>69</v>
      </c>
      <c r="E208" t="s">
        <v>584</v>
      </c>
      <c r="F208" t="s">
        <v>585</v>
      </c>
      <c r="G208" t="s">
        <v>586</v>
      </c>
      <c r="H208" s="3">
        <v>2236.16</v>
      </c>
      <c r="I208">
        <v>130</v>
      </c>
      <c r="J208">
        <v>1</v>
      </c>
      <c r="K208">
        <v>34</v>
      </c>
      <c r="L208" s="4">
        <v>0.60679171350880201</v>
      </c>
      <c r="M208" s="4">
        <v>0.39320828649119799</v>
      </c>
      <c r="N208">
        <v>0</v>
      </c>
    </row>
    <row r="209" spans="1:14" x14ac:dyDescent="0.25">
      <c r="A209" s="2">
        <v>23225165</v>
      </c>
      <c r="C209" t="s">
        <v>0</v>
      </c>
      <c r="D209" t="s">
        <v>69</v>
      </c>
      <c r="E209" t="s">
        <v>587</v>
      </c>
      <c r="F209" t="s">
        <v>588</v>
      </c>
      <c r="G209" t="s">
        <v>589</v>
      </c>
      <c r="H209" s="3">
        <v>1930.88</v>
      </c>
      <c r="I209">
        <v>472</v>
      </c>
      <c r="J209">
        <v>0</v>
      </c>
      <c r="K209">
        <v>4</v>
      </c>
      <c r="L209" s="4">
        <v>0.72146045773843903</v>
      </c>
      <c r="M209" s="4">
        <v>0.27853954226156102</v>
      </c>
      <c r="N209">
        <v>0</v>
      </c>
    </row>
    <row r="210" spans="1:14" x14ac:dyDescent="0.25">
      <c r="A210" s="2">
        <v>23179061</v>
      </c>
      <c r="C210" t="s">
        <v>0</v>
      </c>
      <c r="D210" t="s">
        <v>69</v>
      </c>
      <c r="E210" t="s">
        <v>587</v>
      </c>
      <c r="F210" t="s">
        <v>588</v>
      </c>
      <c r="G210" t="s">
        <v>590</v>
      </c>
      <c r="H210" s="3">
        <v>1916.11</v>
      </c>
      <c r="I210">
        <v>182</v>
      </c>
      <c r="J210">
        <v>0</v>
      </c>
      <c r="K210">
        <v>2</v>
      </c>
      <c r="L210" s="4">
        <v>0.23492550078884999</v>
      </c>
      <c r="M210" s="4">
        <v>0.76507449921115001</v>
      </c>
      <c r="N210">
        <v>0</v>
      </c>
    </row>
    <row r="211" spans="1:14" x14ac:dyDescent="0.25">
      <c r="A211" s="2"/>
      <c r="B211" t="s">
        <v>591</v>
      </c>
      <c r="C211" t="s">
        <v>16</v>
      </c>
      <c r="D211" t="s">
        <v>592</v>
      </c>
      <c r="E211" t="s">
        <v>593</v>
      </c>
      <c r="F211" t="s">
        <v>425</v>
      </c>
      <c r="G211" t="s">
        <v>594</v>
      </c>
      <c r="H211" s="3">
        <v>675.29</v>
      </c>
      <c r="I211">
        <v>819</v>
      </c>
      <c r="J211">
        <v>0</v>
      </c>
      <c r="K211">
        <v>27</v>
      </c>
      <c r="L211" s="4">
        <v>0.230884045326577</v>
      </c>
      <c r="M211" s="4">
        <v>0.76911595467342297</v>
      </c>
      <c r="N211">
        <v>0</v>
      </c>
    </row>
    <row r="212" spans="1:14" x14ac:dyDescent="0.25">
      <c r="A212" s="2"/>
      <c r="B212" t="s">
        <v>595</v>
      </c>
      <c r="C212" t="s">
        <v>16</v>
      </c>
      <c r="D212" t="s">
        <v>592</v>
      </c>
      <c r="E212" t="s">
        <v>593</v>
      </c>
      <c r="F212" t="s">
        <v>425</v>
      </c>
      <c r="G212" t="s">
        <v>596</v>
      </c>
      <c r="H212" s="3">
        <v>683.96</v>
      </c>
      <c r="I212">
        <v>429</v>
      </c>
      <c r="J212">
        <v>0</v>
      </c>
      <c r="K212">
        <v>33</v>
      </c>
      <c r="L212" s="4">
        <v>0.49258523690593597</v>
      </c>
      <c r="M212" s="4">
        <v>0.50741476309406497</v>
      </c>
      <c r="N212">
        <v>0</v>
      </c>
    </row>
    <row r="213" spans="1:14" x14ac:dyDescent="0.25">
      <c r="A213" s="2">
        <v>23931322</v>
      </c>
      <c r="B213" t="s">
        <v>597</v>
      </c>
      <c r="C213" t="s">
        <v>31</v>
      </c>
      <c r="D213" t="s">
        <v>592</v>
      </c>
      <c r="E213" t="s">
        <v>593</v>
      </c>
      <c r="F213" t="s">
        <v>425</v>
      </c>
      <c r="G213" t="s">
        <v>598</v>
      </c>
      <c r="H213" s="3">
        <v>671.04</v>
      </c>
      <c r="I213">
        <v>457</v>
      </c>
      <c r="J213">
        <v>1</v>
      </c>
      <c r="K213">
        <v>8</v>
      </c>
      <c r="L213" s="4">
        <v>0.33016198396441498</v>
      </c>
      <c r="M213" s="4">
        <v>0.66983801603558502</v>
      </c>
      <c r="N213">
        <v>0</v>
      </c>
    </row>
    <row r="214" spans="1:14" x14ac:dyDescent="0.25">
      <c r="A214" s="2">
        <v>23877967</v>
      </c>
      <c r="B214" t="s">
        <v>599</v>
      </c>
      <c r="C214" t="s">
        <v>31</v>
      </c>
      <c r="D214" t="s">
        <v>86</v>
      </c>
      <c r="E214" t="s">
        <v>600</v>
      </c>
      <c r="F214" t="s">
        <v>554</v>
      </c>
      <c r="G214" t="s">
        <v>601</v>
      </c>
      <c r="H214" s="3">
        <v>1981.72</v>
      </c>
      <c r="J214">
        <v>1</v>
      </c>
      <c r="L214" s="4">
        <v>0.78310334327004605</v>
      </c>
      <c r="M214" s="4">
        <v>0.21689665672995401</v>
      </c>
      <c r="N214">
        <v>0</v>
      </c>
    </row>
    <row r="215" spans="1:14" x14ac:dyDescent="0.25">
      <c r="A215" s="2"/>
      <c r="C215" t="s">
        <v>28</v>
      </c>
      <c r="D215" t="s">
        <v>86</v>
      </c>
      <c r="E215" t="s">
        <v>600</v>
      </c>
      <c r="F215" t="s">
        <v>554</v>
      </c>
      <c r="G215" t="s">
        <v>602</v>
      </c>
      <c r="H215" s="3">
        <v>1981.77</v>
      </c>
      <c r="J215">
        <v>1</v>
      </c>
      <c r="K215">
        <v>4</v>
      </c>
      <c r="L215" s="4">
        <v>0.28950316730565401</v>
      </c>
      <c r="M215" s="4">
        <v>0.71049683269434605</v>
      </c>
      <c r="N215">
        <v>0</v>
      </c>
    </row>
    <row r="216" spans="1:14" x14ac:dyDescent="0.25">
      <c r="A216" s="2"/>
      <c r="B216" t="s">
        <v>603</v>
      </c>
      <c r="C216" t="s">
        <v>16</v>
      </c>
      <c r="D216" t="s">
        <v>378</v>
      </c>
      <c r="E216" t="s">
        <v>604</v>
      </c>
      <c r="F216" t="s">
        <v>605</v>
      </c>
      <c r="G216" t="s">
        <v>606</v>
      </c>
      <c r="H216" s="3">
        <v>834</v>
      </c>
      <c r="I216">
        <v>978</v>
      </c>
      <c r="J216">
        <v>1</v>
      </c>
      <c r="K216">
        <v>24</v>
      </c>
      <c r="L216" s="4">
        <v>0.72726689468559202</v>
      </c>
      <c r="M216" s="4">
        <v>0.27273310531440798</v>
      </c>
      <c r="N216">
        <v>0</v>
      </c>
    </row>
    <row r="217" spans="1:14" x14ac:dyDescent="0.25">
      <c r="A217" s="2"/>
      <c r="C217" t="s">
        <v>28</v>
      </c>
      <c r="D217" t="s">
        <v>607</v>
      </c>
      <c r="E217" t="s">
        <v>608</v>
      </c>
      <c r="F217" t="s">
        <v>47</v>
      </c>
      <c r="G217" t="s">
        <v>609</v>
      </c>
      <c r="H217" s="3">
        <v>1800</v>
      </c>
      <c r="I217">
        <v>922</v>
      </c>
      <c r="J217">
        <v>1</v>
      </c>
      <c r="K217">
        <v>31</v>
      </c>
      <c r="L217" s="4">
        <v>0.58436720450778701</v>
      </c>
      <c r="M217" s="4">
        <v>0.41563279549221399</v>
      </c>
      <c r="N217">
        <v>0</v>
      </c>
    </row>
    <row r="218" spans="1:14" x14ac:dyDescent="0.25">
      <c r="A218" s="2"/>
      <c r="B218" t="s">
        <v>610</v>
      </c>
      <c r="C218" t="s">
        <v>16</v>
      </c>
      <c r="D218" t="s">
        <v>611</v>
      </c>
      <c r="E218" t="s">
        <v>608</v>
      </c>
      <c r="F218" t="s">
        <v>47</v>
      </c>
      <c r="G218" t="s">
        <v>612</v>
      </c>
      <c r="H218" s="3">
        <v>1920</v>
      </c>
      <c r="I218">
        <v>251</v>
      </c>
      <c r="J218">
        <v>0</v>
      </c>
      <c r="K218">
        <v>16</v>
      </c>
      <c r="L218" s="4">
        <v>0.45518517330679897</v>
      </c>
      <c r="M218" s="4">
        <v>0.54481482669320103</v>
      </c>
      <c r="N218">
        <v>0</v>
      </c>
    </row>
    <row r="219" spans="1:14" x14ac:dyDescent="0.25">
      <c r="A219" s="2"/>
      <c r="B219" t="s">
        <v>613</v>
      </c>
      <c r="C219" t="s">
        <v>16</v>
      </c>
      <c r="D219" t="s">
        <v>17</v>
      </c>
      <c r="E219" t="s">
        <v>614</v>
      </c>
      <c r="F219" t="s">
        <v>615</v>
      </c>
      <c r="G219" t="s">
        <v>616</v>
      </c>
      <c r="H219" s="3">
        <v>2863.73</v>
      </c>
      <c r="I219">
        <v>4</v>
      </c>
      <c r="J219">
        <v>0</v>
      </c>
      <c r="K219">
        <v>35</v>
      </c>
      <c r="L219" s="4">
        <v>0.75325098607603302</v>
      </c>
      <c r="M219" s="4">
        <v>0.246749013923967</v>
      </c>
      <c r="N219">
        <v>0</v>
      </c>
    </row>
    <row r="220" spans="1:14" x14ac:dyDescent="0.25">
      <c r="A220" s="2"/>
      <c r="C220" t="s">
        <v>28</v>
      </c>
      <c r="D220" t="s">
        <v>86</v>
      </c>
      <c r="E220" t="s">
        <v>617</v>
      </c>
      <c r="F220" t="s">
        <v>618</v>
      </c>
      <c r="G220" t="s">
        <v>619</v>
      </c>
      <c r="H220" s="3">
        <v>1500</v>
      </c>
      <c r="I220">
        <v>12</v>
      </c>
      <c r="J220">
        <v>0</v>
      </c>
      <c r="K220">
        <v>26</v>
      </c>
      <c r="L220" s="4">
        <v>0.71431062654525501</v>
      </c>
      <c r="M220" s="4">
        <v>0.28568937345474499</v>
      </c>
      <c r="N220">
        <v>0</v>
      </c>
    </row>
    <row r="221" spans="1:14" x14ac:dyDescent="0.25">
      <c r="A221" s="2"/>
      <c r="C221" t="s">
        <v>28</v>
      </c>
      <c r="D221" t="s">
        <v>86</v>
      </c>
      <c r="E221" t="s">
        <v>617</v>
      </c>
      <c r="F221" t="s">
        <v>618</v>
      </c>
      <c r="G221" t="s">
        <v>620</v>
      </c>
      <c r="H221" s="3">
        <v>1500</v>
      </c>
      <c r="J221">
        <v>0</v>
      </c>
      <c r="K221">
        <v>19</v>
      </c>
      <c r="L221" s="4">
        <v>0.68825462364333301</v>
      </c>
      <c r="M221" s="4">
        <v>0.31174537635666699</v>
      </c>
      <c r="N221">
        <v>0</v>
      </c>
    </row>
    <row r="222" spans="1:14" x14ac:dyDescent="0.25">
      <c r="A222" s="2"/>
      <c r="B222" t="s">
        <v>621</v>
      </c>
      <c r="C222" t="s">
        <v>16</v>
      </c>
      <c r="D222" t="s">
        <v>352</v>
      </c>
      <c r="E222" t="s">
        <v>622</v>
      </c>
      <c r="F222" t="s">
        <v>623</v>
      </c>
      <c r="G222" t="s">
        <v>624</v>
      </c>
      <c r="H222" s="3">
        <v>2340</v>
      </c>
      <c r="I222">
        <v>954</v>
      </c>
      <c r="J222">
        <v>0</v>
      </c>
      <c r="K222">
        <v>16</v>
      </c>
      <c r="L222" s="4">
        <v>0.64847499569603495</v>
      </c>
      <c r="M222" s="4">
        <v>0.35152500430396599</v>
      </c>
      <c r="N222">
        <v>0</v>
      </c>
    </row>
    <row r="223" spans="1:14" x14ac:dyDescent="0.25">
      <c r="A223" s="2"/>
      <c r="B223" t="s">
        <v>625</v>
      </c>
      <c r="C223" t="s">
        <v>16</v>
      </c>
      <c r="D223" t="s">
        <v>626</v>
      </c>
      <c r="E223" t="s">
        <v>627</v>
      </c>
      <c r="F223" t="s">
        <v>628</v>
      </c>
      <c r="G223" t="s">
        <v>629</v>
      </c>
      <c r="H223" s="3">
        <v>3000</v>
      </c>
      <c r="I223">
        <v>494</v>
      </c>
      <c r="J223">
        <v>1</v>
      </c>
      <c r="K223">
        <v>23</v>
      </c>
      <c r="L223" s="4">
        <v>0.87732165297743703</v>
      </c>
      <c r="M223" s="4">
        <v>0.122678347022563</v>
      </c>
      <c r="N223">
        <v>0</v>
      </c>
    </row>
    <row r="224" spans="1:14" x14ac:dyDescent="0.25">
      <c r="A224" s="2"/>
      <c r="C224" t="s">
        <v>28</v>
      </c>
      <c r="D224" t="s">
        <v>630</v>
      </c>
      <c r="E224" t="s">
        <v>631</v>
      </c>
      <c r="F224" t="s">
        <v>632</v>
      </c>
      <c r="G224" t="s">
        <v>633</v>
      </c>
      <c r="H224" s="3">
        <v>1260.26</v>
      </c>
      <c r="J224">
        <v>1</v>
      </c>
      <c r="K224">
        <v>26</v>
      </c>
      <c r="L224" s="4">
        <v>0.64002132206862095</v>
      </c>
      <c r="M224" s="4">
        <v>0.359978677931379</v>
      </c>
      <c r="N224">
        <v>0</v>
      </c>
    </row>
    <row r="225" spans="1:14" x14ac:dyDescent="0.25">
      <c r="A225" s="2"/>
      <c r="C225" t="s">
        <v>28</v>
      </c>
      <c r="D225" t="s">
        <v>630</v>
      </c>
      <c r="E225" t="s">
        <v>631</v>
      </c>
      <c r="F225" t="s">
        <v>632</v>
      </c>
      <c r="G225" t="s">
        <v>634</v>
      </c>
      <c r="H225" s="3">
        <v>1260.26</v>
      </c>
      <c r="I225">
        <v>37</v>
      </c>
      <c r="J225">
        <v>1</v>
      </c>
      <c r="K225">
        <v>28</v>
      </c>
      <c r="L225" s="4">
        <v>0.91273648850585998</v>
      </c>
      <c r="M225" s="4">
        <v>8.7263511494139703E-2</v>
      </c>
      <c r="N225">
        <v>0</v>
      </c>
    </row>
    <row r="226" spans="1:14" x14ac:dyDescent="0.25">
      <c r="A226" s="2"/>
      <c r="C226" t="s">
        <v>28</v>
      </c>
      <c r="D226" t="s">
        <v>630</v>
      </c>
      <c r="E226" t="s">
        <v>631</v>
      </c>
      <c r="F226" t="s">
        <v>632</v>
      </c>
      <c r="G226" t="s">
        <v>635</v>
      </c>
      <c r="H226" s="3">
        <v>1230.4000000000001</v>
      </c>
      <c r="J226">
        <v>0</v>
      </c>
      <c r="K226">
        <v>14</v>
      </c>
      <c r="L226" s="4">
        <v>0.54887502660055099</v>
      </c>
      <c r="M226" s="4">
        <v>0.45112497339944901</v>
      </c>
      <c r="N226">
        <v>0</v>
      </c>
    </row>
    <row r="227" spans="1:14" x14ac:dyDescent="0.25">
      <c r="A227" s="2"/>
      <c r="B227" t="s">
        <v>636</v>
      </c>
      <c r="C227" t="s">
        <v>16</v>
      </c>
      <c r="D227" t="s">
        <v>630</v>
      </c>
      <c r="E227" t="s">
        <v>631</v>
      </c>
      <c r="F227" t="s">
        <v>632</v>
      </c>
      <c r="G227" t="s">
        <v>637</v>
      </c>
      <c r="H227" s="3">
        <v>1288.1400000000001</v>
      </c>
      <c r="I227">
        <v>32</v>
      </c>
      <c r="J227">
        <v>1</v>
      </c>
      <c r="K227">
        <v>8</v>
      </c>
      <c r="L227" s="4">
        <v>0.61306356928611205</v>
      </c>
      <c r="M227" s="4">
        <v>0.386936430713888</v>
      </c>
      <c r="N227">
        <v>0</v>
      </c>
    </row>
    <row r="228" spans="1:14" x14ac:dyDescent="0.25">
      <c r="A228" s="2"/>
      <c r="B228" t="s">
        <v>638</v>
      </c>
      <c r="C228" t="s">
        <v>16</v>
      </c>
      <c r="D228" t="s">
        <v>630</v>
      </c>
      <c r="E228" t="s">
        <v>631</v>
      </c>
      <c r="F228" t="s">
        <v>632</v>
      </c>
      <c r="G228" t="s">
        <v>639</v>
      </c>
      <c r="H228" s="3">
        <v>1340.75</v>
      </c>
      <c r="I228">
        <v>883</v>
      </c>
      <c r="K228">
        <v>36</v>
      </c>
      <c r="L228" s="4">
        <v>0.96305822095236804</v>
      </c>
      <c r="M228" s="4">
        <v>3.6941779047632302E-2</v>
      </c>
      <c r="N228">
        <v>0</v>
      </c>
    </row>
    <row r="229" spans="1:14" x14ac:dyDescent="0.25">
      <c r="A229" s="2">
        <v>23002116</v>
      </c>
      <c r="B229" t="s">
        <v>640</v>
      </c>
      <c r="C229" t="s">
        <v>31</v>
      </c>
      <c r="D229" t="s">
        <v>630</v>
      </c>
      <c r="E229" t="s">
        <v>631</v>
      </c>
      <c r="F229" t="s">
        <v>632</v>
      </c>
      <c r="G229" t="s">
        <v>641</v>
      </c>
      <c r="H229" s="3">
        <v>1527.2</v>
      </c>
      <c r="I229">
        <v>490</v>
      </c>
      <c r="J229">
        <v>0</v>
      </c>
      <c r="K229">
        <v>19</v>
      </c>
      <c r="L229" s="4">
        <v>1.4952061480548199E-2</v>
      </c>
      <c r="M229" s="4">
        <v>0.98504793851945205</v>
      </c>
      <c r="N229">
        <v>0</v>
      </c>
    </row>
    <row r="230" spans="1:14" x14ac:dyDescent="0.25">
      <c r="A230" s="2"/>
      <c r="B230" t="s">
        <v>642</v>
      </c>
      <c r="C230" t="s">
        <v>16</v>
      </c>
      <c r="D230" t="s">
        <v>630</v>
      </c>
      <c r="E230" t="s">
        <v>631</v>
      </c>
      <c r="F230" t="s">
        <v>632</v>
      </c>
      <c r="G230" t="s">
        <v>643</v>
      </c>
      <c r="H230" s="3">
        <v>1543.44</v>
      </c>
      <c r="I230">
        <v>771</v>
      </c>
      <c r="J230">
        <v>1</v>
      </c>
      <c r="K230">
        <v>47</v>
      </c>
      <c r="L230" s="4">
        <v>0.26410971902637598</v>
      </c>
      <c r="M230" s="4">
        <v>0.73589028097362397</v>
      </c>
      <c r="N230">
        <v>0</v>
      </c>
    </row>
    <row r="231" spans="1:14" x14ac:dyDescent="0.25">
      <c r="A231" s="2">
        <v>23255554</v>
      </c>
      <c r="B231" t="s">
        <v>644</v>
      </c>
      <c r="C231" t="s">
        <v>31</v>
      </c>
      <c r="D231" t="s">
        <v>630</v>
      </c>
      <c r="E231" t="s">
        <v>631</v>
      </c>
      <c r="F231" t="s">
        <v>645</v>
      </c>
      <c r="G231" t="s">
        <v>646</v>
      </c>
      <c r="H231" s="3">
        <v>1597.98</v>
      </c>
      <c r="I231">
        <v>248</v>
      </c>
      <c r="J231">
        <v>0</v>
      </c>
      <c r="K231">
        <v>31</v>
      </c>
      <c r="L231" s="4">
        <v>0.755383356459286</v>
      </c>
      <c r="M231" s="4">
        <v>0.244616643540714</v>
      </c>
      <c r="N231">
        <v>0</v>
      </c>
    </row>
    <row r="232" spans="1:14" x14ac:dyDescent="0.25">
      <c r="A232" s="2">
        <v>23043070</v>
      </c>
      <c r="B232" t="s">
        <v>647</v>
      </c>
      <c r="C232" t="s">
        <v>31</v>
      </c>
      <c r="D232" t="s">
        <v>630</v>
      </c>
      <c r="E232" t="s">
        <v>631</v>
      </c>
      <c r="F232" t="s">
        <v>645</v>
      </c>
      <c r="G232" t="s">
        <v>648</v>
      </c>
      <c r="H232" s="3">
        <v>1578.43</v>
      </c>
      <c r="I232">
        <v>526</v>
      </c>
      <c r="J232">
        <v>1</v>
      </c>
      <c r="K232">
        <v>23</v>
      </c>
      <c r="L232" s="4">
        <v>0.331653184826672</v>
      </c>
      <c r="M232" s="4">
        <v>0.66834681517332795</v>
      </c>
      <c r="N232">
        <v>0</v>
      </c>
    </row>
    <row r="233" spans="1:14" x14ac:dyDescent="0.25">
      <c r="A233" s="2"/>
      <c r="B233" t="s">
        <v>649</v>
      </c>
      <c r="C233" t="s">
        <v>16</v>
      </c>
      <c r="D233" t="s">
        <v>148</v>
      </c>
      <c r="E233" t="s">
        <v>650</v>
      </c>
      <c r="F233" t="s">
        <v>651</v>
      </c>
      <c r="G233" t="s">
        <v>652</v>
      </c>
      <c r="H233" s="3">
        <v>1536</v>
      </c>
      <c r="J233">
        <v>0</v>
      </c>
      <c r="K233">
        <v>9</v>
      </c>
      <c r="L233" s="4">
        <v>3.85186099547681E-2</v>
      </c>
      <c r="M233" s="4">
        <v>0.96148139004523203</v>
      </c>
      <c r="N233">
        <v>0</v>
      </c>
    </row>
    <row r="234" spans="1:14" x14ac:dyDescent="0.25">
      <c r="A234" s="2"/>
      <c r="B234" t="s">
        <v>653</v>
      </c>
      <c r="C234" t="s">
        <v>16</v>
      </c>
      <c r="D234" t="s">
        <v>148</v>
      </c>
      <c r="E234" t="s">
        <v>654</v>
      </c>
      <c r="F234" t="s">
        <v>655</v>
      </c>
      <c r="G234" t="s">
        <v>656</v>
      </c>
      <c r="H234" s="3">
        <v>1674</v>
      </c>
      <c r="I234">
        <v>922</v>
      </c>
      <c r="J234">
        <v>0</v>
      </c>
      <c r="K234">
        <v>29</v>
      </c>
      <c r="L234" s="4">
        <v>0.96053125412592899</v>
      </c>
      <c r="M234" s="4">
        <v>3.9468745874070899E-2</v>
      </c>
      <c r="N234">
        <v>0</v>
      </c>
    </row>
    <row r="235" spans="1:14" x14ac:dyDescent="0.25">
      <c r="A235" s="2">
        <v>24020915</v>
      </c>
      <c r="B235" t="s">
        <v>657</v>
      </c>
      <c r="C235" t="s">
        <v>31</v>
      </c>
      <c r="D235" t="s">
        <v>148</v>
      </c>
      <c r="E235" t="s">
        <v>658</v>
      </c>
      <c r="F235" t="s">
        <v>659</v>
      </c>
      <c r="G235" t="s">
        <v>660</v>
      </c>
      <c r="H235" s="3">
        <v>1375.8</v>
      </c>
      <c r="I235">
        <v>193</v>
      </c>
      <c r="J235">
        <v>1</v>
      </c>
      <c r="K235">
        <v>4</v>
      </c>
      <c r="L235" s="4">
        <v>2.9690235281824101E-2</v>
      </c>
      <c r="M235" s="4">
        <v>0.97030976471817598</v>
      </c>
      <c r="N235">
        <v>0</v>
      </c>
    </row>
    <row r="236" spans="1:14" x14ac:dyDescent="0.25">
      <c r="A236" s="2">
        <v>23442822</v>
      </c>
      <c r="C236" t="s">
        <v>0</v>
      </c>
      <c r="D236" t="s">
        <v>148</v>
      </c>
      <c r="E236" t="s">
        <v>661</v>
      </c>
      <c r="G236" t="s">
        <v>662</v>
      </c>
      <c r="H236" s="3">
        <v>2010</v>
      </c>
      <c r="I236">
        <v>801</v>
      </c>
      <c r="J236">
        <v>0</v>
      </c>
      <c r="K236">
        <v>14</v>
      </c>
      <c r="L236" s="4">
        <v>3.6488048546832998E-2</v>
      </c>
      <c r="M236" s="4">
        <v>0.96351195145316704</v>
      </c>
      <c r="N236">
        <v>0</v>
      </c>
    </row>
    <row r="237" spans="1:14" x14ac:dyDescent="0.25">
      <c r="A237" s="2"/>
      <c r="B237" t="s">
        <v>663</v>
      </c>
      <c r="C237" t="s">
        <v>16</v>
      </c>
      <c r="D237" t="s">
        <v>148</v>
      </c>
      <c r="E237" t="s">
        <v>664</v>
      </c>
      <c r="F237" t="s">
        <v>659</v>
      </c>
      <c r="G237" t="s">
        <v>665</v>
      </c>
      <c r="H237" s="3">
        <v>1204.3800000000001</v>
      </c>
      <c r="I237">
        <v>835</v>
      </c>
      <c r="J237">
        <v>0</v>
      </c>
      <c r="K237">
        <v>11</v>
      </c>
      <c r="L237" s="4">
        <v>0.70012352314615101</v>
      </c>
      <c r="M237" s="4">
        <v>0.29987647685384999</v>
      </c>
      <c r="N237">
        <v>0</v>
      </c>
    </row>
    <row r="238" spans="1:14" x14ac:dyDescent="0.25">
      <c r="A238" s="2"/>
      <c r="B238" t="s">
        <v>666</v>
      </c>
      <c r="C238" t="s">
        <v>16</v>
      </c>
      <c r="D238" t="s">
        <v>148</v>
      </c>
      <c r="E238" t="s">
        <v>664</v>
      </c>
      <c r="F238" t="s">
        <v>659</v>
      </c>
      <c r="G238" t="s">
        <v>667</v>
      </c>
      <c r="H238" s="3">
        <v>1254.5999999999999</v>
      </c>
      <c r="I238">
        <v>404</v>
      </c>
      <c r="J238">
        <v>1</v>
      </c>
      <c r="K238">
        <v>25</v>
      </c>
      <c r="L238" s="4">
        <v>1.55452927790847E-2</v>
      </c>
      <c r="M238" s="4">
        <v>0.98445470722091499</v>
      </c>
      <c r="N238">
        <v>0</v>
      </c>
    </row>
    <row r="239" spans="1:14" x14ac:dyDescent="0.25">
      <c r="A239" s="2"/>
      <c r="B239" t="s">
        <v>668</v>
      </c>
      <c r="C239" t="s">
        <v>16</v>
      </c>
      <c r="D239" t="s">
        <v>148</v>
      </c>
      <c r="E239" t="s">
        <v>664</v>
      </c>
      <c r="F239" t="s">
        <v>659</v>
      </c>
      <c r="G239" t="s">
        <v>669</v>
      </c>
      <c r="H239" s="3">
        <v>1476</v>
      </c>
      <c r="I239">
        <v>297</v>
      </c>
      <c r="J239">
        <v>1</v>
      </c>
      <c r="K239">
        <v>23</v>
      </c>
      <c r="L239" s="4">
        <v>0.42256597051064998</v>
      </c>
      <c r="M239" s="4">
        <v>0.57743402948934996</v>
      </c>
      <c r="N239">
        <v>0</v>
      </c>
    </row>
    <row r="240" spans="1:14" x14ac:dyDescent="0.25">
      <c r="A240" s="2"/>
      <c r="B240" t="s">
        <v>670</v>
      </c>
      <c r="C240" t="s">
        <v>16</v>
      </c>
      <c r="D240" t="s">
        <v>148</v>
      </c>
      <c r="E240" t="s">
        <v>664</v>
      </c>
      <c r="F240" t="s">
        <v>659</v>
      </c>
      <c r="G240" t="s">
        <v>671</v>
      </c>
      <c r="H240" s="3">
        <v>608.52</v>
      </c>
      <c r="I240">
        <v>126</v>
      </c>
      <c r="J240">
        <v>1</v>
      </c>
      <c r="K240">
        <v>42</v>
      </c>
      <c r="L240" s="4">
        <v>0.192729486840411</v>
      </c>
      <c r="M240" s="4">
        <v>0.80727051315958898</v>
      </c>
      <c r="N240">
        <v>0</v>
      </c>
    </row>
    <row r="241" spans="1:14" x14ac:dyDescent="0.25">
      <c r="A241" s="2"/>
      <c r="B241" t="s">
        <v>672</v>
      </c>
      <c r="C241" t="s">
        <v>16</v>
      </c>
      <c r="D241" t="s">
        <v>148</v>
      </c>
      <c r="E241" t="s">
        <v>664</v>
      </c>
      <c r="F241" t="s">
        <v>659</v>
      </c>
      <c r="G241" t="s">
        <v>673</v>
      </c>
      <c r="H241" s="3">
        <v>608.52</v>
      </c>
      <c r="I241">
        <v>693</v>
      </c>
      <c r="J241">
        <v>0</v>
      </c>
      <c r="K241">
        <v>27</v>
      </c>
      <c r="L241" s="4">
        <v>0.63070184591312395</v>
      </c>
      <c r="M241" s="4">
        <v>0.369298154086876</v>
      </c>
      <c r="N241">
        <v>0</v>
      </c>
    </row>
    <row r="242" spans="1:14" x14ac:dyDescent="0.25">
      <c r="A242" s="2"/>
      <c r="B242" t="s">
        <v>674</v>
      </c>
      <c r="C242" t="s">
        <v>16</v>
      </c>
      <c r="D242" t="s">
        <v>148</v>
      </c>
      <c r="E242" t="s">
        <v>675</v>
      </c>
      <c r="F242" t="s">
        <v>676</v>
      </c>
      <c r="G242" t="s">
        <v>677</v>
      </c>
      <c r="H242" s="3">
        <v>1536</v>
      </c>
      <c r="I242">
        <v>96</v>
      </c>
      <c r="J242">
        <v>0</v>
      </c>
      <c r="K242">
        <v>33</v>
      </c>
      <c r="L242" s="4">
        <v>1.1272261789186701E-2</v>
      </c>
      <c r="M242" s="4">
        <v>0.98872773821081295</v>
      </c>
      <c r="N242">
        <v>0</v>
      </c>
    </row>
    <row r="243" spans="1:14" x14ac:dyDescent="0.25">
      <c r="A243" s="2"/>
      <c r="B243" t="s">
        <v>678</v>
      </c>
      <c r="C243" t="s">
        <v>16</v>
      </c>
      <c r="D243" t="s">
        <v>148</v>
      </c>
      <c r="E243" t="s">
        <v>675</v>
      </c>
      <c r="F243" t="s">
        <v>676</v>
      </c>
      <c r="G243" t="s">
        <v>679</v>
      </c>
      <c r="H243" s="3">
        <v>1128</v>
      </c>
      <c r="I243">
        <v>986</v>
      </c>
      <c r="J243">
        <v>1</v>
      </c>
      <c r="K243">
        <v>49</v>
      </c>
      <c r="L243" s="4">
        <v>0.77572908965333698</v>
      </c>
      <c r="M243" s="4">
        <v>0.22427091034666299</v>
      </c>
      <c r="N243">
        <v>0</v>
      </c>
    </row>
    <row r="244" spans="1:14" x14ac:dyDescent="0.25">
      <c r="A244" s="2"/>
      <c r="B244" t="s">
        <v>680</v>
      </c>
      <c r="C244" t="s">
        <v>16</v>
      </c>
      <c r="D244" t="s">
        <v>148</v>
      </c>
      <c r="E244" t="s">
        <v>681</v>
      </c>
      <c r="F244" t="s">
        <v>682</v>
      </c>
      <c r="G244" t="s">
        <v>683</v>
      </c>
      <c r="H244" s="3">
        <v>1536</v>
      </c>
      <c r="I244">
        <v>131</v>
      </c>
      <c r="J244">
        <v>0</v>
      </c>
      <c r="K244">
        <v>4</v>
      </c>
      <c r="L244" s="4">
        <v>0.72414179921519095</v>
      </c>
      <c r="M244" s="4">
        <v>0.27585820078480899</v>
      </c>
      <c r="N244">
        <v>0</v>
      </c>
    </row>
    <row r="245" spans="1:14" x14ac:dyDescent="0.25">
      <c r="A245" s="2"/>
      <c r="B245" t="s">
        <v>684</v>
      </c>
      <c r="C245" t="s">
        <v>16</v>
      </c>
      <c r="D245" t="s">
        <v>148</v>
      </c>
      <c r="E245" t="s">
        <v>681</v>
      </c>
      <c r="F245" t="s">
        <v>682</v>
      </c>
      <c r="G245" t="s">
        <v>685</v>
      </c>
      <c r="H245" s="3">
        <v>1375.8</v>
      </c>
      <c r="I245">
        <v>537</v>
      </c>
      <c r="J245">
        <v>1</v>
      </c>
      <c r="K245">
        <v>8</v>
      </c>
      <c r="L245" s="4">
        <v>0.56708809870694898</v>
      </c>
      <c r="M245" s="4">
        <v>0.43291190129305201</v>
      </c>
      <c r="N245">
        <v>0</v>
      </c>
    </row>
    <row r="246" spans="1:14" x14ac:dyDescent="0.25">
      <c r="A246" s="2"/>
      <c r="B246" t="s">
        <v>686</v>
      </c>
      <c r="C246" t="s">
        <v>16</v>
      </c>
      <c r="D246" t="s">
        <v>148</v>
      </c>
      <c r="E246" t="s">
        <v>681</v>
      </c>
      <c r="F246" t="s">
        <v>687</v>
      </c>
      <c r="G246" t="s">
        <v>688</v>
      </c>
      <c r="H246" s="3">
        <v>1280</v>
      </c>
      <c r="I246">
        <v>88</v>
      </c>
      <c r="J246">
        <v>1</v>
      </c>
      <c r="K246">
        <v>37</v>
      </c>
      <c r="L246" s="4">
        <v>0.46289223411875502</v>
      </c>
      <c r="M246" s="4">
        <v>0.53710776588124598</v>
      </c>
      <c r="N246">
        <v>0</v>
      </c>
    </row>
    <row r="247" spans="1:14" x14ac:dyDescent="0.25">
      <c r="A247" s="2"/>
      <c r="B247" t="s">
        <v>689</v>
      </c>
      <c r="C247" t="s">
        <v>16</v>
      </c>
      <c r="D247" t="s">
        <v>148</v>
      </c>
      <c r="E247" t="s">
        <v>690</v>
      </c>
      <c r="F247" t="s">
        <v>691</v>
      </c>
      <c r="G247" t="s">
        <v>692</v>
      </c>
      <c r="H247" s="3">
        <v>1315.8</v>
      </c>
      <c r="I247">
        <v>516</v>
      </c>
      <c r="J247">
        <v>0</v>
      </c>
      <c r="K247">
        <v>5</v>
      </c>
      <c r="L247" s="4">
        <v>0.23524531095629</v>
      </c>
      <c r="M247" s="4">
        <v>0.76475468904371002</v>
      </c>
      <c r="N247">
        <v>0</v>
      </c>
    </row>
    <row r="248" spans="1:14" x14ac:dyDescent="0.25">
      <c r="A248" s="2"/>
      <c r="B248" t="s">
        <v>693</v>
      </c>
      <c r="C248" t="s">
        <v>16</v>
      </c>
      <c r="D248" t="s">
        <v>148</v>
      </c>
      <c r="E248" t="s">
        <v>694</v>
      </c>
      <c r="F248" t="s">
        <v>659</v>
      </c>
      <c r="G248" t="s">
        <v>695</v>
      </c>
      <c r="H248" s="3">
        <v>1536</v>
      </c>
      <c r="I248">
        <v>420</v>
      </c>
      <c r="J248">
        <v>1</v>
      </c>
      <c r="K248">
        <v>43</v>
      </c>
      <c r="L248" s="4">
        <v>0.52393171343404799</v>
      </c>
      <c r="M248" s="4">
        <v>0.47606828656595201</v>
      </c>
      <c r="N248">
        <v>0</v>
      </c>
    </row>
    <row r="249" spans="1:14" x14ac:dyDescent="0.25">
      <c r="A249" s="2"/>
      <c r="C249" t="s">
        <v>28</v>
      </c>
      <c r="D249" t="s">
        <v>148</v>
      </c>
      <c r="E249" t="s">
        <v>696</v>
      </c>
      <c r="F249" t="s">
        <v>682</v>
      </c>
      <c r="G249" t="s">
        <v>697</v>
      </c>
      <c r="H249" s="3">
        <v>1290</v>
      </c>
      <c r="I249">
        <v>867</v>
      </c>
      <c r="J249">
        <v>1</v>
      </c>
      <c r="L249" s="4">
        <v>0.96987690488801903</v>
      </c>
      <c r="M249" s="4">
        <v>3.0123095111981101E-2</v>
      </c>
      <c r="N249">
        <v>0</v>
      </c>
    </row>
    <row r="250" spans="1:14" x14ac:dyDescent="0.25">
      <c r="A250" s="2"/>
      <c r="B250" t="s">
        <v>698</v>
      </c>
      <c r="C250" t="s">
        <v>16</v>
      </c>
      <c r="D250" t="s">
        <v>148</v>
      </c>
      <c r="E250" t="s">
        <v>699</v>
      </c>
      <c r="F250" t="s">
        <v>700</v>
      </c>
      <c r="G250" t="s">
        <v>701</v>
      </c>
      <c r="H250" s="3">
        <v>1734</v>
      </c>
      <c r="I250">
        <v>475</v>
      </c>
      <c r="J250">
        <v>1</v>
      </c>
      <c r="K250">
        <v>45</v>
      </c>
      <c r="L250" s="4">
        <v>0.35062281411073098</v>
      </c>
      <c r="M250" s="4">
        <v>0.64937718588926896</v>
      </c>
      <c r="N250">
        <v>0</v>
      </c>
    </row>
    <row r="251" spans="1:14" x14ac:dyDescent="0.25">
      <c r="A251" s="2"/>
      <c r="B251" t="s">
        <v>702</v>
      </c>
      <c r="C251" t="s">
        <v>16</v>
      </c>
      <c r="D251" t="s">
        <v>148</v>
      </c>
      <c r="E251" t="s">
        <v>699</v>
      </c>
      <c r="F251" t="s">
        <v>700</v>
      </c>
      <c r="G251" t="s">
        <v>703</v>
      </c>
      <c r="H251" s="3">
        <v>1794</v>
      </c>
      <c r="I251">
        <v>618</v>
      </c>
      <c r="J251">
        <v>0</v>
      </c>
      <c r="K251">
        <v>34</v>
      </c>
      <c r="L251" s="4">
        <v>0.86797185775012098</v>
      </c>
      <c r="M251" s="4">
        <v>0.13202814224987999</v>
      </c>
      <c r="N251">
        <v>0</v>
      </c>
    </row>
    <row r="252" spans="1:14" x14ac:dyDescent="0.25">
      <c r="A252" s="2"/>
      <c r="C252" t="s">
        <v>28</v>
      </c>
      <c r="D252" t="s">
        <v>148</v>
      </c>
      <c r="E252" t="s">
        <v>699</v>
      </c>
      <c r="F252" t="s">
        <v>700</v>
      </c>
      <c r="G252" t="s">
        <v>704</v>
      </c>
      <c r="H252" s="3">
        <v>1605.3</v>
      </c>
      <c r="J252">
        <v>0</v>
      </c>
      <c r="L252" s="4">
        <v>0.82989932831549496</v>
      </c>
      <c r="M252" s="4">
        <v>0.17010067168450499</v>
      </c>
      <c r="N252">
        <v>0</v>
      </c>
    </row>
    <row r="253" spans="1:14" x14ac:dyDescent="0.25">
      <c r="A253" s="2"/>
      <c r="B253" t="s">
        <v>705</v>
      </c>
      <c r="C253" t="s">
        <v>16</v>
      </c>
      <c r="D253" t="s">
        <v>148</v>
      </c>
      <c r="E253" t="s">
        <v>706</v>
      </c>
      <c r="F253" t="s">
        <v>700</v>
      </c>
      <c r="G253" t="s">
        <v>707</v>
      </c>
      <c r="H253" s="3">
        <v>1375.8</v>
      </c>
      <c r="I253">
        <v>594</v>
      </c>
      <c r="J253">
        <v>0</v>
      </c>
      <c r="K253">
        <v>20</v>
      </c>
      <c r="L253" s="4">
        <v>0.20236374890331299</v>
      </c>
      <c r="M253" s="4">
        <v>0.79763625109668701</v>
      </c>
      <c r="N253">
        <v>0</v>
      </c>
    </row>
    <row r="254" spans="1:14" x14ac:dyDescent="0.25">
      <c r="A254" s="2"/>
      <c r="B254" t="s">
        <v>708</v>
      </c>
      <c r="C254" t="s">
        <v>16</v>
      </c>
      <c r="D254" t="s">
        <v>148</v>
      </c>
      <c r="E254" t="s">
        <v>709</v>
      </c>
      <c r="F254" t="s">
        <v>655</v>
      </c>
      <c r="G254" t="s">
        <v>710</v>
      </c>
      <c r="H254" s="3">
        <v>1536</v>
      </c>
      <c r="J254">
        <v>0</v>
      </c>
      <c r="K254">
        <v>27</v>
      </c>
      <c r="L254" s="4">
        <v>0.74563403724320598</v>
      </c>
      <c r="M254" s="4">
        <v>0.25436596275679402</v>
      </c>
      <c r="N254">
        <v>0</v>
      </c>
    </row>
    <row r="255" spans="1:14" x14ac:dyDescent="0.25">
      <c r="A255" s="2"/>
      <c r="B255" t="s">
        <v>711</v>
      </c>
      <c r="C255" t="s">
        <v>16</v>
      </c>
      <c r="D255" t="s">
        <v>148</v>
      </c>
      <c r="E255" t="s">
        <v>712</v>
      </c>
      <c r="F255" t="s">
        <v>713</v>
      </c>
      <c r="G255" t="s">
        <v>714</v>
      </c>
      <c r="H255" s="3">
        <v>1476</v>
      </c>
      <c r="I255">
        <v>861</v>
      </c>
      <c r="J255">
        <v>1</v>
      </c>
      <c r="K255">
        <v>11</v>
      </c>
      <c r="L255" s="4">
        <v>0.961468124072418</v>
      </c>
      <c r="M255" s="4">
        <v>3.8531875927581602E-2</v>
      </c>
      <c r="N255">
        <v>0</v>
      </c>
    </row>
    <row r="256" spans="1:14" x14ac:dyDescent="0.25">
      <c r="A256" s="2"/>
      <c r="B256" t="s">
        <v>715</v>
      </c>
      <c r="C256" t="s">
        <v>16</v>
      </c>
      <c r="D256" t="s">
        <v>148</v>
      </c>
      <c r="E256" t="s">
        <v>716</v>
      </c>
      <c r="G256" t="s">
        <v>717</v>
      </c>
      <c r="H256" s="3">
        <v>1314.6</v>
      </c>
      <c r="I256">
        <v>2</v>
      </c>
      <c r="J256">
        <v>1</v>
      </c>
      <c r="K256">
        <v>32</v>
      </c>
      <c r="L256" s="4">
        <v>0.54363361424339496</v>
      </c>
      <c r="M256" s="4">
        <v>0.45636638575660499</v>
      </c>
      <c r="N256">
        <v>0</v>
      </c>
    </row>
    <row r="257" spans="1:14" x14ac:dyDescent="0.25">
      <c r="A257" s="2"/>
      <c r="B257" t="s">
        <v>718</v>
      </c>
      <c r="C257" t="s">
        <v>16</v>
      </c>
      <c r="D257" t="s">
        <v>148</v>
      </c>
      <c r="E257" t="s">
        <v>719</v>
      </c>
      <c r="F257" t="s">
        <v>720</v>
      </c>
      <c r="G257" t="s">
        <v>721</v>
      </c>
      <c r="H257" s="3">
        <v>1280</v>
      </c>
      <c r="I257">
        <v>156</v>
      </c>
      <c r="J257">
        <v>0</v>
      </c>
      <c r="L257" s="4">
        <v>0.59800706041451102</v>
      </c>
      <c r="M257" s="4">
        <v>0.40199293958548898</v>
      </c>
      <c r="N257">
        <v>0</v>
      </c>
    </row>
    <row r="258" spans="1:14" x14ac:dyDescent="0.25">
      <c r="A258" s="2"/>
      <c r="B258" t="s">
        <v>722</v>
      </c>
      <c r="C258" t="s">
        <v>16</v>
      </c>
      <c r="D258" t="s">
        <v>148</v>
      </c>
      <c r="E258" t="s">
        <v>723</v>
      </c>
      <c r="F258" t="s">
        <v>720</v>
      </c>
      <c r="G258" t="s">
        <v>724</v>
      </c>
      <c r="H258" s="3">
        <v>1180.8</v>
      </c>
      <c r="I258">
        <v>386</v>
      </c>
      <c r="K258">
        <v>42</v>
      </c>
      <c r="L258" s="4">
        <v>0.74078030639683301</v>
      </c>
      <c r="M258" s="4">
        <v>0.25921969360316699</v>
      </c>
      <c r="N258">
        <v>0</v>
      </c>
    </row>
    <row r="259" spans="1:14" x14ac:dyDescent="0.25">
      <c r="A259" s="2"/>
      <c r="B259" t="s">
        <v>725</v>
      </c>
      <c r="C259" t="s">
        <v>16</v>
      </c>
      <c r="D259" t="s">
        <v>148</v>
      </c>
      <c r="E259" t="s">
        <v>723</v>
      </c>
      <c r="F259" t="s">
        <v>720</v>
      </c>
      <c r="G259" t="s">
        <v>726</v>
      </c>
      <c r="H259" s="3">
        <v>1650.51</v>
      </c>
      <c r="I259">
        <v>580</v>
      </c>
      <c r="J259">
        <v>1</v>
      </c>
      <c r="K259">
        <v>47</v>
      </c>
      <c r="L259" s="4">
        <v>1.1381825738603E-2</v>
      </c>
      <c r="M259" s="4">
        <v>0.98861817426139698</v>
      </c>
      <c r="N259">
        <v>0</v>
      </c>
    </row>
    <row r="260" spans="1:14" x14ac:dyDescent="0.25">
      <c r="A260" s="2"/>
      <c r="B260" t="s">
        <v>727</v>
      </c>
      <c r="C260" t="s">
        <v>16</v>
      </c>
      <c r="D260" t="s">
        <v>148</v>
      </c>
      <c r="E260" t="s">
        <v>650</v>
      </c>
      <c r="F260" t="s">
        <v>651</v>
      </c>
      <c r="G260" t="s">
        <v>728</v>
      </c>
      <c r="H260" s="3">
        <v>437</v>
      </c>
      <c r="I260">
        <v>319</v>
      </c>
      <c r="J260">
        <v>0</v>
      </c>
      <c r="K260">
        <v>30</v>
      </c>
      <c r="L260" s="4">
        <v>0.23181135190538399</v>
      </c>
      <c r="M260" s="4">
        <v>0.76818864809461596</v>
      </c>
      <c r="N260">
        <v>0</v>
      </c>
    </row>
    <row r="261" spans="1:14" x14ac:dyDescent="0.25">
      <c r="A261" s="2"/>
      <c r="B261" t="s">
        <v>729</v>
      </c>
      <c r="C261" t="s">
        <v>16</v>
      </c>
      <c r="D261" t="s">
        <v>148</v>
      </c>
      <c r="E261" t="s">
        <v>650</v>
      </c>
      <c r="F261" t="s">
        <v>651</v>
      </c>
      <c r="G261" t="s">
        <v>730</v>
      </c>
      <c r="H261" s="3">
        <v>1314.6</v>
      </c>
      <c r="I261">
        <v>253</v>
      </c>
      <c r="J261">
        <v>0</v>
      </c>
      <c r="L261" s="4">
        <v>0.84199664790700102</v>
      </c>
      <c r="M261" s="4">
        <v>0.15800335209299901</v>
      </c>
      <c r="N261">
        <v>0</v>
      </c>
    </row>
    <row r="262" spans="1:14" x14ac:dyDescent="0.25">
      <c r="A262" s="2"/>
      <c r="B262" t="s">
        <v>731</v>
      </c>
      <c r="C262" t="s">
        <v>16</v>
      </c>
      <c r="D262" t="s">
        <v>148</v>
      </c>
      <c r="E262" t="s">
        <v>650</v>
      </c>
      <c r="F262" t="s">
        <v>651</v>
      </c>
      <c r="G262" t="s">
        <v>732</v>
      </c>
      <c r="H262" s="3">
        <v>1536</v>
      </c>
      <c r="I262">
        <v>447</v>
      </c>
      <c r="J262">
        <v>1</v>
      </c>
      <c r="K262">
        <v>26</v>
      </c>
      <c r="L262" s="4">
        <v>0.43604779568698299</v>
      </c>
      <c r="M262" s="4">
        <v>0.56395220431301796</v>
      </c>
      <c r="N262">
        <v>0</v>
      </c>
    </row>
    <row r="263" spans="1:14" x14ac:dyDescent="0.25">
      <c r="A263" s="2"/>
      <c r="B263" t="s">
        <v>733</v>
      </c>
      <c r="C263" t="s">
        <v>16</v>
      </c>
      <c r="D263" t="s">
        <v>148</v>
      </c>
      <c r="E263" t="s">
        <v>650</v>
      </c>
      <c r="F263" t="s">
        <v>651</v>
      </c>
      <c r="G263" t="s">
        <v>734</v>
      </c>
      <c r="H263" s="3">
        <v>1280</v>
      </c>
      <c r="I263">
        <v>432</v>
      </c>
      <c r="J263">
        <v>0</v>
      </c>
      <c r="K263">
        <v>32</v>
      </c>
      <c r="L263" s="4">
        <v>0.95309524824444602</v>
      </c>
      <c r="M263" s="4">
        <v>4.69047517555536E-2</v>
      </c>
      <c r="N263">
        <v>0</v>
      </c>
    </row>
    <row r="264" spans="1:14" x14ac:dyDescent="0.25">
      <c r="A264" s="2"/>
      <c r="B264" t="s">
        <v>718</v>
      </c>
      <c r="C264" t="s">
        <v>16</v>
      </c>
      <c r="D264" t="s">
        <v>148</v>
      </c>
      <c r="E264" t="s">
        <v>650</v>
      </c>
      <c r="F264" t="s">
        <v>651</v>
      </c>
      <c r="G264" t="s">
        <v>735</v>
      </c>
      <c r="H264" s="3">
        <v>1280</v>
      </c>
      <c r="I264">
        <v>874</v>
      </c>
      <c r="J264">
        <v>0</v>
      </c>
      <c r="K264">
        <v>41</v>
      </c>
      <c r="L264" s="4">
        <v>0.97645922888146996</v>
      </c>
      <c r="M264" s="4">
        <v>2.3540771118530299E-2</v>
      </c>
      <c r="N264">
        <v>0</v>
      </c>
    </row>
    <row r="265" spans="1:14" x14ac:dyDescent="0.25">
      <c r="A265" s="2"/>
      <c r="B265" t="s">
        <v>736</v>
      </c>
      <c r="C265" t="s">
        <v>16</v>
      </c>
      <c r="D265" t="s">
        <v>148</v>
      </c>
      <c r="E265" t="s">
        <v>650</v>
      </c>
      <c r="F265" t="s">
        <v>651</v>
      </c>
      <c r="G265" t="s">
        <v>737</v>
      </c>
      <c r="H265" s="3">
        <v>1280</v>
      </c>
      <c r="I265">
        <v>775</v>
      </c>
      <c r="J265">
        <v>1</v>
      </c>
      <c r="K265">
        <v>9</v>
      </c>
      <c r="L265" s="4">
        <v>0.25577019912229898</v>
      </c>
      <c r="M265" s="4">
        <v>0.74422980087770096</v>
      </c>
      <c r="N265">
        <v>0</v>
      </c>
    </row>
    <row r="266" spans="1:14" x14ac:dyDescent="0.25">
      <c r="A266" s="2"/>
      <c r="B266" t="s">
        <v>738</v>
      </c>
      <c r="C266" t="s">
        <v>16</v>
      </c>
      <c r="D266" t="s">
        <v>148</v>
      </c>
      <c r="E266" t="s">
        <v>650</v>
      </c>
      <c r="F266" t="s">
        <v>651</v>
      </c>
      <c r="G266" t="s">
        <v>739</v>
      </c>
      <c r="H266" s="3">
        <v>475.62</v>
      </c>
      <c r="I266">
        <v>745</v>
      </c>
      <c r="J266">
        <v>0</v>
      </c>
      <c r="K266">
        <v>8</v>
      </c>
      <c r="L266" s="4">
        <v>0.27857623544001697</v>
      </c>
      <c r="M266" s="4">
        <v>0.72142376455998303</v>
      </c>
      <c r="N266">
        <v>0</v>
      </c>
    </row>
    <row r="267" spans="1:14" x14ac:dyDescent="0.25">
      <c r="A267" s="2"/>
      <c r="C267" t="s">
        <v>28</v>
      </c>
      <c r="D267" t="s">
        <v>148</v>
      </c>
      <c r="E267" t="s">
        <v>650</v>
      </c>
      <c r="F267" t="s">
        <v>651</v>
      </c>
      <c r="G267" t="s">
        <v>740</v>
      </c>
      <c r="H267" s="3">
        <v>1254.5999999999999</v>
      </c>
      <c r="I267">
        <v>332</v>
      </c>
      <c r="J267">
        <v>0</v>
      </c>
      <c r="K267">
        <v>14</v>
      </c>
      <c r="L267" s="4">
        <v>0.184179539103828</v>
      </c>
      <c r="M267" s="4">
        <v>0.815820460896172</v>
      </c>
      <c r="N267">
        <v>0</v>
      </c>
    </row>
    <row r="268" spans="1:14" x14ac:dyDescent="0.25">
      <c r="A268" s="2"/>
      <c r="B268" t="s">
        <v>741</v>
      </c>
      <c r="C268" t="s">
        <v>16</v>
      </c>
      <c r="D268" t="s">
        <v>148</v>
      </c>
      <c r="E268" t="s">
        <v>650</v>
      </c>
      <c r="F268" t="s">
        <v>651</v>
      </c>
      <c r="G268" t="s">
        <v>742</v>
      </c>
      <c r="H268" s="3">
        <v>1315.8</v>
      </c>
      <c r="I268">
        <v>537</v>
      </c>
      <c r="J268">
        <v>0</v>
      </c>
      <c r="K268">
        <v>39</v>
      </c>
      <c r="L268" s="4">
        <v>0.27927354958580097</v>
      </c>
      <c r="M268" s="4">
        <v>0.72072645041419903</v>
      </c>
      <c r="N268">
        <v>0</v>
      </c>
    </row>
    <row r="269" spans="1:14" x14ac:dyDescent="0.25">
      <c r="A269" s="2"/>
      <c r="C269" t="s">
        <v>28</v>
      </c>
      <c r="D269" t="s">
        <v>148</v>
      </c>
      <c r="E269" t="s">
        <v>650</v>
      </c>
      <c r="F269" t="s">
        <v>651</v>
      </c>
      <c r="G269" t="s">
        <v>743</v>
      </c>
      <c r="H269" s="3">
        <v>1315.8</v>
      </c>
      <c r="I269">
        <v>952</v>
      </c>
      <c r="J269">
        <v>0</v>
      </c>
      <c r="K269">
        <v>15</v>
      </c>
      <c r="L269" s="4">
        <v>0.41625908422673302</v>
      </c>
      <c r="M269" s="4">
        <v>0.58374091577326703</v>
      </c>
      <c r="N269">
        <v>0</v>
      </c>
    </row>
    <row r="270" spans="1:14" x14ac:dyDescent="0.25">
      <c r="A270" s="2"/>
      <c r="C270" t="s">
        <v>28</v>
      </c>
      <c r="D270" t="s">
        <v>148</v>
      </c>
      <c r="E270" t="s">
        <v>650</v>
      </c>
      <c r="F270" t="s">
        <v>651</v>
      </c>
      <c r="G270" t="s">
        <v>744</v>
      </c>
      <c r="H270" s="3">
        <v>1315.8</v>
      </c>
      <c r="I270">
        <v>183</v>
      </c>
      <c r="J270">
        <v>0</v>
      </c>
      <c r="K270">
        <v>48</v>
      </c>
      <c r="L270" s="4">
        <v>0.82715588979268895</v>
      </c>
      <c r="M270" s="4">
        <v>0.172844110207311</v>
      </c>
      <c r="N270">
        <v>0</v>
      </c>
    </row>
    <row r="271" spans="1:14" x14ac:dyDescent="0.25">
      <c r="A271" s="2"/>
      <c r="B271" t="s">
        <v>745</v>
      </c>
      <c r="C271" t="s">
        <v>16</v>
      </c>
      <c r="D271" t="s">
        <v>148</v>
      </c>
      <c r="E271" t="s">
        <v>650</v>
      </c>
      <c r="F271" t="s">
        <v>651</v>
      </c>
      <c r="G271" t="s">
        <v>746</v>
      </c>
      <c r="H271" s="3">
        <v>1536</v>
      </c>
      <c r="I271">
        <v>939</v>
      </c>
      <c r="J271">
        <v>0</v>
      </c>
      <c r="K271">
        <v>20</v>
      </c>
      <c r="L271" s="4">
        <v>0.93516648770828004</v>
      </c>
      <c r="M271" s="4">
        <v>6.4833512291719894E-2</v>
      </c>
      <c r="N271">
        <v>0</v>
      </c>
    </row>
    <row r="272" spans="1:14" x14ac:dyDescent="0.25">
      <c r="A272" s="2"/>
      <c r="B272" t="s">
        <v>747</v>
      </c>
      <c r="C272" t="s">
        <v>16</v>
      </c>
      <c r="D272" t="s">
        <v>148</v>
      </c>
      <c r="E272" t="s">
        <v>650</v>
      </c>
      <c r="F272" t="s">
        <v>651</v>
      </c>
      <c r="G272" t="s">
        <v>748</v>
      </c>
      <c r="H272" s="3">
        <v>1536</v>
      </c>
      <c r="I272">
        <v>901</v>
      </c>
      <c r="J272">
        <v>1</v>
      </c>
      <c r="L272" s="4">
        <v>0.75193134996558797</v>
      </c>
      <c r="M272" s="4">
        <v>0.248068650034412</v>
      </c>
      <c r="N272">
        <v>0</v>
      </c>
    </row>
    <row r="273" spans="1:14" x14ac:dyDescent="0.25">
      <c r="A273" s="2"/>
      <c r="B273" t="s">
        <v>625</v>
      </c>
      <c r="C273" t="s">
        <v>16</v>
      </c>
      <c r="D273" t="s">
        <v>148</v>
      </c>
      <c r="E273" t="s">
        <v>650</v>
      </c>
      <c r="F273" t="s">
        <v>651</v>
      </c>
      <c r="G273" t="s">
        <v>749</v>
      </c>
      <c r="H273" s="3">
        <v>1608</v>
      </c>
      <c r="I273">
        <v>851</v>
      </c>
      <c r="J273">
        <v>0</v>
      </c>
      <c r="K273">
        <v>26</v>
      </c>
      <c r="L273" s="4">
        <v>0.70082316317210003</v>
      </c>
      <c r="M273" s="4">
        <v>0.29917683682789997</v>
      </c>
      <c r="N273">
        <v>0</v>
      </c>
    </row>
    <row r="274" spans="1:14" x14ac:dyDescent="0.25">
      <c r="A274" s="2"/>
      <c r="B274" t="s">
        <v>750</v>
      </c>
      <c r="C274" t="s">
        <v>16</v>
      </c>
      <c r="D274" t="s">
        <v>148</v>
      </c>
      <c r="E274" t="s">
        <v>751</v>
      </c>
      <c r="F274" t="s">
        <v>713</v>
      </c>
      <c r="G274" t="s">
        <v>752</v>
      </c>
      <c r="H274" s="3">
        <v>729.3</v>
      </c>
      <c r="I274">
        <v>917</v>
      </c>
      <c r="J274">
        <v>0</v>
      </c>
      <c r="K274">
        <v>1</v>
      </c>
      <c r="L274" s="4">
        <v>0.42024304796865097</v>
      </c>
      <c r="M274" s="4">
        <v>0.57975695203134903</v>
      </c>
      <c r="N274">
        <v>0</v>
      </c>
    </row>
    <row r="275" spans="1:14" x14ac:dyDescent="0.25">
      <c r="A275" s="2"/>
      <c r="B275" t="s">
        <v>753</v>
      </c>
      <c r="C275" t="s">
        <v>16</v>
      </c>
      <c r="D275" t="s">
        <v>148</v>
      </c>
      <c r="E275" t="s">
        <v>754</v>
      </c>
      <c r="F275" t="s">
        <v>755</v>
      </c>
      <c r="G275" t="s">
        <v>756</v>
      </c>
      <c r="H275" s="3">
        <v>1230</v>
      </c>
      <c r="I275">
        <v>550</v>
      </c>
      <c r="J275">
        <v>1</v>
      </c>
      <c r="K275">
        <v>13</v>
      </c>
      <c r="L275" s="4">
        <v>0.73219444093240105</v>
      </c>
      <c r="M275" s="4">
        <v>0.26780555906759901</v>
      </c>
      <c r="N275">
        <v>0</v>
      </c>
    </row>
    <row r="276" spans="1:14" x14ac:dyDescent="0.25">
      <c r="A276" s="2"/>
      <c r="B276" t="s">
        <v>757</v>
      </c>
      <c r="C276" t="s">
        <v>16</v>
      </c>
      <c r="D276" t="s">
        <v>352</v>
      </c>
      <c r="E276" t="s">
        <v>758</v>
      </c>
      <c r="F276" t="s">
        <v>759</v>
      </c>
      <c r="G276" t="s">
        <v>760</v>
      </c>
      <c r="H276" s="3">
        <v>810</v>
      </c>
      <c r="I276">
        <v>310</v>
      </c>
      <c r="J276">
        <v>1</v>
      </c>
      <c r="K276">
        <v>46</v>
      </c>
      <c r="L276" s="4">
        <v>0.58710781676469603</v>
      </c>
      <c r="M276" s="4">
        <v>0.41289218323530402</v>
      </c>
      <c r="N276">
        <v>0</v>
      </c>
    </row>
    <row r="277" spans="1:14" x14ac:dyDescent="0.25">
      <c r="A277" s="2"/>
      <c r="B277" t="s">
        <v>761</v>
      </c>
      <c r="C277" t="s">
        <v>16</v>
      </c>
      <c r="D277" t="s">
        <v>352</v>
      </c>
      <c r="E277" t="s">
        <v>758</v>
      </c>
      <c r="F277" t="s">
        <v>759</v>
      </c>
      <c r="G277" t="s">
        <v>762</v>
      </c>
      <c r="H277" s="3">
        <v>3000</v>
      </c>
      <c r="I277">
        <v>342</v>
      </c>
      <c r="J277">
        <v>1</v>
      </c>
      <c r="K277">
        <v>29</v>
      </c>
      <c r="L277" s="4">
        <v>0.57288318679153005</v>
      </c>
      <c r="M277" s="4">
        <v>0.42711681320847</v>
      </c>
      <c r="N277">
        <v>0</v>
      </c>
    </row>
    <row r="278" spans="1:14" x14ac:dyDescent="0.25">
      <c r="A278" s="2"/>
      <c r="C278" t="s">
        <v>28</v>
      </c>
      <c r="D278" t="s">
        <v>352</v>
      </c>
      <c r="E278" t="s">
        <v>758</v>
      </c>
      <c r="F278" t="s">
        <v>759</v>
      </c>
      <c r="G278" t="s">
        <v>763</v>
      </c>
      <c r="H278" s="3">
        <v>3600</v>
      </c>
      <c r="I278">
        <v>567</v>
      </c>
      <c r="J278">
        <v>0</v>
      </c>
      <c r="K278">
        <v>42</v>
      </c>
      <c r="L278" s="4">
        <v>2.8651921201621099E-2</v>
      </c>
      <c r="M278" s="4">
        <v>0.97134807879837903</v>
      </c>
      <c r="N278">
        <v>0</v>
      </c>
    </row>
    <row r="279" spans="1:14" x14ac:dyDescent="0.25">
      <c r="A279" s="2"/>
      <c r="B279" t="s">
        <v>764</v>
      </c>
      <c r="C279" t="s">
        <v>16</v>
      </c>
      <c r="D279" t="s">
        <v>352</v>
      </c>
      <c r="E279" t="s">
        <v>758</v>
      </c>
      <c r="F279" t="s">
        <v>759</v>
      </c>
      <c r="G279" t="s">
        <v>765</v>
      </c>
      <c r="H279" s="3">
        <v>1500</v>
      </c>
      <c r="I279">
        <v>768</v>
      </c>
      <c r="J279">
        <v>0</v>
      </c>
      <c r="K279">
        <v>41</v>
      </c>
      <c r="L279" s="4">
        <v>0.82097498531354496</v>
      </c>
      <c r="M279" s="4">
        <v>0.17902501468645601</v>
      </c>
      <c r="N279">
        <v>0</v>
      </c>
    </row>
    <row r="280" spans="1:14" x14ac:dyDescent="0.25">
      <c r="A280" s="2"/>
      <c r="B280" t="s">
        <v>766</v>
      </c>
      <c r="C280" t="s">
        <v>16</v>
      </c>
      <c r="D280" t="s">
        <v>352</v>
      </c>
      <c r="E280" t="s">
        <v>758</v>
      </c>
      <c r="F280" t="s">
        <v>759</v>
      </c>
      <c r="G280" t="s">
        <v>767</v>
      </c>
      <c r="H280" s="3">
        <v>3600</v>
      </c>
      <c r="I280">
        <v>694</v>
      </c>
      <c r="K280">
        <v>33</v>
      </c>
      <c r="L280" s="4">
        <v>0.154669948770988</v>
      </c>
      <c r="M280" s="4">
        <v>0.84533005122901195</v>
      </c>
      <c r="N280">
        <v>0</v>
      </c>
    </row>
    <row r="281" spans="1:14" x14ac:dyDescent="0.25">
      <c r="A281" s="2"/>
      <c r="B281" t="s">
        <v>768</v>
      </c>
      <c r="C281" t="s">
        <v>16</v>
      </c>
      <c r="D281" t="s">
        <v>352</v>
      </c>
      <c r="E281" t="s">
        <v>758</v>
      </c>
      <c r="F281" t="s">
        <v>759</v>
      </c>
      <c r="G281" t="s">
        <v>769</v>
      </c>
      <c r="H281" s="3">
        <v>3000</v>
      </c>
      <c r="I281">
        <v>753</v>
      </c>
      <c r="J281">
        <v>0</v>
      </c>
      <c r="K281">
        <v>29</v>
      </c>
      <c r="L281" s="4">
        <v>7.9611570355536093E-2</v>
      </c>
      <c r="M281" s="4">
        <v>0.92038842964446399</v>
      </c>
      <c r="N281">
        <v>0</v>
      </c>
    </row>
    <row r="282" spans="1:14" x14ac:dyDescent="0.25">
      <c r="A282" s="2"/>
      <c r="C282" t="s">
        <v>28</v>
      </c>
      <c r="D282" t="s">
        <v>352</v>
      </c>
      <c r="E282" t="s">
        <v>758</v>
      </c>
      <c r="F282" t="s">
        <v>759</v>
      </c>
      <c r="G282" t="s">
        <v>770</v>
      </c>
      <c r="H282" s="3">
        <v>3000</v>
      </c>
      <c r="I282">
        <v>250</v>
      </c>
      <c r="J282">
        <v>0</v>
      </c>
      <c r="K282">
        <v>48</v>
      </c>
      <c r="L282" s="4">
        <v>0.53468451439235698</v>
      </c>
      <c r="M282" s="4">
        <v>0.46531548560764302</v>
      </c>
      <c r="N282">
        <v>0</v>
      </c>
    </row>
    <row r="283" spans="1:14" x14ac:dyDescent="0.25">
      <c r="A283" s="2"/>
      <c r="C283" t="s">
        <v>28</v>
      </c>
      <c r="D283" t="s">
        <v>352</v>
      </c>
      <c r="E283" t="s">
        <v>758</v>
      </c>
      <c r="F283" t="s">
        <v>759</v>
      </c>
      <c r="G283" t="s">
        <v>771</v>
      </c>
      <c r="H283" s="3">
        <v>3000</v>
      </c>
      <c r="I283">
        <v>911</v>
      </c>
      <c r="J283">
        <v>0</v>
      </c>
      <c r="K283">
        <v>37</v>
      </c>
      <c r="L283" s="4">
        <v>0.48845838758253102</v>
      </c>
      <c r="M283" s="4">
        <v>0.51154161241746898</v>
      </c>
      <c r="N283">
        <v>0</v>
      </c>
    </row>
    <row r="284" spans="1:14" x14ac:dyDescent="0.25">
      <c r="A284" s="2"/>
      <c r="C284" t="s">
        <v>28</v>
      </c>
      <c r="D284" t="s">
        <v>352</v>
      </c>
      <c r="E284" t="s">
        <v>758</v>
      </c>
      <c r="F284" t="s">
        <v>759</v>
      </c>
      <c r="G284" t="s">
        <v>772</v>
      </c>
      <c r="H284" s="3">
        <v>3000</v>
      </c>
      <c r="I284">
        <v>595</v>
      </c>
      <c r="J284">
        <v>1</v>
      </c>
      <c r="K284">
        <v>25</v>
      </c>
      <c r="L284" s="4">
        <v>1.4055642382093799E-2</v>
      </c>
      <c r="M284" s="4">
        <v>0.985944357617906</v>
      </c>
      <c r="N284">
        <v>0</v>
      </c>
    </row>
    <row r="285" spans="1:14" x14ac:dyDescent="0.25">
      <c r="A285" s="2"/>
      <c r="C285" t="s">
        <v>28</v>
      </c>
      <c r="D285" t="s">
        <v>352</v>
      </c>
      <c r="E285" t="s">
        <v>758</v>
      </c>
      <c r="F285" t="s">
        <v>759</v>
      </c>
      <c r="G285" t="s">
        <v>773</v>
      </c>
      <c r="H285" s="3">
        <v>3000</v>
      </c>
      <c r="I285">
        <v>750</v>
      </c>
      <c r="J285">
        <v>1</v>
      </c>
      <c r="L285" s="4">
        <v>0.35973679403415598</v>
      </c>
      <c r="M285" s="4">
        <v>0.64026320596584396</v>
      </c>
      <c r="N285">
        <v>0</v>
      </c>
    </row>
    <row r="286" spans="1:14" x14ac:dyDescent="0.25">
      <c r="A286" s="2"/>
      <c r="B286" t="s">
        <v>774</v>
      </c>
      <c r="C286" t="s">
        <v>16</v>
      </c>
      <c r="D286" t="s">
        <v>352</v>
      </c>
      <c r="E286" t="s">
        <v>775</v>
      </c>
      <c r="F286" t="s">
        <v>776</v>
      </c>
      <c r="G286" t="s">
        <v>777</v>
      </c>
      <c r="H286" s="3">
        <v>1500</v>
      </c>
      <c r="I286">
        <v>839</v>
      </c>
      <c r="J286">
        <v>1</v>
      </c>
      <c r="K286">
        <v>31</v>
      </c>
      <c r="L286" s="4">
        <v>0.75435439607344001</v>
      </c>
      <c r="M286" s="4">
        <v>0.24564560392656101</v>
      </c>
      <c r="N286">
        <v>0</v>
      </c>
    </row>
    <row r="287" spans="1:14" x14ac:dyDescent="0.25">
      <c r="A287" s="2"/>
      <c r="B287" t="s">
        <v>778</v>
      </c>
      <c r="C287" t="s">
        <v>16</v>
      </c>
      <c r="D287" t="s">
        <v>352</v>
      </c>
      <c r="E287" t="s">
        <v>775</v>
      </c>
      <c r="F287" t="s">
        <v>776</v>
      </c>
      <c r="G287" t="s">
        <v>779</v>
      </c>
      <c r="H287" s="3">
        <v>1620</v>
      </c>
      <c r="I287">
        <v>357</v>
      </c>
      <c r="J287">
        <v>1</v>
      </c>
      <c r="L287" s="4">
        <v>0.101226726713188</v>
      </c>
      <c r="M287" s="4">
        <v>0.898773273286812</v>
      </c>
      <c r="N287">
        <v>0</v>
      </c>
    </row>
    <row r="288" spans="1:14" x14ac:dyDescent="0.25">
      <c r="A288" s="2"/>
      <c r="B288" t="s">
        <v>780</v>
      </c>
      <c r="C288" t="s">
        <v>16</v>
      </c>
      <c r="D288" t="s">
        <v>352</v>
      </c>
      <c r="E288" t="s">
        <v>775</v>
      </c>
      <c r="F288" t="s">
        <v>776</v>
      </c>
      <c r="G288" t="s">
        <v>781</v>
      </c>
      <c r="H288" s="3">
        <v>1652.4</v>
      </c>
      <c r="I288">
        <v>678</v>
      </c>
      <c r="J288">
        <v>1</v>
      </c>
      <c r="K288">
        <v>25</v>
      </c>
      <c r="L288" s="4">
        <v>0.97690526953134205</v>
      </c>
      <c r="M288" s="4">
        <v>2.3094730468658401E-2</v>
      </c>
      <c r="N288">
        <v>0</v>
      </c>
    </row>
    <row r="289" spans="1:14" x14ac:dyDescent="0.25">
      <c r="A289" s="2"/>
      <c r="B289" t="s">
        <v>782</v>
      </c>
      <c r="C289" t="s">
        <v>16</v>
      </c>
      <c r="D289" t="s">
        <v>352</v>
      </c>
      <c r="E289" t="s">
        <v>775</v>
      </c>
      <c r="F289" t="s">
        <v>776</v>
      </c>
      <c r="G289" t="s">
        <v>783</v>
      </c>
      <c r="H289" s="3">
        <v>1652.4</v>
      </c>
      <c r="I289">
        <v>356</v>
      </c>
      <c r="J289">
        <v>0</v>
      </c>
      <c r="K289">
        <v>12</v>
      </c>
      <c r="L289" s="4">
        <v>0.544136278120534</v>
      </c>
      <c r="M289" s="4">
        <v>0.455863721879466</v>
      </c>
      <c r="N289">
        <v>0</v>
      </c>
    </row>
    <row r="290" spans="1:14" x14ac:dyDescent="0.25">
      <c r="A290" s="2"/>
      <c r="B290" t="s">
        <v>784</v>
      </c>
      <c r="C290" t="s">
        <v>16</v>
      </c>
      <c r="D290" t="s">
        <v>352</v>
      </c>
      <c r="E290" t="s">
        <v>775</v>
      </c>
      <c r="F290" t="s">
        <v>776</v>
      </c>
      <c r="G290" t="s">
        <v>785</v>
      </c>
      <c r="H290" s="3">
        <v>1500</v>
      </c>
      <c r="I290">
        <v>906</v>
      </c>
      <c r="J290">
        <v>0</v>
      </c>
      <c r="K290">
        <v>13</v>
      </c>
      <c r="L290" s="4">
        <v>0.30070746444722901</v>
      </c>
      <c r="M290" s="4">
        <v>0.69929253555277104</v>
      </c>
      <c r="N290">
        <v>0</v>
      </c>
    </row>
    <row r="291" spans="1:14" x14ac:dyDescent="0.25">
      <c r="A291" s="2"/>
      <c r="B291" t="s">
        <v>786</v>
      </c>
      <c r="C291" t="s">
        <v>16</v>
      </c>
      <c r="D291" t="s">
        <v>352</v>
      </c>
      <c r="E291" t="s">
        <v>775</v>
      </c>
      <c r="F291" t="s">
        <v>776</v>
      </c>
      <c r="G291" t="s">
        <v>787</v>
      </c>
      <c r="H291" s="3">
        <v>1620</v>
      </c>
      <c r="I291">
        <v>967</v>
      </c>
      <c r="J291">
        <v>0</v>
      </c>
      <c r="K291">
        <v>23</v>
      </c>
      <c r="L291" s="4">
        <v>0.300675608223334</v>
      </c>
      <c r="M291" s="4">
        <v>0.69932439177666605</v>
      </c>
      <c r="N291">
        <v>0</v>
      </c>
    </row>
    <row r="292" spans="1:14" x14ac:dyDescent="0.25">
      <c r="A292" s="2">
        <v>23516272</v>
      </c>
      <c r="B292" t="s">
        <v>788</v>
      </c>
      <c r="C292" t="s">
        <v>31</v>
      </c>
      <c r="D292" t="s">
        <v>352</v>
      </c>
      <c r="E292" t="s">
        <v>775</v>
      </c>
      <c r="F292" t="s">
        <v>776</v>
      </c>
      <c r="G292" t="s">
        <v>789</v>
      </c>
      <c r="H292" s="3">
        <v>1620</v>
      </c>
      <c r="I292">
        <v>715</v>
      </c>
      <c r="J292">
        <v>1</v>
      </c>
      <c r="K292">
        <v>8</v>
      </c>
      <c r="L292" s="4">
        <v>0.58758359796141002</v>
      </c>
      <c r="M292" s="4">
        <v>0.41241640203858998</v>
      </c>
      <c r="N292">
        <v>0</v>
      </c>
    </row>
    <row r="293" spans="1:14" x14ac:dyDescent="0.25">
      <c r="A293" s="2"/>
      <c r="B293" t="s">
        <v>790</v>
      </c>
      <c r="C293" t="s">
        <v>16</v>
      </c>
      <c r="D293" t="s">
        <v>352</v>
      </c>
      <c r="E293" t="s">
        <v>775</v>
      </c>
      <c r="F293" t="s">
        <v>776</v>
      </c>
      <c r="G293" t="s">
        <v>791</v>
      </c>
      <c r="H293" s="3">
        <v>1680</v>
      </c>
      <c r="I293">
        <v>94</v>
      </c>
      <c r="J293">
        <v>0</v>
      </c>
      <c r="K293">
        <v>15</v>
      </c>
      <c r="L293" s="4">
        <v>0.42114349308419202</v>
      </c>
      <c r="M293" s="4">
        <v>0.57885650691580803</v>
      </c>
      <c r="N293">
        <v>0</v>
      </c>
    </row>
    <row r="294" spans="1:14" x14ac:dyDescent="0.25">
      <c r="A294" s="2"/>
      <c r="B294" t="s">
        <v>792</v>
      </c>
      <c r="C294" t="s">
        <v>16</v>
      </c>
      <c r="D294" t="s">
        <v>352</v>
      </c>
      <c r="E294" t="s">
        <v>775</v>
      </c>
      <c r="F294" t="s">
        <v>776</v>
      </c>
      <c r="G294" t="s">
        <v>793</v>
      </c>
      <c r="H294" s="3">
        <v>1275</v>
      </c>
      <c r="I294">
        <v>771</v>
      </c>
      <c r="J294">
        <v>1</v>
      </c>
      <c r="K294">
        <v>9</v>
      </c>
      <c r="L294" s="4">
        <v>0.80837293324707904</v>
      </c>
      <c r="M294" s="4">
        <v>0.19162706675292099</v>
      </c>
      <c r="N294">
        <v>0</v>
      </c>
    </row>
    <row r="295" spans="1:14" x14ac:dyDescent="0.25">
      <c r="A295" s="2"/>
      <c r="C295" t="s">
        <v>28</v>
      </c>
      <c r="D295" t="s">
        <v>352</v>
      </c>
      <c r="E295" t="s">
        <v>794</v>
      </c>
      <c r="F295" t="s">
        <v>795</v>
      </c>
      <c r="G295" t="s">
        <v>796</v>
      </c>
      <c r="H295" s="3">
        <v>1950</v>
      </c>
      <c r="I295">
        <v>968</v>
      </c>
      <c r="J295">
        <v>0</v>
      </c>
      <c r="L295" s="4">
        <v>0.32290719000771001</v>
      </c>
      <c r="M295" s="4">
        <v>0.67709280999229005</v>
      </c>
      <c r="N295">
        <v>0</v>
      </c>
    </row>
    <row r="296" spans="1:14" x14ac:dyDescent="0.25">
      <c r="A296" s="2"/>
      <c r="B296" t="s">
        <v>797</v>
      </c>
      <c r="C296" t="s">
        <v>16</v>
      </c>
      <c r="D296" t="s">
        <v>148</v>
      </c>
      <c r="E296" t="s">
        <v>664</v>
      </c>
      <c r="F296" t="s">
        <v>798</v>
      </c>
      <c r="G296" t="s">
        <v>799</v>
      </c>
      <c r="H296" s="3">
        <v>1608</v>
      </c>
      <c r="I296">
        <v>288</v>
      </c>
      <c r="J296">
        <v>0</v>
      </c>
      <c r="K296">
        <v>12</v>
      </c>
      <c r="L296" s="4">
        <v>0.90833265960979603</v>
      </c>
      <c r="M296" s="4">
        <v>9.1667340390204299E-2</v>
      </c>
      <c r="N296">
        <v>0</v>
      </c>
    </row>
    <row r="297" spans="1:14" x14ac:dyDescent="0.25">
      <c r="A297" s="2"/>
      <c r="B297" t="s">
        <v>800</v>
      </c>
      <c r="C297" t="s">
        <v>16</v>
      </c>
      <c r="D297" t="s">
        <v>17</v>
      </c>
      <c r="E297" t="s">
        <v>801</v>
      </c>
      <c r="F297" t="s">
        <v>802</v>
      </c>
      <c r="G297" t="s">
        <v>803</v>
      </c>
      <c r="H297" s="3">
        <v>2295.39</v>
      </c>
      <c r="I297">
        <v>983</v>
      </c>
      <c r="J297">
        <v>0</v>
      </c>
      <c r="K297">
        <v>19</v>
      </c>
      <c r="L297" s="4">
        <v>0.293507922853249</v>
      </c>
      <c r="M297" s="4">
        <v>0.706492077146751</v>
      </c>
      <c r="N297">
        <v>0</v>
      </c>
    </row>
    <row r="298" spans="1:14" x14ac:dyDescent="0.25">
      <c r="A298" s="2"/>
      <c r="B298" t="s">
        <v>804</v>
      </c>
      <c r="C298" t="s">
        <v>16</v>
      </c>
      <c r="D298" t="s">
        <v>17</v>
      </c>
      <c r="E298" t="s">
        <v>801</v>
      </c>
      <c r="F298" t="s">
        <v>802</v>
      </c>
      <c r="G298" t="s">
        <v>805</v>
      </c>
      <c r="H298" s="3">
        <v>2328.4299999999998</v>
      </c>
      <c r="J298">
        <v>0</v>
      </c>
      <c r="K298">
        <v>35</v>
      </c>
      <c r="L298" s="4">
        <v>0.51121854219657603</v>
      </c>
      <c r="M298" s="4">
        <v>0.48878145780342402</v>
      </c>
      <c r="N298">
        <v>0</v>
      </c>
    </row>
    <row r="299" spans="1:14" x14ac:dyDescent="0.25">
      <c r="A299" s="2"/>
      <c r="B299" t="s">
        <v>806</v>
      </c>
      <c r="C299" t="s">
        <v>16</v>
      </c>
      <c r="D299" t="s">
        <v>17</v>
      </c>
      <c r="E299" t="s">
        <v>801</v>
      </c>
      <c r="F299" t="s">
        <v>802</v>
      </c>
      <c r="G299" t="s">
        <v>807</v>
      </c>
      <c r="H299" s="3">
        <v>2451.81</v>
      </c>
      <c r="I299">
        <v>702</v>
      </c>
      <c r="J299">
        <v>0</v>
      </c>
      <c r="K299">
        <v>26</v>
      </c>
      <c r="L299" s="4">
        <v>1.42076017449263E-2</v>
      </c>
      <c r="M299" s="4">
        <v>0.98579239825507403</v>
      </c>
      <c r="N299">
        <v>0</v>
      </c>
    </row>
    <row r="300" spans="1:14" x14ac:dyDescent="0.25">
      <c r="A300" s="2"/>
      <c r="B300" t="s">
        <v>808</v>
      </c>
      <c r="C300" t="s">
        <v>16</v>
      </c>
      <c r="D300" t="s">
        <v>110</v>
      </c>
      <c r="E300" t="s">
        <v>809</v>
      </c>
      <c r="F300" t="s">
        <v>810</v>
      </c>
      <c r="G300" t="s">
        <v>811</v>
      </c>
      <c r="H300" s="3">
        <v>2040</v>
      </c>
      <c r="I300">
        <v>162</v>
      </c>
      <c r="J300">
        <v>1</v>
      </c>
      <c r="K300">
        <v>5</v>
      </c>
      <c r="L300" s="4">
        <v>0.145563911022565</v>
      </c>
      <c r="M300" s="4">
        <v>0.85443608897743495</v>
      </c>
      <c r="N300">
        <v>0</v>
      </c>
    </row>
    <row r="301" spans="1:14" x14ac:dyDescent="0.25">
      <c r="A301" s="2"/>
      <c r="B301" t="s">
        <v>812</v>
      </c>
      <c r="C301" t="s">
        <v>16</v>
      </c>
      <c r="D301" t="s">
        <v>110</v>
      </c>
      <c r="E301" t="s">
        <v>809</v>
      </c>
      <c r="F301" t="s">
        <v>810</v>
      </c>
      <c r="G301" t="s">
        <v>813</v>
      </c>
      <c r="H301" s="3">
        <v>2040</v>
      </c>
      <c r="I301">
        <v>746</v>
      </c>
      <c r="J301">
        <v>1</v>
      </c>
      <c r="K301">
        <v>36</v>
      </c>
      <c r="L301" s="4">
        <v>0.96886727195612798</v>
      </c>
      <c r="M301" s="4">
        <v>3.1132728043871599E-2</v>
      </c>
      <c r="N301">
        <v>0</v>
      </c>
    </row>
    <row r="302" spans="1:14" x14ac:dyDescent="0.25">
      <c r="A302" s="2"/>
      <c r="B302" t="s">
        <v>814</v>
      </c>
      <c r="C302" t="s">
        <v>16</v>
      </c>
      <c r="D302" t="s">
        <v>110</v>
      </c>
      <c r="E302" t="s">
        <v>809</v>
      </c>
      <c r="F302" t="s">
        <v>810</v>
      </c>
      <c r="G302" t="s">
        <v>815</v>
      </c>
      <c r="H302" s="3">
        <v>2040</v>
      </c>
      <c r="I302">
        <v>4</v>
      </c>
      <c r="J302">
        <v>0</v>
      </c>
      <c r="K302">
        <v>15</v>
      </c>
      <c r="L302" s="4">
        <v>0.32305515670783902</v>
      </c>
      <c r="M302" s="4">
        <v>0.67694484329216098</v>
      </c>
      <c r="N302">
        <v>0</v>
      </c>
    </row>
    <row r="303" spans="1:14" x14ac:dyDescent="0.25">
      <c r="A303" s="2"/>
      <c r="B303" t="s">
        <v>816</v>
      </c>
      <c r="C303" t="s">
        <v>16</v>
      </c>
      <c r="D303" t="s">
        <v>110</v>
      </c>
      <c r="E303" t="s">
        <v>809</v>
      </c>
      <c r="F303" t="s">
        <v>810</v>
      </c>
      <c r="G303" t="s">
        <v>817</v>
      </c>
      <c r="H303" s="3">
        <v>2040</v>
      </c>
      <c r="I303">
        <v>228</v>
      </c>
      <c r="J303">
        <v>0</v>
      </c>
      <c r="K303">
        <v>8</v>
      </c>
      <c r="L303" s="4">
        <v>0.37455764797168201</v>
      </c>
      <c r="M303" s="4">
        <v>0.62544235202831799</v>
      </c>
      <c r="N303">
        <v>0</v>
      </c>
    </row>
    <row r="304" spans="1:14" x14ac:dyDescent="0.25">
      <c r="A304" s="2"/>
      <c r="B304" t="s">
        <v>818</v>
      </c>
      <c r="C304" t="s">
        <v>16</v>
      </c>
      <c r="D304" t="s">
        <v>110</v>
      </c>
      <c r="E304" t="s">
        <v>809</v>
      </c>
      <c r="F304" t="s">
        <v>810</v>
      </c>
      <c r="G304" t="s">
        <v>819</v>
      </c>
      <c r="H304" s="3">
        <v>2400</v>
      </c>
      <c r="I304">
        <v>959</v>
      </c>
      <c r="J304">
        <v>0</v>
      </c>
      <c r="K304">
        <v>12</v>
      </c>
      <c r="L304" s="4">
        <v>0.82900059585883901</v>
      </c>
      <c r="M304" s="4">
        <v>0.17099940414116099</v>
      </c>
      <c r="N304">
        <v>0</v>
      </c>
    </row>
    <row r="305" spans="1:14" x14ac:dyDescent="0.25">
      <c r="A305" s="2"/>
      <c r="C305" t="s">
        <v>28</v>
      </c>
      <c r="D305" t="s">
        <v>110</v>
      </c>
      <c r="E305" t="s">
        <v>809</v>
      </c>
      <c r="F305" t="s">
        <v>810</v>
      </c>
      <c r="G305" t="s">
        <v>820</v>
      </c>
      <c r="H305" s="3">
        <v>2400</v>
      </c>
      <c r="I305">
        <v>596</v>
      </c>
      <c r="J305">
        <v>0</v>
      </c>
      <c r="K305">
        <v>25</v>
      </c>
      <c r="L305" s="4">
        <v>0.29683622501450302</v>
      </c>
      <c r="M305" s="4">
        <v>0.70316377498549698</v>
      </c>
      <c r="N305">
        <v>0</v>
      </c>
    </row>
    <row r="306" spans="1:14" x14ac:dyDescent="0.25">
      <c r="A306" s="2"/>
      <c r="C306" t="s">
        <v>28</v>
      </c>
      <c r="D306" t="s">
        <v>110</v>
      </c>
      <c r="E306" t="s">
        <v>809</v>
      </c>
      <c r="F306" t="s">
        <v>810</v>
      </c>
      <c r="G306" t="s">
        <v>821</v>
      </c>
      <c r="H306" s="3">
        <v>2400</v>
      </c>
      <c r="I306">
        <v>665</v>
      </c>
      <c r="J306">
        <v>0</v>
      </c>
      <c r="K306">
        <v>16</v>
      </c>
      <c r="L306" s="4">
        <v>0.99588935361646203</v>
      </c>
      <c r="M306" s="4">
        <v>4.1106463835380901E-3</v>
      </c>
      <c r="N306">
        <v>0</v>
      </c>
    </row>
    <row r="307" spans="1:14" x14ac:dyDescent="0.25">
      <c r="A307" s="2"/>
      <c r="C307" t="s">
        <v>28</v>
      </c>
      <c r="D307" t="s">
        <v>110</v>
      </c>
      <c r="E307" t="s">
        <v>809</v>
      </c>
      <c r="F307" t="s">
        <v>810</v>
      </c>
      <c r="G307" t="s">
        <v>822</v>
      </c>
      <c r="H307" s="3">
        <v>2400</v>
      </c>
      <c r="I307">
        <v>624</v>
      </c>
      <c r="J307">
        <v>1</v>
      </c>
      <c r="K307">
        <v>26</v>
      </c>
      <c r="L307" s="4">
        <v>0.15029944964226999</v>
      </c>
      <c r="M307" s="4">
        <v>0.84970055035772996</v>
      </c>
      <c r="N307">
        <v>0</v>
      </c>
    </row>
    <row r="308" spans="1:14" x14ac:dyDescent="0.25">
      <c r="A308" s="2"/>
      <c r="C308" t="s">
        <v>28</v>
      </c>
      <c r="D308" t="s">
        <v>110</v>
      </c>
      <c r="E308" t="s">
        <v>809</v>
      </c>
      <c r="F308" t="s">
        <v>810</v>
      </c>
      <c r="G308" t="s">
        <v>823</v>
      </c>
      <c r="H308" s="3">
        <v>2400</v>
      </c>
      <c r="I308">
        <v>321</v>
      </c>
      <c r="J308">
        <v>1</v>
      </c>
      <c r="K308">
        <v>7</v>
      </c>
      <c r="L308" s="4">
        <v>0.641721251883968</v>
      </c>
      <c r="M308" s="4">
        <v>0.358278748116032</v>
      </c>
      <c r="N308">
        <v>0</v>
      </c>
    </row>
    <row r="309" spans="1:14" x14ac:dyDescent="0.25">
      <c r="A309" s="2"/>
      <c r="B309" t="s">
        <v>824</v>
      </c>
      <c r="C309" t="s">
        <v>16</v>
      </c>
      <c r="D309" t="s">
        <v>110</v>
      </c>
      <c r="E309" t="s">
        <v>809</v>
      </c>
      <c r="F309" t="s">
        <v>810</v>
      </c>
      <c r="G309" t="s">
        <v>825</v>
      </c>
      <c r="H309" s="3">
        <v>2040</v>
      </c>
      <c r="I309">
        <v>126</v>
      </c>
      <c r="J309">
        <v>0</v>
      </c>
      <c r="L309" s="4">
        <v>0.72242399917993505</v>
      </c>
      <c r="M309" s="4">
        <v>0.27757600082006501</v>
      </c>
      <c r="N309">
        <v>0</v>
      </c>
    </row>
    <row r="310" spans="1:14" x14ac:dyDescent="0.25">
      <c r="A310" s="2"/>
      <c r="B310" t="s">
        <v>826</v>
      </c>
      <c r="C310" t="s">
        <v>16</v>
      </c>
      <c r="D310" t="s">
        <v>110</v>
      </c>
      <c r="E310" t="s">
        <v>809</v>
      </c>
      <c r="F310" t="s">
        <v>810</v>
      </c>
      <c r="G310" t="s">
        <v>827</v>
      </c>
      <c r="H310" s="3">
        <v>2000</v>
      </c>
      <c r="I310">
        <v>682</v>
      </c>
      <c r="J310">
        <v>1</v>
      </c>
      <c r="K310">
        <v>38</v>
      </c>
      <c r="L310" s="4">
        <v>0.11148520181239201</v>
      </c>
      <c r="M310" s="4">
        <v>0.88851479818760803</v>
      </c>
      <c r="N310">
        <v>0</v>
      </c>
    </row>
    <row r="311" spans="1:14" x14ac:dyDescent="0.25">
      <c r="A311" s="2"/>
      <c r="B311" t="s">
        <v>828</v>
      </c>
      <c r="C311" t="s">
        <v>16</v>
      </c>
      <c r="D311" t="s">
        <v>110</v>
      </c>
      <c r="E311" t="s">
        <v>809</v>
      </c>
      <c r="F311" t="s">
        <v>810</v>
      </c>
      <c r="G311" t="s">
        <v>829</v>
      </c>
      <c r="H311" s="3">
        <v>2040</v>
      </c>
      <c r="I311">
        <v>162</v>
      </c>
      <c r="J311">
        <v>0</v>
      </c>
      <c r="K311">
        <v>14</v>
      </c>
      <c r="L311" s="4">
        <v>0.12079748646249901</v>
      </c>
      <c r="M311" s="4">
        <v>0.87920251353750101</v>
      </c>
      <c r="N311">
        <v>0</v>
      </c>
    </row>
    <row r="312" spans="1:14" x14ac:dyDescent="0.25">
      <c r="A312" s="2"/>
      <c r="B312" t="s">
        <v>830</v>
      </c>
      <c r="C312" t="s">
        <v>16</v>
      </c>
      <c r="D312" t="s">
        <v>110</v>
      </c>
      <c r="E312" t="s">
        <v>809</v>
      </c>
      <c r="F312" t="s">
        <v>810</v>
      </c>
      <c r="G312" t="s">
        <v>831</v>
      </c>
      <c r="H312" s="3">
        <v>2040</v>
      </c>
      <c r="I312">
        <v>724</v>
      </c>
      <c r="J312">
        <v>1</v>
      </c>
      <c r="K312">
        <v>43</v>
      </c>
      <c r="L312" s="4">
        <v>0.87315189235131496</v>
      </c>
      <c r="M312" s="4">
        <v>0.12684810764868501</v>
      </c>
      <c r="N312">
        <v>0</v>
      </c>
    </row>
    <row r="313" spans="1:14" x14ac:dyDescent="0.25">
      <c r="A313" s="2"/>
      <c r="B313" t="s">
        <v>832</v>
      </c>
      <c r="C313" t="s">
        <v>16</v>
      </c>
      <c r="D313" t="s">
        <v>110</v>
      </c>
      <c r="E313" t="s">
        <v>809</v>
      </c>
      <c r="F313" t="s">
        <v>810</v>
      </c>
      <c r="G313" t="s">
        <v>833</v>
      </c>
      <c r="H313" s="3">
        <v>2040</v>
      </c>
      <c r="I313">
        <v>546</v>
      </c>
      <c r="J313">
        <v>0</v>
      </c>
      <c r="K313">
        <v>40</v>
      </c>
      <c r="L313" s="4">
        <v>0.542947148939258</v>
      </c>
      <c r="M313" s="4">
        <v>0.457052851060742</v>
      </c>
      <c r="N313">
        <v>0</v>
      </c>
    </row>
    <row r="314" spans="1:14" x14ac:dyDescent="0.25">
      <c r="A314" s="2"/>
      <c r="B314" t="s">
        <v>834</v>
      </c>
      <c r="C314" t="s">
        <v>16</v>
      </c>
      <c r="D314" t="s">
        <v>17</v>
      </c>
      <c r="E314" t="s">
        <v>835</v>
      </c>
      <c r="F314" t="s">
        <v>836</v>
      </c>
      <c r="G314" t="s">
        <v>837</v>
      </c>
      <c r="H314" s="3">
        <v>2345.19</v>
      </c>
      <c r="I314">
        <v>296</v>
      </c>
      <c r="J314">
        <v>1</v>
      </c>
      <c r="K314">
        <v>16</v>
      </c>
      <c r="L314" s="4">
        <v>0.40744957609481097</v>
      </c>
      <c r="M314" s="4">
        <v>0.59255042390518997</v>
      </c>
      <c r="N314">
        <v>0</v>
      </c>
    </row>
    <row r="315" spans="1:14" x14ac:dyDescent="0.25">
      <c r="A315" s="2"/>
      <c r="B315" t="s">
        <v>838</v>
      </c>
      <c r="C315" t="s">
        <v>16</v>
      </c>
      <c r="D315" t="s">
        <v>17</v>
      </c>
      <c r="E315" t="s">
        <v>835</v>
      </c>
      <c r="F315" t="s">
        <v>836</v>
      </c>
      <c r="G315" t="s">
        <v>839</v>
      </c>
      <c r="H315" s="3">
        <v>2457.25</v>
      </c>
      <c r="I315">
        <v>255</v>
      </c>
      <c r="J315">
        <v>0</v>
      </c>
      <c r="K315">
        <v>21</v>
      </c>
      <c r="L315" s="4">
        <v>0.80277194017401199</v>
      </c>
      <c r="M315" s="4">
        <v>0.19722805982598801</v>
      </c>
      <c r="N315">
        <v>0</v>
      </c>
    </row>
    <row r="316" spans="1:14" x14ac:dyDescent="0.25">
      <c r="A316" s="2"/>
      <c r="B316" t="s">
        <v>840</v>
      </c>
      <c r="C316" t="s">
        <v>16</v>
      </c>
      <c r="D316" t="s">
        <v>17</v>
      </c>
      <c r="E316" t="s">
        <v>841</v>
      </c>
      <c r="F316" t="s">
        <v>842</v>
      </c>
      <c r="G316" t="s">
        <v>843</v>
      </c>
      <c r="H316" s="3">
        <v>1456.18</v>
      </c>
      <c r="I316">
        <v>365</v>
      </c>
      <c r="J316">
        <v>1</v>
      </c>
      <c r="K316">
        <v>7</v>
      </c>
      <c r="L316" s="4">
        <v>0.49712954776168999</v>
      </c>
      <c r="M316" s="4">
        <v>0.50287045223830995</v>
      </c>
      <c r="N316">
        <v>0</v>
      </c>
    </row>
    <row r="317" spans="1:14" x14ac:dyDescent="0.25">
      <c r="A317" s="2"/>
      <c r="B317" t="s">
        <v>844</v>
      </c>
      <c r="C317" t="s">
        <v>16</v>
      </c>
      <c r="D317" t="s">
        <v>17</v>
      </c>
      <c r="E317" t="s">
        <v>841</v>
      </c>
      <c r="F317" t="s">
        <v>842</v>
      </c>
      <c r="G317" t="s">
        <v>845</v>
      </c>
      <c r="H317" s="3">
        <v>2498.61</v>
      </c>
      <c r="J317">
        <v>1</v>
      </c>
      <c r="K317">
        <v>1</v>
      </c>
      <c r="L317" s="4">
        <v>0.41577745776716801</v>
      </c>
      <c r="M317" s="4">
        <v>0.58422254223283199</v>
      </c>
      <c r="N317">
        <v>0</v>
      </c>
    </row>
    <row r="318" spans="1:14" x14ac:dyDescent="0.25">
      <c r="A318" s="2">
        <v>23250878</v>
      </c>
      <c r="B318" t="s">
        <v>846</v>
      </c>
      <c r="C318" t="s">
        <v>31</v>
      </c>
      <c r="D318" t="s">
        <v>110</v>
      </c>
      <c r="E318" t="s">
        <v>809</v>
      </c>
      <c r="F318" t="s">
        <v>847</v>
      </c>
      <c r="G318" t="s">
        <v>848</v>
      </c>
      <c r="H318" s="3">
        <v>1700</v>
      </c>
      <c r="I318">
        <v>825</v>
      </c>
      <c r="J318">
        <v>0</v>
      </c>
      <c r="K318">
        <v>22</v>
      </c>
      <c r="L318" s="4">
        <v>0.85440306977656999</v>
      </c>
      <c r="M318" s="4">
        <v>0.14559693022343001</v>
      </c>
      <c r="N318">
        <v>0</v>
      </c>
    </row>
    <row r="319" spans="1:14" x14ac:dyDescent="0.25">
      <c r="A319" s="2"/>
      <c r="B319" t="s">
        <v>849</v>
      </c>
      <c r="C319" t="s">
        <v>16</v>
      </c>
      <c r="D319" t="s">
        <v>110</v>
      </c>
      <c r="E319" t="s">
        <v>809</v>
      </c>
      <c r="F319" t="s">
        <v>847</v>
      </c>
      <c r="G319" t="s">
        <v>850</v>
      </c>
      <c r="H319" s="3">
        <v>1700</v>
      </c>
      <c r="I319">
        <v>276</v>
      </c>
      <c r="J319">
        <v>0</v>
      </c>
      <c r="K319">
        <v>13</v>
      </c>
      <c r="L319" s="4">
        <v>5.6696664752800399E-2</v>
      </c>
      <c r="M319" s="4">
        <v>0.9433033352472</v>
      </c>
      <c r="N319">
        <v>0</v>
      </c>
    </row>
    <row r="320" spans="1:14" x14ac:dyDescent="0.25">
      <c r="A320" s="2"/>
      <c r="B320" t="s">
        <v>851</v>
      </c>
      <c r="C320" t="s">
        <v>16</v>
      </c>
      <c r="D320" t="s">
        <v>110</v>
      </c>
      <c r="E320" t="s">
        <v>809</v>
      </c>
      <c r="F320" t="s">
        <v>847</v>
      </c>
      <c r="G320" t="s">
        <v>852</v>
      </c>
      <c r="H320" s="3">
        <v>2040</v>
      </c>
      <c r="I320">
        <v>187</v>
      </c>
      <c r="J320">
        <v>1</v>
      </c>
      <c r="K320">
        <v>22</v>
      </c>
      <c r="L320" s="4">
        <v>0.78696136963872498</v>
      </c>
      <c r="M320" s="4">
        <v>0.21303863036127499</v>
      </c>
      <c r="N320">
        <v>0</v>
      </c>
    </row>
    <row r="321" spans="1:14" x14ac:dyDescent="0.25">
      <c r="A321" s="2"/>
      <c r="B321" t="s">
        <v>853</v>
      </c>
      <c r="C321" t="s">
        <v>16</v>
      </c>
      <c r="D321" t="s">
        <v>110</v>
      </c>
      <c r="E321" t="s">
        <v>809</v>
      </c>
      <c r="F321" t="s">
        <v>847</v>
      </c>
      <c r="G321" t="s">
        <v>854</v>
      </c>
      <c r="H321" s="3">
        <v>2040</v>
      </c>
      <c r="I321">
        <v>102</v>
      </c>
      <c r="J321">
        <v>1</v>
      </c>
      <c r="K321">
        <v>7</v>
      </c>
      <c r="L321" s="4">
        <v>0.142630565613759</v>
      </c>
      <c r="M321" s="4">
        <v>0.85736943438624202</v>
      </c>
      <c r="N321">
        <v>0</v>
      </c>
    </row>
    <row r="322" spans="1:14" x14ac:dyDescent="0.25">
      <c r="A322" s="2"/>
      <c r="C322" t="s">
        <v>28</v>
      </c>
      <c r="D322" t="s">
        <v>17</v>
      </c>
      <c r="E322" t="s">
        <v>855</v>
      </c>
      <c r="F322" t="s">
        <v>856</v>
      </c>
      <c r="G322" t="s">
        <v>857</v>
      </c>
      <c r="H322" s="3">
        <v>2272.21</v>
      </c>
      <c r="I322">
        <v>750</v>
      </c>
      <c r="J322">
        <v>0</v>
      </c>
      <c r="K322">
        <v>26</v>
      </c>
      <c r="L322" s="4">
        <v>0.39402411344017202</v>
      </c>
      <c r="M322" s="4">
        <v>0.60597588655982804</v>
      </c>
      <c r="N322">
        <v>0</v>
      </c>
    </row>
    <row r="323" spans="1:14" x14ac:dyDescent="0.25">
      <c r="A323" s="2">
        <v>23246923</v>
      </c>
      <c r="B323" t="s">
        <v>858</v>
      </c>
      <c r="C323" t="s">
        <v>31</v>
      </c>
      <c r="D323" t="s">
        <v>17</v>
      </c>
      <c r="E323" t="s">
        <v>855</v>
      </c>
      <c r="F323" t="s">
        <v>856</v>
      </c>
      <c r="G323" t="s">
        <v>859</v>
      </c>
      <c r="H323" s="3">
        <v>2539.89</v>
      </c>
      <c r="I323">
        <v>231</v>
      </c>
      <c r="J323">
        <v>0</v>
      </c>
      <c r="K323">
        <v>32</v>
      </c>
      <c r="L323" s="4">
        <v>0.59197948827469304</v>
      </c>
      <c r="M323" s="4">
        <v>0.40802051172530701</v>
      </c>
      <c r="N323">
        <v>0</v>
      </c>
    </row>
    <row r="324" spans="1:14" x14ac:dyDescent="0.25">
      <c r="A324" s="2"/>
      <c r="B324" t="s">
        <v>860</v>
      </c>
      <c r="C324" t="s">
        <v>16</v>
      </c>
      <c r="D324" t="s">
        <v>69</v>
      </c>
      <c r="E324" t="s">
        <v>861</v>
      </c>
      <c r="F324" t="s">
        <v>862</v>
      </c>
      <c r="G324" t="s">
        <v>863</v>
      </c>
      <c r="H324" s="3">
        <v>1639.06</v>
      </c>
      <c r="I324">
        <v>747</v>
      </c>
      <c r="J324">
        <v>1</v>
      </c>
      <c r="K324">
        <v>26</v>
      </c>
      <c r="L324" s="4">
        <v>0.28170612693477298</v>
      </c>
      <c r="M324" s="4">
        <v>0.71829387306522696</v>
      </c>
      <c r="N324">
        <v>0</v>
      </c>
    </row>
    <row r="325" spans="1:14" x14ac:dyDescent="0.25">
      <c r="A325" s="2"/>
      <c r="B325" t="s">
        <v>864</v>
      </c>
      <c r="C325" t="s">
        <v>16</v>
      </c>
      <c r="D325" t="s">
        <v>69</v>
      </c>
      <c r="E325" t="s">
        <v>865</v>
      </c>
      <c r="G325" t="s">
        <v>866</v>
      </c>
      <c r="H325" s="3">
        <v>1889.9</v>
      </c>
      <c r="J325">
        <v>1</v>
      </c>
      <c r="K325">
        <v>40</v>
      </c>
      <c r="L325" s="4">
        <v>0.332975146706527</v>
      </c>
      <c r="M325" s="4">
        <v>0.66702485329347305</v>
      </c>
      <c r="N325">
        <v>0</v>
      </c>
    </row>
    <row r="326" spans="1:14" x14ac:dyDescent="0.25">
      <c r="A326" s="2"/>
      <c r="C326" t="s">
        <v>28</v>
      </c>
      <c r="D326" t="s">
        <v>110</v>
      </c>
      <c r="E326" t="s">
        <v>867</v>
      </c>
      <c r="F326" t="s">
        <v>868</v>
      </c>
      <c r="G326" t="s">
        <v>869</v>
      </c>
      <c r="H326" s="3">
        <v>2100</v>
      </c>
      <c r="I326">
        <v>501</v>
      </c>
      <c r="J326">
        <v>0</v>
      </c>
      <c r="K326">
        <v>44</v>
      </c>
      <c r="L326" s="4">
        <v>5.96917199898538E-2</v>
      </c>
      <c r="M326" s="4">
        <v>0.94030828001014599</v>
      </c>
      <c r="N326">
        <v>0</v>
      </c>
    </row>
    <row r="327" spans="1:14" x14ac:dyDescent="0.25">
      <c r="A327" s="2"/>
      <c r="C327" t="s">
        <v>28</v>
      </c>
      <c r="D327" t="s">
        <v>110</v>
      </c>
      <c r="E327" t="s">
        <v>870</v>
      </c>
      <c r="F327" t="s">
        <v>871</v>
      </c>
      <c r="G327" t="s">
        <v>872</v>
      </c>
      <c r="H327" s="3">
        <v>2040</v>
      </c>
      <c r="I327">
        <v>393</v>
      </c>
      <c r="J327">
        <v>0</v>
      </c>
      <c r="K327">
        <v>8</v>
      </c>
      <c r="L327" s="4">
        <v>0.56077717340041</v>
      </c>
      <c r="M327" s="4">
        <v>0.43922282659959</v>
      </c>
      <c r="N327">
        <v>0</v>
      </c>
    </row>
    <row r="328" spans="1:14" x14ac:dyDescent="0.25">
      <c r="A328" s="2"/>
      <c r="B328" t="s">
        <v>873</v>
      </c>
      <c r="C328" t="s">
        <v>16</v>
      </c>
      <c r="D328" t="s">
        <v>110</v>
      </c>
      <c r="E328" t="s">
        <v>870</v>
      </c>
      <c r="F328" t="s">
        <v>871</v>
      </c>
      <c r="G328" t="s">
        <v>874</v>
      </c>
      <c r="H328" s="3">
        <v>2100</v>
      </c>
      <c r="I328">
        <v>978</v>
      </c>
      <c r="J328">
        <v>1</v>
      </c>
      <c r="K328">
        <v>17</v>
      </c>
      <c r="L328" s="4">
        <v>0.77493388168456301</v>
      </c>
      <c r="M328" s="4">
        <v>0.22506611831543699</v>
      </c>
      <c r="N328">
        <v>0</v>
      </c>
    </row>
    <row r="329" spans="1:14" x14ac:dyDescent="0.25">
      <c r="A329" s="2">
        <v>23822584</v>
      </c>
      <c r="C329" t="s">
        <v>0</v>
      </c>
      <c r="D329" t="s">
        <v>86</v>
      </c>
      <c r="E329" t="s">
        <v>875</v>
      </c>
      <c r="F329" t="s">
        <v>627</v>
      </c>
      <c r="G329" t="s">
        <v>876</v>
      </c>
      <c r="H329" s="3">
        <v>2268.41</v>
      </c>
      <c r="I329">
        <v>555</v>
      </c>
      <c r="J329">
        <v>0</v>
      </c>
      <c r="K329">
        <v>34</v>
      </c>
      <c r="L329" s="4">
        <v>0.61975667621010699</v>
      </c>
      <c r="M329" s="4">
        <v>0.38024332378989301</v>
      </c>
      <c r="N329">
        <v>0</v>
      </c>
    </row>
    <row r="330" spans="1:14" x14ac:dyDescent="0.25">
      <c r="A330" s="2"/>
      <c r="C330" t="s">
        <v>28</v>
      </c>
      <c r="D330" t="s">
        <v>113</v>
      </c>
      <c r="E330" t="s">
        <v>877</v>
      </c>
      <c r="F330" t="s">
        <v>878</v>
      </c>
      <c r="G330" t="s">
        <v>879</v>
      </c>
      <c r="H330" s="3">
        <v>1695</v>
      </c>
      <c r="I330">
        <v>384</v>
      </c>
      <c r="J330">
        <v>0</v>
      </c>
      <c r="K330">
        <v>13</v>
      </c>
      <c r="L330" s="4">
        <v>0.54186582053237498</v>
      </c>
      <c r="M330" s="4">
        <v>0.45813417946762502</v>
      </c>
      <c r="N330">
        <v>0</v>
      </c>
    </row>
    <row r="331" spans="1:14" x14ac:dyDescent="0.25">
      <c r="A331" s="2"/>
      <c r="B331" t="s">
        <v>880</v>
      </c>
      <c r="C331" t="s">
        <v>16</v>
      </c>
      <c r="D331" t="s">
        <v>607</v>
      </c>
      <c r="E331" t="s">
        <v>881</v>
      </c>
      <c r="F331" t="s">
        <v>882</v>
      </c>
      <c r="G331" t="s">
        <v>883</v>
      </c>
      <c r="H331" s="3">
        <v>2040</v>
      </c>
      <c r="I331">
        <v>254</v>
      </c>
      <c r="J331">
        <v>0</v>
      </c>
      <c r="K331">
        <v>2</v>
      </c>
      <c r="L331" s="4">
        <v>0.244534991561944</v>
      </c>
      <c r="M331" s="4">
        <v>0.75546500843805597</v>
      </c>
      <c r="N331">
        <v>0</v>
      </c>
    </row>
    <row r="332" spans="1:14" x14ac:dyDescent="0.25">
      <c r="A332" s="2"/>
      <c r="B332" t="s">
        <v>884</v>
      </c>
      <c r="C332" t="s">
        <v>16</v>
      </c>
      <c r="D332" t="s">
        <v>607</v>
      </c>
      <c r="E332" t="s">
        <v>881</v>
      </c>
      <c r="F332" t="s">
        <v>882</v>
      </c>
      <c r="G332" t="s">
        <v>885</v>
      </c>
      <c r="H332" s="3">
        <v>2040</v>
      </c>
      <c r="I332">
        <v>721</v>
      </c>
      <c r="J332">
        <v>0</v>
      </c>
      <c r="K332">
        <v>50</v>
      </c>
      <c r="L332" s="4">
        <v>0.34667030419276301</v>
      </c>
      <c r="M332" s="4">
        <v>0.65332969580723699</v>
      </c>
      <c r="N332">
        <v>0</v>
      </c>
    </row>
    <row r="333" spans="1:14" x14ac:dyDescent="0.25">
      <c r="A333" s="2"/>
      <c r="B333" t="s">
        <v>886</v>
      </c>
      <c r="C333" t="s">
        <v>16</v>
      </c>
      <c r="D333" t="s">
        <v>86</v>
      </c>
      <c r="E333" t="s">
        <v>887</v>
      </c>
      <c r="F333" t="s">
        <v>888</v>
      </c>
      <c r="G333" t="s">
        <v>889</v>
      </c>
      <c r="H333" s="3">
        <v>2184.2199999999998</v>
      </c>
      <c r="I333">
        <v>660</v>
      </c>
      <c r="J333">
        <v>0</v>
      </c>
      <c r="K333">
        <v>34</v>
      </c>
      <c r="L333" s="4">
        <v>0.38744759250161298</v>
      </c>
      <c r="M333" s="4">
        <v>0.61255240749838702</v>
      </c>
      <c r="N333">
        <v>0</v>
      </c>
    </row>
    <row r="334" spans="1:14" x14ac:dyDescent="0.25">
      <c r="A334" s="2">
        <v>23701138</v>
      </c>
      <c r="C334" t="s">
        <v>0</v>
      </c>
      <c r="D334" t="s">
        <v>86</v>
      </c>
      <c r="E334" t="s">
        <v>887</v>
      </c>
      <c r="F334" t="s">
        <v>888</v>
      </c>
      <c r="G334" t="s">
        <v>890</v>
      </c>
      <c r="H334" s="3">
        <v>2307.69</v>
      </c>
      <c r="I334">
        <v>441</v>
      </c>
      <c r="J334">
        <v>1</v>
      </c>
      <c r="K334">
        <v>43</v>
      </c>
      <c r="L334" s="4">
        <v>0.91839929240844398</v>
      </c>
      <c r="M334" s="4">
        <v>8.1600707591555993E-2</v>
      </c>
      <c r="N334">
        <v>0</v>
      </c>
    </row>
    <row r="335" spans="1:14" x14ac:dyDescent="0.25">
      <c r="A335" s="2"/>
      <c r="C335" t="s">
        <v>28</v>
      </c>
      <c r="D335" t="s">
        <v>86</v>
      </c>
      <c r="E335" t="s">
        <v>891</v>
      </c>
      <c r="F335" t="s">
        <v>892</v>
      </c>
      <c r="G335" t="s">
        <v>893</v>
      </c>
      <c r="H335" s="3">
        <v>1954.74</v>
      </c>
      <c r="I335">
        <v>732</v>
      </c>
      <c r="J335">
        <v>1</v>
      </c>
      <c r="K335">
        <v>21</v>
      </c>
      <c r="L335" s="4">
        <v>1.1596282124982E-2</v>
      </c>
      <c r="M335" s="4">
        <v>0.98840371787501802</v>
      </c>
      <c r="N335">
        <v>0</v>
      </c>
    </row>
    <row r="336" spans="1:14" x14ac:dyDescent="0.25">
      <c r="A336" s="2">
        <v>23927070</v>
      </c>
      <c r="C336" t="s">
        <v>0</v>
      </c>
      <c r="D336" t="s">
        <v>86</v>
      </c>
      <c r="E336" t="s">
        <v>891</v>
      </c>
      <c r="F336" t="s">
        <v>892</v>
      </c>
      <c r="G336" t="s">
        <v>894</v>
      </c>
      <c r="H336" s="3">
        <v>1896.64</v>
      </c>
      <c r="I336">
        <v>621</v>
      </c>
      <c r="J336">
        <v>0</v>
      </c>
      <c r="L336" s="4">
        <v>0.194892749657018</v>
      </c>
      <c r="M336" s="4">
        <v>0.80510725034298203</v>
      </c>
      <c r="N336">
        <v>0</v>
      </c>
    </row>
    <row r="337" spans="1:14" x14ac:dyDescent="0.25">
      <c r="A337" s="2"/>
      <c r="B337" t="s">
        <v>895</v>
      </c>
      <c r="C337" t="s">
        <v>16</v>
      </c>
      <c r="D337" t="s">
        <v>86</v>
      </c>
      <c r="E337" t="s">
        <v>896</v>
      </c>
      <c r="F337" t="s">
        <v>897</v>
      </c>
      <c r="G337" t="s">
        <v>898</v>
      </c>
      <c r="H337" s="3">
        <v>1929.35</v>
      </c>
      <c r="J337">
        <v>1</v>
      </c>
      <c r="K337">
        <v>33</v>
      </c>
      <c r="L337" s="4">
        <v>0.80753386850644504</v>
      </c>
      <c r="M337" s="4">
        <v>0.19246613149355599</v>
      </c>
      <c r="N337">
        <v>0</v>
      </c>
    </row>
    <row r="338" spans="1:14" x14ac:dyDescent="0.25">
      <c r="A338" s="2"/>
      <c r="B338" t="s">
        <v>899</v>
      </c>
      <c r="C338" t="s">
        <v>16</v>
      </c>
      <c r="D338" t="s">
        <v>352</v>
      </c>
      <c r="E338" t="s">
        <v>622</v>
      </c>
      <c r="F338" t="s">
        <v>900</v>
      </c>
      <c r="G338" t="s">
        <v>901</v>
      </c>
      <c r="H338" s="3">
        <v>2040</v>
      </c>
      <c r="J338">
        <v>0</v>
      </c>
      <c r="K338">
        <v>34</v>
      </c>
      <c r="L338" s="4">
        <v>0.98972700797150603</v>
      </c>
      <c r="M338" s="4">
        <v>1.0272992028494399E-2</v>
      </c>
      <c r="N338">
        <v>0</v>
      </c>
    </row>
    <row r="339" spans="1:14" x14ac:dyDescent="0.25">
      <c r="A339" s="2"/>
      <c r="B339" t="s">
        <v>902</v>
      </c>
      <c r="C339" t="s">
        <v>16</v>
      </c>
      <c r="D339" t="s">
        <v>352</v>
      </c>
      <c r="E339" t="s">
        <v>622</v>
      </c>
      <c r="F339" t="s">
        <v>900</v>
      </c>
      <c r="G339" t="s">
        <v>903</v>
      </c>
      <c r="H339" s="3">
        <v>2340</v>
      </c>
      <c r="I339">
        <v>808</v>
      </c>
      <c r="J339">
        <v>0</v>
      </c>
      <c r="K339">
        <v>43</v>
      </c>
      <c r="L339" s="4">
        <v>0.51013926036941604</v>
      </c>
      <c r="M339" s="4">
        <v>0.48986073963058402</v>
      </c>
      <c r="N339">
        <v>0</v>
      </c>
    </row>
    <row r="340" spans="1:14" x14ac:dyDescent="0.25">
      <c r="A340" s="2">
        <v>23121507</v>
      </c>
      <c r="B340" t="s">
        <v>904</v>
      </c>
      <c r="C340" t="s">
        <v>31</v>
      </c>
      <c r="D340" t="s">
        <v>86</v>
      </c>
      <c r="E340" t="s">
        <v>875</v>
      </c>
      <c r="F340" t="s">
        <v>627</v>
      </c>
      <c r="G340" t="s">
        <v>905</v>
      </c>
      <c r="H340" s="3">
        <v>1868</v>
      </c>
      <c r="I340">
        <v>688</v>
      </c>
      <c r="J340">
        <v>1</v>
      </c>
      <c r="L340" s="4">
        <v>2.32086794195033E-2</v>
      </c>
      <c r="M340" s="4">
        <v>0.976791320580497</v>
      </c>
      <c r="N340">
        <v>0</v>
      </c>
    </row>
    <row r="341" spans="1:14" x14ac:dyDescent="0.25">
      <c r="A341" s="2"/>
      <c r="B341" t="s">
        <v>906</v>
      </c>
      <c r="C341" t="s">
        <v>16</v>
      </c>
      <c r="D341" t="s">
        <v>86</v>
      </c>
      <c r="E341" t="s">
        <v>875</v>
      </c>
      <c r="F341" t="s">
        <v>627</v>
      </c>
      <c r="G341" t="s">
        <v>907</v>
      </c>
      <c r="H341" s="3">
        <v>1900.9</v>
      </c>
      <c r="I341">
        <v>108</v>
      </c>
      <c r="J341">
        <v>0</v>
      </c>
      <c r="K341">
        <v>29</v>
      </c>
      <c r="L341" s="4">
        <v>0.93989625505489605</v>
      </c>
      <c r="M341" s="4">
        <v>6.0103744945104301E-2</v>
      </c>
      <c r="N341">
        <v>0</v>
      </c>
    </row>
    <row r="342" spans="1:14" x14ac:dyDescent="0.25">
      <c r="A342" s="2">
        <v>23763262</v>
      </c>
      <c r="C342" t="s">
        <v>0</v>
      </c>
      <c r="D342" t="s">
        <v>86</v>
      </c>
      <c r="E342" t="s">
        <v>875</v>
      </c>
      <c r="F342" t="s">
        <v>627</v>
      </c>
      <c r="G342" t="s">
        <v>908</v>
      </c>
      <c r="H342" s="3">
        <v>1952.24</v>
      </c>
      <c r="I342">
        <v>292</v>
      </c>
      <c r="J342">
        <v>0</v>
      </c>
      <c r="K342">
        <v>33</v>
      </c>
      <c r="L342" s="4">
        <v>0.73063815376293595</v>
      </c>
      <c r="M342" s="4">
        <v>0.269361846237064</v>
      </c>
      <c r="N342">
        <v>0</v>
      </c>
    </row>
    <row r="343" spans="1:14" x14ac:dyDescent="0.25">
      <c r="A343" s="2">
        <v>23489111</v>
      </c>
      <c r="B343" t="s">
        <v>909</v>
      </c>
      <c r="C343" t="s">
        <v>31</v>
      </c>
      <c r="D343" t="s">
        <v>86</v>
      </c>
      <c r="E343" t="s">
        <v>875</v>
      </c>
      <c r="F343" t="s">
        <v>627</v>
      </c>
      <c r="G343" t="s">
        <v>910</v>
      </c>
      <c r="H343" s="3">
        <v>2345.58</v>
      </c>
      <c r="I343">
        <v>18</v>
      </c>
      <c r="J343">
        <v>0</v>
      </c>
      <c r="K343">
        <v>38</v>
      </c>
      <c r="L343" s="4">
        <v>0.75045423087303897</v>
      </c>
      <c r="M343" s="4">
        <v>0.249545769126961</v>
      </c>
      <c r="N343">
        <v>0</v>
      </c>
    </row>
    <row r="344" spans="1:14" x14ac:dyDescent="0.25">
      <c r="A344" s="2">
        <v>23638853</v>
      </c>
      <c r="B344" t="s">
        <v>911</v>
      </c>
      <c r="C344" t="s">
        <v>31</v>
      </c>
      <c r="D344" t="s">
        <v>86</v>
      </c>
      <c r="E344" t="s">
        <v>875</v>
      </c>
      <c r="F344" t="s">
        <v>627</v>
      </c>
      <c r="G344" t="s">
        <v>912</v>
      </c>
      <c r="H344" s="3">
        <v>2373.5700000000002</v>
      </c>
      <c r="I344">
        <v>534</v>
      </c>
      <c r="J344">
        <v>0</v>
      </c>
      <c r="K344">
        <v>2</v>
      </c>
      <c r="L344" s="4">
        <v>0.109979811176005</v>
      </c>
      <c r="M344" s="4">
        <v>0.89002018882399503</v>
      </c>
      <c r="N344">
        <v>0</v>
      </c>
    </row>
    <row r="345" spans="1:14" x14ac:dyDescent="0.25">
      <c r="A345" s="2">
        <v>23703318</v>
      </c>
      <c r="B345" t="s">
        <v>913</v>
      </c>
      <c r="C345" t="s">
        <v>31</v>
      </c>
      <c r="D345" t="s">
        <v>626</v>
      </c>
      <c r="E345" t="s">
        <v>914</v>
      </c>
      <c r="F345" t="s">
        <v>627</v>
      </c>
      <c r="G345" t="s">
        <v>915</v>
      </c>
      <c r="H345" s="3">
        <v>3000</v>
      </c>
      <c r="I345">
        <v>830</v>
      </c>
      <c r="J345">
        <v>1</v>
      </c>
      <c r="L345" s="4">
        <v>0.68972803486997802</v>
      </c>
      <c r="M345" s="4">
        <v>0.31027196513002198</v>
      </c>
      <c r="N345">
        <v>0</v>
      </c>
    </row>
    <row r="346" spans="1:14" x14ac:dyDescent="0.25">
      <c r="A346" s="2"/>
      <c r="B346" t="s">
        <v>916</v>
      </c>
      <c r="C346" t="s">
        <v>16</v>
      </c>
      <c r="D346" t="s">
        <v>626</v>
      </c>
      <c r="E346" t="s">
        <v>914</v>
      </c>
      <c r="F346" t="s">
        <v>627</v>
      </c>
      <c r="G346" t="s">
        <v>917</v>
      </c>
      <c r="H346" s="3">
        <v>3000</v>
      </c>
      <c r="I346">
        <v>756</v>
      </c>
      <c r="J346">
        <v>0</v>
      </c>
      <c r="K346">
        <v>26</v>
      </c>
      <c r="L346" s="4">
        <v>0.75650552742441202</v>
      </c>
      <c r="M346" s="4">
        <v>0.24349447257558901</v>
      </c>
      <c r="N346">
        <v>0</v>
      </c>
    </row>
    <row r="347" spans="1:14" x14ac:dyDescent="0.25">
      <c r="A347" s="2"/>
      <c r="B347" t="s">
        <v>918</v>
      </c>
      <c r="C347" t="s">
        <v>16</v>
      </c>
      <c r="D347" t="s">
        <v>113</v>
      </c>
      <c r="E347" t="s">
        <v>877</v>
      </c>
      <c r="F347" t="s">
        <v>878</v>
      </c>
      <c r="G347" t="s">
        <v>919</v>
      </c>
      <c r="H347" s="3">
        <v>850</v>
      </c>
      <c r="I347">
        <v>142</v>
      </c>
      <c r="K347">
        <v>35</v>
      </c>
      <c r="L347" s="4">
        <v>0.29606532336576502</v>
      </c>
      <c r="M347" s="4">
        <v>0.70393467663423503</v>
      </c>
      <c r="N347">
        <v>0</v>
      </c>
    </row>
    <row r="348" spans="1:14" x14ac:dyDescent="0.25">
      <c r="A348" s="2"/>
      <c r="B348" t="s">
        <v>920</v>
      </c>
      <c r="C348" t="s">
        <v>16</v>
      </c>
      <c r="D348" t="s">
        <v>110</v>
      </c>
      <c r="E348" t="s">
        <v>921</v>
      </c>
      <c r="F348" t="s">
        <v>868</v>
      </c>
      <c r="G348" t="s">
        <v>922</v>
      </c>
      <c r="H348" s="3">
        <v>2100</v>
      </c>
      <c r="I348">
        <v>627</v>
      </c>
      <c r="J348">
        <v>0</v>
      </c>
      <c r="K348">
        <v>17</v>
      </c>
      <c r="L348" s="4">
        <v>0.46061190792242301</v>
      </c>
      <c r="M348" s="4">
        <v>0.53938809207757699</v>
      </c>
      <c r="N348">
        <v>0</v>
      </c>
    </row>
    <row r="349" spans="1:14" x14ac:dyDescent="0.25">
      <c r="A349" s="2"/>
      <c r="B349" t="s">
        <v>923</v>
      </c>
      <c r="C349" t="s">
        <v>16</v>
      </c>
      <c r="D349" t="s">
        <v>352</v>
      </c>
      <c r="E349" t="s">
        <v>758</v>
      </c>
      <c r="F349" t="s">
        <v>924</v>
      </c>
      <c r="G349" t="s">
        <v>925</v>
      </c>
      <c r="H349" s="3">
        <v>3000</v>
      </c>
      <c r="I349">
        <v>734</v>
      </c>
      <c r="J349">
        <v>0</v>
      </c>
      <c r="L349" s="4">
        <v>0.27903977882668501</v>
      </c>
      <c r="M349" s="4">
        <v>0.72096022117331504</v>
      </c>
      <c r="N349">
        <v>0</v>
      </c>
    </row>
    <row r="350" spans="1:14" x14ac:dyDescent="0.25">
      <c r="A350" s="2">
        <v>23137768</v>
      </c>
      <c r="C350" t="s">
        <v>0</v>
      </c>
      <c r="D350" t="s">
        <v>110</v>
      </c>
      <c r="E350" t="s">
        <v>758</v>
      </c>
      <c r="F350" t="s">
        <v>924</v>
      </c>
      <c r="G350" t="s">
        <v>926</v>
      </c>
      <c r="H350" s="3">
        <v>2040</v>
      </c>
      <c r="I350">
        <v>785</v>
      </c>
      <c r="J350">
        <v>1</v>
      </c>
      <c r="K350">
        <v>8</v>
      </c>
      <c r="L350" s="4">
        <v>0.71102599814596701</v>
      </c>
      <c r="M350" s="4">
        <v>0.28897400185403299</v>
      </c>
      <c r="N350">
        <v>0</v>
      </c>
    </row>
    <row r="351" spans="1:14" x14ac:dyDescent="0.25">
      <c r="A351" s="2">
        <v>23137731</v>
      </c>
      <c r="C351" t="s">
        <v>0</v>
      </c>
      <c r="D351" t="s">
        <v>626</v>
      </c>
      <c r="E351" t="s">
        <v>914</v>
      </c>
      <c r="F351" t="s">
        <v>627</v>
      </c>
      <c r="G351" t="s">
        <v>927</v>
      </c>
      <c r="H351" s="3">
        <v>3000</v>
      </c>
      <c r="I351">
        <v>143</v>
      </c>
      <c r="J351">
        <v>1</v>
      </c>
      <c r="K351">
        <v>18</v>
      </c>
      <c r="L351" s="4">
        <v>8.6545416627060404E-2</v>
      </c>
      <c r="M351" s="4">
        <v>0.91345458337294005</v>
      </c>
      <c r="N351">
        <v>0</v>
      </c>
    </row>
    <row r="352" spans="1:14" x14ac:dyDescent="0.25">
      <c r="A352" s="2"/>
      <c r="B352" t="s">
        <v>928</v>
      </c>
      <c r="C352" t="s">
        <v>16</v>
      </c>
      <c r="D352" t="s">
        <v>86</v>
      </c>
      <c r="E352" t="s">
        <v>887</v>
      </c>
      <c r="F352" t="s">
        <v>888</v>
      </c>
      <c r="G352" t="s">
        <v>929</v>
      </c>
      <c r="H352" s="3">
        <v>2009.65</v>
      </c>
      <c r="I352">
        <v>721</v>
      </c>
      <c r="J352">
        <v>0</v>
      </c>
      <c r="K352">
        <v>10</v>
      </c>
      <c r="L352" s="4">
        <v>4.5875180444229197E-2</v>
      </c>
      <c r="M352" s="4">
        <v>0.954124819555771</v>
      </c>
      <c r="N352">
        <v>0</v>
      </c>
    </row>
    <row r="353" spans="1:14" x14ac:dyDescent="0.25">
      <c r="A353" s="2"/>
      <c r="B353" t="s">
        <v>930</v>
      </c>
      <c r="C353" t="s">
        <v>16</v>
      </c>
      <c r="D353" t="s">
        <v>931</v>
      </c>
      <c r="E353" t="s">
        <v>932</v>
      </c>
      <c r="F353" t="s">
        <v>933</v>
      </c>
      <c r="G353" t="s">
        <v>934</v>
      </c>
      <c r="H353" s="3">
        <v>1880.66</v>
      </c>
      <c r="I353">
        <v>940</v>
      </c>
      <c r="J353">
        <v>0</v>
      </c>
      <c r="K353">
        <v>40</v>
      </c>
      <c r="L353" s="4">
        <v>0.227845681966304</v>
      </c>
      <c r="M353" s="4">
        <v>0.77215431803369605</v>
      </c>
      <c r="N353">
        <v>0</v>
      </c>
    </row>
    <row r="354" spans="1:14" x14ac:dyDescent="0.25">
      <c r="A354" s="2"/>
      <c r="B354" t="s">
        <v>935</v>
      </c>
      <c r="C354" t="s">
        <v>16</v>
      </c>
      <c r="D354" t="s">
        <v>69</v>
      </c>
      <c r="E354" t="s">
        <v>936</v>
      </c>
      <c r="F354" t="s">
        <v>937</v>
      </c>
      <c r="G354" t="s">
        <v>938</v>
      </c>
      <c r="H354" s="3">
        <v>2002.76</v>
      </c>
      <c r="I354">
        <v>366</v>
      </c>
      <c r="J354">
        <v>0</v>
      </c>
      <c r="L354" s="4">
        <v>0.81748919514889395</v>
      </c>
      <c r="M354" s="4">
        <v>0.18251080485110599</v>
      </c>
      <c r="N354">
        <v>0</v>
      </c>
    </row>
    <row r="355" spans="1:14" x14ac:dyDescent="0.25">
      <c r="A355" s="2"/>
      <c r="C355" t="s">
        <v>28</v>
      </c>
      <c r="D355" t="s">
        <v>133</v>
      </c>
      <c r="E355" t="s">
        <v>939</v>
      </c>
      <c r="F355" t="s">
        <v>940</v>
      </c>
      <c r="G355" t="s">
        <v>941</v>
      </c>
      <c r="H355" s="3">
        <v>2145.6</v>
      </c>
      <c r="I355">
        <v>784</v>
      </c>
      <c r="J355">
        <v>1</v>
      </c>
      <c r="K355">
        <v>36</v>
      </c>
      <c r="L355" s="4">
        <v>0.209468980681419</v>
      </c>
      <c r="M355" s="4">
        <v>0.79053101931858105</v>
      </c>
      <c r="N355">
        <v>0</v>
      </c>
    </row>
    <row r="356" spans="1:14" x14ac:dyDescent="0.25">
      <c r="A356" s="2"/>
      <c r="B356" t="s">
        <v>942</v>
      </c>
      <c r="C356" t="s">
        <v>16</v>
      </c>
      <c r="D356" t="s">
        <v>17</v>
      </c>
      <c r="E356" t="s">
        <v>943</v>
      </c>
      <c r="F356" t="s">
        <v>944</v>
      </c>
      <c r="G356" t="s">
        <v>945</v>
      </c>
      <c r="H356" s="3">
        <v>2515.5700000000002</v>
      </c>
      <c r="I356">
        <v>786</v>
      </c>
      <c r="J356">
        <v>0</v>
      </c>
      <c r="K356">
        <v>45</v>
      </c>
      <c r="L356" s="4">
        <v>0.68856918252618105</v>
      </c>
      <c r="M356" s="4">
        <v>0.31143081747381901</v>
      </c>
      <c r="N356">
        <v>0</v>
      </c>
    </row>
    <row r="357" spans="1:14" x14ac:dyDescent="0.25">
      <c r="A357" s="2">
        <v>22962270</v>
      </c>
      <c r="B357" t="s">
        <v>946</v>
      </c>
      <c r="C357" t="s">
        <v>31</v>
      </c>
      <c r="D357" t="s">
        <v>172</v>
      </c>
      <c r="E357" t="s">
        <v>947</v>
      </c>
      <c r="F357" t="s">
        <v>948</v>
      </c>
      <c r="G357" t="s">
        <v>949</v>
      </c>
      <c r="H357" s="3">
        <v>799.44</v>
      </c>
      <c r="I357">
        <v>569</v>
      </c>
      <c r="J357">
        <v>0</v>
      </c>
      <c r="K357">
        <v>3</v>
      </c>
      <c r="L357" s="4">
        <v>0.32906449762016099</v>
      </c>
      <c r="M357" s="4">
        <v>0.67093550237983901</v>
      </c>
      <c r="N357">
        <v>0</v>
      </c>
    </row>
    <row r="358" spans="1:14" x14ac:dyDescent="0.25">
      <c r="A358" s="2">
        <v>23892734</v>
      </c>
      <c r="C358" t="s">
        <v>0</v>
      </c>
      <c r="D358" t="s">
        <v>110</v>
      </c>
      <c r="E358" t="s">
        <v>950</v>
      </c>
      <c r="F358" t="s">
        <v>951</v>
      </c>
      <c r="G358" t="s">
        <v>952</v>
      </c>
      <c r="H358" s="3">
        <v>2040</v>
      </c>
      <c r="I358">
        <v>475</v>
      </c>
      <c r="J358">
        <v>0</v>
      </c>
      <c r="K358">
        <v>16</v>
      </c>
      <c r="L358" s="4">
        <v>5.1236932055532598E-2</v>
      </c>
      <c r="M358" s="4">
        <v>0.94876306794446696</v>
      </c>
      <c r="N358">
        <v>0</v>
      </c>
    </row>
    <row r="359" spans="1:14" x14ac:dyDescent="0.25">
      <c r="A359" s="2"/>
      <c r="B359" t="s">
        <v>953</v>
      </c>
      <c r="C359" t="s">
        <v>16</v>
      </c>
      <c r="D359" t="s">
        <v>110</v>
      </c>
      <c r="E359" t="s">
        <v>950</v>
      </c>
      <c r="F359" t="s">
        <v>951</v>
      </c>
      <c r="G359" t="s">
        <v>954</v>
      </c>
      <c r="H359" s="3">
        <v>2040</v>
      </c>
      <c r="I359">
        <v>334</v>
      </c>
      <c r="J359">
        <v>0</v>
      </c>
      <c r="K359">
        <v>25</v>
      </c>
      <c r="L359" s="4">
        <v>0.99672676771836799</v>
      </c>
      <c r="M359" s="4">
        <v>3.2732322816319001E-3</v>
      </c>
      <c r="N359">
        <v>0</v>
      </c>
    </row>
    <row r="360" spans="1:14" x14ac:dyDescent="0.25">
      <c r="A360" s="2"/>
      <c r="B360" t="s">
        <v>955</v>
      </c>
      <c r="C360" t="s">
        <v>16</v>
      </c>
      <c r="D360" t="s">
        <v>110</v>
      </c>
      <c r="E360" t="s">
        <v>950</v>
      </c>
      <c r="F360" t="s">
        <v>951</v>
      </c>
      <c r="G360" t="s">
        <v>956</v>
      </c>
      <c r="H360" s="3">
        <v>1020</v>
      </c>
      <c r="I360">
        <v>761</v>
      </c>
      <c r="J360">
        <v>0</v>
      </c>
      <c r="K360">
        <v>35</v>
      </c>
      <c r="L360" s="4">
        <v>0.41779187746162699</v>
      </c>
      <c r="M360" s="4">
        <v>0.58220812253837295</v>
      </c>
      <c r="N360">
        <v>0</v>
      </c>
    </row>
    <row r="361" spans="1:14" x14ac:dyDescent="0.25">
      <c r="A361" s="2"/>
      <c r="B361" t="s">
        <v>957</v>
      </c>
      <c r="C361" t="s">
        <v>16</v>
      </c>
      <c r="D361" t="s">
        <v>17</v>
      </c>
      <c r="E361" t="s">
        <v>958</v>
      </c>
      <c r="F361" t="s">
        <v>959</v>
      </c>
      <c r="G361" t="s">
        <v>960</v>
      </c>
      <c r="H361" s="3">
        <v>533.58000000000004</v>
      </c>
      <c r="I361">
        <v>982</v>
      </c>
      <c r="J361">
        <v>1</v>
      </c>
      <c r="K361">
        <v>37</v>
      </c>
      <c r="L361" s="4">
        <v>6.6244183710085905E-2</v>
      </c>
      <c r="M361" s="4">
        <v>0.933755816289914</v>
      </c>
      <c r="N361">
        <v>0</v>
      </c>
    </row>
    <row r="362" spans="1:14" x14ac:dyDescent="0.25">
      <c r="A362" s="2"/>
      <c r="B362" t="s">
        <v>961</v>
      </c>
      <c r="C362" t="s">
        <v>16</v>
      </c>
      <c r="D362" t="s">
        <v>17</v>
      </c>
      <c r="E362" t="s">
        <v>958</v>
      </c>
      <c r="F362" t="s">
        <v>959</v>
      </c>
      <c r="G362" t="s">
        <v>962</v>
      </c>
      <c r="H362" s="3">
        <v>1366.08</v>
      </c>
      <c r="I362">
        <v>67</v>
      </c>
      <c r="J362">
        <v>0</v>
      </c>
      <c r="L362" s="4">
        <v>0.32685414400327101</v>
      </c>
      <c r="M362" s="4">
        <v>0.67314585599672905</v>
      </c>
      <c r="N362">
        <v>0</v>
      </c>
    </row>
    <row r="363" spans="1:14" x14ac:dyDescent="0.25">
      <c r="A363" s="2"/>
      <c r="B363" t="s">
        <v>963</v>
      </c>
      <c r="C363" t="s">
        <v>16</v>
      </c>
      <c r="D363" t="s">
        <v>17</v>
      </c>
      <c r="E363" t="s">
        <v>958</v>
      </c>
      <c r="F363" t="s">
        <v>959</v>
      </c>
      <c r="G363" t="s">
        <v>964</v>
      </c>
      <c r="H363" s="3">
        <v>3208.69</v>
      </c>
      <c r="I363">
        <v>493</v>
      </c>
      <c r="J363">
        <v>1</v>
      </c>
      <c r="K363">
        <v>36</v>
      </c>
      <c r="L363" s="4">
        <v>0.42114648619510398</v>
      </c>
      <c r="M363" s="4">
        <v>0.57885351380489602</v>
      </c>
      <c r="N363">
        <v>0</v>
      </c>
    </row>
    <row r="364" spans="1:14" x14ac:dyDescent="0.25">
      <c r="A364" s="2"/>
      <c r="B364" t="s">
        <v>965</v>
      </c>
      <c r="C364" t="s">
        <v>16</v>
      </c>
      <c r="D364" t="s">
        <v>17</v>
      </c>
      <c r="E364" t="s">
        <v>958</v>
      </c>
      <c r="F364" t="s">
        <v>959</v>
      </c>
      <c r="G364" t="s">
        <v>966</v>
      </c>
      <c r="H364" s="3">
        <v>3948.42</v>
      </c>
      <c r="I364">
        <v>427</v>
      </c>
      <c r="J364">
        <v>1</v>
      </c>
      <c r="K364">
        <v>22</v>
      </c>
      <c r="L364" s="4">
        <v>0.31559170915918899</v>
      </c>
      <c r="M364" s="4">
        <v>0.68440829084081101</v>
      </c>
      <c r="N364">
        <v>0</v>
      </c>
    </row>
    <row r="365" spans="1:14" x14ac:dyDescent="0.25">
      <c r="A365" s="2"/>
      <c r="B365" t="s">
        <v>967</v>
      </c>
      <c r="C365" t="s">
        <v>16</v>
      </c>
      <c r="D365" t="s">
        <v>17</v>
      </c>
      <c r="E365" t="s">
        <v>958</v>
      </c>
      <c r="F365" t="s">
        <v>959</v>
      </c>
      <c r="G365" t="s">
        <v>968</v>
      </c>
      <c r="H365" s="3">
        <v>4163.88</v>
      </c>
      <c r="I365">
        <v>539</v>
      </c>
      <c r="J365">
        <v>1</v>
      </c>
      <c r="K365">
        <v>16</v>
      </c>
      <c r="L365" s="4">
        <v>0.71067859606684403</v>
      </c>
      <c r="M365" s="4">
        <v>0.28932140393315597</v>
      </c>
      <c r="N365">
        <v>0</v>
      </c>
    </row>
    <row r="366" spans="1:14" x14ac:dyDescent="0.25">
      <c r="A366" s="2"/>
      <c r="B366" t="s">
        <v>969</v>
      </c>
      <c r="C366" t="s">
        <v>16</v>
      </c>
      <c r="D366" t="s">
        <v>388</v>
      </c>
      <c r="E366" t="s">
        <v>970</v>
      </c>
      <c r="F366" t="s">
        <v>971</v>
      </c>
      <c r="G366" t="s">
        <v>972</v>
      </c>
      <c r="H366" s="3">
        <v>321.45999999999998</v>
      </c>
      <c r="I366">
        <v>933</v>
      </c>
      <c r="J366">
        <v>0</v>
      </c>
      <c r="K366">
        <v>20</v>
      </c>
      <c r="L366" s="4">
        <v>0.85497297109229997</v>
      </c>
      <c r="M366" s="4">
        <v>0.1450270289077</v>
      </c>
      <c r="N366">
        <v>0</v>
      </c>
    </row>
    <row r="367" spans="1:14" x14ac:dyDescent="0.25">
      <c r="A367" s="2"/>
      <c r="B367" t="s">
        <v>973</v>
      </c>
      <c r="C367" t="s">
        <v>16</v>
      </c>
      <c r="D367" t="s">
        <v>69</v>
      </c>
      <c r="E367" t="s">
        <v>974</v>
      </c>
      <c r="F367" t="s">
        <v>975</v>
      </c>
      <c r="G367" t="s">
        <v>976</v>
      </c>
      <c r="H367" s="3">
        <v>1908.38</v>
      </c>
      <c r="I367">
        <v>892</v>
      </c>
      <c r="J367">
        <v>0</v>
      </c>
      <c r="K367">
        <v>31</v>
      </c>
      <c r="L367" s="4">
        <v>0.19982024061201301</v>
      </c>
      <c r="M367" s="4">
        <v>0.80017975938798702</v>
      </c>
      <c r="N367">
        <v>0</v>
      </c>
    </row>
    <row r="368" spans="1:14" x14ac:dyDescent="0.25">
      <c r="A368" s="2">
        <v>19324410</v>
      </c>
      <c r="C368" t="s">
        <v>0</v>
      </c>
      <c r="D368" t="s">
        <v>17</v>
      </c>
      <c r="E368" t="s">
        <v>977</v>
      </c>
      <c r="F368" t="s">
        <v>959</v>
      </c>
      <c r="G368" t="s">
        <v>978</v>
      </c>
      <c r="H368" s="3">
        <v>2363.14</v>
      </c>
      <c r="I368">
        <v>329</v>
      </c>
      <c r="J368">
        <v>1</v>
      </c>
      <c r="K368">
        <v>50</v>
      </c>
      <c r="L368" s="4">
        <v>0.20502528698092101</v>
      </c>
      <c r="M368" s="4">
        <v>0.79497471301907896</v>
      </c>
      <c r="N368">
        <v>0</v>
      </c>
    </row>
    <row r="369" spans="1:14" x14ac:dyDescent="0.25">
      <c r="A369" s="2">
        <v>23966160</v>
      </c>
      <c r="C369" t="s">
        <v>0</v>
      </c>
      <c r="D369" t="s">
        <v>388</v>
      </c>
      <c r="E369" t="s">
        <v>979</v>
      </c>
      <c r="G369" t="s">
        <v>980</v>
      </c>
      <c r="H369" s="3">
        <v>644.28</v>
      </c>
      <c r="I369">
        <v>165</v>
      </c>
      <c r="J369">
        <v>1</v>
      </c>
      <c r="L369" s="4">
        <v>0.118372798326872</v>
      </c>
      <c r="M369" s="4">
        <v>0.88162720167312802</v>
      </c>
      <c r="N369">
        <v>0</v>
      </c>
    </row>
    <row r="370" spans="1:14" x14ac:dyDescent="0.25">
      <c r="A370" s="2"/>
      <c r="B370" t="s">
        <v>981</v>
      </c>
      <c r="C370" t="s">
        <v>16</v>
      </c>
      <c r="D370" t="s">
        <v>388</v>
      </c>
      <c r="E370" t="s">
        <v>979</v>
      </c>
      <c r="G370" t="s">
        <v>982</v>
      </c>
      <c r="H370" s="3">
        <v>666</v>
      </c>
      <c r="I370">
        <v>777</v>
      </c>
      <c r="J370">
        <v>0</v>
      </c>
      <c r="K370">
        <v>48</v>
      </c>
      <c r="L370" s="4">
        <v>0.52247571900713197</v>
      </c>
      <c r="M370" s="4">
        <v>0.47752428099286798</v>
      </c>
      <c r="N370">
        <v>0</v>
      </c>
    </row>
    <row r="371" spans="1:14" x14ac:dyDescent="0.25">
      <c r="A371" s="2">
        <v>23974100</v>
      </c>
      <c r="C371" t="s">
        <v>0</v>
      </c>
      <c r="D371" t="s">
        <v>388</v>
      </c>
      <c r="E371" t="s">
        <v>979</v>
      </c>
      <c r="G371" t="s">
        <v>983</v>
      </c>
      <c r="H371" s="3">
        <v>783.73</v>
      </c>
      <c r="I371">
        <v>697</v>
      </c>
      <c r="J371">
        <v>1</v>
      </c>
      <c r="K371">
        <v>4</v>
      </c>
      <c r="L371" s="4">
        <v>0.75976624143232496</v>
      </c>
      <c r="M371" s="4">
        <v>0.24023375856767501</v>
      </c>
      <c r="N371">
        <v>0</v>
      </c>
    </row>
    <row r="372" spans="1:14" x14ac:dyDescent="0.25">
      <c r="A372" s="2">
        <v>23518502</v>
      </c>
      <c r="B372" t="s">
        <v>984</v>
      </c>
      <c r="C372" t="s">
        <v>31</v>
      </c>
      <c r="D372" t="s">
        <v>388</v>
      </c>
      <c r="E372" t="s">
        <v>979</v>
      </c>
      <c r="G372" t="s">
        <v>985</v>
      </c>
      <c r="H372" s="3">
        <v>812.96</v>
      </c>
      <c r="I372">
        <v>721</v>
      </c>
      <c r="J372">
        <v>0</v>
      </c>
      <c r="K372">
        <v>13</v>
      </c>
      <c r="L372" s="4">
        <v>0.44393154928498202</v>
      </c>
      <c r="M372" s="4">
        <v>0.55606845071501798</v>
      </c>
      <c r="N372">
        <v>0</v>
      </c>
    </row>
    <row r="373" spans="1:14" x14ac:dyDescent="0.25">
      <c r="A373" s="2"/>
      <c r="B373" t="s">
        <v>986</v>
      </c>
      <c r="C373" t="s">
        <v>16</v>
      </c>
      <c r="D373" t="s">
        <v>388</v>
      </c>
      <c r="E373" t="s">
        <v>979</v>
      </c>
      <c r="G373" t="s">
        <v>987</v>
      </c>
      <c r="H373" s="3">
        <v>762.88</v>
      </c>
      <c r="I373">
        <v>688</v>
      </c>
      <c r="J373">
        <v>1</v>
      </c>
      <c r="K373">
        <v>17</v>
      </c>
      <c r="L373" s="4">
        <v>2.6839731887341799E-2</v>
      </c>
      <c r="M373" s="4">
        <v>0.97316026811265799</v>
      </c>
      <c r="N373">
        <v>0</v>
      </c>
    </row>
    <row r="374" spans="1:14" x14ac:dyDescent="0.25">
      <c r="A374" s="2"/>
      <c r="B374" t="s">
        <v>988</v>
      </c>
      <c r="C374" t="s">
        <v>16</v>
      </c>
      <c r="D374" t="s">
        <v>388</v>
      </c>
      <c r="E374" t="s">
        <v>979</v>
      </c>
      <c r="G374" t="s">
        <v>989</v>
      </c>
      <c r="H374" s="3">
        <v>804.61</v>
      </c>
      <c r="I374">
        <v>636</v>
      </c>
      <c r="J374">
        <v>1</v>
      </c>
      <c r="K374">
        <v>34</v>
      </c>
      <c r="L374" s="4">
        <v>2.06354417472666E-2</v>
      </c>
      <c r="M374" s="4">
        <v>0.97936455825273305</v>
      </c>
      <c r="N374">
        <v>0</v>
      </c>
    </row>
    <row r="375" spans="1:14" x14ac:dyDescent="0.25">
      <c r="A375" s="2"/>
      <c r="B375" t="s">
        <v>990</v>
      </c>
      <c r="C375" t="s">
        <v>16</v>
      </c>
      <c r="D375" t="s">
        <v>607</v>
      </c>
      <c r="E375" t="s">
        <v>991</v>
      </c>
      <c r="F375" t="s">
        <v>992</v>
      </c>
      <c r="G375" t="s">
        <v>993</v>
      </c>
      <c r="H375" s="3">
        <v>2040</v>
      </c>
      <c r="J375">
        <v>1</v>
      </c>
      <c r="K375">
        <v>9</v>
      </c>
      <c r="L375" s="4">
        <v>0.326388563321789</v>
      </c>
      <c r="M375" s="4">
        <v>0.673611436678211</v>
      </c>
      <c r="N375">
        <v>0</v>
      </c>
    </row>
    <row r="376" spans="1:14" x14ac:dyDescent="0.25">
      <c r="A376" s="2"/>
      <c r="B376" t="s">
        <v>994</v>
      </c>
      <c r="C376" t="s">
        <v>16</v>
      </c>
      <c r="D376" t="s">
        <v>607</v>
      </c>
      <c r="E376" t="s">
        <v>991</v>
      </c>
      <c r="F376" t="s">
        <v>992</v>
      </c>
      <c r="G376" t="s">
        <v>995</v>
      </c>
      <c r="H376" s="3">
        <v>2040</v>
      </c>
      <c r="I376">
        <v>263</v>
      </c>
      <c r="J376">
        <v>0</v>
      </c>
      <c r="K376">
        <v>14</v>
      </c>
      <c r="L376" s="4">
        <v>0.13664934204142301</v>
      </c>
      <c r="M376" s="4">
        <v>0.86335065795857702</v>
      </c>
      <c r="N376">
        <v>0</v>
      </c>
    </row>
    <row r="377" spans="1:14" x14ac:dyDescent="0.25">
      <c r="A377" s="2"/>
      <c r="B377" t="s">
        <v>996</v>
      </c>
      <c r="C377" t="s">
        <v>16</v>
      </c>
      <c r="D377" t="s">
        <v>607</v>
      </c>
      <c r="E377" t="s">
        <v>991</v>
      </c>
      <c r="F377" t="s">
        <v>992</v>
      </c>
      <c r="G377" t="s">
        <v>997</v>
      </c>
      <c r="H377" s="3">
        <v>2520</v>
      </c>
      <c r="I377">
        <v>862</v>
      </c>
      <c r="J377">
        <v>1</v>
      </c>
      <c r="L377" s="4">
        <v>0.60267790563260204</v>
      </c>
      <c r="M377" s="4">
        <v>0.39732209436739802</v>
      </c>
      <c r="N377">
        <v>0</v>
      </c>
    </row>
    <row r="378" spans="1:14" x14ac:dyDescent="0.25">
      <c r="A378" s="2"/>
      <c r="B378" t="s">
        <v>998</v>
      </c>
      <c r="C378" t="s">
        <v>16</v>
      </c>
      <c r="D378" t="s">
        <v>607</v>
      </c>
      <c r="E378" t="s">
        <v>999</v>
      </c>
      <c r="F378" t="s">
        <v>992</v>
      </c>
      <c r="G378" t="s">
        <v>1000</v>
      </c>
      <c r="H378" s="3">
        <v>3000</v>
      </c>
      <c r="I378">
        <v>462</v>
      </c>
      <c r="J378">
        <v>1</v>
      </c>
      <c r="K378">
        <v>40</v>
      </c>
      <c r="L378" s="4">
        <v>0.72146482594485495</v>
      </c>
      <c r="M378" s="4">
        <v>0.278535174055146</v>
      </c>
      <c r="N378">
        <v>0</v>
      </c>
    </row>
    <row r="379" spans="1:14" x14ac:dyDescent="0.25">
      <c r="A379" s="2"/>
      <c r="B379" t="s">
        <v>1001</v>
      </c>
      <c r="C379" t="s">
        <v>16</v>
      </c>
      <c r="D379" t="s">
        <v>607</v>
      </c>
      <c r="E379" t="s">
        <v>991</v>
      </c>
      <c r="F379" t="s">
        <v>992</v>
      </c>
      <c r="G379" t="s">
        <v>1002</v>
      </c>
      <c r="H379" s="3">
        <v>2400</v>
      </c>
      <c r="J379">
        <v>0</v>
      </c>
      <c r="K379">
        <v>25</v>
      </c>
      <c r="L379" s="4">
        <v>0.21291315230713601</v>
      </c>
      <c r="M379" s="4">
        <v>0.78708684769286397</v>
      </c>
      <c r="N379">
        <v>0</v>
      </c>
    </row>
    <row r="380" spans="1:14" x14ac:dyDescent="0.25">
      <c r="A380" s="2"/>
      <c r="B380" t="s">
        <v>1003</v>
      </c>
      <c r="C380" t="s">
        <v>16</v>
      </c>
      <c r="D380" t="s">
        <v>607</v>
      </c>
      <c r="E380" t="s">
        <v>991</v>
      </c>
      <c r="F380" t="s">
        <v>992</v>
      </c>
      <c r="G380" t="s">
        <v>1004</v>
      </c>
      <c r="H380" s="3">
        <v>2400</v>
      </c>
      <c r="I380">
        <v>924</v>
      </c>
      <c r="J380">
        <v>1</v>
      </c>
      <c r="L380" s="4">
        <v>0.48582210453712299</v>
      </c>
      <c r="M380" s="4">
        <v>0.51417789546287695</v>
      </c>
      <c r="N380">
        <v>0</v>
      </c>
    </row>
    <row r="381" spans="1:14" x14ac:dyDescent="0.25">
      <c r="A381" s="2">
        <v>23328632</v>
      </c>
      <c r="B381" t="s">
        <v>1005</v>
      </c>
      <c r="C381" t="s">
        <v>31</v>
      </c>
      <c r="D381" t="s">
        <v>607</v>
      </c>
      <c r="E381" t="s">
        <v>999</v>
      </c>
      <c r="F381" t="s">
        <v>1006</v>
      </c>
      <c r="G381" t="s">
        <v>1007</v>
      </c>
      <c r="H381" s="3">
        <v>3000</v>
      </c>
      <c r="I381">
        <v>711</v>
      </c>
      <c r="J381">
        <v>1</v>
      </c>
      <c r="K381">
        <v>44</v>
      </c>
      <c r="L381" s="4">
        <v>0.10257885478621299</v>
      </c>
      <c r="M381" s="4">
        <v>0.89742114521378702</v>
      </c>
      <c r="N381">
        <v>0</v>
      </c>
    </row>
    <row r="382" spans="1:14" x14ac:dyDescent="0.25">
      <c r="A382" s="2">
        <v>23498957</v>
      </c>
      <c r="B382" t="s">
        <v>1008</v>
      </c>
      <c r="C382" t="s">
        <v>31</v>
      </c>
      <c r="D382" t="s">
        <v>17</v>
      </c>
      <c r="E382" t="s">
        <v>1009</v>
      </c>
      <c r="F382" t="s">
        <v>1010</v>
      </c>
      <c r="G382" t="s">
        <v>1011</v>
      </c>
      <c r="H382" s="3">
        <v>4226.04</v>
      </c>
      <c r="I382">
        <v>262</v>
      </c>
      <c r="J382">
        <v>1</v>
      </c>
      <c r="K382">
        <v>27</v>
      </c>
      <c r="L382" s="4">
        <v>7.5601020617115905E-2</v>
      </c>
      <c r="M382" s="4">
        <v>0.92439897938288396</v>
      </c>
      <c r="N382">
        <v>0</v>
      </c>
    </row>
    <row r="383" spans="1:14" x14ac:dyDescent="0.25">
      <c r="A383" s="2"/>
      <c r="B383" t="s">
        <v>1012</v>
      </c>
      <c r="C383" t="s">
        <v>16</v>
      </c>
      <c r="D383" t="s">
        <v>17</v>
      </c>
      <c r="E383" t="s">
        <v>1009</v>
      </c>
      <c r="F383" t="s">
        <v>1010</v>
      </c>
      <c r="G383" t="s">
        <v>1013</v>
      </c>
      <c r="H383" s="3">
        <v>3838.88</v>
      </c>
      <c r="I383">
        <v>996</v>
      </c>
      <c r="J383">
        <v>0</v>
      </c>
      <c r="K383">
        <v>45</v>
      </c>
      <c r="L383" s="4">
        <v>0.60007551159045303</v>
      </c>
      <c r="M383" s="4">
        <v>0.39992448840954697</v>
      </c>
      <c r="N383">
        <v>0</v>
      </c>
    </row>
    <row r="384" spans="1:14" x14ac:dyDescent="0.25">
      <c r="A384" s="2"/>
      <c r="B384" t="s">
        <v>1014</v>
      </c>
      <c r="C384" t="s">
        <v>16</v>
      </c>
      <c r="D384" t="s">
        <v>17</v>
      </c>
      <c r="E384" t="s">
        <v>1015</v>
      </c>
      <c r="F384" t="s">
        <v>1016</v>
      </c>
      <c r="G384" t="s">
        <v>1017</v>
      </c>
      <c r="H384" s="3">
        <v>4041.05</v>
      </c>
      <c r="J384">
        <v>0</v>
      </c>
      <c r="K384">
        <v>22</v>
      </c>
      <c r="L384" s="4">
        <v>0.93595078504630502</v>
      </c>
      <c r="M384" s="4">
        <v>6.4049214953695296E-2</v>
      </c>
      <c r="N384">
        <v>0</v>
      </c>
    </row>
    <row r="385" spans="1:14" x14ac:dyDescent="0.25">
      <c r="A385" s="2"/>
      <c r="B385" t="s">
        <v>1018</v>
      </c>
      <c r="C385" t="s">
        <v>16</v>
      </c>
      <c r="D385" t="s">
        <v>17</v>
      </c>
      <c r="E385" t="s">
        <v>1019</v>
      </c>
      <c r="F385" t="s">
        <v>1020</v>
      </c>
      <c r="G385" t="s">
        <v>1021</v>
      </c>
      <c r="H385" s="3">
        <v>3783.81</v>
      </c>
      <c r="I385">
        <v>755</v>
      </c>
      <c r="J385">
        <v>1</v>
      </c>
      <c r="K385">
        <v>39</v>
      </c>
      <c r="L385" s="4">
        <v>0.53434281886982005</v>
      </c>
      <c r="M385" s="4">
        <v>0.46565718113018001</v>
      </c>
      <c r="N385">
        <v>0</v>
      </c>
    </row>
    <row r="386" spans="1:14" x14ac:dyDescent="0.25">
      <c r="A386" s="2"/>
      <c r="B386" t="s">
        <v>1022</v>
      </c>
      <c r="C386" t="s">
        <v>16</v>
      </c>
      <c r="D386" t="s">
        <v>17</v>
      </c>
      <c r="E386" t="s">
        <v>1019</v>
      </c>
      <c r="F386" t="s">
        <v>1020</v>
      </c>
      <c r="G386" t="s">
        <v>1023</v>
      </c>
      <c r="H386" s="3">
        <v>3904.46</v>
      </c>
      <c r="I386">
        <v>643</v>
      </c>
      <c r="J386">
        <v>1</v>
      </c>
      <c r="K386">
        <v>31</v>
      </c>
      <c r="L386" s="4">
        <v>0.144814805060173</v>
      </c>
      <c r="M386" s="4">
        <v>0.85518519493982803</v>
      </c>
      <c r="N386">
        <v>0</v>
      </c>
    </row>
    <row r="387" spans="1:14" x14ac:dyDescent="0.25">
      <c r="A387" s="2"/>
      <c r="B387" t="s">
        <v>1024</v>
      </c>
      <c r="C387" t="s">
        <v>16</v>
      </c>
      <c r="D387" t="s">
        <v>17</v>
      </c>
      <c r="E387" t="s">
        <v>1019</v>
      </c>
      <c r="F387" t="s">
        <v>1020</v>
      </c>
      <c r="G387" t="s">
        <v>1025</v>
      </c>
      <c r="H387" s="3">
        <v>4084.51</v>
      </c>
      <c r="I387">
        <v>511</v>
      </c>
      <c r="J387">
        <v>1</v>
      </c>
      <c r="K387">
        <v>42</v>
      </c>
      <c r="L387" s="4">
        <v>0.77539007751629696</v>
      </c>
      <c r="M387" s="4">
        <v>0.22460992248370301</v>
      </c>
      <c r="N387">
        <v>0</v>
      </c>
    </row>
    <row r="388" spans="1:14" x14ac:dyDescent="0.25">
      <c r="A388" s="2"/>
      <c r="B388" t="s">
        <v>1026</v>
      </c>
      <c r="C388" t="s">
        <v>16</v>
      </c>
      <c r="D388" t="s">
        <v>191</v>
      </c>
      <c r="E388" t="s">
        <v>1027</v>
      </c>
      <c r="F388" t="s">
        <v>1028</v>
      </c>
      <c r="G388" t="s">
        <v>1029</v>
      </c>
      <c r="H388" s="3">
        <v>3884.4</v>
      </c>
      <c r="I388">
        <v>335</v>
      </c>
      <c r="J388">
        <v>0</v>
      </c>
      <c r="K388">
        <v>15</v>
      </c>
      <c r="L388" s="4">
        <v>4.1286361959371999E-2</v>
      </c>
      <c r="M388" s="4">
        <v>0.95871363804062804</v>
      </c>
      <c r="N388">
        <v>0</v>
      </c>
    </row>
    <row r="389" spans="1:14" x14ac:dyDescent="0.25">
      <c r="A389" s="2">
        <v>23994477</v>
      </c>
      <c r="C389" t="s">
        <v>0</v>
      </c>
      <c r="D389" t="s">
        <v>191</v>
      </c>
      <c r="E389" t="s">
        <v>1027</v>
      </c>
      <c r="F389" t="s">
        <v>1030</v>
      </c>
      <c r="G389" t="s">
        <v>1031</v>
      </c>
      <c r="H389" s="3">
        <v>3154.01</v>
      </c>
      <c r="I389">
        <v>440</v>
      </c>
      <c r="J389">
        <v>1</v>
      </c>
      <c r="K389">
        <v>25</v>
      </c>
      <c r="L389" s="4">
        <v>0.84409558360496895</v>
      </c>
      <c r="M389" s="4">
        <v>0.155904416395031</v>
      </c>
      <c r="N389">
        <v>0</v>
      </c>
    </row>
    <row r="390" spans="1:14" x14ac:dyDescent="0.25">
      <c r="A390" s="2"/>
      <c r="B390" t="s">
        <v>1032</v>
      </c>
      <c r="C390" t="s">
        <v>16</v>
      </c>
      <c r="D390" t="s">
        <v>191</v>
      </c>
      <c r="E390" t="s">
        <v>1027</v>
      </c>
      <c r="F390" t="s">
        <v>1030</v>
      </c>
      <c r="G390" t="s">
        <v>1033</v>
      </c>
      <c r="H390" s="3">
        <v>3242.21</v>
      </c>
      <c r="I390">
        <v>279</v>
      </c>
      <c r="J390">
        <v>0</v>
      </c>
      <c r="K390">
        <v>1</v>
      </c>
      <c r="L390" s="4">
        <v>0.84924725590727701</v>
      </c>
      <c r="M390" s="4">
        <v>0.15075274409272299</v>
      </c>
      <c r="N390">
        <v>0</v>
      </c>
    </row>
    <row r="391" spans="1:14" x14ac:dyDescent="0.25">
      <c r="A391" s="2"/>
      <c r="B391" t="s">
        <v>1034</v>
      </c>
      <c r="C391" t="s">
        <v>16</v>
      </c>
      <c r="D391" t="s">
        <v>191</v>
      </c>
      <c r="E391" t="s">
        <v>1027</v>
      </c>
      <c r="F391" t="s">
        <v>1030</v>
      </c>
      <c r="G391" t="s">
        <v>1035</v>
      </c>
      <c r="H391" s="3">
        <v>3882.41</v>
      </c>
      <c r="I391">
        <v>266</v>
      </c>
      <c r="J391">
        <v>0</v>
      </c>
      <c r="K391">
        <v>19</v>
      </c>
      <c r="L391" s="4">
        <v>0.909313348402354</v>
      </c>
      <c r="M391" s="4">
        <v>9.0686651597645801E-2</v>
      </c>
      <c r="N391">
        <v>0</v>
      </c>
    </row>
    <row r="392" spans="1:14" x14ac:dyDescent="0.25">
      <c r="A392" s="2"/>
      <c r="B392" t="s">
        <v>1036</v>
      </c>
      <c r="C392" t="s">
        <v>16</v>
      </c>
      <c r="D392" t="s">
        <v>191</v>
      </c>
      <c r="E392" t="s">
        <v>1027</v>
      </c>
      <c r="F392" t="s">
        <v>1030</v>
      </c>
      <c r="G392" t="s">
        <v>1037</v>
      </c>
      <c r="H392" s="3">
        <v>3906.55</v>
      </c>
      <c r="I392">
        <v>473</v>
      </c>
      <c r="J392">
        <v>0</v>
      </c>
      <c r="K392">
        <v>16</v>
      </c>
      <c r="L392" s="4">
        <v>0.98421006789107401</v>
      </c>
      <c r="M392" s="4">
        <v>1.5789932108925899E-2</v>
      </c>
      <c r="N392">
        <v>0</v>
      </c>
    </row>
    <row r="393" spans="1:14" x14ac:dyDescent="0.25">
      <c r="A393" s="2"/>
      <c r="B393" t="s">
        <v>1038</v>
      </c>
      <c r="C393" t="s">
        <v>16</v>
      </c>
      <c r="D393" t="s">
        <v>191</v>
      </c>
      <c r="E393" t="s">
        <v>1027</v>
      </c>
      <c r="F393" t="s">
        <v>1030</v>
      </c>
      <c r="G393" t="s">
        <v>1039</v>
      </c>
      <c r="H393" s="3">
        <v>3967.99</v>
      </c>
      <c r="I393">
        <v>934</v>
      </c>
      <c r="J393">
        <v>0</v>
      </c>
      <c r="K393">
        <v>38</v>
      </c>
      <c r="L393" s="4">
        <v>0.98705647489730997</v>
      </c>
      <c r="M393" s="4">
        <v>1.2943525102689601E-2</v>
      </c>
      <c r="N393">
        <v>0</v>
      </c>
    </row>
    <row r="394" spans="1:14" x14ac:dyDescent="0.25">
      <c r="A394" s="2"/>
      <c r="B394" t="s">
        <v>1040</v>
      </c>
      <c r="C394" t="s">
        <v>16</v>
      </c>
      <c r="D394" t="s">
        <v>191</v>
      </c>
      <c r="E394" t="s">
        <v>1027</v>
      </c>
      <c r="F394" t="s">
        <v>1030</v>
      </c>
      <c r="G394" t="s">
        <v>1041</v>
      </c>
      <c r="H394" s="3">
        <v>3995.74</v>
      </c>
      <c r="I394">
        <v>966</v>
      </c>
      <c r="J394">
        <v>0</v>
      </c>
      <c r="K394">
        <v>25</v>
      </c>
      <c r="L394" s="4">
        <v>2.01880089488604E-2</v>
      </c>
      <c r="M394" s="4">
        <v>0.97981199105114003</v>
      </c>
      <c r="N394">
        <v>0</v>
      </c>
    </row>
    <row r="395" spans="1:14" x14ac:dyDescent="0.25">
      <c r="A395" s="2"/>
      <c r="B395" t="s">
        <v>1042</v>
      </c>
      <c r="C395" t="s">
        <v>16</v>
      </c>
      <c r="D395" t="s">
        <v>191</v>
      </c>
      <c r="E395" t="s">
        <v>1027</v>
      </c>
      <c r="F395" t="s">
        <v>1030</v>
      </c>
      <c r="G395" t="s">
        <v>1043</v>
      </c>
      <c r="H395" s="3">
        <v>3712.8</v>
      </c>
      <c r="I395">
        <v>803</v>
      </c>
      <c r="J395">
        <v>0</v>
      </c>
      <c r="L395" s="4">
        <v>0.76018360197233703</v>
      </c>
      <c r="M395" s="4">
        <v>0.239816398027663</v>
      </c>
      <c r="N395">
        <v>0</v>
      </c>
    </row>
    <row r="396" spans="1:14" x14ac:dyDescent="0.25">
      <c r="A396" s="2">
        <v>23041313</v>
      </c>
      <c r="C396" t="s">
        <v>0</v>
      </c>
      <c r="D396" t="s">
        <v>17</v>
      </c>
      <c r="E396" t="s">
        <v>1027</v>
      </c>
      <c r="F396" t="s">
        <v>1030</v>
      </c>
      <c r="G396" t="s">
        <v>1044</v>
      </c>
      <c r="H396" s="3">
        <v>3100.01</v>
      </c>
      <c r="I396">
        <v>589</v>
      </c>
      <c r="J396">
        <v>1</v>
      </c>
      <c r="K396">
        <v>2</v>
      </c>
      <c r="L396" s="4">
        <v>4.9478419641620502E-2</v>
      </c>
      <c r="M396" s="4">
        <v>0.95052158035837997</v>
      </c>
      <c r="N396">
        <v>0</v>
      </c>
    </row>
    <row r="397" spans="1:14" x14ac:dyDescent="0.25">
      <c r="A397" s="2"/>
      <c r="B397" t="s">
        <v>1045</v>
      </c>
      <c r="C397" t="s">
        <v>16</v>
      </c>
      <c r="D397" t="s">
        <v>17</v>
      </c>
      <c r="E397" t="s">
        <v>1027</v>
      </c>
      <c r="F397" t="s">
        <v>1030</v>
      </c>
      <c r="G397" t="s">
        <v>1046</v>
      </c>
      <c r="H397" s="3">
        <v>3836.32</v>
      </c>
      <c r="I397">
        <v>830</v>
      </c>
      <c r="J397">
        <v>1</v>
      </c>
      <c r="K397">
        <v>34</v>
      </c>
      <c r="L397" s="4">
        <v>0.71013388904174501</v>
      </c>
      <c r="M397" s="4">
        <v>0.28986611095825499</v>
      </c>
      <c r="N397">
        <v>0</v>
      </c>
    </row>
    <row r="398" spans="1:14" x14ac:dyDescent="0.25">
      <c r="A398" s="2"/>
      <c r="B398" t="s">
        <v>1047</v>
      </c>
      <c r="C398" t="s">
        <v>16</v>
      </c>
      <c r="D398" t="s">
        <v>17</v>
      </c>
      <c r="E398" t="s">
        <v>1048</v>
      </c>
      <c r="F398" t="s">
        <v>959</v>
      </c>
      <c r="G398" t="s">
        <v>1049</v>
      </c>
      <c r="H398" s="3">
        <v>3352.04</v>
      </c>
      <c r="I398">
        <v>69</v>
      </c>
      <c r="J398">
        <v>0</v>
      </c>
      <c r="K398">
        <v>21</v>
      </c>
      <c r="L398" s="4">
        <v>4.7481978975374803E-2</v>
      </c>
      <c r="M398" s="4">
        <v>0.95251802102462502</v>
      </c>
      <c r="N398">
        <v>0</v>
      </c>
    </row>
    <row r="399" spans="1:14" x14ac:dyDescent="0.25">
      <c r="A399" s="2">
        <v>23040481</v>
      </c>
      <c r="B399" t="s">
        <v>1050</v>
      </c>
      <c r="C399" t="s">
        <v>31</v>
      </c>
      <c r="D399" t="s">
        <v>17</v>
      </c>
      <c r="E399" t="s">
        <v>1048</v>
      </c>
      <c r="F399" t="s">
        <v>959</v>
      </c>
      <c r="G399" t="s">
        <v>1051</v>
      </c>
      <c r="H399" s="3">
        <v>3716.09</v>
      </c>
      <c r="I399">
        <v>42</v>
      </c>
      <c r="K399">
        <v>43</v>
      </c>
      <c r="L399" s="4">
        <v>0.96939243132521302</v>
      </c>
      <c r="M399" s="4">
        <v>3.0607568674786902E-2</v>
      </c>
      <c r="N399">
        <v>0</v>
      </c>
    </row>
    <row r="400" spans="1:14" x14ac:dyDescent="0.25">
      <c r="A400" s="2">
        <v>23052214</v>
      </c>
      <c r="B400" t="s">
        <v>1052</v>
      </c>
      <c r="C400" t="s">
        <v>31</v>
      </c>
      <c r="D400" t="s">
        <v>69</v>
      </c>
      <c r="E400" t="s">
        <v>1053</v>
      </c>
      <c r="F400" t="s">
        <v>1054</v>
      </c>
      <c r="G400" t="s">
        <v>1055</v>
      </c>
      <c r="H400" s="3">
        <v>1918.46</v>
      </c>
      <c r="I400">
        <v>890</v>
      </c>
      <c r="J400">
        <v>0</v>
      </c>
      <c r="L400" s="4">
        <v>0.986129038369287</v>
      </c>
      <c r="M400" s="4">
        <v>1.3870961630713099E-2</v>
      </c>
      <c r="N400">
        <v>0</v>
      </c>
    </row>
    <row r="401" spans="1:14" x14ac:dyDescent="0.25">
      <c r="A401" s="2">
        <v>23275942</v>
      </c>
      <c r="B401" t="s">
        <v>1056</v>
      </c>
      <c r="C401" t="s">
        <v>31</v>
      </c>
      <c r="D401" t="s">
        <v>69</v>
      </c>
      <c r="E401" t="s">
        <v>1053</v>
      </c>
      <c r="F401" t="s">
        <v>1057</v>
      </c>
      <c r="G401" t="s">
        <v>1058</v>
      </c>
      <c r="H401" s="3">
        <v>1629.33</v>
      </c>
      <c r="I401">
        <v>943</v>
      </c>
      <c r="J401">
        <v>1</v>
      </c>
      <c r="L401" s="4">
        <v>0.95548575148497505</v>
      </c>
      <c r="M401" s="4">
        <v>4.45142485150253E-2</v>
      </c>
      <c r="N401">
        <v>0</v>
      </c>
    </row>
    <row r="402" spans="1:14" x14ac:dyDescent="0.25">
      <c r="A402" s="2"/>
      <c r="B402" t="s">
        <v>1059</v>
      </c>
      <c r="C402" t="s">
        <v>16</v>
      </c>
      <c r="D402" t="s">
        <v>69</v>
      </c>
      <c r="E402" t="s">
        <v>1053</v>
      </c>
      <c r="F402" t="s">
        <v>1057</v>
      </c>
      <c r="G402" t="s">
        <v>1060</v>
      </c>
      <c r="H402" s="3">
        <v>1882.23</v>
      </c>
      <c r="I402">
        <v>559</v>
      </c>
      <c r="J402">
        <v>1</v>
      </c>
      <c r="L402" s="4">
        <v>0.26510126396549999</v>
      </c>
      <c r="M402" s="4">
        <v>0.73489873603449996</v>
      </c>
      <c r="N402">
        <v>0</v>
      </c>
    </row>
    <row r="403" spans="1:14" x14ac:dyDescent="0.25">
      <c r="A403" s="2"/>
      <c r="B403" t="s">
        <v>1061</v>
      </c>
      <c r="C403" t="s">
        <v>16</v>
      </c>
      <c r="D403" t="s">
        <v>69</v>
      </c>
      <c r="E403" t="s">
        <v>1053</v>
      </c>
      <c r="F403" t="s">
        <v>1057</v>
      </c>
      <c r="G403" t="s">
        <v>1062</v>
      </c>
      <c r="H403" s="3">
        <v>1897.85</v>
      </c>
      <c r="I403">
        <v>623</v>
      </c>
      <c r="J403">
        <v>1</v>
      </c>
      <c r="K403">
        <v>33</v>
      </c>
      <c r="L403" s="4">
        <v>1.3254319696828901E-2</v>
      </c>
      <c r="M403" s="4">
        <v>0.986745680303171</v>
      </c>
      <c r="N403">
        <v>0</v>
      </c>
    </row>
    <row r="404" spans="1:14" x14ac:dyDescent="0.25">
      <c r="A404" s="2"/>
      <c r="B404" t="s">
        <v>1063</v>
      </c>
      <c r="C404" t="s">
        <v>16</v>
      </c>
      <c r="D404" t="s">
        <v>69</v>
      </c>
      <c r="E404" t="s">
        <v>1053</v>
      </c>
      <c r="F404" t="s">
        <v>1057</v>
      </c>
      <c r="G404" t="s">
        <v>1064</v>
      </c>
      <c r="H404" s="3">
        <v>1951.8</v>
      </c>
      <c r="I404">
        <v>363</v>
      </c>
      <c r="J404">
        <v>0</v>
      </c>
      <c r="K404">
        <v>6</v>
      </c>
      <c r="L404" s="4">
        <v>0.31811489957136202</v>
      </c>
      <c r="M404" s="4">
        <v>0.68188510042863903</v>
      </c>
      <c r="N404">
        <v>0</v>
      </c>
    </row>
    <row r="405" spans="1:14" x14ac:dyDescent="0.25">
      <c r="A405" s="2"/>
      <c r="C405" t="s">
        <v>28</v>
      </c>
      <c r="D405" t="s">
        <v>69</v>
      </c>
      <c r="E405" t="s">
        <v>1053</v>
      </c>
      <c r="F405" t="s">
        <v>1057</v>
      </c>
      <c r="G405" t="s">
        <v>1065</v>
      </c>
      <c r="H405" s="3">
        <v>2226.7399999999998</v>
      </c>
      <c r="I405">
        <v>408</v>
      </c>
      <c r="J405">
        <v>0</v>
      </c>
      <c r="K405">
        <v>2</v>
      </c>
      <c r="L405" s="4">
        <v>0.80862604328121701</v>
      </c>
      <c r="M405" s="4">
        <v>0.19137395671878299</v>
      </c>
      <c r="N405">
        <v>0</v>
      </c>
    </row>
    <row r="406" spans="1:14" x14ac:dyDescent="0.25">
      <c r="A406" s="2">
        <v>22533473</v>
      </c>
      <c r="C406" t="s">
        <v>0</v>
      </c>
      <c r="D406" t="s">
        <v>86</v>
      </c>
      <c r="E406" t="s">
        <v>1066</v>
      </c>
      <c r="F406" t="s">
        <v>1020</v>
      </c>
      <c r="G406" t="s">
        <v>1067</v>
      </c>
      <c r="H406" s="3">
        <v>1800</v>
      </c>
      <c r="I406">
        <v>245</v>
      </c>
      <c r="J406">
        <v>0</v>
      </c>
      <c r="K406">
        <v>8</v>
      </c>
      <c r="L406" s="4">
        <v>0.84064289396527803</v>
      </c>
      <c r="M406" s="4">
        <v>0.159357106034722</v>
      </c>
      <c r="N406">
        <v>0</v>
      </c>
    </row>
    <row r="407" spans="1:14" x14ac:dyDescent="0.25">
      <c r="A407" s="2"/>
      <c r="B407" t="s">
        <v>1068</v>
      </c>
      <c r="C407" t="s">
        <v>16</v>
      </c>
      <c r="D407" t="s">
        <v>86</v>
      </c>
      <c r="E407" t="s">
        <v>1066</v>
      </c>
      <c r="F407" t="s">
        <v>1020</v>
      </c>
      <c r="G407" t="s">
        <v>1069</v>
      </c>
      <c r="H407" s="3">
        <v>2400.85</v>
      </c>
      <c r="J407">
        <v>1</v>
      </c>
      <c r="K407">
        <v>18</v>
      </c>
      <c r="L407" s="4">
        <v>0.87373775507339202</v>
      </c>
      <c r="M407" s="4">
        <v>0.12626224492660801</v>
      </c>
      <c r="N407">
        <v>0</v>
      </c>
    </row>
    <row r="408" spans="1:14" x14ac:dyDescent="0.25">
      <c r="A408" s="2">
        <v>22897233</v>
      </c>
      <c r="B408" t="s">
        <v>1070</v>
      </c>
      <c r="C408" t="s">
        <v>31</v>
      </c>
      <c r="D408" t="s">
        <v>86</v>
      </c>
      <c r="E408" t="s">
        <v>1066</v>
      </c>
      <c r="F408" t="s">
        <v>1020</v>
      </c>
      <c r="G408" t="s">
        <v>1071</v>
      </c>
      <c r="H408" s="3">
        <v>2270.5</v>
      </c>
      <c r="I408">
        <v>470</v>
      </c>
      <c r="J408">
        <v>1</v>
      </c>
      <c r="L408" s="4">
        <v>0.331870204580408</v>
      </c>
      <c r="M408" s="4">
        <v>0.66812979541959205</v>
      </c>
      <c r="N408">
        <v>0</v>
      </c>
    </row>
    <row r="409" spans="1:14" x14ac:dyDescent="0.25">
      <c r="A409" s="2">
        <v>23126643</v>
      </c>
      <c r="B409" t="s">
        <v>1070</v>
      </c>
      <c r="C409" t="s">
        <v>31</v>
      </c>
      <c r="D409" t="s">
        <v>86</v>
      </c>
      <c r="E409" t="s">
        <v>1066</v>
      </c>
      <c r="F409" t="s">
        <v>1020</v>
      </c>
      <c r="G409" t="s">
        <v>1072</v>
      </c>
      <c r="H409" s="3">
        <v>2284.62</v>
      </c>
      <c r="I409">
        <v>547</v>
      </c>
      <c r="J409">
        <v>0</v>
      </c>
      <c r="K409">
        <v>29</v>
      </c>
      <c r="L409" s="4">
        <v>0.396075724517504</v>
      </c>
      <c r="M409" s="4">
        <v>0.60392427548249605</v>
      </c>
      <c r="N409">
        <v>0</v>
      </c>
    </row>
    <row r="410" spans="1:14" x14ac:dyDescent="0.25">
      <c r="A410" s="2">
        <v>23902464</v>
      </c>
      <c r="C410" t="s">
        <v>0</v>
      </c>
      <c r="D410" t="s">
        <v>86</v>
      </c>
      <c r="E410" t="s">
        <v>1066</v>
      </c>
      <c r="F410" t="s">
        <v>1020</v>
      </c>
      <c r="G410" t="s">
        <v>1073</v>
      </c>
      <c r="H410" s="3">
        <v>1500</v>
      </c>
      <c r="I410">
        <v>366</v>
      </c>
      <c r="J410">
        <v>0</v>
      </c>
      <c r="K410">
        <v>45</v>
      </c>
      <c r="L410" s="4">
        <v>0.74055932960760895</v>
      </c>
      <c r="M410" s="4">
        <v>0.25944067039239099</v>
      </c>
      <c r="N410">
        <v>0</v>
      </c>
    </row>
    <row r="411" spans="1:14" x14ac:dyDescent="0.25">
      <c r="A411" s="2">
        <v>23022959</v>
      </c>
      <c r="B411" t="s">
        <v>1074</v>
      </c>
      <c r="C411" t="s">
        <v>31</v>
      </c>
      <c r="D411" t="s">
        <v>17</v>
      </c>
      <c r="E411" t="s">
        <v>1075</v>
      </c>
      <c r="F411" t="s">
        <v>1076</v>
      </c>
      <c r="G411" t="s">
        <v>1077</v>
      </c>
      <c r="H411" s="3">
        <v>2267.2600000000002</v>
      </c>
      <c r="I411">
        <v>747</v>
      </c>
      <c r="J411">
        <v>0</v>
      </c>
      <c r="L411" s="4">
        <v>0.115438701930811</v>
      </c>
      <c r="M411" s="4">
        <v>0.88456129806919004</v>
      </c>
      <c r="N411">
        <v>0</v>
      </c>
    </row>
    <row r="412" spans="1:14" x14ac:dyDescent="0.25">
      <c r="A412" s="2"/>
      <c r="B412" t="s">
        <v>1078</v>
      </c>
      <c r="C412" t="s">
        <v>16</v>
      </c>
      <c r="D412" t="s">
        <v>17</v>
      </c>
      <c r="E412" t="s">
        <v>1075</v>
      </c>
      <c r="F412" t="s">
        <v>1076</v>
      </c>
      <c r="G412" t="s">
        <v>1079</v>
      </c>
      <c r="H412" s="3">
        <v>2400.9299999999998</v>
      </c>
      <c r="I412">
        <v>83</v>
      </c>
      <c r="J412">
        <v>0</v>
      </c>
      <c r="K412">
        <v>34</v>
      </c>
      <c r="L412" s="4">
        <v>0.18832775416019301</v>
      </c>
      <c r="M412" s="4">
        <v>0.81167224583980702</v>
      </c>
      <c r="N412">
        <v>0</v>
      </c>
    </row>
    <row r="413" spans="1:14" x14ac:dyDescent="0.25">
      <c r="A413" s="2"/>
      <c r="B413" t="s">
        <v>1080</v>
      </c>
      <c r="C413" t="s">
        <v>16</v>
      </c>
      <c r="D413" t="s">
        <v>86</v>
      </c>
      <c r="E413" t="s">
        <v>1081</v>
      </c>
      <c r="F413" t="s">
        <v>1082</v>
      </c>
      <c r="G413" t="s">
        <v>1083</v>
      </c>
      <c r="H413" s="3">
        <v>2292.0300000000002</v>
      </c>
      <c r="I413">
        <v>562</v>
      </c>
      <c r="J413">
        <v>1</v>
      </c>
      <c r="K413">
        <v>30</v>
      </c>
      <c r="L413" s="4">
        <v>0.46952257610673598</v>
      </c>
      <c r="M413" s="4">
        <v>0.53047742389326402</v>
      </c>
      <c r="N413">
        <v>0</v>
      </c>
    </row>
    <row r="414" spans="1:14" x14ac:dyDescent="0.25">
      <c r="A414" s="2"/>
      <c r="C414" t="s">
        <v>28</v>
      </c>
      <c r="D414" t="s">
        <v>110</v>
      </c>
      <c r="E414" t="s">
        <v>1084</v>
      </c>
      <c r="F414" t="s">
        <v>1085</v>
      </c>
      <c r="G414" t="s">
        <v>1086</v>
      </c>
      <c r="H414" s="3">
        <v>1875</v>
      </c>
      <c r="I414">
        <v>852</v>
      </c>
      <c r="J414">
        <v>1</v>
      </c>
      <c r="L414" s="4">
        <v>0.18592684255526601</v>
      </c>
      <c r="M414" s="4">
        <v>0.81407315744473396</v>
      </c>
      <c r="N414">
        <v>0</v>
      </c>
    </row>
    <row r="415" spans="1:14" x14ac:dyDescent="0.25">
      <c r="A415" s="2">
        <v>24047602</v>
      </c>
      <c r="C415" t="s">
        <v>0</v>
      </c>
      <c r="D415" t="s">
        <v>110</v>
      </c>
      <c r="E415" t="s">
        <v>1084</v>
      </c>
      <c r="F415" t="s">
        <v>1085</v>
      </c>
      <c r="G415" t="s">
        <v>1087</v>
      </c>
      <c r="H415" s="3">
        <v>2250</v>
      </c>
      <c r="I415">
        <v>15</v>
      </c>
      <c r="J415">
        <v>1</v>
      </c>
      <c r="K415">
        <v>4</v>
      </c>
      <c r="L415" s="4">
        <v>0.85270316793911805</v>
      </c>
      <c r="M415" s="4">
        <v>0.14729683206088201</v>
      </c>
      <c r="N415">
        <v>0</v>
      </c>
    </row>
    <row r="416" spans="1:14" x14ac:dyDescent="0.25">
      <c r="A416" s="2"/>
      <c r="C416" t="s">
        <v>28</v>
      </c>
      <c r="D416" t="s">
        <v>110</v>
      </c>
      <c r="E416" t="s">
        <v>1084</v>
      </c>
      <c r="F416" t="s">
        <v>1085</v>
      </c>
      <c r="G416" t="s">
        <v>1088</v>
      </c>
      <c r="H416" s="3">
        <v>2250</v>
      </c>
      <c r="I416">
        <v>504</v>
      </c>
      <c r="K416">
        <v>27</v>
      </c>
      <c r="L416" s="4">
        <v>0.29169649853659002</v>
      </c>
      <c r="M416" s="4">
        <v>0.70830350146341003</v>
      </c>
      <c r="N416">
        <v>0</v>
      </c>
    </row>
    <row r="417" spans="1:14" x14ac:dyDescent="0.25">
      <c r="A417" s="2"/>
      <c r="C417" t="s">
        <v>28</v>
      </c>
      <c r="D417" t="s">
        <v>110</v>
      </c>
      <c r="E417" t="s">
        <v>1084</v>
      </c>
      <c r="F417" t="s">
        <v>1085</v>
      </c>
      <c r="G417" t="s">
        <v>1089</v>
      </c>
      <c r="H417" s="3">
        <v>2550</v>
      </c>
      <c r="I417">
        <v>21</v>
      </c>
      <c r="J417">
        <v>1</v>
      </c>
      <c r="L417" s="4">
        <v>0.61539514169057496</v>
      </c>
      <c r="M417" s="4">
        <v>0.38460485830942598</v>
      </c>
      <c r="N417">
        <v>0</v>
      </c>
    </row>
    <row r="418" spans="1:14" x14ac:dyDescent="0.25">
      <c r="A418" s="2"/>
      <c r="B418" t="s">
        <v>1090</v>
      </c>
      <c r="C418" t="s">
        <v>16</v>
      </c>
      <c r="D418" t="s">
        <v>110</v>
      </c>
      <c r="E418" t="s">
        <v>1084</v>
      </c>
      <c r="F418" t="s">
        <v>1085</v>
      </c>
      <c r="G418" t="s">
        <v>1091</v>
      </c>
      <c r="H418" s="3">
        <v>1700</v>
      </c>
      <c r="I418">
        <v>799</v>
      </c>
      <c r="J418">
        <v>1</v>
      </c>
      <c r="K418">
        <v>16</v>
      </c>
      <c r="L418" s="4">
        <v>0.14996843396179799</v>
      </c>
      <c r="M418" s="4">
        <v>0.85003156603820196</v>
      </c>
      <c r="N418">
        <v>0</v>
      </c>
    </row>
    <row r="419" spans="1:14" x14ac:dyDescent="0.25">
      <c r="A419" s="2"/>
      <c r="C419" t="s">
        <v>28</v>
      </c>
      <c r="D419" t="s">
        <v>110</v>
      </c>
      <c r="E419" t="s">
        <v>1084</v>
      </c>
      <c r="F419" t="s">
        <v>1085</v>
      </c>
      <c r="G419" t="s">
        <v>1092</v>
      </c>
      <c r="H419" s="3">
        <v>2040</v>
      </c>
      <c r="I419">
        <v>127</v>
      </c>
      <c r="J419">
        <v>1</v>
      </c>
      <c r="K419">
        <v>5</v>
      </c>
      <c r="L419" s="4">
        <v>0.548499257617453</v>
      </c>
      <c r="M419" s="4">
        <v>0.451500742382547</v>
      </c>
      <c r="N419">
        <v>0</v>
      </c>
    </row>
    <row r="420" spans="1:14" x14ac:dyDescent="0.25">
      <c r="A420" s="2"/>
      <c r="C420" t="s">
        <v>28</v>
      </c>
      <c r="D420" t="s">
        <v>110</v>
      </c>
      <c r="E420" t="s">
        <v>1084</v>
      </c>
      <c r="F420" t="s">
        <v>1085</v>
      </c>
      <c r="G420" t="s">
        <v>1093</v>
      </c>
      <c r="H420" s="3">
        <v>2040</v>
      </c>
      <c r="I420">
        <v>409</v>
      </c>
      <c r="J420">
        <v>0</v>
      </c>
      <c r="K420">
        <v>27</v>
      </c>
      <c r="L420" s="4">
        <v>0.67441428318451402</v>
      </c>
      <c r="M420" s="4">
        <v>0.32558571681548598</v>
      </c>
      <c r="N420">
        <v>0</v>
      </c>
    </row>
    <row r="421" spans="1:14" x14ac:dyDescent="0.25">
      <c r="A421" s="2"/>
      <c r="B421" t="s">
        <v>1094</v>
      </c>
      <c r="C421" t="s">
        <v>16</v>
      </c>
      <c r="D421" t="s">
        <v>110</v>
      </c>
      <c r="E421" t="s">
        <v>1084</v>
      </c>
      <c r="F421" t="s">
        <v>1095</v>
      </c>
      <c r="G421" t="s">
        <v>1096</v>
      </c>
      <c r="H421" s="3">
        <v>2040</v>
      </c>
      <c r="I421">
        <v>827</v>
      </c>
      <c r="J421">
        <v>1</v>
      </c>
      <c r="K421">
        <v>22</v>
      </c>
      <c r="L421" s="4">
        <v>0.89891383205687503</v>
      </c>
      <c r="M421" s="4">
        <v>0.101086167943125</v>
      </c>
      <c r="N421">
        <v>0</v>
      </c>
    </row>
    <row r="422" spans="1:14" x14ac:dyDescent="0.25">
      <c r="A422" s="2"/>
      <c r="C422" t="s">
        <v>28</v>
      </c>
      <c r="D422" t="s">
        <v>110</v>
      </c>
      <c r="E422" t="s">
        <v>1084</v>
      </c>
      <c r="F422" t="s">
        <v>1095</v>
      </c>
      <c r="G422" t="s">
        <v>1097</v>
      </c>
      <c r="H422" s="3">
        <v>2040</v>
      </c>
      <c r="I422">
        <v>212</v>
      </c>
      <c r="J422">
        <v>0</v>
      </c>
      <c r="K422">
        <v>28</v>
      </c>
      <c r="L422" s="4">
        <v>0.45556913176095398</v>
      </c>
      <c r="M422" s="4">
        <v>0.54443086823904596</v>
      </c>
      <c r="N422">
        <v>0</v>
      </c>
    </row>
    <row r="423" spans="1:14" x14ac:dyDescent="0.25">
      <c r="A423" s="2"/>
      <c r="C423" t="s">
        <v>28</v>
      </c>
      <c r="D423" t="s">
        <v>110</v>
      </c>
      <c r="E423" t="s">
        <v>1084</v>
      </c>
      <c r="F423" t="s">
        <v>1095</v>
      </c>
      <c r="G423" t="s">
        <v>1098</v>
      </c>
      <c r="H423" s="3">
        <v>2040</v>
      </c>
      <c r="I423">
        <v>310</v>
      </c>
      <c r="J423">
        <v>1</v>
      </c>
      <c r="K423">
        <v>36</v>
      </c>
      <c r="L423" s="4">
        <v>0.59612311755654102</v>
      </c>
      <c r="M423" s="4">
        <v>0.40387688244345898</v>
      </c>
      <c r="N423">
        <v>0</v>
      </c>
    </row>
    <row r="424" spans="1:14" x14ac:dyDescent="0.25">
      <c r="A424" s="2">
        <v>22345357</v>
      </c>
      <c r="B424" t="s">
        <v>1099</v>
      </c>
      <c r="C424" t="s">
        <v>31</v>
      </c>
      <c r="D424" t="s">
        <v>110</v>
      </c>
      <c r="E424" t="s">
        <v>1084</v>
      </c>
      <c r="G424" t="s">
        <v>1100</v>
      </c>
      <c r="H424" s="3">
        <v>3177.6</v>
      </c>
      <c r="I424">
        <v>77</v>
      </c>
      <c r="J424">
        <v>1</v>
      </c>
      <c r="K424">
        <v>47</v>
      </c>
      <c r="L424" s="4">
        <v>0.87641541198848605</v>
      </c>
      <c r="M424" s="4">
        <v>0.12358458801151399</v>
      </c>
      <c r="N424">
        <v>0</v>
      </c>
    </row>
    <row r="425" spans="1:14" x14ac:dyDescent="0.25">
      <c r="A425" s="2"/>
      <c r="B425" t="s">
        <v>1101</v>
      </c>
      <c r="C425" t="s">
        <v>16</v>
      </c>
      <c r="D425" t="s">
        <v>388</v>
      </c>
      <c r="E425" t="s">
        <v>1102</v>
      </c>
      <c r="F425" t="s">
        <v>1103</v>
      </c>
      <c r="G425" t="s">
        <v>1104</v>
      </c>
      <c r="H425" s="3">
        <v>159.74</v>
      </c>
      <c r="L425" s="4">
        <v>0.34688773399538397</v>
      </c>
      <c r="M425" s="4">
        <v>0.65311226600461603</v>
      </c>
      <c r="N425">
        <v>0</v>
      </c>
    </row>
    <row r="426" spans="1:14" x14ac:dyDescent="0.25">
      <c r="A426" s="2">
        <v>24009110</v>
      </c>
      <c r="C426" t="s">
        <v>0</v>
      </c>
      <c r="D426" t="s">
        <v>86</v>
      </c>
      <c r="E426" t="s">
        <v>1105</v>
      </c>
      <c r="F426" t="s">
        <v>1106</v>
      </c>
      <c r="G426" t="s">
        <v>1107</v>
      </c>
      <c r="H426" s="3">
        <v>1500</v>
      </c>
      <c r="I426">
        <v>826</v>
      </c>
      <c r="J426">
        <v>1</v>
      </c>
      <c r="K426">
        <v>3</v>
      </c>
      <c r="L426" s="4">
        <v>0.90546924251217797</v>
      </c>
      <c r="M426" s="4">
        <v>9.4530757487821998E-2</v>
      </c>
      <c r="N426">
        <v>0</v>
      </c>
    </row>
    <row r="427" spans="1:14" x14ac:dyDescent="0.25">
      <c r="A427" s="2">
        <v>23483642</v>
      </c>
      <c r="B427" t="s">
        <v>1108</v>
      </c>
      <c r="C427" t="s">
        <v>31</v>
      </c>
      <c r="D427" t="s">
        <v>86</v>
      </c>
      <c r="E427" t="s">
        <v>1105</v>
      </c>
      <c r="F427" t="s">
        <v>1106</v>
      </c>
      <c r="G427" t="s">
        <v>1109</v>
      </c>
      <c r="H427" s="3">
        <v>2083.48</v>
      </c>
      <c r="I427">
        <v>884</v>
      </c>
      <c r="J427">
        <v>0</v>
      </c>
      <c r="K427">
        <v>36</v>
      </c>
      <c r="L427" s="4">
        <v>9.1724059533443106E-2</v>
      </c>
      <c r="M427" s="4">
        <v>0.90827594046655702</v>
      </c>
      <c r="N427">
        <v>0</v>
      </c>
    </row>
    <row r="428" spans="1:14" x14ac:dyDescent="0.25">
      <c r="A428" s="2">
        <v>23418011</v>
      </c>
      <c r="B428" t="s">
        <v>1110</v>
      </c>
      <c r="C428" t="s">
        <v>31</v>
      </c>
      <c r="D428" t="s">
        <v>86</v>
      </c>
      <c r="E428" t="s">
        <v>1105</v>
      </c>
      <c r="F428" t="s">
        <v>1106</v>
      </c>
      <c r="G428" t="s">
        <v>1111</v>
      </c>
      <c r="H428" s="3">
        <v>2153.41</v>
      </c>
      <c r="I428">
        <v>568</v>
      </c>
      <c r="J428">
        <v>1</v>
      </c>
      <c r="K428">
        <v>47</v>
      </c>
      <c r="L428" s="4">
        <v>0.95818150036719996</v>
      </c>
      <c r="M428" s="4">
        <v>4.1818499632799697E-2</v>
      </c>
      <c r="N428">
        <v>0</v>
      </c>
    </row>
    <row r="429" spans="1:14" x14ac:dyDescent="0.25">
      <c r="A429" s="2">
        <v>23344974</v>
      </c>
      <c r="B429" t="s">
        <v>1112</v>
      </c>
      <c r="C429" t="s">
        <v>31</v>
      </c>
      <c r="D429" t="s">
        <v>86</v>
      </c>
      <c r="E429" t="s">
        <v>1105</v>
      </c>
      <c r="F429" t="s">
        <v>1106</v>
      </c>
      <c r="G429" t="s">
        <v>1113</v>
      </c>
      <c r="H429" s="3">
        <v>2048.9299999999998</v>
      </c>
      <c r="I429">
        <v>954</v>
      </c>
      <c r="J429">
        <v>0</v>
      </c>
      <c r="K429">
        <v>25</v>
      </c>
      <c r="L429" s="4">
        <v>0.56146583363930302</v>
      </c>
      <c r="M429" s="4">
        <v>0.43853416636069698</v>
      </c>
      <c r="N429">
        <v>0</v>
      </c>
    </row>
    <row r="430" spans="1:14" x14ac:dyDescent="0.25">
      <c r="A430" s="2">
        <v>23640856</v>
      </c>
      <c r="C430" t="s">
        <v>0</v>
      </c>
      <c r="D430" t="s">
        <v>86</v>
      </c>
      <c r="E430" t="s">
        <v>1105</v>
      </c>
      <c r="F430" t="s">
        <v>1106</v>
      </c>
      <c r="G430" t="s">
        <v>1114</v>
      </c>
      <c r="H430" s="3">
        <v>1851.15</v>
      </c>
      <c r="I430">
        <v>957</v>
      </c>
      <c r="J430">
        <v>0</v>
      </c>
      <c r="L430" s="4">
        <v>0.31242830028953</v>
      </c>
      <c r="M430" s="4">
        <v>0.68757169971047005</v>
      </c>
      <c r="N430">
        <v>0</v>
      </c>
    </row>
    <row r="431" spans="1:14" x14ac:dyDescent="0.25">
      <c r="A431" s="2"/>
      <c r="B431" t="s">
        <v>1115</v>
      </c>
      <c r="C431" t="s">
        <v>16</v>
      </c>
      <c r="D431" t="s">
        <v>1116</v>
      </c>
      <c r="E431" t="s">
        <v>1117</v>
      </c>
      <c r="F431" t="s">
        <v>1106</v>
      </c>
      <c r="G431" t="s">
        <v>1118</v>
      </c>
      <c r="H431" s="3">
        <v>1000</v>
      </c>
      <c r="I431">
        <v>52</v>
      </c>
      <c r="J431">
        <v>1</v>
      </c>
      <c r="K431">
        <v>33</v>
      </c>
      <c r="L431" s="4">
        <v>0.19803244892536601</v>
      </c>
      <c r="M431" s="4">
        <v>0.80196755107463402</v>
      </c>
      <c r="N431">
        <v>0</v>
      </c>
    </row>
    <row r="432" spans="1:14" x14ac:dyDescent="0.25">
      <c r="A432" s="2">
        <v>24097313</v>
      </c>
      <c r="C432" t="s">
        <v>0</v>
      </c>
      <c r="D432" t="s">
        <v>1116</v>
      </c>
      <c r="E432" t="s">
        <v>1119</v>
      </c>
      <c r="F432" t="s">
        <v>1120</v>
      </c>
      <c r="G432" t="s">
        <v>1121</v>
      </c>
      <c r="H432" s="3">
        <v>1740</v>
      </c>
      <c r="I432">
        <v>398</v>
      </c>
      <c r="J432">
        <v>0</v>
      </c>
      <c r="K432">
        <v>17</v>
      </c>
      <c r="L432" s="4">
        <v>0.30517245596971498</v>
      </c>
      <c r="M432" s="4">
        <v>0.69482754403028502</v>
      </c>
      <c r="N432">
        <v>0</v>
      </c>
    </row>
    <row r="433" spans="1:14" x14ac:dyDescent="0.25">
      <c r="A433" s="2">
        <v>22996943</v>
      </c>
      <c r="B433" t="s">
        <v>1122</v>
      </c>
      <c r="C433" t="s">
        <v>31</v>
      </c>
      <c r="D433" t="s">
        <v>86</v>
      </c>
      <c r="E433" t="s">
        <v>1123</v>
      </c>
      <c r="F433" t="s">
        <v>1124</v>
      </c>
      <c r="G433" t="s">
        <v>1125</v>
      </c>
      <c r="H433" s="3">
        <v>2051.27</v>
      </c>
      <c r="I433">
        <v>493</v>
      </c>
      <c r="J433">
        <v>1</v>
      </c>
      <c r="K433">
        <v>35</v>
      </c>
      <c r="L433" s="4">
        <v>0.21900746764583101</v>
      </c>
      <c r="M433" s="4">
        <v>0.78099253235416899</v>
      </c>
      <c r="N433">
        <v>0</v>
      </c>
    </row>
    <row r="434" spans="1:14" x14ac:dyDescent="0.25">
      <c r="A434" s="2">
        <v>23918316</v>
      </c>
      <c r="C434" t="s">
        <v>0</v>
      </c>
      <c r="D434" t="s">
        <v>86</v>
      </c>
      <c r="E434" t="s">
        <v>1126</v>
      </c>
      <c r="F434" t="s">
        <v>1127</v>
      </c>
      <c r="G434" t="s">
        <v>1128</v>
      </c>
      <c r="H434" s="3">
        <v>1812.89</v>
      </c>
      <c r="I434">
        <v>93</v>
      </c>
      <c r="J434">
        <v>0</v>
      </c>
      <c r="K434">
        <v>1</v>
      </c>
      <c r="L434" s="4">
        <v>0.76183371258080301</v>
      </c>
      <c r="M434" s="4">
        <v>0.23816628741919699</v>
      </c>
      <c r="N434">
        <v>0</v>
      </c>
    </row>
    <row r="435" spans="1:14" x14ac:dyDescent="0.25">
      <c r="A435" s="2"/>
      <c r="B435" t="s">
        <v>1129</v>
      </c>
      <c r="C435" t="s">
        <v>16</v>
      </c>
      <c r="D435" t="s">
        <v>86</v>
      </c>
      <c r="E435" t="s">
        <v>1126</v>
      </c>
      <c r="F435" t="s">
        <v>1127</v>
      </c>
      <c r="G435" t="s">
        <v>1130</v>
      </c>
      <c r="H435" s="3">
        <v>1816.7</v>
      </c>
      <c r="I435">
        <v>507</v>
      </c>
      <c r="J435">
        <v>0</v>
      </c>
      <c r="K435">
        <v>28</v>
      </c>
      <c r="L435" s="4">
        <v>9.4288355693256092E-3</v>
      </c>
      <c r="M435" s="4">
        <v>0.99057116443067394</v>
      </c>
      <c r="N435">
        <v>0</v>
      </c>
    </row>
    <row r="436" spans="1:14" x14ac:dyDescent="0.25">
      <c r="A436" s="2"/>
      <c r="B436" t="s">
        <v>1131</v>
      </c>
      <c r="C436" t="s">
        <v>16</v>
      </c>
      <c r="D436" t="s">
        <v>86</v>
      </c>
      <c r="E436" t="s">
        <v>1126</v>
      </c>
      <c r="F436" t="s">
        <v>1127</v>
      </c>
      <c r="G436" t="s">
        <v>1132</v>
      </c>
      <c r="H436" s="3">
        <v>2168.0500000000002</v>
      </c>
      <c r="J436">
        <v>1</v>
      </c>
      <c r="K436">
        <v>9</v>
      </c>
      <c r="L436" s="4">
        <v>0.75416079589931295</v>
      </c>
      <c r="M436" s="4">
        <v>0.24583920410068699</v>
      </c>
      <c r="N436">
        <v>0</v>
      </c>
    </row>
    <row r="437" spans="1:14" x14ac:dyDescent="0.25">
      <c r="A437" s="2"/>
      <c r="B437" t="s">
        <v>1133</v>
      </c>
      <c r="C437" t="s">
        <v>16</v>
      </c>
      <c r="D437" t="s">
        <v>17</v>
      </c>
      <c r="E437" t="s">
        <v>1134</v>
      </c>
      <c r="F437" t="s">
        <v>1135</v>
      </c>
      <c r="G437" t="s">
        <v>1136</v>
      </c>
      <c r="H437" s="3">
        <v>2184.2199999999998</v>
      </c>
      <c r="I437">
        <v>853</v>
      </c>
      <c r="J437">
        <v>1</v>
      </c>
      <c r="K437">
        <v>41</v>
      </c>
      <c r="L437" s="4">
        <v>0.401962085347357</v>
      </c>
      <c r="M437" s="4">
        <v>0.598037914652643</v>
      </c>
      <c r="N437">
        <v>0</v>
      </c>
    </row>
    <row r="438" spans="1:14" x14ac:dyDescent="0.25">
      <c r="A438" s="2"/>
      <c r="B438" t="s">
        <v>1137</v>
      </c>
      <c r="C438" t="s">
        <v>16</v>
      </c>
      <c r="D438" t="s">
        <v>1138</v>
      </c>
      <c r="E438" t="s">
        <v>1139</v>
      </c>
      <c r="F438" t="s">
        <v>1140</v>
      </c>
      <c r="G438" t="s">
        <v>1141</v>
      </c>
      <c r="H438" s="3">
        <v>2383.94</v>
      </c>
      <c r="J438">
        <v>1</v>
      </c>
      <c r="K438">
        <v>11</v>
      </c>
      <c r="L438" s="4">
        <v>0.40792107165144897</v>
      </c>
      <c r="M438" s="4">
        <v>0.59207892834855103</v>
      </c>
      <c r="N438">
        <v>0</v>
      </c>
    </row>
    <row r="439" spans="1:14" x14ac:dyDescent="0.25">
      <c r="A439" s="2"/>
      <c r="C439" t="s">
        <v>28</v>
      </c>
      <c r="D439" t="s">
        <v>133</v>
      </c>
      <c r="E439" t="s">
        <v>1142</v>
      </c>
      <c r="F439" t="s">
        <v>1143</v>
      </c>
      <c r="G439" t="s">
        <v>1144</v>
      </c>
      <c r="H439" s="3">
        <v>2145.6</v>
      </c>
      <c r="I439">
        <v>940</v>
      </c>
      <c r="J439">
        <v>1</v>
      </c>
      <c r="K439">
        <v>48</v>
      </c>
      <c r="L439" s="4">
        <v>0.46150207825763201</v>
      </c>
      <c r="M439" s="4">
        <v>0.53849792174236799</v>
      </c>
      <c r="N439">
        <v>0</v>
      </c>
    </row>
    <row r="440" spans="1:14" x14ac:dyDescent="0.25">
      <c r="A440" s="2"/>
      <c r="B440" t="s">
        <v>1145</v>
      </c>
      <c r="C440" t="s">
        <v>16</v>
      </c>
      <c r="D440" t="s">
        <v>86</v>
      </c>
      <c r="E440" t="s">
        <v>1146</v>
      </c>
      <c r="F440" t="s">
        <v>1147</v>
      </c>
      <c r="G440" t="s">
        <v>1148</v>
      </c>
      <c r="H440" s="3">
        <v>2302.9299999999998</v>
      </c>
      <c r="I440">
        <v>800</v>
      </c>
      <c r="J440">
        <v>1</v>
      </c>
      <c r="K440">
        <v>34</v>
      </c>
      <c r="L440" s="4">
        <v>0.81961264082075402</v>
      </c>
      <c r="M440" s="4">
        <v>0.180387359179246</v>
      </c>
      <c r="N440">
        <v>0</v>
      </c>
    </row>
    <row r="441" spans="1:14" x14ac:dyDescent="0.25">
      <c r="A441" s="2"/>
      <c r="B441" t="s">
        <v>1149</v>
      </c>
      <c r="C441" t="s">
        <v>16</v>
      </c>
      <c r="D441" t="s">
        <v>86</v>
      </c>
      <c r="E441" t="s">
        <v>1150</v>
      </c>
      <c r="F441" t="s">
        <v>1151</v>
      </c>
      <c r="G441" t="s">
        <v>1152</v>
      </c>
      <c r="H441" s="3">
        <v>2260.3200000000002</v>
      </c>
      <c r="I441">
        <v>664</v>
      </c>
      <c r="J441">
        <v>1</v>
      </c>
      <c r="K441">
        <v>16</v>
      </c>
      <c r="L441" s="4">
        <v>0.47350316917485302</v>
      </c>
      <c r="M441" s="4">
        <v>0.52649683082514798</v>
      </c>
      <c r="N441">
        <v>0</v>
      </c>
    </row>
    <row r="442" spans="1:14" x14ac:dyDescent="0.25">
      <c r="A442" s="2">
        <v>23452318</v>
      </c>
      <c r="C442" t="s">
        <v>0</v>
      </c>
      <c r="D442" t="s">
        <v>86</v>
      </c>
      <c r="E442" t="s">
        <v>1150</v>
      </c>
      <c r="F442" t="s">
        <v>1153</v>
      </c>
      <c r="G442" t="s">
        <v>1154</v>
      </c>
      <c r="H442" s="3">
        <v>1834.77</v>
      </c>
      <c r="I442">
        <v>840</v>
      </c>
      <c r="J442">
        <v>1</v>
      </c>
      <c r="K442">
        <v>43</v>
      </c>
      <c r="L442" s="4">
        <v>0.49437125420681999</v>
      </c>
      <c r="M442" s="4">
        <v>0.50562874579317996</v>
      </c>
      <c r="N442">
        <v>0</v>
      </c>
    </row>
    <row r="443" spans="1:14" x14ac:dyDescent="0.25">
      <c r="A443" s="2"/>
      <c r="B443" t="s">
        <v>1155</v>
      </c>
      <c r="C443" t="s">
        <v>16</v>
      </c>
      <c r="D443" t="s">
        <v>69</v>
      </c>
      <c r="E443" t="s">
        <v>1156</v>
      </c>
      <c r="F443" t="s">
        <v>1157</v>
      </c>
      <c r="G443" t="s">
        <v>1158</v>
      </c>
      <c r="H443" s="3">
        <v>1831.38</v>
      </c>
      <c r="I443">
        <v>608</v>
      </c>
      <c r="J443">
        <v>0</v>
      </c>
      <c r="K443">
        <v>31</v>
      </c>
      <c r="L443" s="4">
        <v>0.141933175078652</v>
      </c>
      <c r="M443" s="4">
        <v>0.858066824921348</v>
      </c>
      <c r="N443">
        <v>0</v>
      </c>
    </row>
    <row r="444" spans="1:14" x14ac:dyDescent="0.25">
      <c r="A444" s="2"/>
      <c r="B444" t="s">
        <v>1159</v>
      </c>
      <c r="C444" t="s">
        <v>16</v>
      </c>
      <c r="D444" t="s">
        <v>69</v>
      </c>
      <c r="E444" t="s">
        <v>1160</v>
      </c>
      <c r="F444" t="s">
        <v>1161</v>
      </c>
      <c r="G444" t="s">
        <v>1162</v>
      </c>
      <c r="H444" s="3">
        <v>2258.39</v>
      </c>
      <c r="I444">
        <v>970</v>
      </c>
      <c r="J444">
        <v>1</v>
      </c>
      <c r="K444">
        <v>1</v>
      </c>
      <c r="L444" s="4">
        <v>0.76758568604954802</v>
      </c>
      <c r="M444" s="4">
        <v>0.23241431395045201</v>
      </c>
      <c r="N444">
        <v>0</v>
      </c>
    </row>
    <row r="445" spans="1:14" x14ac:dyDescent="0.25">
      <c r="A445" s="2"/>
      <c r="C445" t="s">
        <v>28</v>
      </c>
      <c r="D445" t="s">
        <v>1163</v>
      </c>
      <c r="E445" t="s">
        <v>1164</v>
      </c>
      <c r="F445" t="s">
        <v>1165</v>
      </c>
      <c r="G445" t="s">
        <v>1166</v>
      </c>
      <c r="H445" s="3">
        <v>1920</v>
      </c>
      <c r="I445">
        <v>790</v>
      </c>
      <c r="J445">
        <v>1</v>
      </c>
      <c r="K445">
        <v>33</v>
      </c>
      <c r="L445" s="4">
        <v>0.52654830484885096</v>
      </c>
      <c r="M445" s="4">
        <v>0.47345169515114899</v>
      </c>
      <c r="N445">
        <v>0</v>
      </c>
    </row>
    <row r="446" spans="1:14" x14ac:dyDescent="0.25">
      <c r="A446" s="2"/>
      <c r="C446" t="s">
        <v>28</v>
      </c>
      <c r="D446" t="s">
        <v>1163</v>
      </c>
      <c r="E446" t="s">
        <v>1164</v>
      </c>
      <c r="F446" t="s">
        <v>1165</v>
      </c>
      <c r="G446" t="s">
        <v>1167</v>
      </c>
      <c r="H446" s="3">
        <v>1920</v>
      </c>
      <c r="I446">
        <v>719</v>
      </c>
      <c r="J446">
        <v>1</v>
      </c>
      <c r="K446">
        <v>45</v>
      </c>
      <c r="L446" s="4">
        <v>0.88074785023039603</v>
      </c>
      <c r="M446" s="4">
        <v>0.11925214976960399</v>
      </c>
      <c r="N446">
        <v>0</v>
      </c>
    </row>
    <row r="447" spans="1:14" x14ac:dyDescent="0.25">
      <c r="A447" s="2"/>
      <c r="C447" t="s">
        <v>28</v>
      </c>
      <c r="D447" t="s">
        <v>1163</v>
      </c>
      <c r="E447" t="s">
        <v>1164</v>
      </c>
      <c r="F447" t="s">
        <v>1165</v>
      </c>
      <c r="G447" t="s">
        <v>1168</v>
      </c>
      <c r="H447" s="3">
        <v>1920</v>
      </c>
      <c r="I447">
        <v>923</v>
      </c>
      <c r="J447">
        <v>0</v>
      </c>
      <c r="K447">
        <v>37</v>
      </c>
      <c r="L447" s="4">
        <v>0.46062110570013698</v>
      </c>
      <c r="M447" s="4">
        <v>0.53937889429986297</v>
      </c>
      <c r="N447">
        <v>0</v>
      </c>
    </row>
    <row r="448" spans="1:14" x14ac:dyDescent="0.25">
      <c r="A448" s="2"/>
      <c r="B448" t="s">
        <v>1169</v>
      </c>
      <c r="C448" t="s">
        <v>16</v>
      </c>
      <c r="D448" t="s">
        <v>121</v>
      </c>
      <c r="E448" t="s">
        <v>1170</v>
      </c>
      <c r="F448" t="s">
        <v>1171</v>
      </c>
      <c r="G448" t="s">
        <v>1172</v>
      </c>
      <c r="H448" s="3">
        <v>1334.15</v>
      </c>
      <c r="I448">
        <v>503</v>
      </c>
      <c r="J448">
        <v>0</v>
      </c>
      <c r="K448">
        <v>9</v>
      </c>
      <c r="L448" s="4">
        <v>0.47939776614136198</v>
      </c>
      <c r="M448" s="4">
        <v>0.52060223385863802</v>
      </c>
      <c r="N448">
        <v>0</v>
      </c>
    </row>
    <row r="449" spans="1:14" x14ac:dyDescent="0.25">
      <c r="A449" s="2"/>
      <c r="B449" t="s">
        <v>1173</v>
      </c>
      <c r="C449" t="s">
        <v>16</v>
      </c>
      <c r="D449" t="s">
        <v>86</v>
      </c>
      <c r="E449" t="s">
        <v>1174</v>
      </c>
      <c r="F449" t="s">
        <v>1175</v>
      </c>
      <c r="G449" t="s">
        <v>1176</v>
      </c>
      <c r="H449" s="3">
        <v>2329.11</v>
      </c>
      <c r="J449">
        <v>1</v>
      </c>
      <c r="L449" s="4">
        <v>0.20703167190253999</v>
      </c>
      <c r="M449" s="4">
        <v>0.79296832809745998</v>
      </c>
      <c r="N449">
        <v>0</v>
      </c>
    </row>
    <row r="450" spans="1:14" x14ac:dyDescent="0.25">
      <c r="A450" s="2"/>
      <c r="B450" t="s">
        <v>1177</v>
      </c>
      <c r="C450" t="s">
        <v>16</v>
      </c>
      <c r="D450" t="s">
        <v>333</v>
      </c>
      <c r="E450" t="s">
        <v>1178</v>
      </c>
      <c r="F450" t="s">
        <v>1179</v>
      </c>
      <c r="G450" t="s">
        <v>1180</v>
      </c>
      <c r="H450" s="3">
        <v>743.85</v>
      </c>
      <c r="I450">
        <v>730</v>
      </c>
      <c r="J450">
        <v>0</v>
      </c>
      <c r="K450">
        <v>45</v>
      </c>
      <c r="L450" s="4">
        <v>0.178566603780483</v>
      </c>
      <c r="M450" s="4">
        <v>0.82143339621951705</v>
      </c>
      <c r="N450">
        <v>0</v>
      </c>
    </row>
    <row r="451" spans="1:14" x14ac:dyDescent="0.25">
      <c r="A451" s="2"/>
      <c r="B451" t="s">
        <v>1181</v>
      </c>
      <c r="C451" t="s">
        <v>16</v>
      </c>
      <c r="D451" t="s">
        <v>86</v>
      </c>
      <c r="E451" t="s">
        <v>1182</v>
      </c>
      <c r="F451" t="s">
        <v>1183</v>
      </c>
      <c r="G451" t="s">
        <v>1184</v>
      </c>
      <c r="H451" s="3">
        <v>2864.53</v>
      </c>
      <c r="J451">
        <v>0</v>
      </c>
      <c r="K451">
        <v>39</v>
      </c>
      <c r="L451" s="4">
        <v>0.190556306596638</v>
      </c>
      <c r="M451" s="4">
        <v>0.80944369340336197</v>
      </c>
      <c r="N451">
        <v>0</v>
      </c>
    </row>
    <row r="452" spans="1:14" x14ac:dyDescent="0.25">
      <c r="A452" s="2"/>
      <c r="B452" t="s">
        <v>1185</v>
      </c>
      <c r="C452" t="s">
        <v>16</v>
      </c>
      <c r="D452" t="s">
        <v>110</v>
      </c>
      <c r="E452" t="s">
        <v>1186</v>
      </c>
      <c r="F452" t="s">
        <v>1187</v>
      </c>
      <c r="G452" t="s">
        <v>1188</v>
      </c>
      <c r="H452" s="3">
        <v>1700</v>
      </c>
      <c r="I452">
        <v>297</v>
      </c>
      <c r="J452">
        <v>0</v>
      </c>
      <c r="K452">
        <v>2</v>
      </c>
      <c r="L452" s="4">
        <v>0.62011217649222095</v>
      </c>
      <c r="M452" s="4">
        <v>0.37988782350778</v>
      </c>
      <c r="N452">
        <v>0</v>
      </c>
    </row>
    <row r="453" spans="1:14" x14ac:dyDescent="0.25">
      <c r="A453" s="2"/>
      <c r="C453" t="s">
        <v>28</v>
      </c>
      <c r="D453" t="s">
        <v>110</v>
      </c>
      <c r="E453" t="s">
        <v>1186</v>
      </c>
      <c r="F453" t="s">
        <v>1187</v>
      </c>
      <c r="G453" t="s">
        <v>1189</v>
      </c>
      <c r="H453" s="3">
        <v>2625.6</v>
      </c>
      <c r="I453">
        <v>543</v>
      </c>
      <c r="J453">
        <v>1</v>
      </c>
      <c r="K453">
        <v>39</v>
      </c>
      <c r="L453" s="4">
        <v>0.94526366216566304</v>
      </c>
      <c r="M453" s="4">
        <v>5.4736337834337297E-2</v>
      </c>
      <c r="N453">
        <v>0</v>
      </c>
    </row>
    <row r="454" spans="1:14" x14ac:dyDescent="0.25">
      <c r="A454" s="2"/>
      <c r="B454" t="s">
        <v>1190</v>
      </c>
      <c r="C454" t="s">
        <v>16</v>
      </c>
      <c r="D454" t="s">
        <v>110</v>
      </c>
      <c r="E454" t="s">
        <v>1186</v>
      </c>
      <c r="F454" t="s">
        <v>1187</v>
      </c>
      <c r="G454" t="s">
        <v>1191</v>
      </c>
      <c r="H454" s="3">
        <v>1700</v>
      </c>
      <c r="I454">
        <v>923</v>
      </c>
      <c r="J454">
        <v>0</v>
      </c>
      <c r="K454">
        <v>20</v>
      </c>
      <c r="L454" s="4">
        <v>3.7230212058690801E-2</v>
      </c>
      <c r="M454" s="4">
        <v>0.96276978794130896</v>
      </c>
      <c r="N454">
        <v>0</v>
      </c>
    </row>
    <row r="455" spans="1:14" x14ac:dyDescent="0.25">
      <c r="A455" s="2">
        <v>23884064</v>
      </c>
      <c r="C455" t="s">
        <v>0</v>
      </c>
      <c r="D455" t="s">
        <v>110</v>
      </c>
      <c r="E455" t="s">
        <v>1186</v>
      </c>
      <c r="F455" t="s">
        <v>1187</v>
      </c>
      <c r="G455" t="s">
        <v>1192</v>
      </c>
      <c r="H455" s="3">
        <v>2625.6</v>
      </c>
      <c r="I455">
        <v>36</v>
      </c>
      <c r="K455">
        <v>7</v>
      </c>
      <c r="L455" s="4">
        <v>0.30032859661030997</v>
      </c>
      <c r="M455" s="4">
        <v>0.69967140338969003</v>
      </c>
      <c r="N455">
        <v>0</v>
      </c>
    </row>
    <row r="456" spans="1:14" x14ac:dyDescent="0.25">
      <c r="A456" s="2"/>
      <c r="B456" t="s">
        <v>1193</v>
      </c>
      <c r="C456" t="s">
        <v>16</v>
      </c>
      <c r="D456" t="s">
        <v>110</v>
      </c>
      <c r="E456" t="s">
        <v>1186</v>
      </c>
      <c r="F456" t="s">
        <v>1187</v>
      </c>
      <c r="G456" t="s">
        <v>1194</v>
      </c>
      <c r="H456" s="3">
        <v>1700</v>
      </c>
      <c r="I456">
        <v>42</v>
      </c>
      <c r="J456">
        <v>0</v>
      </c>
      <c r="K456">
        <v>46</v>
      </c>
      <c r="L456" s="4">
        <v>2.11175423152653E-2</v>
      </c>
      <c r="M456" s="4">
        <v>0.97888245768473503</v>
      </c>
      <c r="N456">
        <v>0</v>
      </c>
    </row>
    <row r="457" spans="1:14" x14ac:dyDescent="0.25">
      <c r="A457" s="2"/>
      <c r="B457" t="s">
        <v>1195</v>
      </c>
      <c r="C457" t="s">
        <v>16</v>
      </c>
      <c r="D457" t="s">
        <v>110</v>
      </c>
      <c r="E457" t="s">
        <v>1186</v>
      </c>
      <c r="F457" t="s">
        <v>1196</v>
      </c>
      <c r="G457" t="s">
        <v>1197</v>
      </c>
      <c r="H457" s="3">
        <v>2040</v>
      </c>
      <c r="J457">
        <v>1</v>
      </c>
      <c r="L457" s="4">
        <v>0.40201333256027499</v>
      </c>
      <c r="M457" s="4">
        <v>0.59798666743972495</v>
      </c>
      <c r="N457">
        <v>0</v>
      </c>
    </row>
    <row r="458" spans="1:14" x14ac:dyDescent="0.25">
      <c r="A458" s="2"/>
      <c r="B458" t="s">
        <v>1198</v>
      </c>
      <c r="C458" t="s">
        <v>16</v>
      </c>
      <c r="D458" t="s">
        <v>17</v>
      </c>
      <c r="E458" t="s">
        <v>1199</v>
      </c>
      <c r="F458" t="s">
        <v>1200</v>
      </c>
      <c r="G458" t="s">
        <v>1201</v>
      </c>
      <c r="H458" s="3">
        <v>2455.8200000000002</v>
      </c>
      <c r="I458">
        <v>540</v>
      </c>
      <c r="J458">
        <v>1</v>
      </c>
      <c r="K458">
        <v>46</v>
      </c>
      <c r="L458" s="4">
        <v>0.24586514076664701</v>
      </c>
      <c r="M458" s="4">
        <v>0.75413485923335399</v>
      </c>
      <c r="N458">
        <v>0</v>
      </c>
    </row>
    <row r="459" spans="1:14" x14ac:dyDescent="0.25">
      <c r="A459" s="2"/>
      <c r="B459" t="s">
        <v>1202</v>
      </c>
      <c r="C459" t="s">
        <v>16</v>
      </c>
      <c r="D459" t="s">
        <v>148</v>
      </c>
      <c r="E459" t="s">
        <v>1203</v>
      </c>
      <c r="F459" t="s">
        <v>1204</v>
      </c>
      <c r="G459" t="s">
        <v>1205</v>
      </c>
      <c r="H459" s="3">
        <v>1242</v>
      </c>
      <c r="I459">
        <v>609</v>
      </c>
      <c r="J459">
        <v>0</v>
      </c>
      <c r="K459">
        <v>43</v>
      </c>
      <c r="L459" s="4">
        <v>0.49203979674820902</v>
      </c>
      <c r="M459" s="4">
        <v>0.50796020325179103</v>
      </c>
      <c r="N459">
        <v>0</v>
      </c>
    </row>
    <row r="460" spans="1:14" x14ac:dyDescent="0.25">
      <c r="A460" s="2"/>
      <c r="B460" t="s">
        <v>1206</v>
      </c>
      <c r="C460" t="s">
        <v>16</v>
      </c>
      <c r="D460" t="s">
        <v>17</v>
      </c>
      <c r="E460" t="s">
        <v>1207</v>
      </c>
      <c r="F460" t="s">
        <v>1208</v>
      </c>
      <c r="G460" t="s">
        <v>1209</v>
      </c>
      <c r="H460" s="3">
        <v>2262.3000000000002</v>
      </c>
      <c r="I460">
        <v>497</v>
      </c>
      <c r="J460">
        <v>1</v>
      </c>
      <c r="K460">
        <v>32</v>
      </c>
      <c r="L460" s="4">
        <v>0.52572072574858197</v>
      </c>
      <c r="M460" s="4">
        <v>0.47427927425141803</v>
      </c>
      <c r="N460">
        <v>0</v>
      </c>
    </row>
    <row r="461" spans="1:14" x14ac:dyDescent="0.25">
      <c r="A461" s="2"/>
      <c r="B461" t="s">
        <v>1210</v>
      </c>
      <c r="C461" t="s">
        <v>16</v>
      </c>
      <c r="D461" t="s">
        <v>86</v>
      </c>
      <c r="E461" t="s">
        <v>1211</v>
      </c>
      <c r="F461" t="s">
        <v>1212</v>
      </c>
      <c r="G461" t="s">
        <v>1213</v>
      </c>
      <c r="H461" s="3">
        <v>2314.69</v>
      </c>
      <c r="I461">
        <v>28</v>
      </c>
      <c r="J461">
        <v>0</v>
      </c>
      <c r="K461">
        <v>35</v>
      </c>
      <c r="L461" s="4">
        <v>0.81857947162657496</v>
      </c>
      <c r="M461" s="4">
        <v>0.18142052837342501</v>
      </c>
      <c r="N461">
        <v>0</v>
      </c>
    </row>
    <row r="462" spans="1:14" x14ac:dyDescent="0.25">
      <c r="A462" s="2"/>
      <c r="B462" t="s">
        <v>1214</v>
      </c>
      <c r="C462" t="s">
        <v>16</v>
      </c>
      <c r="D462" t="s">
        <v>110</v>
      </c>
      <c r="E462" t="s">
        <v>1186</v>
      </c>
      <c r="F462" t="s">
        <v>1187</v>
      </c>
      <c r="G462" t="s">
        <v>1215</v>
      </c>
      <c r="H462" s="3">
        <v>2040</v>
      </c>
      <c r="I462">
        <v>562</v>
      </c>
      <c r="J462">
        <v>1</v>
      </c>
      <c r="K462">
        <v>3</v>
      </c>
      <c r="L462" s="4">
        <v>2.6586877341808701E-2</v>
      </c>
      <c r="M462" s="4">
        <v>0.97341312265819102</v>
      </c>
      <c r="N462">
        <v>0</v>
      </c>
    </row>
    <row r="463" spans="1:14" x14ac:dyDescent="0.25">
      <c r="A463" s="2"/>
      <c r="C463" t="s">
        <v>28</v>
      </c>
      <c r="D463" t="s">
        <v>17</v>
      </c>
      <c r="E463" t="s">
        <v>1216</v>
      </c>
      <c r="F463" t="s">
        <v>1217</v>
      </c>
      <c r="G463" t="s">
        <v>1218</v>
      </c>
      <c r="H463" s="3">
        <v>1473.92</v>
      </c>
      <c r="I463">
        <v>305</v>
      </c>
      <c r="J463">
        <v>1</v>
      </c>
      <c r="K463">
        <v>3</v>
      </c>
      <c r="L463" s="4">
        <v>0.19761694455647</v>
      </c>
      <c r="M463" s="4">
        <v>0.80238305544352995</v>
      </c>
      <c r="N463">
        <v>0</v>
      </c>
    </row>
    <row r="464" spans="1:14" x14ac:dyDescent="0.25">
      <c r="A464" s="2"/>
      <c r="C464" t="s">
        <v>28</v>
      </c>
      <c r="D464" t="s">
        <v>17</v>
      </c>
      <c r="E464" t="s">
        <v>1219</v>
      </c>
      <c r="F464" t="s">
        <v>1220</v>
      </c>
      <c r="G464" t="s">
        <v>1221</v>
      </c>
      <c r="H464" s="3">
        <v>1439.45</v>
      </c>
      <c r="I464">
        <v>77</v>
      </c>
      <c r="J464">
        <v>0</v>
      </c>
      <c r="K464">
        <v>49</v>
      </c>
      <c r="L464" s="4">
        <v>0.85441919381281795</v>
      </c>
      <c r="M464" s="4">
        <v>0.145580806187182</v>
      </c>
      <c r="N464">
        <v>0</v>
      </c>
    </row>
    <row r="465" spans="1:14" x14ac:dyDescent="0.25">
      <c r="A465" s="2"/>
      <c r="C465" t="s">
        <v>28</v>
      </c>
      <c r="D465" t="s">
        <v>69</v>
      </c>
      <c r="E465" t="s">
        <v>1222</v>
      </c>
      <c r="F465" t="s">
        <v>1223</v>
      </c>
      <c r="G465" t="s">
        <v>1224</v>
      </c>
      <c r="H465" s="3">
        <v>1903.03</v>
      </c>
      <c r="I465">
        <v>137</v>
      </c>
      <c r="J465">
        <v>1</v>
      </c>
      <c r="L465" s="4">
        <v>0.45537555357477399</v>
      </c>
      <c r="M465" s="4">
        <v>0.54462444642522601</v>
      </c>
      <c r="N465">
        <v>0</v>
      </c>
    </row>
    <row r="466" spans="1:14" x14ac:dyDescent="0.25">
      <c r="A466" s="2"/>
      <c r="B466" t="s">
        <v>1225</v>
      </c>
      <c r="C466" t="s">
        <v>16</v>
      </c>
      <c r="D466" t="s">
        <v>69</v>
      </c>
      <c r="E466" t="s">
        <v>1226</v>
      </c>
      <c r="F466" t="s">
        <v>975</v>
      </c>
      <c r="G466" t="s">
        <v>1227</v>
      </c>
      <c r="H466" s="3">
        <v>1989.65</v>
      </c>
      <c r="I466">
        <v>684</v>
      </c>
      <c r="J466">
        <v>0</v>
      </c>
      <c r="K466">
        <v>48</v>
      </c>
      <c r="L466" s="4">
        <v>0.19272920901847301</v>
      </c>
      <c r="M466" s="4">
        <v>0.80727079098152699</v>
      </c>
      <c r="N466">
        <v>0</v>
      </c>
    </row>
    <row r="467" spans="1:14" x14ac:dyDescent="0.25">
      <c r="A467" s="2"/>
      <c r="B467" t="s">
        <v>1228</v>
      </c>
      <c r="C467" t="s">
        <v>16</v>
      </c>
      <c r="D467" t="s">
        <v>547</v>
      </c>
      <c r="E467" t="s">
        <v>1229</v>
      </c>
      <c r="F467" t="s">
        <v>1230</v>
      </c>
      <c r="G467" t="s">
        <v>1231</v>
      </c>
      <c r="H467" s="3">
        <v>1679.71</v>
      </c>
      <c r="I467">
        <v>923</v>
      </c>
      <c r="J467">
        <v>1</v>
      </c>
      <c r="L467" s="4">
        <v>7.6458926072746999E-2</v>
      </c>
      <c r="M467" s="4">
        <v>0.92354107392725304</v>
      </c>
      <c r="N467">
        <v>0</v>
      </c>
    </row>
    <row r="468" spans="1:14" x14ac:dyDescent="0.25">
      <c r="A468" s="2"/>
      <c r="B468" t="s">
        <v>1232</v>
      </c>
      <c r="C468" t="s">
        <v>16</v>
      </c>
      <c r="D468" t="s">
        <v>17</v>
      </c>
      <c r="E468" t="s">
        <v>1233</v>
      </c>
      <c r="F468" t="s">
        <v>1234</v>
      </c>
      <c r="G468" t="s">
        <v>1235</v>
      </c>
      <c r="H468" s="3">
        <v>2386.4699999999998</v>
      </c>
      <c r="I468">
        <v>442</v>
      </c>
      <c r="J468">
        <v>0</v>
      </c>
      <c r="K468">
        <v>18</v>
      </c>
      <c r="L468" s="4">
        <v>0.42029876614610601</v>
      </c>
      <c r="M468" s="4">
        <v>0.57970123385389405</v>
      </c>
      <c r="N468">
        <v>0</v>
      </c>
    </row>
    <row r="469" spans="1:14" x14ac:dyDescent="0.25">
      <c r="A469" s="2">
        <v>23773550</v>
      </c>
      <c r="B469" t="s">
        <v>1236</v>
      </c>
      <c r="C469" t="s">
        <v>31</v>
      </c>
      <c r="D469" t="s">
        <v>17</v>
      </c>
      <c r="E469" t="s">
        <v>1233</v>
      </c>
      <c r="G469" t="s">
        <v>1237</v>
      </c>
      <c r="H469" s="3">
        <v>1319.74</v>
      </c>
      <c r="I469">
        <v>591</v>
      </c>
      <c r="J469">
        <v>1</v>
      </c>
      <c r="K469">
        <v>22</v>
      </c>
      <c r="L469" s="4">
        <v>0.36694507296551299</v>
      </c>
      <c r="M469" s="4">
        <v>0.63305492703448696</v>
      </c>
      <c r="N469">
        <v>0</v>
      </c>
    </row>
    <row r="470" spans="1:14" x14ac:dyDescent="0.25">
      <c r="A470" s="2">
        <v>23143153</v>
      </c>
      <c r="B470" t="s">
        <v>1238</v>
      </c>
      <c r="C470" t="s">
        <v>31</v>
      </c>
      <c r="D470" t="s">
        <v>17</v>
      </c>
      <c r="E470" t="s">
        <v>1233</v>
      </c>
      <c r="G470" t="s">
        <v>1239</v>
      </c>
      <c r="H470" s="3">
        <v>2330.13</v>
      </c>
      <c r="J470">
        <v>0</v>
      </c>
      <c r="K470">
        <v>37</v>
      </c>
      <c r="L470" s="4">
        <v>0.18761474317493099</v>
      </c>
      <c r="M470" s="4">
        <v>0.81238525682506901</v>
      </c>
      <c r="N470">
        <v>0</v>
      </c>
    </row>
    <row r="471" spans="1:14" x14ac:dyDescent="0.25">
      <c r="A471" s="2"/>
      <c r="C471" t="s">
        <v>28</v>
      </c>
      <c r="D471" t="s">
        <v>17</v>
      </c>
      <c r="E471" t="s">
        <v>1240</v>
      </c>
      <c r="F471" t="s">
        <v>1241</v>
      </c>
      <c r="G471" t="s">
        <v>1242</v>
      </c>
      <c r="H471" s="3">
        <v>1758.99</v>
      </c>
      <c r="I471">
        <v>694</v>
      </c>
      <c r="J471">
        <v>1</v>
      </c>
      <c r="K471">
        <v>29</v>
      </c>
      <c r="L471" s="4">
        <v>0.88492866807884796</v>
      </c>
      <c r="M471" s="4">
        <v>0.115071331921152</v>
      </c>
      <c r="N471">
        <v>0</v>
      </c>
    </row>
    <row r="472" spans="1:14" x14ac:dyDescent="0.25">
      <c r="A472" s="2"/>
      <c r="B472" t="s">
        <v>1243</v>
      </c>
      <c r="C472" t="s">
        <v>16</v>
      </c>
      <c r="D472" t="s">
        <v>17</v>
      </c>
      <c r="E472" t="s">
        <v>1240</v>
      </c>
      <c r="F472" t="s">
        <v>1241</v>
      </c>
      <c r="G472" t="s">
        <v>1244</v>
      </c>
      <c r="H472" s="3">
        <v>2058.64</v>
      </c>
      <c r="I472">
        <v>701</v>
      </c>
      <c r="J472">
        <v>0</v>
      </c>
      <c r="K472">
        <v>22</v>
      </c>
      <c r="L472" s="4">
        <v>0.499326113481388</v>
      </c>
      <c r="M472" s="4">
        <v>0.500673886518612</v>
      </c>
      <c r="N472">
        <v>0</v>
      </c>
    </row>
    <row r="473" spans="1:14" x14ac:dyDescent="0.25">
      <c r="A473" s="2"/>
      <c r="C473" t="s">
        <v>28</v>
      </c>
      <c r="D473" t="s">
        <v>17</v>
      </c>
      <c r="E473" t="s">
        <v>1240</v>
      </c>
      <c r="F473" t="s">
        <v>1241</v>
      </c>
      <c r="G473" t="s">
        <v>1245</v>
      </c>
      <c r="H473" s="3">
        <v>2345.19</v>
      </c>
      <c r="I473">
        <v>96</v>
      </c>
      <c r="J473">
        <v>1</v>
      </c>
      <c r="K473">
        <v>5</v>
      </c>
      <c r="L473" s="4">
        <v>0.69497894393628701</v>
      </c>
      <c r="M473" s="4">
        <v>0.30502105606371299</v>
      </c>
      <c r="N473">
        <v>0</v>
      </c>
    </row>
    <row r="474" spans="1:14" x14ac:dyDescent="0.25">
      <c r="A474" s="2"/>
      <c r="C474" t="s">
        <v>28</v>
      </c>
      <c r="D474" t="s">
        <v>17</v>
      </c>
      <c r="E474" t="s">
        <v>1240</v>
      </c>
      <c r="F474" t="s">
        <v>1241</v>
      </c>
      <c r="G474" t="s">
        <v>1246</v>
      </c>
      <c r="H474" s="3">
        <v>2351.06</v>
      </c>
      <c r="I474">
        <v>551</v>
      </c>
      <c r="J474">
        <v>0</v>
      </c>
      <c r="K474">
        <v>44</v>
      </c>
      <c r="L474" s="4">
        <v>0.435973982370502</v>
      </c>
      <c r="M474" s="4">
        <v>0.564026017629498</v>
      </c>
      <c r="N474">
        <v>0</v>
      </c>
    </row>
    <row r="475" spans="1:14" x14ac:dyDescent="0.25">
      <c r="A475" s="2"/>
      <c r="C475" t="s">
        <v>28</v>
      </c>
      <c r="D475" t="s">
        <v>17</v>
      </c>
      <c r="E475" t="s">
        <v>1240</v>
      </c>
      <c r="F475" t="s">
        <v>1241</v>
      </c>
      <c r="G475" t="s">
        <v>1247</v>
      </c>
      <c r="H475" s="3">
        <v>2420.79</v>
      </c>
      <c r="I475">
        <v>51</v>
      </c>
      <c r="J475">
        <v>1</v>
      </c>
      <c r="K475">
        <v>16</v>
      </c>
      <c r="L475" s="4">
        <v>0.63495021620922498</v>
      </c>
      <c r="M475" s="4">
        <v>0.36504978379077502</v>
      </c>
      <c r="N475">
        <v>0</v>
      </c>
    </row>
    <row r="476" spans="1:14" x14ac:dyDescent="0.25">
      <c r="A476" s="2"/>
      <c r="B476" t="s">
        <v>1248</v>
      </c>
      <c r="C476" t="s">
        <v>16</v>
      </c>
      <c r="D476" t="s">
        <v>1249</v>
      </c>
      <c r="E476" t="s">
        <v>1240</v>
      </c>
      <c r="F476" t="s">
        <v>1241</v>
      </c>
      <c r="G476" t="s">
        <v>1250</v>
      </c>
      <c r="H476" s="3">
        <v>2380.79</v>
      </c>
      <c r="I476">
        <v>196</v>
      </c>
      <c r="J476">
        <v>1</v>
      </c>
      <c r="K476">
        <v>38</v>
      </c>
      <c r="L476" s="4">
        <v>0.170265415593914</v>
      </c>
      <c r="M476" s="4">
        <v>0.82973458440608605</v>
      </c>
      <c r="N476">
        <v>0</v>
      </c>
    </row>
    <row r="477" spans="1:14" x14ac:dyDescent="0.25">
      <c r="A477" s="2"/>
      <c r="B477" t="s">
        <v>1251</v>
      </c>
      <c r="C477" t="s">
        <v>16</v>
      </c>
      <c r="D477" t="s">
        <v>148</v>
      </c>
      <c r="E477" t="s">
        <v>1252</v>
      </c>
      <c r="F477" t="s">
        <v>1253</v>
      </c>
      <c r="G477" t="s">
        <v>1254</v>
      </c>
      <c r="H477" s="3">
        <v>1302</v>
      </c>
      <c r="I477">
        <v>941</v>
      </c>
      <c r="J477">
        <v>1</v>
      </c>
      <c r="K477">
        <v>33</v>
      </c>
      <c r="L477" s="4">
        <v>0.50520525186076004</v>
      </c>
      <c r="M477" s="4">
        <v>0.49479474813924101</v>
      </c>
      <c r="N477">
        <v>0</v>
      </c>
    </row>
    <row r="478" spans="1:14" x14ac:dyDescent="0.25">
      <c r="A478" s="2"/>
      <c r="B478" t="s">
        <v>1255</v>
      </c>
      <c r="C478" t="s">
        <v>16</v>
      </c>
      <c r="D478" t="s">
        <v>86</v>
      </c>
      <c r="E478" t="s">
        <v>1256</v>
      </c>
      <c r="F478" t="s">
        <v>1257</v>
      </c>
      <c r="G478" t="s">
        <v>1258</v>
      </c>
      <c r="H478" s="3">
        <v>2377.65</v>
      </c>
      <c r="I478">
        <v>664</v>
      </c>
      <c r="J478">
        <v>0</v>
      </c>
      <c r="K478">
        <v>41</v>
      </c>
      <c r="L478" s="4">
        <v>0.494059228540632</v>
      </c>
      <c r="M478" s="4">
        <v>0.505940771459368</v>
      </c>
      <c r="N478">
        <v>0</v>
      </c>
    </row>
    <row r="479" spans="1:14" x14ac:dyDescent="0.25">
      <c r="A479" s="2">
        <v>23394834</v>
      </c>
      <c r="B479" t="s">
        <v>1259</v>
      </c>
      <c r="C479" t="s">
        <v>31</v>
      </c>
      <c r="D479" t="s">
        <v>17</v>
      </c>
      <c r="E479" t="s">
        <v>1260</v>
      </c>
      <c r="F479" t="s">
        <v>1261</v>
      </c>
      <c r="G479" t="s">
        <v>1262</v>
      </c>
      <c r="H479" s="3">
        <v>4151.7700000000004</v>
      </c>
      <c r="I479">
        <v>776</v>
      </c>
      <c r="J479">
        <v>1</v>
      </c>
      <c r="K479">
        <v>28</v>
      </c>
      <c r="L479" s="4">
        <v>2.2954020932935401E-2</v>
      </c>
      <c r="M479" s="4">
        <v>0.97704597906706503</v>
      </c>
      <c r="N479">
        <v>0</v>
      </c>
    </row>
    <row r="480" spans="1:14" x14ac:dyDescent="0.25">
      <c r="A480" s="2">
        <v>23885220</v>
      </c>
      <c r="B480" t="s">
        <v>1263</v>
      </c>
      <c r="C480" t="s">
        <v>31</v>
      </c>
      <c r="D480" t="s">
        <v>1264</v>
      </c>
      <c r="E480" t="s">
        <v>1265</v>
      </c>
      <c r="F480" t="s">
        <v>1266</v>
      </c>
      <c r="G480" t="s">
        <v>1267</v>
      </c>
      <c r="H480" s="3">
        <v>2142.9899999999998</v>
      </c>
      <c r="I480">
        <v>839</v>
      </c>
      <c r="J480">
        <v>0</v>
      </c>
      <c r="K480">
        <v>35</v>
      </c>
      <c r="L480" s="4">
        <v>0.59408628272013597</v>
      </c>
      <c r="M480" s="4">
        <v>0.40591371727986503</v>
      </c>
      <c r="N480">
        <v>0</v>
      </c>
    </row>
    <row r="481" spans="1:14" x14ac:dyDescent="0.25">
      <c r="A481" s="2"/>
      <c r="B481" t="s">
        <v>1268</v>
      </c>
      <c r="C481" t="s">
        <v>16</v>
      </c>
      <c r="D481" t="s">
        <v>69</v>
      </c>
      <c r="E481" t="s">
        <v>1269</v>
      </c>
      <c r="F481" t="s">
        <v>1270</v>
      </c>
      <c r="G481" t="s">
        <v>1271</v>
      </c>
      <c r="H481" s="3">
        <v>2147.11</v>
      </c>
      <c r="I481">
        <v>660</v>
      </c>
      <c r="J481">
        <v>1</v>
      </c>
      <c r="K481">
        <v>8</v>
      </c>
      <c r="L481" s="4">
        <v>0.50886473846136304</v>
      </c>
      <c r="M481" s="4">
        <v>0.49113526153863701</v>
      </c>
      <c r="N481">
        <v>0</v>
      </c>
    </row>
    <row r="482" spans="1:14" x14ac:dyDescent="0.25">
      <c r="A482" s="2"/>
      <c r="C482" t="s">
        <v>28</v>
      </c>
      <c r="D482" t="s">
        <v>69</v>
      </c>
      <c r="E482" t="s">
        <v>1269</v>
      </c>
      <c r="F482" t="s">
        <v>1270</v>
      </c>
      <c r="G482" t="s">
        <v>1272</v>
      </c>
      <c r="H482" s="3">
        <v>2311.54</v>
      </c>
      <c r="I482">
        <v>472</v>
      </c>
      <c r="J482">
        <v>0</v>
      </c>
      <c r="K482">
        <v>33</v>
      </c>
      <c r="L482" s="4">
        <v>0.14419490625112699</v>
      </c>
      <c r="M482" s="4">
        <v>0.85580509374887304</v>
      </c>
      <c r="N482">
        <v>0</v>
      </c>
    </row>
    <row r="483" spans="1:14" x14ac:dyDescent="0.25">
      <c r="A483" s="2"/>
      <c r="B483" t="s">
        <v>1273</v>
      </c>
      <c r="C483" t="s">
        <v>16</v>
      </c>
      <c r="D483" t="s">
        <v>17</v>
      </c>
      <c r="E483" t="s">
        <v>1260</v>
      </c>
      <c r="F483" t="s">
        <v>1261</v>
      </c>
      <c r="G483" t="s">
        <v>1274</v>
      </c>
      <c r="H483" s="3">
        <v>348.33</v>
      </c>
      <c r="I483">
        <v>334</v>
      </c>
      <c r="J483">
        <v>0</v>
      </c>
      <c r="K483">
        <v>45</v>
      </c>
      <c r="L483" s="4">
        <v>0.32471119137321303</v>
      </c>
      <c r="M483" s="4">
        <v>0.67528880862678697</v>
      </c>
      <c r="N483">
        <v>0</v>
      </c>
    </row>
    <row r="484" spans="1:14" x14ac:dyDescent="0.25">
      <c r="A484" s="2">
        <v>23103187</v>
      </c>
      <c r="B484" t="s">
        <v>1275</v>
      </c>
      <c r="C484" t="s">
        <v>31</v>
      </c>
      <c r="D484" t="s">
        <v>17</v>
      </c>
      <c r="E484" t="s">
        <v>1260</v>
      </c>
      <c r="F484" t="s">
        <v>1261</v>
      </c>
      <c r="G484" t="s">
        <v>1276</v>
      </c>
      <c r="H484" s="3">
        <v>3213.28</v>
      </c>
      <c r="I484">
        <v>681</v>
      </c>
      <c r="J484">
        <v>1</v>
      </c>
      <c r="L484" s="4">
        <v>0.83018137163198302</v>
      </c>
      <c r="M484" s="4">
        <v>0.16981862836801701</v>
      </c>
      <c r="N484">
        <v>0</v>
      </c>
    </row>
    <row r="485" spans="1:14" x14ac:dyDescent="0.25">
      <c r="A485" s="2"/>
      <c r="B485" t="s">
        <v>1277</v>
      </c>
      <c r="C485" t="s">
        <v>16</v>
      </c>
      <c r="D485" t="s">
        <v>17</v>
      </c>
      <c r="E485" t="s">
        <v>1260</v>
      </c>
      <c r="F485" t="s">
        <v>1261</v>
      </c>
      <c r="G485" t="s">
        <v>1278</v>
      </c>
      <c r="H485" s="3">
        <v>3635.15</v>
      </c>
      <c r="I485">
        <v>578</v>
      </c>
      <c r="J485">
        <v>0</v>
      </c>
      <c r="K485">
        <v>7</v>
      </c>
      <c r="L485" s="4">
        <v>0.68160465593562503</v>
      </c>
      <c r="M485" s="4">
        <v>0.31839534406437497</v>
      </c>
      <c r="N485">
        <v>0</v>
      </c>
    </row>
    <row r="486" spans="1:14" x14ac:dyDescent="0.25">
      <c r="A486" s="2"/>
      <c r="B486" t="s">
        <v>1279</v>
      </c>
      <c r="C486" t="s">
        <v>16</v>
      </c>
      <c r="D486" t="s">
        <v>17</v>
      </c>
      <c r="E486" t="s">
        <v>1260</v>
      </c>
      <c r="F486" t="s">
        <v>1261</v>
      </c>
      <c r="G486" t="s">
        <v>1280</v>
      </c>
      <c r="H486" s="3">
        <v>3798.93</v>
      </c>
      <c r="I486">
        <v>628</v>
      </c>
      <c r="J486">
        <v>1</v>
      </c>
      <c r="K486">
        <v>7</v>
      </c>
      <c r="L486" s="4">
        <v>4.38429732377024E-2</v>
      </c>
      <c r="M486" s="4">
        <v>0.95615702676229797</v>
      </c>
      <c r="N486">
        <v>0</v>
      </c>
    </row>
    <row r="487" spans="1:14" x14ac:dyDescent="0.25">
      <c r="A487" s="2">
        <v>22902756</v>
      </c>
      <c r="B487" t="s">
        <v>1281</v>
      </c>
      <c r="C487" t="s">
        <v>31</v>
      </c>
      <c r="D487" t="s">
        <v>17</v>
      </c>
      <c r="E487" t="s">
        <v>1260</v>
      </c>
      <c r="F487" t="s">
        <v>1261</v>
      </c>
      <c r="G487" t="s">
        <v>1282</v>
      </c>
      <c r="H487" s="3">
        <v>3830.32</v>
      </c>
      <c r="I487">
        <v>490</v>
      </c>
      <c r="J487">
        <v>0</v>
      </c>
      <c r="K487">
        <v>40</v>
      </c>
      <c r="L487" s="4">
        <v>0.12612673741882299</v>
      </c>
      <c r="M487" s="4">
        <v>0.87387326258117703</v>
      </c>
      <c r="N487">
        <v>0</v>
      </c>
    </row>
    <row r="488" spans="1:14" x14ac:dyDescent="0.25">
      <c r="A488" s="2"/>
      <c r="B488" t="s">
        <v>1283</v>
      </c>
      <c r="C488" t="s">
        <v>16</v>
      </c>
      <c r="D488" t="s">
        <v>17</v>
      </c>
      <c r="E488" t="s">
        <v>1260</v>
      </c>
      <c r="F488" t="s">
        <v>1261</v>
      </c>
      <c r="G488" t="s">
        <v>1284</v>
      </c>
      <c r="H488" s="3">
        <v>3857.16</v>
      </c>
      <c r="I488">
        <v>857</v>
      </c>
      <c r="J488">
        <v>0</v>
      </c>
      <c r="K488">
        <v>19</v>
      </c>
      <c r="L488" s="4">
        <v>0.646731413130196</v>
      </c>
      <c r="M488" s="4">
        <v>0.353268586869804</v>
      </c>
      <c r="N488">
        <v>0</v>
      </c>
    </row>
    <row r="489" spans="1:14" x14ac:dyDescent="0.25">
      <c r="A489" s="2"/>
      <c r="B489" t="s">
        <v>1285</v>
      </c>
      <c r="C489" t="s">
        <v>16</v>
      </c>
      <c r="D489" t="s">
        <v>17</v>
      </c>
      <c r="E489" t="s">
        <v>1260</v>
      </c>
      <c r="F489" t="s">
        <v>1261</v>
      </c>
      <c r="G489" t="s">
        <v>1286</v>
      </c>
      <c r="H489" s="3">
        <v>3879.05</v>
      </c>
      <c r="I489">
        <v>11</v>
      </c>
      <c r="J489">
        <v>1</v>
      </c>
      <c r="K489">
        <v>39</v>
      </c>
      <c r="L489" s="4">
        <v>0.124985766976797</v>
      </c>
      <c r="M489" s="4">
        <v>0.87501423302320303</v>
      </c>
      <c r="N489">
        <v>0</v>
      </c>
    </row>
    <row r="490" spans="1:14" x14ac:dyDescent="0.25">
      <c r="A490" s="2"/>
      <c r="B490" t="s">
        <v>1287</v>
      </c>
      <c r="C490" t="s">
        <v>16</v>
      </c>
      <c r="D490" t="s">
        <v>17</v>
      </c>
      <c r="E490" t="s">
        <v>1260</v>
      </c>
      <c r="F490" t="s">
        <v>1261</v>
      </c>
      <c r="G490" t="s">
        <v>1288</v>
      </c>
      <c r="H490" s="3">
        <v>3883.86</v>
      </c>
      <c r="I490">
        <v>989</v>
      </c>
      <c r="J490">
        <v>1</v>
      </c>
      <c r="K490">
        <v>39</v>
      </c>
      <c r="L490" s="4">
        <v>0.84727178602429098</v>
      </c>
      <c r="M490" s="4">
        <v>0.15272821397570899</v>
      </c>
      <c r="N490">
        <v>0</v>
      </c>
    </row>
    <row r="491" spans="1:14" x14ac:dyDescent="0.25">
      <c r="A491" s="2"/>
      <c r="B491" t="s">
        <v>1289</v>
      </c>
      <c r="C491" t="s">
        <v>16</v>
      </c>
      <c r="D491" t="s">
        <v>17</v>
      </c>
      <c r="E491" t="s">
        <v>1260</v>
      </c>
      <c r="F491" t="s">
        <v>1261</v>
      </c>
      <c r="G491" t="s">
        <v>1290</v>
      </c>
      <c r="H491" s="3">
        <v>3992.37</v>
      </c>
      <c r="I491">
        <v>979</v>
      </c>
      <c r="J491">
        <v>1</v>
      </c>
      <c r="K491">
        <v>13</v>
      </c>
      <c r="L491" s="4">
        <v>0.16510557792015601</v>
      </c>
      <c r="M491" s="4">
        <v>0.83489442207984399</v>
      </c>
      <c r="N491">
        <v>0</v>
      </c>
    </row>
    <row r="492" spans="1:14" x14ac:dyDescent="0.25">
      <c r="A492" s="2"/>
      <c r="B492" t="s">
        <v>1291</v>
      </c>
      <c r="C492" t="s">
        <v>16</v>
      </c>
      <c r="D492" t="s">
        <v>17</v>
      </c>
      <c r="E492" t="s">
        <v>1260</v>
      </c>
      <c r="F492" t="s">
        <v>1261</v>
      </c>
      <c r="G492" t="s">
        <v>1292</v>
      </c>
      <c r="H492" s="3">
        <v>4077.52</v>
      </c>
      <c r="I492">
        <v>665</v>
      </c>
      <c r="J492">
        <v>1</v>
      </c>
      <c r="K492">
        <v>17</v>
      </c>
      <c r="L492" s="4">
        <v>0.98521920579534294</v>
      </c>
      <c r="M492" s="4">
        <v>1.47807942046574E-2</v>
      </c>
      <c r="N492">
        <v>0</v>
      </c>
    </row>
    <row r="493" spans="1:14" x14ac:dyDescent="0.25">
      <c r="A493" s="2"/>
      <c r="C493" t="s">
        <v>28</v>
      </c>
      <c r="D493" t="s">
        <v>17</v>
      </c>
      <c r="E493" t="s">
        <v>1260</v>
      </c>
      <c r="F493" t="s">
        <v>1261</v>
      </c>
      <c r="G493" t="s">
        <v>1293</v>
      </c>
      <c r="H493" s="3">
        <v>4112.54</v>
      </c>
      <c r="I493">
        <v>9</v>
      </c>
      <c r="J493">
        <v>0</v>
      </c>
      <c r="K493">
        <v>11</v>
      </c>
      <c r="L493" s="4">
        <v>0.96511559460940199</v>
      </c>
      <c r="M493" s="4">
        <v>3.4884405390597902E-2</v>
      </c>
      <c r="N493">
        <v>0</v>
      </c>
    </row>
    <row r="494" spans="1:14" x14ac:dyDescent="0.25">
      <c r="A494" s="2"/>
      <c r="B494" t="s">
        <v>1294</v>
      </c>
      <c r="C494" t="s">
        <v>16</v>
      </c>
      <c r="D494" t="s">
        <v>69</v>
      </c>
      <c r="E494" t="s">
        <v>1295</v>
      </c>
      <c r="F494" t="s">
        <v>1296</v>
      </c>
      <c r="G494" t="s">
        <v>1297</v>
      </c>
      <c r="H494" s="3">
        <v>2321.5500000000002</v>
      </c>
      <c r="I494">
        <v>901</v>
      </c>
      <c r="J494">
        <v>0</v>
      </c>
      <c r="K494">
        <v>42</v>
      </c>
      <c r="L494" s="4">
        <v>3.6625203467412201E-2</v>
      </c>
      <c r="M494" s="4">
        <v>0.96337479653258795</v>
      </c>
      <c r="N494">
        <v>0</v>
      </c>
    </row>
    <row r="495" spans="1:14" x14ac:dyDescent="0.25">
      <c r="A495" s="2"/>
      <c r="C495" t="s">
        <v>28</v>
      </c>
      <c r="D495" t="s">
        <v>17</v>
      </c>
      <c r="E495" t="s">
        <v>1298</v>
      </c>
      <c r="F495" t="s">
        <v>1299</v>
      </c>
      <c r="G495" t="s">
        <v>1300</v>
      </c>
      <c r="H495" s="3">
        <v>2378.9499999999998</v>
      </c>
      <c r="I495">
        <v>538</v>
      </c>
      <c r="J495">
        <v>0</v>
      </c>
      <c r="K495">
        <v>49</v>
      </c>
      <c r="L495" s="4">
        <v>0.38581270729906197</v>
      </c>
      <c r="M495" s="4">
        <v>0.61418729270093797</v>
      </c>
      <c r="N495">
        <v>0</v>
      </c>
    </row>
    <row r="496" spans="1:14" x14ac:dyDescent="0.25">
      <c r="A496" s="2">
        <v>23932517</v>
      </c>
      <c r="C496" t="s">
        <v>0</v>
      </c>
      <c r="D496" t="s">
        <v>17</v>
      </c>
      <c r="E496" t="s">
        <v>1301</v>
      </c>
      <c r="G496" t="s">
        <v>1302</v>
      </c>
      <c r="H496" s="3">
        <v>2979</v>
      </c>
      <c r="I496">
        <v>366</v>
      </c>
      <c r="J496">
        <v>0</v>
      </c>
      <c r="K496">
        <v>42</v>
      </c>
      <c r="L496" s="4">
        <v>7.9168928291046603E-2</v>
      </c>
      <c r="M496" s="4">
        <v>0.92083107170895295</v>
      </c>
      <c r="N496">
        <v>0</v>
      </c>
    </row>
    <row r="497" spans="1:14" x14ac:dyDescent="0.25">
      <c r="A497" s="2">
        <v>23267662</v>
      </c>
      <c r="C497" t="s">
        <v>0</v>
      </c>
      <c r="D497" t="s">
        <v>17</v>
      </c>
      <c r="E497" t="s">
        <v>1298</v>
      </c>
      <c r="F497" t="s">
        <v>1299</v>
      </c>
      <c r="G497" t="s">
        <v>1303</v>
      </c>
      <c r="H497" s="3">
        <v>2429.17</v>
      </c>
      <c r="I497">
        <v>142</v>
      </c>
      <c r="J497">
        <v>0</v>
      </c>
      <c r="K497">
        <v>33</v>
      </c>
      <c r="L497" s="4">
        <v>0.147001900444546</v>
      </c>
      <c r="M497" s="4">
        <v>0.85299809955545403</v>
      </c>
      <c r="N497">
        <v>0</v>
      </c>
    </row>
    <row r="498" spans="1:14" x14ac:dyDescent="0.25">
      <c r="A498" s="2">
        <v>23409763</v>
      </c>
      <c r="C498" t="s">
        <v>0</v>
      </c>
      <c r="D498" t="s">
        <v>1264</v>
      </c>
      <c r="E498" t="s">
        <v>1304</v>
      </c>
      <c r="F498" t="s">
        <v>1305</v>
      </c>
      <c r="G498" t="s">
        <v>1306</v>
      </c>
      <c r="H498" s="3">
        <v>2291.2199999999998</v>
      </c>
      <c r="I498">
        <v>34</v>
      </c>
      <c r="J498">
        <v>1</v>
      </c>
      <c r="K498">
        <v>38</v>
      </c>
      <c r="L498" s="4">
        <v>0.624213499574237</v>
      </c>
      <c r="M498" s="4">
        <v>0.375786500425763</v>
      </c>
      <c r="N498">
        <v>0</v>
      </c>
    </row>
    <row r="499" spans="1:14" x14ac:dyDescent="0.25">
      <c r="A499" s="2"/>
      <c r="B499" t="s">
        <v>1307</v>
      </c>
      <c r="C499" t="s">
        <v>16</v>
      </c>
      <c r="D499" t="s">
        <v>86</v>
      </c>
      <c r="E499" t="s">
        <v>1308</v>
      </c>
      <c r="F499" t="s">
        <v>1309</v>
      </c>
      <c r="G499" t="s">
        <v>1310</v>
      </c>
      <c r="H499" s="3">
        <v>1977.72</v>
      </c>
      <c r="I499">
        <v>65</v>
      </c>
      <c r="J499">
        <v>1</v>
      </c>
      <c r="K499">
        <v>47</v>
      </c>
      <c r="L499" s="4">
        <v>0.97677507677416897</v>
      </c>
      <c r="M499" s="4">
        <v>2.32249232258313E-2</v>
      </c>
      <c r="N499">
        <v>0</v>
      </c>
    </row>
    <row r="500" spans="1:14" x14ac:dyDescent="0.25">
      <c r="A500" s="2">
        <v>23183928</v>
      </c>
      <c r="C500" t="s">
        <v>0</v>
      </c>
      <c r="D500" t="s">
        <v>1116</v>
      </c>
      <c r="E500" t="s">
        <v>1311</v>
      </c>
      <c r="F500" t="s">
        <v>1312</v>
      </c>
      <c r="G500" t="s">
        <v>1313</v>
      </c>
      <c r="H500" s="3">
        <v>1632</v>
      </c>
      <c r="I500">
        <v>517</v>
      </c>
      <c r="J500">
        <v>0</v>
      </c>
      <c r="K500">
        <v>50</v>
      </c>
      <c r="L500" s="4">
        <v>0.41386899618721001</v>
      </c>
      <c r="M500" s="4">
        <v>0.58613100381279104</v>
      </c>
      <c r="N500">
        <v>0</v>
      </c>
    </row>
    <row r="501" spans="1:14" x14ac:dyDescent="0.25">
      <c r="A501" s="2">
        <v>23935057</v>
      </c>
      <c r="C501" t="s">
        <v>0</v>
      </c>
      <c r="D501" t="s">
        <v>110</v>
      </c>
      <c r="E501" t="s">
        <v>1314</v>
      </c>
      <c r="F501" t="s">
        <v>1315</v>
      </c>
      <c r="G501" t="s">
        <v>1316</v>
      </c>
      <c r="H501" s="3">
        <v>960</v>
      </c>
      <c r="I501">
        <v>237</v>
      </c>
      <c r="J501">
        <v>0</v>
      </c>
      <c r="K501">
        <v>38</v>
      </c>
      <c r="L501" s="4">
        <v>0.902523006107814</v>
      </c>
      <c r="M501" s="4">
        <v>9.7476993892186004E-2</v>
      </c>
      <c r="N501">
        <v>0</v>
      </c>
    </row>
    <row r="502" spans="1:14" x14ac:dyDescent="0.25">
      <c r="A502" s="2"/>
      <c r="C502" t="s">
        <v>28</v>
      </c>
      <c r="D502" t="s">
        <v>86</v>
      </c>
      <c r="E502" t="s">
        <v>1317</v>
      </c>
      <c r="G502" t="s">
        <v>1318</v>
      </c>
      <c r="H502" s="3">
        <v>2368.42</v>
      </c>
      <c r="I502">
        <v>473</v>
      </c>
      <c r="J502">
        <v>0</v>
      </c>
      <c r="K502">
        <v>49</v>
      </c>
      <c r="L502" s="4">
        <v>0.74989697760570395</v>
      </c>
      <c r="M502" s="4">
        <v>0.25010302239429599</v>
      </c>
      <c r="N502">
        <v>0</v>
      </c>
    </row>
    <row r="503" spans="1:14" x14ac:dyDescent="0.25">
      <c r="A503" s="2">
        <v>24118397</v>
      </c>
      <c r="C503" t="s">
        <v>0</v>
      </c>
      <c r="D503" t="s">
        <v>86</v>
      </c>
      <c r="E503" t="s">
        <v>1319</v>
      </c>
      <c r="F503" t="s">
        <v>1320</v>
      </c>
      <c r="G503" t="s">
        <v>1321</v>
      </c>
      <c r="H503" s="3">
        <v>2257.56</v>
      </c>
      <c r="I503">
        <v>155</v>
      </c>
      <c r="J503">
        <v>1</v>
      </c>
      <c r="K503">
        <v>17</v>
      </c>
      <c r="L503" s="4">
        <v>0.17307602385441201</v>
      </c>
      <c r="M503" s="4">
        <v>0.82692397614558799</v>
      </c>
      <c r="N503">
        <v>0</v>
      </c>
    </row>
    <row r="504" spans="1:14" x14ac:dyDescent="0.25">
      <c r="A504" s="2"/>
      <c r="B504" t="s">
        <v>1322</v>
      </c>
      <c r="C504" t="s">
        <v>16</v>
      </c>
      <c r="D504" t="s">
        <v>86</v>
      </c>
      <c r="E504" t="s">
        <v>1323</v>
      </c>
      <c r="F504" t="s">
        <v>1324</v>
      </c>
      <c r="G504" t="s">
        <v>1325</v>
      </c>
      <c r="H504" s="3">
        <v>1834.77</v>
      </c>
      <c r="J504">
        <v>0</v>
      </c>
      <c r="K504">
        <v>9</v>
      </c>
      <c r="L504" s="4">
        <v>0.70889825223869696</v>
      </c>
      <c r="M504" s="4">
        <v>0.29110174776130299</v>
      </c>
      <c r="N504">
        <v>0</v>
      </c>
    </row>
    <row r="505" spans="1:14" x14ac:dyDescent="0.25">
      <c r="A505" s="2"/>
      <c r="B505" t="s">
        <v>1326</v>
      </c>
      <c r="C505" t="s">
        <v>16</v>
      </c>
      <c r="D505" t="s">
        <v>86</v>
      </c>
      <c r="E505" t="s">
        <v>1323</v>
      </c>
      <c r="F505" t="s">
        <v>1324</v>
      </c>
      <c r="G505" t="s">
        <v>1327</v>
      </c>
      <c r="H505" s="3">
        <v>1834.77</v>
      </c>
      <c r="I505">
        <v>549</v>
      </c>
      <c r="J505">
        <v>1</v>
      </c>
      <c r="K505">
        <v>12</v>
      </c>
      <c r="L505" s="4">
        <v>0.16467001108982099</v>
      </c>
      <c r="M505" s="4">
        <v>0.83532998891017995</v>
      </c>
      <c r="N505">
        <v>0</v>
      </c>
    </row>
    <row r="506" spans="1:14" x14ac:dyDescent="0.25">
      <c r="A506" s="2"/>
      <c r="B506" t="s">
        <v>1328</v>
      </c>
      <c r="C506" t="s">
        <v>16</v>
      </c>
      <c r="D506" t="s">
        <v>86</v>
      </c>
      <c r="E506" t="s">
        <v>1323</v>
      </c>
      <c r="F506" t="s">
        <v>1324</v>
      </c>
      <c r="G506" t="s">
        <v>1329</v>
      </c>
      <c r="H506" s="3">
        <v>1834.77</v>
      </c>
      <c r="I506">
        <v>261</v>
      </c>
      <c r="J506">
        <v>1</v>
      </c>
      <c r="K506">
        <v>10</v>
      </c>
      <c r="L506" s="4">
        <v>0.51898826394168296</v>
      </c>
      <c r="M506" s="4">
        <v>0.48101173605831699</v>
      </c>
      <c r="N506">
        <v>0</v>
      </c>
    </row>
    <row r="507" spans="1:14" x14ac:dyDescent="0.25">
      <c r="A507" s="2"/>
      <c r="B507" t="s">
        <v>1330</v>
      </c>
      <c r="C507" t="s">
        <v>16</v>
      </c>
      <c r="D507" t="s">
        <v>86</v>
      </c>
      <c r="E507" t="s">
        <v>1323</v>
      </c>
      <c r="G507" t="s">
        <v>1331</v>
      </c>
      <c r="H507" s="3">
        <v>1834.77</v>
      </c>
      <c r="I507">
        <v>478</v>
      </c>
      <c r="J507">
        <v>1</v>
      </c>
      <c r="K507">
        <v>45</v>
      </c>
      <c r="L507" s="4">
        <v>6.0461041742830297E-2</v>
      </c>
      <c r="M507" s="4">
        <v>0.93953895825717004</v>
      </c>
      <c r="N507">
        <v>0</v>
      </c>
    </row>
    <row r="508" spans="1:14" x14ac:dyDescent="0.25">
      <c r="A508" s="2"/>
      <c r="B508" t="s">
        <v>1332</v>
      </c>
      <c r="C508" t="s">
        <v>16</v>
      </c>
      <c r="D508" t="s">
        <v>86</v>
      </c>
      <c r="E508" t="s">
        <v>1323</v>
      </c>
      <c r="G508" t="s">
        <v>1333</v>
      </c>
      <c r="H508" s="3">
        <v>1834.77</v>
      </c>
      <c r="I508">
        <v>632</v>
      </c>
      <c r="J508">
        <v>0</v>
      </c>
      <c r="K508">
        <v>20</v>
      </c>
      <c r="L508" s="4">
        <v>0.488556678564665</v>
      </c>
      <c r="M508" s="4">
        <v>0.511443321435335</v>
      </c>
      <c r="N508">
        <v>0</v>
      </c>
    </row>
    <row r="509" spans="1:14" x14ac:dyDescent="0.25">
      <c r="A509" s="2"/>
      <c r="C509" t="s">
        <v>28</v>
      </c>
      <c r="D509" t="s">
        <v>1334</v>
      </c>
      <c r="E509" t="s">
        <v>1323</v>
      </c>
      <c r="F509" t="s">
        <v>1324</v>
      </c>
      <c r="G509" t="s">
        <v>1335</v>
      </c>
      <c r="H509" s="3">
        <v>1653.02</v>
      </c>
      <c r="I509">
        <v>967</v>
      </c>
      <c r="J509">
        <v>1</v>
      </c>
      <c r="K509">
        <v>8</v>
      </c>
      <c r="L509" s="4">
        <v>3.9128426522591499E-2</v>
      </c>
      <c r="M509" s="4">
        <v>0.96087157347740904</v>
      </c>
      <c r="N509">
        <v>0</v>
      </c>
    </row>
    <row r="510" spans="1:14" x14ac:dyDescent="0.25">
      <c r="A510" s="2"/>
      <c r="B510" t="s">
        <v>1336</v>
      </c>
      <c r="C510" t="s">
        <v>16</v>
      </c>
      <c r="D510" t="s">
        <v>86</v>
      </c>
      <c r="E510" t="s">
        <v>1323</v>
      </c>
      <c r="F510" t="s">
        <v>1324</v>
      </c>
      <c r="G510" t="s">
        <v>1337</v>
      </c>
      <c r="H510" s="3">
        <v>1954.14</v>
      </c>
      <c r="I510">
        <v>872</v>
      </c>
      <c r="J510">
        <v>1</v>
      </c>
      <c r="K510">
        <v>12</v>
      </c>
      <c r="L510" s="4">
        <v>0.56401614956818802</v>
      </c>
      <c r="M510" s="4">
        <v>0.43598385043181198</v>
      </c>
      <c r="N510">
        <v>0</v>
      </c>
    </row>
    <row r="511" spans="1:14" x14ac:dyDescent="0.25">
      <c r="A511" s="2"/>
      <c r="B511" t="s">
        <v>1338</v>
      </c>
      <c r="C511" t="s">
        <v>16</v>
      </c>
      <c r="D511" t="s">
        <v>86</v>
      </c>
      <c r="E511" t="s">
        <v>1323</v>
      </c>
      <c r="F511" t="s">
        <v>1324</v>
      </c>
      <c r="G511" t="s">
        <v>1339</v>
      </c>
      <c r="H511" s="3">
        <v>1982.68</v>
      </c>
      <c r="I511">
        <v>489</v>
      </c>
      <c r="J511">
        <v>0</v>
      </c>
      <c r="K511">
        <v>44</v>
      </c>
      <c r="L511" s="4">
        <v>7.9082928130360802E-2</v>
      </c>
      <c r="M511" s="4">
        <v>0.920917071869639</v>
      </c>
      <c r="N511">
        <v>0</v>
      </c>
    </row>
    <row r="512" spans="1:14" x14ac:dyDescent="0.25">
      <c r="A512" s="2"/>
      <c r="B512" t="s">
        <v>1340</v>
      </c>
      <c r="C512" t="s">
        <v>16</v>
      </c>
      <c r="D512" t="s">
        <v>525</v>
      </c>
      <c r="E512" t="s">
        <v>1341</v>
      </c>
      <c r="F512" t="s">
        <v>1342</v>
      </c>
      <c r="G512" t="s">
        <v>1343</v>
      </c>
      <c r="H512" s="3">
        <v>1044</v>
      </c>
      <c r="I512">
        <v>140</v>
      </c>
      <c r="J512">
        <v>1</v>
      </c>
      <c r="K512">
        <v>31</v>
      </c>
      <c r="L512" s="4">
        <v>0.41428017262862399</v>
      </c>
      <c r="M512" s="4">
        <v>0.58571982737137696</v>
      </c>
      <c r="N512">
        <v>0</v>
      </c>
    </row>
    <row r="513" spans="1:14" x14ac:dyDescent="0.25">
      <c r="A513" s="2"/>
      <c r="B513" t="s">
        <v>1344</v>
      </c>
      <c r="C513" t="s">
        <v>16</v>
      </c>
      <c r="D513" t="s">
        <v>525</v>
      </c>
      <c r="E513" t="s">
        <v>1341</v>
      </c>
      <c r="F513" t="s">
        <v>1342</v>
      </c>
      <c r="G513" t="s">
        <v>1345</v>
      </c>
      <c r="H513" s="3">
        <v>1620</v>
      </c>
      <c r="I513">
        <v>730</v>
      </c>
      <c r="J513">
        <v>0</v>
      </c>
      <c r="L513" s="4">
        <v>0.95192085563151396</v>
      </c>
      <c r="M513" s="4">
        <v>4.8079144368486197E-2</v>
      </c>
      <c r="N513">
        <v>0</v>
      </c>
    </row>
    <row r="514" spans="1:14" x14ac:dyDescent="0.25">
      <c r="A514" s="2"/>
      <c r="B514" t="s">
        <v>1346</v>
      </c>
      <c r="C514" t="s">
        <v>16</v>
      </c>
      <c r="D514" t="s">
        <v>525</v>
      </c>
      <c r="E514" t="s">
        <v>1341</v>
      </c>
      <c r="F514" t="s">
        <v>1342</v>
      </c>
      <c r="G514" t="s">
        <v>1347</v>
      </c>
      <c r="H514" s="3">
        <v>1620</v>
      </c>
      <c r="I514">
        <v>957</v>
      </c>
      <c r="J514">
        <v>0</v>
      </c>
      <c r="K514">
        <v>5</v>
      </c>
      <c r="L514" s="4">
        <v>0.93141891465778104</v>
      </c>
      <c r="M514" s="4">
        <v>6.8581085342219295E-2</v>
      </c>
      <c r="N514">
        <v>0</v>
      </c>
    </row>
    <row r="515" spans="1:14" x14ac:dyDescent="0.25">
      <c r="A515" s="2">
        <v>23861059</v>
      </c>
      <c r="C515" t="s">
        <v>0</v>
      </c>
      <c r="D515" t="s">
        <v>525</v>
      </c>
      <c r="E515" t="s">
        <v>1341</v>
      </c>
      <c r="F515" t="s">
        <v>1342</v>
      </c>
      <c r="G515" t="s">
        <v>1348</v>
      </c>
      <c r="H515" s="3">
        <v>2400</v>
      </c>
      <c r="I515">
        <v>803</v>
      </c>
      <c r="J515">
        <v>1</v>
      </c>
      <c r="K515">
        <v>14</v>
      </c>
      <c r="L515" s="4">
        <v>0.96083607561183504</v>
      </c>
      <c r="M515" s="4">
        <v>3.91639243881651E-2</v>
      </c>
      <c r="N515">
        <v>0</v>
      </c>
    </row>
    <row r="516" spans="1:14" x14ac:dyDescent="0.25">
      <c r="A516" s="2"/>
      <c r="B516" t="s">
        <v>1349</v>
      </c>
      <c r="C516" t="s">
        <v>16</v>
      </c>
      <c r="D516" t="s">
        <v>525</v>
      </c>
      <c r="E516" t="s">
        <v>1341</v>
      </c>
      <c r="F516" t="s">
        <v>1342</v>
      </c>
      <c r="G516" t="s">
        <v>1350</v>
      </c>
      <c r="H516" s="3">
        <v>2400</v>
      </c>
      <c r="I516">
        <v>735</v>
      </c>
      <c r="J516">
        <v>0</v>
      </c>
      <c r="L516" s="4">
        <v>0.102847678618241</v>
      </c>
      <c r="M516" s="4">
        <v>0.89715232138175904</v>
      </c>
      <c r="N516">
        <v>0</v>
      </c>
    </row>
    <row r="517" spans="1:14" x14ac:dyDescent="0.25">
      <c r="A517" s="2"/>
      <c r="C517" t="s">
        <v>28</v>
      </c>
      <c r="D517" t="s">
        <v>525</v>
      </c>
      <c r="E517" t="s">
        <v>1341</v>
      </c>
      <c r="F517" t="s">
        <v>1342</v>
      </c>
      <c r="G517" t="s">
        <v>1351</v>
      </c>
      <c r="H517" s="3">
        <v>2400</v>
      </c>
      <c r="I517">
        <v>946</v>
      </c>
      <c r="J517">
        <v>1</v>
      </c>
      <c r="K517">
        <v>23</v>
      </c>
      <c r="L517" s="4">
        <v>0.65526462213089798</v>
      </c>
      <c r="M517" s="4">
        <v>0.34473537786910202</v>
      </c>
      <c r="N517">
        <v>0</v>
      </c>
    </row>
    <row r="518" spans="1:14" x14ac:dyDescent="0.25">
      <c r="A518" s="2"/>
      <c r="B518" t="s">
        <v>1352</v>
      </c>
      <c r="C518" t="s">
        <v>16</v>
      </c>
      <c r="D518" t="s">
        <v>525</v>
      </c>
      <c r="E518" t="s">
        <v>1341</v>
      </c>
      <c r="F518" t="s">
        <v>1342</v>
      </c>
      <c r="G518" t="s">
        <v>1353</v>
      </c>
      <c r="H518" s="3">
        <v>2400</v>
      </c>
      <c r="I518">
        <v>521</v>
      </c>
      <c r="J518">
        <v>0</v>
      </c>
      <c r="K518">
        <v>3</v>
      </c>
      <c r="L518" s="4">
        <v>0.165202256352768</v>
      </c>
      <c r="M518" s="4">
        <v>0.83479774364723203</v>
      </c>
      <c r="N518">
        <v>0</v>
      </c>
    </row>
    <row r="519" spans="1:14" x14ac:dyDescent="0.25">
      <c r="A519" s="2"/>
      <c r="B519" t="s">
        <v>1354</v>
      </c>
      <c r="C519" t="s">
        <v>16</v>
      </c>
      <c r="D519" t="s">
        <v>525</v>
      </c>
      <c r="E519" t="s">
        <v>1341</v>
      </c>
      <c r="F519" t="s">
        <v>1342</v>
      </c>
      <c r="G519" t="s">
        <v>1355</v>
      </c>
      <c r="H519" s="3">
        <v>1620</v>
      </c>
      <c r="I519">
        <v>322</v>
      </c>
      <c r="J519">
        <v>1</v>
      </c>
      <c r="K519">
        <v>15</v>
      </c>
      <c r="L519" s="4">
        <v>0.35989523702216902</v>
      </c>
      <c r="M519" s="4">
        <v>0.64010476297783103</v>
      </c>
      <c r="N519">
        <v>0</v>
      </c>
    </row>
    <row r="520" spans="1:14" x14ac:dyDescent="0.25">
      <c r="A520" s="2"/>
      <c r="B520" t="s">
        <v>1356</v>
      </c>
      <c r="C520" t="s">
        <v>16</v>
      </c>
      <c r="D520" t="s">
        <v>525</v>
      </c>
      <c r="E520" t="s">
        <v>1341</v>
      </c>
      <c r="F520" t="s">
        <v>1342</v>
      </c>
      <c r="G520" t="s">
        <v>1357</v>
      </c>
      <c r="H520" s="3">
        <v>1620</v>
      </c>
      <c r="I520">
        <v>684</v>
      </c>
      <c r="J520">
        <v>0</v>
      </c>
      <c r="L520" s="4">
        <v>0.61325569953935299</v>
      </c>
      <c r="M520" s="4">
        <v>0.38674430046064701</v>
      </c>
      <c r="N520">
        <v>0</v>
      </c>
    </row>
    <row r="521" spans="1:14" x14ac:dyDescent="0.25">
      <c r="A521" s="2"/>
      <c r="B521" t="s">
        <v>1358</v>
      </c>
      <c r="C521" t="s">
        <v>16</v>
      </c>
      <c r="D521" t="s">
        <v>17</v>
      </c>
      <c r="E521" t="s">
        <v>1359</v>
      </c>
      <c r="F521" t="s">
        <v>1360</v>
      </c>
      <c r="G521" t="s">
        <v>1361</v>
      </c>
      <c r="H521" s="3">
        <v>3630.64</v>
      </c>
      <c r="J521">
        <v>1</v>
      </c>
      <c r="K521">
        <v>27</v>
      </c>
      <c r="L521" s="4">
        <v>0.77231953217070803</v>
      </c>
      <c r="M521" s="4">
        <v>0.22768046782929199</v>
      </c>
      <c r="N521">
        <v>0</v>
      </c>
    </row>
    <row r="522" spans="1:14" x14ac:dyDescent="0.25">
      <c r="A522" s="2"/>
      <c r="B522" t="s">
        <v>1362</v>
      </c>
      <c r="C522" t="s">
        <v>16</v>
      </c>
      <c r="D522" t="s">
        <v>86</v>
      </c>
      <c r="E522" t="s">
        <v>1363</v>
      </c>
      <c r="G522" t="s">
        <v>1364</v>
      </c>
      <c r="H522" s="3">
        <v>2400</v>
      </c>
      <c r="J522">
        <v>1</v>
      </c>
      <c r="L522" s="4">
        <v>0.55477053246473995</v>
      </c>
      <c r="M522" s="4">
        <v>0.44522946753526099</v>
      </c>
      <c r="N522">
        <v>0</v>
      </c>
    </row>
    <row r="523" spans="1:14" x14ac:dyDescent="0.25">
      <c r="A523" s="2"/>
      <c r="B523" t="s">
        <v>1365</v>
      </c>
      <c r="C523" t="s">
        <v>16</v>
      </c>
      <c r="D523" t="s">
        <v>69</v>
      </c>
      <c r="E523" t="s">
        <v>1366</v>
      </c>
      <c r="F523" t="s">
        <v>1367</v>
      </c>
      <c r="G523" t="s">
        <v>1368</v>
      </c>
      <c r="H523" s="3">
        <v>2230.1</v>
      </c>
      <c r="I523">
        <v>194</v>
      </c>
      <c r="J523">
        <v>0</v>
      </c>
      <c r="K523">
        <v>24</v>
      </c>
      <c r="L523" s="4">
        <v>0.64088460893174504</v>
      </c>
      <c r="M523" s="4">
        <v>0.35911539106825502</v>
      </c>
      <c r="N523">
        <v>0</v>
      </c>
    </row>
    <row r="524" spans="1:14" x14ac:dyDescent="0.25">
      <c r="A524" s="2">
        <v>22925518</v>
      </c>
      <c r="B524" t="s">
        <v>1369</v>
      </c>
      <c r="C524" t="s">
        <v>31</v>
      </c>
      <c r="D524" t="s">
        <v>86</v>
      </c>
      <c r="E524" t="s">
        <v>1370</v>
      </c>
      <c r="F524" t="s">
        <v>1371</v>
      </c>
      <c r="G524" t="s">
        <v>1372</v>
      </c>
      <c r="H524" s="3">
        <v>2351.81</v>
      </c>
      <c r="I524">
        <v>77</v>
      </c>
      <c r="J524">
        <v>0</v>
      </c>
      <c r="K524">
        <v>49</v>
      </c>
      <c r="L524" s="4">
        <v>0.13309752125922999</v>
      </c>
      <c r="M524" s="4">
        <v>0.86690247874076998</v>
      </c>
      <c r="N524">
        <v>0</v>
      </c>
    </row>
    <row r="525" spans="1:14" x14ac:dyDescent="0.25">
      <c r="A525" s="2"/>
      <c r="B525" t="s">
        <v>1373</v>
      </c>
      <c r="C525" t="s">
        <v>16</v>
      </c>
      <c r="D525" t="s">
        <v>17</v>
      </c>
      <c r="E525" t="s">
        <v>1374</v>
      </c>
      <c r="F525" t="s">
        <v>1324</v>
      </c>
      <c r="G525" t="s">
        <v>1375</v>
      </c>
      <c r="H525" s="3">
        <v>1981.38</v>
      </c>
      <c r="I525">
        <v>716</v>
      </c>
      <c r="J525">
        <v>0</v>
      </c>
      <c r="K525">
        <v>10</v>
      </c>
      <c r="L525" s="4">
        <v>0.32951443328030999</v>
      </c>
      <c r="M525" s="4">
        <v>0.67048556671968995</v>
      </c>
      <c r="N525">
        <v>0</v>
      </c>
    </row>
    <row r="526" spans="1:14" x14ac:dyDescent="0.25">
      <c r="A526" s="2"/>
      <c r="B526" t="s">
        <v>1376</v>
      </c>
      <c r="C526" t="s">
        <v>16</v>
      </c>
      <c r="D526" t="s">
        <v>525</v>
      </c>
      <c r="E526" t="s">
        <v>1359</v>
      </c>
      <c r="F526" t="s">
        <v>1377</v>
      </c>
      <c r="G526" t="s">
        <v>1378</v>
      </c>
      <c r="H526" s="3">
        <v>1044</v>
      </c>
      <c r="I526">
        <v>273</v>
      </c>
      <c r="J526">
        <v>1</v>
      </c>
      <c r="K526">
        <v>6</v>
      </c>
      <c r="L526" s="4">
        <v>0.19159993574028999</v>
      </c>
      <c r="M526" s="4">
        <v>0.80840006425971001</v>
      </c>
      <c r="N526">
        <v>0</v>
      </c>
    </row>
    <row r="527" spans="1:14" x14ac:dyDescent="0.25">
      <c r="A527" s="2"/>
      <c r="C527" t="s">
        <v>28</v>
      </c>
      <c r="D527" t="s">
        <v>17</v>
      </c>
      <c r="E527" t="s">
        <v>1359</v>
      </c>
      <c r="F527" t="s">
        <v>1377</v>
      </c>
      <c r="G527" t="s">
        <v>1379</v>
      </c>
      <c r="H527" s="3">
        <v>364.17</v>
      </c>
      <c r="I527">
        <v>29</v>
      </c>
      <c r="J527">
        <v>0</v>
      </c>
      <c r="K527">
        <v>29</v>
      </c>
      <c r="L527" s="4">
        <v>0.48414940415798002</v>
      </c>
      <c r="M527" s="4">
        <v>0.51585059584202098</v>
      </c>
      <c r="N527">
        <v>0</v>
      </c>
    </row>
    <row r="528" spans="1:14" x14ac:dyDescent="0.25">
      <c r="A528" s="2"/>
      <c r="B528" t="s">
        <v>1380</v>
      </c>
      <c r="C528" t="s">
        <v>16</v>
      </c>
      <c r="D528" t="s">
        <v>17</v>
      </c>
      <c r="E528" t="s">
        <v>1359</v>
      </c>
      <c r="F528" t="s">
        <v>1377</v>
      </c>
      <c r="G528" t="s">
        <v>1381</v>
      </c>
      <c r="H528" s="3">
        <v>2987</v>
      </c>
      <c r="I528">
        <v>963</v>
      </c>
      <c r="K528">
        <v>22</v>
      </c>
      <c r="L528" s="4">
        <v>0.78738974778783999</v>
      </c>
      <c r="M528" s="4">
        <v>0.21261025221216001</v>
      </c>
      <c r="N528">
        <v>0</v>
      </c>
    </row>
    <row r="529" spans="1:14" x14ac:dyDescent="0.25">
      <c r="A529" s="2"/>
      <c r="B529" t="s">
        <v>1382</v>
      </c>
      <c r="C529" t="s">
        <v>16</v>
      </c>
      <c r="D529" t="s">
        <v>17</v>
      </c>
      <c r="E529" t="s">
        <v>1359</v>
      </c>
      <c r="F529" t="s">
        <v>1377</v>
      </c>
      <c r="G529" t="s">
        <v>1383</v>
      </c>
      <c r="H529" s="3">
        <v>3575.88</v>
      </c>
      <c r="I529">
        <v>51</v>
      </c>
      <c r="J529">
        <v>0</v>
      </c>
      <c r="K529">
        <v>29</v>
      </c>
      <c r="L529" s="4">
        <v>0.40672431736117798</v>
      </c>
      <c r="M529" s="4">
        <v>0.59327568263882202</v>
      </c>
      <c r="N529">
        <v>0</v>
      </c>
    </row>
    <row r="530" spans="1:14" x14ac:dyDescent="0.25">
      <c r="A530" s="2"/>
      <c r="C530" t="s">
        <v>28</v>
      </c>
      <c r="D530" t="s">
        <v>17</v>
      </c>
      <c r="E530" t="s">
        <v>1359</v>
      </c>
      <c r="F530" t="s">
        <v>1377</v>
      </c>
      <c r="G530" t="s">
        <v>1384</v>
      </c>
      <c r="H530" s="3">
        <v>3781.63</v>
      </c>
      <c r="I530">
        <v>22</v>
      </c>
      <c r="J530">
        <v>1</v>
      </c>
      <c r="K530">
        <v>15</v>
      </c>
      <c r="L530" s="4">
        <v>0.43855407838822602</v>
      </c>
      <c r="M530" s="4">
        <v>0.56144592161177398</v>
      </c>
      <c r="N530">
        <v>0</v>
      </c>
    </row>
    <row r="531" spans="1:14" x14ac:dyDescent="0.25">
      <c r="A531" s="2">
        <v>23177648</v>
      </c>
      <c r="B531" t="s">
        <v>1385</v>
      </c>
      <c r="C531" t="s">
        <v>31</v>
      </c>
      <c r="D531" t="s">
        <v>17</v>
      </c>
      <c r="E531" t="s">
        <v>1359</v>
      </c>
      <c r="F531" t="s">
        <v>1377</v>
      </c>
      <c r="G531" t="s">
        <v>1386</v>
      </c>
      <c r="H531" s="3">
        <v>3845.38</v>
      </c>
      <c r="I531">
        <v>16</v>
      </c>
      <c r="J531">
        <v>1</v>
      </c>
      <c r="K531">
        <v>15</v>
      </c>
      <c r="L531" s="4">
        <v>0.277726833872115</v>
      </c>
      <c r="M531" s="4">
        <v>0.72227316612788495</v>
      </c>
      <c r="N531">
        <v>0</v>
      </c>
    </row>
    <row r="532" spans="1:14" x14ac:dyDescent="0.25">
      <c r="A532" s="2"/>
      <c r="C532" t="s">
        <v>28</v>
      </c>
      <c r="D532" t="s">
        <v>17</v>
      </c>
      <c r="E532" t="s">
        <v>1359</v>
      </c>
      <c r="F532" t="s">
        <v>1377</v>
      </c>
      <c r="G532" t="s">
        <v>1387</v>
      </c>
      <c r="H532" s="3">
        <v>3877.46</v>
      </c>
      <c r="I532">
        <v>841</v>
      </c>
      <c r="J532">
        <v>0</v>
      </c>
      <c r="L532" s="4">
        <v>0.76298182553573501</v>
      </c>
      <c r="M532" s="4">
        <v>0.23701817446426501</v>
      </c>
      <c r="N532">
        <v>0</v>
      </c>
    </row>
    <row r="533" spans="1:14" x14ac:dyDescent="0.25">
      <c r="A533" s="2"/>
      <c r="B533" t="s">
        <v>1388</v>
      </c>
      <c r="C533" t="s">
        <v>16</v>
      </c>
      <c r="D533" t="s">
        <v>17</v>
      </c>
      <c r="E533" t="s">
        <v>1359</v>
      </c>
      <c r="F533" t="s">
        <v>1377</v>
      </c>
      <c r="G533" t="s">
        <v>1389</v>
      </c>
      <c r="H533" s="3">
        <v>3877.48</v>
      </c>
      <c r="I533">
        <v>390</v>
      </c>
      <c r="J533">
        <v>1</v>
      </c>
      <c r="K533">
        <v>19</v>
      </c>
      <c r="L533" s="4">
        <v>0.79359018364267997</v>
      </c>
      <c r="M533" s="4">
        <v>0.20640981635732</v>
      </c>
      <c r="N533">
        <v>0</v>
      </c>
    </row>
    <row r="534" spans="1:14" x14ac:dyDescent="0.25">
      <c r="A534" s="2"/>
      <c r="B534" t="s">
        <v>1390</v>
      </c>
      <c r="C534" t="s">
        <v>16</v>
      </c>
      <c r="D534" t="s">
        <v>17</v>
      </c>
      <c r="E534" t="s">
        <v>1359</v>
      </c>
      <c r="F534" t="s">
        <v>1377</v>
      </c>
      <c r="G534" t="s">
        <v>1391</v>
      </c>
      <c r="H534" s="3">
        <v>3975.75</v>
      </c>
      <c r="I534">
        <v>930</v>
      </c>
      <c r="J534">
        <v>0</v>
      </c>
      <c r="K534">
        <v>45</v>
      </c>
      <c r="L534" s="4">
        <v>0.66871248936632099</v>
      </c>
      <c r="M534" s="4">
        <v>0.33128751063367901</v>
      </c>
      <c r="N534">
        <v>0</v>
      </c>
    </row>
    <row r="535" spans="1:14" x14ac:dyDescent="0.25">
      <c r="A535" s="2"/>
      <c r="B535" t="s">
        <v>1392</v>
      </c>
      <c r="C535" t="s">
        <v>16</v>
      </c>
      <c r="D535" t="s">
        <v>17</v>
      </c>
      <c r="E535" t="s">
        <v>1359</v>
      </c>
      <c r="F535" t="s">
        <v>1377</v>
      </c>
      <c r="G535" t="s">
        <v>1393</v>
      </c>
      <c r="H535" s="3">
        <v>4002.42</v>
      </c>
      <c r="K535">
        <v>6</v>
      </c>
      <c r="L535" s="4">
        <v>0.20858208463198</v>
      </c>
      <c r="M535" s="4">
        <v>0.79141791536801998</v>
      </c>
      <c r="N535">
        <v>0</v>
      </c>
    </row>
    <row r="536" spans="1:14" x14ac:dyDescent="0.25">
      <c r="A536" s="2"/>
      <c r="B536" t="s">
        <v>1394</v>
      </c>
      <c r="C536" t="s">
        <v>16</v>
      </c>
      <c r="D536" t="s">
        <v>17</v>
      </c>
      <c r="E536" t="s">
        <v>1359</v>
      </c>
      <c r="F536" t="s">
        <v>1377</v>
      </c>
      <c r="G536" t="s">
        <v>1395</v>
      </c>
      <c r="H536" s="3">
        <v>4076.38</v>
      </c>
      <c r="I536">
        <v>956</v>
      </c>
      <c r="J536">
        <v>1</v>
      </c>
      <c r="K536">
        <v>18</v>
      </c>
      <c r="L536" s="4">
        <v>0.50365252590639398</v>
      </c>
      <c r="M536" s="4">
        <v>0.49634747409360702</v>
      </c>
      <c r="N536">
        <v>0</v>
      </c>
    </row>
    <row r="537" spans="1:14" x14ac:dyDescent="0.25">
      <c r="A537" s="2"/>
      <c r="B537" t="s">
        <v>1396</v>
      </c>
      <c r="C537" t="s">
        <v>16</v>
      </c>
      <c r="D537" t="s">
        <v>17</v>
      </c>
      <c r="E537" t="s">
        <v>1359</v>
      </c>
      <c r="F537" t="s">
        <v>1377</v>
      </c>
      <c r="G537" t="s">
        <v>1397</v>
      </c>
      <c r="H537" s="3">
        <v>4099.71</v>
      </c>
      <c r="J537">
        <v>1</v>
      </c>
      <c r="L537" s="4">
        <v>0.35902397599089603</v>
      </c>
      <c r="M537" s="4">
        <v>0.64097602400910403</v>
      </c>
      <c r="N537">
        <v>0</v>
      </c>
    </row>
    <row r="538" spans="1:14" x14ac:dyDescent="0.25">
      <c r="A538" s="2"/>
      <c r="C538" t="s">
        <v>28</v>
      </c>
      <c r="D538" t="s">
        <v>17</v>
      </c>
      <c r="E538" t="s">
        <v>1398</v>
      </c>
      <c r="F538" t="s">
        <v>1399</v>
      </c>
      <c r="G538" t="s">
        <v>1400</v>
      </c>
      <c r="H538" s="3">
        <v>1764.06</v>
      </c>
      <c r="I538">
        <v>749</v>
      </c>
      <c r="J538">
        <v>1</v>
      </c>
      <c r="K538">
        <v>46</v>
      </c>
      <c r="L538" s="4">
        <v>5.9226847409200499E-2</v>
      </c>
      <c r="M538" s="4">
        <v>0.94077315259079997</v>
      </c>
      <c r="N538">
        <v>0</v>
      </c>
    </row>
    <row r="539" spans="1:14" x14ac:dyDescent="0.25">
      <c r="A539" s="2"/>
      <c r="B539" t="s">
        <v>1401</v>
      </c>
      <c r="C539" t="s">
        <v>16</v>
      </c>
      <c r="D539" t="s">
        <v>17</v>
      </c>
      <c r="E539" t="s">
        <v>1398</v>
      </c>
      <c r="F539" t="s">
        <v>1399</v>
      </c>
      <c r="G539" t="s">
        <v>1402</v>
      </c>
      <c r="H539" s="3">
        <v>2457.25</v>
      </c>
      <c r="I539">
        <v>90</v>
      </c>
      <c r="J539">
        <v>0</v>
      </c>
      <c r="K539">
        <v>11</v>
      </c>
      <c r="L539" s="4">
        <v>0.228731253983775</v>
      </c>
      <c r="M539" s="4">
        <v>0.77126874601622497</v>
      </c>
      <c r="N539">
        <v>0</v>
      </c>
    </row>
    <row r="540" spans="1:14" x14ac:dyDescent="0.25">
      <c r="A540" s="2"/>
      <c r="C540" t="s">
        <v>28</v>
      </c>
      <c r="D540" t="s">
        <v>86</v>
      </c>
      <c r="E540" t="s">
        <v>1370</v>
      </c>
      <c r="F540" t="s">
        <v>1371</v>
      </c>
      <c r="G540" t="s">
        <v>1403</v>
      </c>
      <c r="H540" s="3">
        <v>1500</v>
      </c>
      <c r="I540">
        <v>133</v>
      </c>
      <c r="J540">
        <v>1</v>
      </c>
      <c r="K540">
        <v>29</v>
      </c>
      <c r="L540" s="4">
        <v>0.30075053776017402</v>
      </c>
      <c r="M540" s="4">
        <v>0.69924946223982698</v>
      </c>
      <c r="N540">
        <v>0</v>
      </c>
    </row>
    <row r="541" spans="1:14" x14ac:dyDescent="0.25">
      <c r="A541" s="2"/>
      <c r="B541" t="s">
        <v>1404</v>
      </c>
      <c r="C541" t="s">
        <v>16</v>
      </c>
      <c r="D541" t="s">
        <v>86</v>
      </c>
      <c r="E541" t="s">
        <v>1405</v>
      </c>
      <c r="F541" t="s">
        <v>1406</v>
      </c>
      <c r="G541" t="s">
        <v>1407</v>
      </c>
      <c r="H541" s="3">
        <v>2304.31</v>
      </c>
      <c r="I541">
        <v>149</v>
      </c>
      <c r="J541">
        <v>0</v>
      </c>
      <c r="K541">
        <v>26</v>
      </c>
      <c r="L541" s="4">
        <v>0.50914075297277706</v>
      </c>
      <c r="M541" s="4">
        <v>0.490859247027223</v>
      </c>
      <c r="N541">
        <v>0</v>
      </c>
    </row>
    <row r="542" spans="1:14" x14ac:dyDescent="0.25">
      <c r="A542" s="2"/>
      <c r="B542" t="s">
        <v>1408</v>
      </c>
      <c r="C542" t="s">
        <v>16</v>
      </c>
      <c r="D542" t="s">
        <v>86</v>
      </c>
      <c r="E542" t="s">
        <v>1405</v>
      </c>
      <c r="F542" t="s">
        <v>1406</v>
      </c>
      <c r="G542" t="s">
        <v>1409</v>
      </c>
      <c r="H542" s="3">
        <v>2310.9499999999998</v>
      </c>
      <c r="I542">
        <v>819</v>
      </c>
      <c r="J542">
        <v>0</v>
      </c>
      <c r="K542">
        <v>38</v>
      </c>
      <c r="L542" s="4">
        <v>0.69664594383554002</v>
      </c>
      <c r="M542" s="4">
        <v>0.30335405616445998</v>
      </c>
      <c r="N542">
        <v>0</v>
      </c>
    </row>
    <row r="543" spans="1:14" x14ac:dyDescent="0.25">
      <c r="A543" s="2"/>
      <c r="C543" t="s">
        <v>28</v>
      </c>
      <c r="D543" t="s">
        <v>86</v>
      </c>
      <c r="E543" t="s">
        <v>1405</v>
      </c>
      <c r="F543" t="s">
        <v>1406</v>
      </c>
      <c r="G543" t="s">
        <v>1410</v>
      </c>
      <c r="H543" s="3">
        <v>2384.1</v>
      </c>
      <c r="I543">
        <v>68</v>
      </c>
      <c r="J543">
        <v>0</v>
      </c>
      <c r="K543">
        <v>20</v>
      </c>
      <c r="L543" s="4">
        <v>0.43450561197163501</v>
      </c>
      <c r="M543" s="4">
        <v>0.56549438802836505</v>
      </c>
      <c r="N543">
        <v>0</v>
      </c>
    </row>
    <row r="544" spans="1:14" x14ac:dyDescent="0.25">
      <c r="A544" s="2">
        <v>23398374</v>
      </c>
      <c r="B544" t="s">
        <v>1411</v>
      </c>
      <c r="C544" t="s">
        <v>31</v>
      </c>
      <c r="D544" t="s">
        <v>86</v>
      </c>
      <c r="E544" t="s">
        <v>1405</v>
      </c>
      <c r="F544" t="s">
        <v>1406</v>
      </c>
      <c r="G544" t="s">
        <v>1412</v>
      </c>
      <c r="H544" s="3">
        <v>2377.66</v>
      </c>
      <c r="I544">
        <v>742</v>
      </c>
      <c r="J544">
        <v>0</v>
      </c>
      <c r="K544">
        <v>30</v>
      </c>
      <c r="L544" s="4">
        <v>0.30992653384375202</v>
      </c>
      <c r="M544" s="4">
        <v>0.69007346615624798</v>
      </c>
      <c r="N544">
        <v>0</v>
      </c>
    </row>
    <row r="545" spans="1:14" x14ac:dyDescent="0.25">
      <c r="A545" s="2"/>
      <c r="B545" t="s">
        <v>1413</v>
      </c>
      <c r="C545" t="s">
        <v>16</v>
      </c>
      <c r="D545" t="s">
        <v>69</v>
      </c>
      <c r="E545" t="s">
        <v>1414</v>
      </c>
      <c r="F545" t="s">
        <v>1415</v>
      </c>
      <c r="G545" t="s">
        <v>1416</v>
      </c>
      <c r="H545" s="3">
        <v>2211.52</v>
      </c>
      <c r="I545">
        <v>497</v>
      </c>
      <c r="J545">
        <v>1</v>
      </c>
      <c r="K545">
        <v>1</v>
      </c>
      <c r="L545" s="4">
        <v>9.5228991896132903E-2</v>
      </c>
      <c r="M545" s="4">
        <v>0.90477100810386701</v>
      </c>
      <c r="N545">
        <v>0</v>
      </c>
    </row>
    <row r="546" spans="1:14" x14ac:dyDescent="0.25">
      <c r="A546" s="2"/>
      <c r="B546" t="s">
        <v>1417</v>
      </c>
      <c r="C546" t="s">
        <v>16</v>
      </c>
      <c r="D546" t="s">
        <v>69</v>
      </c>
      <c r="E546" t="s">
        <v>1414</v>
      </c>
      <c r="F546" t="s">
        <v>1415</v>
      </c>
      <c r="G546" t="s">
        <v>1418</v>
      </c>
      <c r="H546" s="3">
        <v>2289.06</v>
      </c>
      <c r="I546">
        <v>740</v>
      </c>
      <c r="J546">
        <v>1</v>
      </c>
      <c r="K546">
        <v>33</v>
      </c>
      <c r="L546" s="4">
        <v>0.87494566498606896</v>
      </c>
      <c r="M546" s="4">
        <v>0.12505433501393101</v>
      </c>
      <c r="N546">
        <v>0</v>
      </c>
    </row>
    <row r="547" spans="1:14" x14ac:dyDescent="0.25">
      <c r="A547" s="2"/>
      <c r="B547" t="s">
        <v>1419</v>
      </c>
      <c r="C547" t="s">
        <v>16</v>
      </c>
      <c r="D547" t="s">
        <v>69</v>
      </c>
      <c r="E547" t="s">
        <v>1414</v>
      </c>
      <c r="F547" t="s">
        <v>1415</v>
      </c>
      <c r="G547" t="s">
        <v>1420</v>
      </c>
      <c r="H547" s="3">
        <v>2315.7800000000002</v>
      </c>
      <c r="I547">
        <v>361</v>
      </c>
      <c r="J547">
        <v>1</v>
      </c>
      <c r="K547">
        <v>13</v>
      </c>
      <c r="L547" s="4">
        <v>0.33466326131188401</v>
      </c>
      <c r="M547" s="4">
        <v>0.66533673868811705</v>
      </c>
      <c r="N547">
        <v>0</v>
      </c>
    </row>
    <row r="548" spans="1:14" x14ac:dyDescent="0.25">
      <c r="A548" s="2"/>
      <c r="B548" t="s">
        <v>1421</v>
      </c>
      <c r="C548" t="s">
        <v>16</v>
      </c>
      <c r="D548" t="s">
        <v>17</v>
      </c>
      <c r="E548" t="s">
        <v>1422</v>
      </c>
      <c r="F548" t="s">
        <v>1423</v>
      </c>
      <c r="G548" t="s">
        <v>1424</v>
      </c>
      <c r="H548" s="3">
        <v>2252.5300000000002</v>
      </c>
      <c r="I548">
        <v>625</v>
      </c>
      <c r="J548">
        <v>0</v>
      </c>
      <c r="K548">
        <v>12</v>
      </c>
      <c r="L548" s="4">
        <v>9.9101616109810199E-3</v>
      </c>
      <c r="M548" s="4">
        <v>0.99008983838901898</v>
      </c>
      <c r="N548">
        <v>0</v>
      </c>
    </row>
    <row r="549" spans="1:14" x14ac:dyDescent="0.25">
      <c r="A549" s="2"/>
      <c r="B549" t="s">
        <v>1425</v>
      </c>
      <c r="C549" t="s">
        <v>16</v>
      </c>
      <c r="D549" t="s">
        <v>525</v>
      </c>
      <c r="E549" t="s">
        <v>1426</v>
      </c>
      <c r="F549" t="s">
        <v>1427</v>
      </c>
      <c r="G549" t="s">
        <v>1428</v>
      </c>
      <c r="H549" s="3">
        <v>1620</v>
      </c>
      <c r="I549">
        <v>699</v>
      </c>
      <c r="J549">
        <v>0</v>
      </c>
      <c r="K549">
        <v>2</v>
      </c>
      <c r="L549" s="4">
        <v>0.52626414859813597</v>
      </c>
      <c r="M549" s="4">
        <v>0.47373585140186403</v>
      </c>
      <c r="N549">
        <v>0</v>
      </c>
    </row>
    <row r="550" spans="1:14" x14ac:dyDescent="0.25">
      <c r="A550" s="2"/>
      <c r="B550" t="s">
        <v>1429</v>
      </c>
      <c r="C550" t="s">
        <v>16</v>
      </c>
      <c r="D550" t="s">
        <v>525</v>
      </c>
      <c r="E550" t="s">
        <v>1426</v>
      </c>
      <c r="F550" t="s">
        <v>1427</v>
      </c>
      <c r="G550" t="s">
        <v>1430</v>
      </c>
      <c r="H550" s="3">
        <v>2400</v>
      </c>
      <c r="J550">
        <v>1</v>
      </c>
      <c r="K550">
        <v>46</v>
      </c>
      <c r="L550" s="4">
        <v>0.86807950479587903</v>
      </c>
      <c r="M550" s="4">
        <v>0.131920495204121</v>
      </c>
      <c r="N550">
        <v>0</v>
      </c>
    </row>
    <row r="551" spans="1:14" x14ac:dyDescent="0.25">
      <c r="A551" s="2"/>
      <c r="B551" t="s">
        <v>1431</v>
      </c>
      <c r="C551" t="s">
        <v>16</v>
      </c>
      <c r="D551" t="s">
        <v>86</v>
      </c>
      <c r="E551" t="s">
        <v>1432</v>
      </c>
      <c r="F551" t="s">
        <v>1433</v>
      </c>
      <c r="G551" t="s">
        <v>1434</v>
      </c>
      <c r="H551" s="3">
        <v>1966.31</v>
      </c>
      <c r="I551">
        <v>69</v>
      </c>
      <c r="J551">
        <v>0</v>
      </c>
      <c r="K551">
        <v>46</v>
      </c>
      <c r="L551" s="4">
        <v>4.8618396985085202E-2</v>
      </c>
      <c r="M551" s="4">
        <v>0.95138160301491503</v>
      </c>
      <c r="N551">
        <v>0</v>
      </c>
    </row>
    <row r="552" spans="1:14" x14ac:dyDescent="0.25">
      <c r="A552" s="2"/>
      <c r="B552" t="s">
        <v>1435</v>
      </c>
      <c r="C552" t="s">
        <v>16</v>
      </c>
      <c r="D552" t="s">
        <v>86</v>
      </c>
      <c r="E552" t="s">
        <v>1436</v>
      </c>
      <c r="F552" t="s">
        <v>1437</v>
      </c>
      <c r="G552" t="s">
        <v>1438</v>
      </c>
      <c r="H552" s="3">
        <v>1440</v>
      </c>
      <c r="I552">
        <v>555</v>
      </c>
      <c r="J552">
        <v>1</v>
      </c>
      <c r="K552">
        <v>38</v>
      </c>
      <c r="L552" s="4">
        <v>0.85788274214552196</v>
      </c>
      <c r="M552" s="4">
        <v>0.14211725785447801</v>
      </c>
      <c r="N552">
        <v>0</v>
      </c>
    </row>
    <row r="553" spans="1:14" x14ac:dyDescent="0.25">
      <c r="A553" s="2"/>
      <c r="C553" t="s">
        <v>28</v>
      </c>
      <c r="D553" t="s">
        <v>86</v>
      </c>
      <c r="E553" t="s">
        <v>1439</v>
      </c>
      <c r="F553" t="s">
        <v>1440</v>
      </c>
      <c r="G553" t="s">
        <v>1441</v>
      </c>
      <c r="H553" s="3">
        <v>2388.08</v>
      </c>
      <c r="I553">
        <v>189</v>
      </c>
      <c r="J553">
        <v>0</v>
      </c>
      <c r="L553" s="4">
        <v>0.42743895028508999</v>
      </c>
      <c r="M553" s="4">
        <v>0.57256104971491095</v>
      </c>
      <c r="N553">
        <v>0</v>
      </c>
    </row>
    <row r="554" spans="1:14" x14ac:dyDescent="0.25">
      <c r="A554" s="2">
        <v>22171404</v>
      </c>
      <c r="C554" t="s">
        <v>0</v>
      </c>
      <c r="D554" t="s">
        <v>86</v>
      </c>
      <c r="E554" t="s">
        <v>1442</v>
      </c>
      <c r="F554" t="s">
        <v>1443</v>
      </c>
      <c r="G554" t="s">
        <v>1444</v>
      </c>
      <c r="H554" s="3">
        <v>1901.02</v>
      </c>
      <c r="I554">
        <v>972</v>
      </c>
      <c r="J554">
        <v>0</v>
      </c>
      <c r="K554">
        <v>2</v>
      </c>
      <c r="L554" s="4">
        <v>0.68030859331517501</v>
      </c>
      <c r="M554" s="4">
        <v>0.31969140668482499</v>
      </c>
      <c r="N554">
        <v>0</v>
      </c>
    </row>
    <row r="555" spans="1:14" x14ac:dyDescent="0.25">
      <c r="A555" s="2">
        <v>22155499</v>
      </c>
      <c r="B555" t="s">
        <v>581</v>
      </c>
      <c r="C555" t="s">
        <v>31</v>
      </c>
      <c r="D555" t="s">
        <v>17</v>
      </c>
      <c r="E555" t="s">
        <v>17</v>
      </c>
      <c r="F555" t="s">
        <v>1445</v>
      </c>
      <c r="G555" t="s">
        <v>1446</v>
      </c>
      <c r="H555" s="3">
        <v>2152.7600000000002</v>
      </c>
      <c r="I555">
        <v>9</v>
      </c>
      <c r="J555">
        <v>0</v>
      </c>
      <c r="K555">
        <v>43</v>
      </c>
      <c r="L555" s="4">
        <v>0.46090500361946601</v>
      </c>
      <c r="M555" s="4">
        <v>0.53909499638053404</v>
      </c>
      <c r="N555">
        <v>0</v>
      </c>
    </row>
    <row r="556" spans="1:14" x14ac:dyDescent="0.25">
      <c r="A556" s="2">
        <v>20800751</v>
      </c>
      <c r="B556" t="s">
        <v>1447</v>
      </c>
      <c r="C556" t="s">
        <v>31</v>
      </c>
      <c r="D556" t="s">
        <v>17</v>
      </c>
      <c r="E556" t="s">
        <v>17</v>
      </c>
      <c r="F556" t="s">
        <v>1445</v>
      </c>
      <c r="G556" t="s">
        <v>1448</v>
      </c>
      <c r="H556" s="3">
        <v>2174.85</v>
      </c>
      <c r="I556">
        <v>464</v>
      </c>
      <c r="J556">
        <v>0</v>
      </c>
      <c r="K556">
        <v>17</v>
      </c>
      <c r="L556" s="4">
        <v>0.143437803743796</v>
      </c>
      <c r="M556" s="4">
        <v>0.856562196256204</v>
      </c>
      <c r="N556">
        <v>0</v>
      </c>
    </row>
    <row r="557" spans="1:14" x14ac:dyDescent="0.25">
      <c r="A557" s="2">
        <v>24064150</v>
      </c>
      <c r="B557" t="s">
        <v>1449</v>
      </c>
      <c r="C557" t="s">
        <v>31</v>
      </c>
      <c r="D557" t="s">
        <v>17</v>
      </c>
      <c r="E557" t="s">
        <v>17</v>
      </c>
      <c r="F557" t="s">
        <v>1445</v>
      </c>
      <c r="G557" t="s">
        <v>1450</v>
      </c>
      <c r="H557" s="3">
        <v>2198.0300000000002</v>
      </c>
      <c r="I557">
        <v>502</v>
      </c>
      <c r="J557">
        <v>0</v>
      </c>
      <c r="K557">
        <v>35</v>
      </c>
      <c r="L557" s="4">
        <v>0.28445203501725103</v>
      </c>
      <c r="M557" s="4">
        <v>0.71554796498274897</v>
      </c>
      <c r="N557">
        <v>0</v>
      </c>
    </row>
    <row r="558" spans="1:14" x14ac:dyDescent="0.25">
      <c r="A558" s="2">
        <v>23620154</v>
      </c>
      <c r="B558" t="s">
        <v>1451</v>
      </c>
      <c r="C558" t="s">
        <v>31</v>
      </c>
      <c r="D558" t="s">
        <v>17</v>
      </c>
      <c r="E558" t="s">
        <v>17</v>
      </c>
      <c r="F558" t="s">
        <v>1445</v>
      </c>
      <c r="G558" t="s">
        <v>1452</v>
      </c>
      <c r="H558" s="3">
        <v>2269.15</v>
      </c>
      <c r="I558">
        <v>385</v>
      </c>
      <c r="J558">
        <v>0</v>
      </c>
      <c r="K558">
        <v>11</v>
      </c>
      <c r="L558" s="4">
        <v>0.24606618654228399</v>
      </c>
      <c r="M558" s="4">
        <v>0.75393381345771604</v>
      </c>
      <c r="N558">
        <v>0</v>
      </c>
    </row>
    <row r="559" spans="1:14" x14ac:dyDescent="0.25">
      <c r="A559" s="2">
        <v>22591621</v>
      </c>
      <c r="B559" t="s">
        <v>1453</v>
      </c>
      <c r="C559" t="s">
        <v>31</v>
      </c>
      <c r="D559" t="s">
        <v>17</v>
      </c>
      <c r="E559" t="s">
        <v>17</v>
      </c>
      <c r="F559" t="s">
        <v>1445</v>
      </c>
      <c r="G559" t="s">
        <v>1454</v>
      </c>
      <c r="H559" s="3">
        <v>2312.3000000000002</v>
      </c>
      <c r="I559">
        <v>648</v>
      </c>
      <c r="J559">
        <v>0</v>
      </c>
      <c r="K559">
        <v>28</v>
      </c>
      <c r="L559" s="4">
        <v>8.9165849224990504E-2</v>
      </c>
      <c r="M559" s="4">
        <v>0.91083415077500995</v>
      </c>
      <c r="N559">
        <v>0</v>
      </c>
    </row>
    <row r="560" spans="1:14" x14ac:dyDescent="0.25">
      <c r="A560" s="2">
        <v>21680110</v>
      </c>
      <c r="B560" t="s">
        <v>1455</v>
      </c>
      <c r="C560" t="s">
        <v>31</v>
      </c>
      <c r="D560" t="s">
        <v>17</v>
      </c>
      <c r="E560" t="s">
        <v>17</v>
      </c>
      <c r="F560" t="s">
        <v>1445</v>
      </c>
      <c r="G560" t="s">
        <v>1456</v>
      </c>
      <c r="H560" s="3">
        <v>2470.86</v>
      </c>
      <c r="I560">
        <v>84</v>
      </c>
      <c r="K560">
        <v>34</v>
      </c>
      <c r="L560" s="4">
        <v>0.37878021122071398</v>
      </c>
      <c r="M560" s="4">
        <v>0.62121978877928596</v>
      </c>
      <c r="N560">
        <v>0</v>
      </c>
    </row>
    <row r="561" spans="1:14" x14ac:dyDescent="0.25">
      <c r="A561" s="2">
        <v>23541370</v>
      </c>
      <c r="B561" t="s">
        <v>1457</v>
      </c>
      <c r="C561" t="s">
        <v>31</v>
      </c>
      <c r="D561" t="s">
        <v>17</v>
      </c>
      <c r="E561" t="s">
        <v>17</v>
      </c>
      <c r="F561" t="s">
        <v>1445</v>
      </c>
      <c r="G561" t="s">
        <v>1458</v>
      </c>
      <c r="H561" s="3">
        <v>4800</v>
      </c>
      <c r="I561">
        <v>381</v>
      </c>
      <c r="J561">
        <v>1</v>
      </c>
      <c r="K561">
        <v>46</v>
      </c>
      <c r="L561" s="4">
        <v>0.97186821328969497</v>
      </c>
      <c r="M561" s="4">
        <v>2.8131786710304699E-2</v>
      </c>
      <c r="N561">
        <v>0</v>
      </c>
    </row>
    <row r="562" spans="1:14" x14ac:dyDescent="0.25">
      <c r="A562" s="2">
        <v>23511972</v>
      </c>
      <c r="B562" t="s">
        <v>1459</v>
      </c>
      <c r="C562" t="s">
        <v>31</v>
      </c>
      <c r="D562" t="s">
        <v>607</v>
      </c>
      <c r="E562" t="s">
        <v>1460</v>
      </c>
      <c r="F562" t="s">
        <v>1461</v>
      </c>
      <c r="G562" t="s">
        <v>1462</v>
      </c>
      <c r="H562" s="3">
        <v>3120</v>
      </c>
      <c r="I562">
        <v>944</v>
      </c>
      <c r="J562">
        <v>1</v>
      </c>
      <c r="K562">
        <v>44</v>
      </c>
      <c r="L562" s="4">
        <v>0.71916899700804804</v>
      </c>
      <c r="M562" s="4">
        <v>0.28083100299195202</v>
      </c>
      <c r="N562">
        <v>0</v>
      </c>
    </row>
    <row r="563" spans="1:14" x14ac:dyDescent="0.25">
      <c r="A563" s="2"/>
      <c r="B563" t="s">
        <v>1463</v>
      </c>
      <c r="C563" t="s">
        <v>16</v>
      </c>
      <c r="D563" t="s">
        <v>607</v>
      </c>
      <c r="E563" t="s">
        <v>1464</v>
      </c>
      <c r="F563" t="s">
        <v>1465</v>
      </c>
      <c r="G563" t="s">
        <v>1466</v>
      </c>
      <c r="H563" s="3">
        <v>3120</v>
      </c>
      <c r="I563">
        <v>479</v>
      </c>
      <c r="J563">
        <v>0</v>
      </c>
      <c r="K563">
        <v>6</v>
      </c>
      <c r="L563" s="4">
        <v>0.18538526872458599</v>
      </c>
      <c r="M563" s="4">
        <v>0.81461473127541395</v>
      </c>
      <c r="N563">
        <v>0</v>
      </c>
    </row>
    <row r="564" spans="1:14" x14ac:dyDescent="0.25">
      <c r="A564" s="2"/>
      <c r="B564" t="s">
        <v>1467</v>
      </c>
      <c r="C564" t="s">
        <v>16</v>
      </c>
      <c r="D564" t="s">
        <v>607</v>
      </c>
      <c r="E564" t="s">
        <v>1464</v>
      </c>
      <c r="F564" t="s">
        <v>1465</v>
      </c>
      <c r="G564" t="s">
        <v>1468</v>
      </c>
      <c r="H564" s="3">
        <v>3120</v>
      </c>
      <c r="I564">
        <v>753</v>
      </c>
      <c r="J564">
        <v>0</v>
      </c>
      <c r="K564">
        <v>50</v>
      </c>
      <c r="L564" s="4">
        <v>9.8259898403691801E-2</v>
      </c>
      <c r="M564" s="4">
        <v>0.90174010159630802</v>
      </c>
      <c r="N564">
        <v>0</v>
      </c>
    </row>
    <row r="565" spans="1:14" x14ac:dyDescent="0.25">
      <c r="A565" s="2"/>
      <c r="B565" t="s">
        <v>1469</v>
      </c>
      <c r="C565" t="s">
        <v>16</v>
      </c>
      <c r="D565" t="s">
        <v>607</v>
      </c>
      <c r="E565" t="s">
        <v>1464</v>
      </c>
      <c r="F565" t="s">
        <v>1465</v>
      </c>
      <c r="G565" t="s">
        <v>1470</v>
      </c>
      <c r="H565" s="3">
        <v>3120</v>
      </c>
      <c r="I565">
        <v>841</v>
      </c>
      <c r="J565">
        <v>1</v>
      </c>
      <c r="K565">
        <v>13</v>
      </c>
      <c r="L565" s="4">
        <v>0.60847748262914103</v>
      </c>
      <c r="M565" s="4">
        <v>0.39152251737085902</v>
      </c>
      <c r="N565">
        <v>0</v>
      </c>
    </row>
    <row r="566" spans="1:14" x14ac:dyDescent="0.25">
      <c r="A566" s="2"/>
      <c r="B566" t="s">
        <v>1471</v>
      </c>
      <c r="C566" t="s">
        <v>16</v>
      </c>
      <c r="D566" t="s">
        <v>607</v>
      </c>
      <c r="E566" t="s">
        <v>1464</v>
      </c>
      <c r="F566" t="s">
        <v>1465</v>
      </c>
      <c r="G566" t="s">
        <v>1472</v>
      </c>
      <c r="H566" s="3">
        <v>3120</v>
      </c>
      <c r="I566">
        <v>495</v>
      </c>
      <c r="J566">
        <v>0</v>
      </c>
      <c r="K566">
        <v>47</v>
      </c>
      <c r="L566" s="4">
        <v>0.85619264234717196</v>
      </c>
      <c r="M566" s="4">
        <v>0.14380735765282801</v>
      </c>
      <c r="N566">
        <v>0</v>
      </c>
    </row>
    <row r="567" spans="1:14" x14ac:dyDescent="0.25">
      <c r="A567" s="2"/>
      <c r="B567" t="s">
        <v>1473</v>
      </c>
      <c r="C567" t="s">
        <v>16</v>
      </c>
      <c r="D567" t="s">
        <v>607</v>
      </c>
      <c r="E567" t="s">
        <v>1464</v>
      </c>
      <c r="F567" t="s">
        <v>1465</v>
      </c>
      <c r="G567" t="s">
        <v>1474</v>
      </c>
      <c r="H567" s="3">
        <v>3120</v>
      </c>
      <c r="I567">
        <v>269</v>
      </c>
      <c r="J567">
        <v>1</v>
      </c>
      <c r="K567">
        <v>25</v>
      </c>
      <c r="L567" s="4">
        <v>0.46057460962029001</v>
      </c>
      <c r="M567" s="4">
        <v>0.53942539037971005</v>
      </c>
      <c r="N567">
        <v>0</v>
      </c>
    </row>
    <row r="568" spans="1:14" x14ac:dyDescent="0.25">
      <c r="A568" s="2"/>
      <c r="B568" t="s">
        <v>1475</v>
      </c>
      <c r="C568" t="s">
        <v>16</v>
      </c>
      <c r="D568" t="s">
        <v>607</v>
      </c>
      <c r="E568" t="s">
        <v>1464</v>
      </c>
      <c r="F568" t="s">
        <v>1465</v>
      </c>
      <c r="G568" t="s">
        <v>1476</v>
      </c>
      <c r="H568" s="3">
        <v>3120</v>
      </c>
      <c r="I568">
        <v>860</v>
      </c>
      <c r="J568">
        <v>1</v>
      </c>
      <c r="K568">
        <v>4</v>
      </c>
      <c r="L568" s="4">
        <v>0.78939188782845604</v>
      </c>
      <c r="M568" s="4">
        <v>0.21060811217154399</v>
      </c>
      <c r="N568">
        <v>0</v>
      </c>
    </row>
    <row r="569" spans="1:14" x14ac:dyDescent="0.25">
      <c r="A569" s="2"/>
      <c r="B569" t="s">
        <v>1477</v>
      </c>
      <c r="C569" t="s">
        <v>16</v>
      </c>
      <c r="D569" t="s">
        <v>607</v>
      </c>
      <c r="E569" t="s">
        <v>1464</v>
      </c>
      <c r="F569" t="s">
        <v>1465</v>
      </c>
      <c r="G569" t="s">
        <v>1478</v>
      </c>
      <c r="H569" s="3">
        <v>3120</v>
      </c>
      <c r="I569">
        <v>16</v>
      </c>
      <c r="J569">
        <v>1</v>
      </c>
      <c r="K569">
        <v>46</v>
      </c>
      <c r="L569" s="4">
        <v>0.15089200048079701</v>
      </c>
      <c r="M569" s="4">
        <v>0.84910799951920302</v>
      </c>
      <c r="N569">
        <v>0</v>
      </c>
    </row>
    <row r="570" spans="1:14" x14ac:dyDescent="0.25">
      <c r="A570" s="2"/>
      <c r="B570" t="s">
        <v>1479</v>
      </c>
      <c r="C570" t="s">
        <v>16</v>
      </c>
      <c r="D570" t="s">
        <v>86</v>
      </c>
      <c r="E570" t="s">
        <v>1480</v>
      </c>
      <c r="F570" t="s">
        <v>1481</v>
      </c>
      <c r="G570" t="s">
        <v>1482</v>
      </c>
      <c r="H570" s="3">
        <v>2252.44</v>
      </c>
      <c r="I570">
        <v>309</v>
      </c>
      <c r="J570">
        <v>1</v>
      </c>
      <c r="K570">
        <v>18</v>
      </c>
      <c r="L570" s="4">
        <v>7.3985987684091897E-2</v>
      </c>
      <c r="M570" s="4">
        <v>0.92601401231590796</v>
      </c>
      <c r="N570">
        <v>0</v>
      </c>
    </row>
    <row r="571" spans="1:14" x14ac:dyDescent="0.25">
      <c r="A571" s="2"/>
      <c r="B571" t="s">
        <v>1483</v>
      </c>
      <c r="C571" t="s">
        <v>16</v>
      </c>
      <c r="D571" t="s">
        <v>86</v>
      </c>
      <c r="E571" t="s">
        <v>1480</v>
      </c>
      <c r="F571" t="s">
        <v>1481</v>
      </c>
      <c r="G571" t="s">
        <v>1484</v>
      </c>
      <c r="H571" s="3">
        <v>2868.08</v>
      </c>
      <c r="I571">
        <v>852</v>
      </c>
      <c r="J571">
        <v>0</v>
      </c>
      <c r="K571">
        <v>8</v>
      </c>
      <c r="L571" s="4">
        <v>0.71038066280871104</v>
      </c>
      <c r="M571" s="4">
        <v>0.28961933719128902</v>
      </c>
      <c r="N571">
        <v>0</v>
      </c>
    </row>
    <row r="572" spans="1:14" x14ac:dyDescent="0.25">
      <c r="A572" s="2"/>
      <c r="B572" t="s">
        <v>1485</v>
      </c>
      <c r="C572" t="s">
        <v>16</v>
      </c>
      <c r="D572" t="s">
        <v>86</v>
      </c>
      <c r="E572" t="s">
        <v>1480</v>
      </c>
      <c r="F572" t="s">
        <v>1481</v>
      </c>
      <c r="G572" t="s">
        <v>1486</v>
      </c>
      <c r="H572" s="3">
        <v>3078.92</v>
      </c>
      <c r="I572">
        <v>900</v>
      </c>
      <c r="J572">
        <v>1</v>
      </c>
      <c r="K572">
        <v>18</v>
      </c>
      <c r="L572" s="4">
        <v>0.26292976962495301</v>
      </c>
      <c r="M572" s="4">
        <v>0.73707023037504704</v>
      </c>
      <c r="N572">
        <v>0</v>
      </c>
    </row>
    <row r="573" spans="1:14" x14ac:dyDescent="0.25">
      <c r="A573" s="2">
        <v>23999103</v>
      </c>
      <c r="C573" t="s">
        <v>0</v>
      </c>
      <c r="D573" t="s">
        <v>607</v>
      </c>
      <c r="E573" t="s">
        <v>1487</v>
      </c>
      <c r="F573" t="s">
        <v>1488</v>
      </c>
      <c r="G573" t="s">
        <v>1489</v>
      </c>
      <c r="H573" s="3">
        <v>3120</v>
      </c>
      <c r="I573">
        <v>169</v>
      </c>
      <c r="K573">
        <v>30</v>
      </c>
      <c r="L573" s="4">
        <v>0.82270470142166696</v>
      </c>
      <c r="M573" s="4">
        <v>0.17729529857833301</v>
      </c>
      <c r="N573">
        <v>0</v>
      </c>
    </row>
    <row r="574" spans="1:14" x14ac:dyDescent="0.25">
      <c r="A574" s="2">
        <v>23670199</v>
      </c>
      <c r="B574" t="s">
        <v>1490</v>
      </c>
      <c r="C574" t="s">
        <v>31</v>
      </c>
      <c r="D574" t="s">
        <v>607</v>
      </c>
      <c r="E574" t="s">
        <v>1487</v>
      </c>
      <c r="F574" t="s">
        <v>1488</v>
      </c>
      <c r="G574" t="s">
        <v>1491</v>
      </c>
      <c r="H574" s="3">
        <v>3120</v>
      </c>
      <c r="I574">
        <v>98</v>
      </c>
      <c r="J574">
        <v>0</v>
      </c>
      <c r="K574">
        <v>19</v>
      </c>
      <c r="L574" s="4">
        <v>0.58273206062433602</v>
      </c>
      <c r="M574" s="4">
        <v>0.41726793937566398</v>
      </c>
      <c r="N574">
        <v>0</v>
      </c>
    </row>
    <row r="575" spans="1:14" x14ac:dyDescent="0.25">
      <c r="A575" s="2"/>
      <c r="B575" t="s">
        <v>1492</v>
      </c>
      <c r="C575" t="s">
        <v>16</v>
      </c>
      <c r="D575" t="s">
        <v>607</v>
      </c>
      <c r="E575" t="s">
        <v>1487</v>
      </c>
      <c r="F575" t="s">
        <v>1488</v>
      </c>
      <c r="G575" t="s">
        <v>1493</v>
      </c>
      <c r="H575" s="3">
        <v>3120</v>
      </c>
      <c r="I575">
        <v>630</v>
      </c>
      <c r="J575">
        <v>0</v>
      </c>
      <c r="K575">
        <v>21</v>
      </c>
      <c r="L575" s="4">
        <v>0.44321768440367998</v>
      </c>
      <c r="M575" s="4">
        <v>0.55678231559631997</v>
      </c>
      <c r="N575">
        <v>0</v>
      </c>
    </row>
    <row r="576" spans="1:14" x14ac:dyDescent="0.25">
      <c r="A576" s="2"/>
      <c r="B576" t="s">
        <v>1494</v>
      </c>
      <c r="C576" t="s">
        <v>16</v>
      </c>
      <c r="D576" t="s">
        <v>406</v>
      </c>
      <c r="E576" t="s">
        <v>1495</v>
      </c>
      <c r="F576" t="s">
        <v>1496</v>
      </c>
      <c r="G576" t="s">
        <v>1497</v>
      </c>
      <c r="H576" s="3">
        <v>2534.5300000000002</v>
      </c>
      <c r="J576">
        <v>0</v>
      </c>
      <c r="K576">
        <v>24</v>
      </c>
      <c r="L576" s="4">
        <v>0.77105530582558601</v>
      </c>
      <c r="M576" s="4">
        <v>0.22894469417441399</v>
      </c>
      <c r="N576">
        <v>0</v>
      </c>
    </row>
    <row r="577" spans="1:14" x14ac:dyDescent="0.25">
      <c r="A577" s="2"/>
      <c r="C577" t="s">
        <v>28</v>
      </c>
      <c r="D577" t="s">
        <v>17</v>
      </c>
      <c r="E577" t="s">
        <v>1498</v>
      </c>
      <c r="F577" t="s">
        <v>1499</v>
      </c>
      <c r="G577" t="s">
        <v>1500</v>
      </c>
      <c r="H577" s="3">
        <v>615.72</v>
      </c>
      <c r="I577">
        <v>607</v>
      </c>
      <c r="J577">
        <v>0</v>
      </c>
      <c r="K577">
        <v>47</v>
      </c>
      <c r="L577" s="4">
        <v>0.81996522209781697</v>
      </c>
      <c r="M577" s="4">
        <v>0.180034777902183</v>
      </c>
      <c r="N577">
        <v>0</v>
      </c>
    </row>
    <row r="578" spans="1:14" x14ac:dyDescent="0.25">
      <c r="A578" s="2"/>
      <c r="C578" t="s">
        <v>28</v>
      </c>
      <c r="D578" t="s">
        <v>17</v>
      </c>
      <c r="E578" t="s">
        <v>1498</v>
      </c>
      <c r="F578" t="s">
        <v>1499</v>
      </c>
      <c r="G578" t="s">
        <v>1501</v>
      </c>
      <c r="H578" s="3">
        <v>2419.71</v>
      </c>
      <c r="I578">
        <v>975</v>
      </c>
      <c r="J578">
        <v>0</v>
      </c>
      <c r="K578">
        <v>32</v>
      </c>
      <c r="L578" s="4">
        <v>0.23862433737842301</v>
      </c>
      <c r="M578" s="4">
        <v>0.76137566262157697</v>
      </c>
      <c r="N578">
        <v>0</v>
      </c>
    </row>
    <row r="579" spans="1:14" x14ac:dyDescent="0.25">
      <c r="A579" s="2"/>
      <c r="B579" t="s">
        <v>1502</v>
      </c>
      <c r="C579" t="s">
        <v>16</v>
      </c>
      <c r="D579" t="s">
        <v>1503</v>
      </c>
      <c r="E579" t="s">
        <v>1504</v>
      </c>
      <c r="F579" t="s">
        <v>1505</v>
      </c>
      <c r="G579" t="s">
        <v>1506</v>
      </c>
      <c r="H579" s="3">
        <v>1150</v>
      </c>
      <c r="I579">
        <v>436</v>
      </c>
      <c r="J579">
        <v>1</v>
      </c>
      <c r="K579">
        <v>39</v>
      </c>
      <c r="L579" s="4">
        <v>0.90958434816836198</v>
      </c>
      <c r="M579" s="4">
        <v>9.0415651831638397E-2</v>
      </c>
      <c r="N579">
        <v>0</v>
      </c>
    </row>
    <row r="580" spans="1:14" x14ac:dyDescent="0.25">
      <c r="A580" s="2"/>
      <c r="B580" t="s">
        <v>1507</v>
      </c>
      <c r="C580" t="s">
        <v>16</v>
      </c>
      <c r="D580" t="s">
        <v>1508</v>
      </c>
      <c r="E580" t="s">
        <v>1509</v>
      </c>
      <c r="F580" t="s">
        <v>1510</v>
      </c>
      <c r="G580" t="s">
        <v>1511</v>
      </c>
      <c r="H580" s="3">
        <v>2350.9899999999998</v>
      </c>
      <c r="I580">
        <v>369</v>
      </c>
      <c r="J580">
        <v>0</v>
      </c>
      <c r="K580">
        <v>46</v>
      </c>
      <c r="L580" s="4">
        <v>0.80219697617091001</v>
      </c>
      <c r="M580" s="4">
        <v>0.19780302382909001</v>
      </c>
      <c r="N580">
        <v>0</v>
      </c>
    </row>
    <row r="581" spans="1:14" x14ac:dyDescent="0.25">
      <c r="A581" s="2"/>
      <c r="B581" t="s">
        <v>1512</v>
      </c>
      <c r="C581" t="s">
        <v>16</v>
      </c>
      <c r="D581" t="s">
        <v>1508</v>
      </c>
      <c r="E581" t="s">
        <v>1509</v>
      </c>
      <c r="F581" t="s">
        <v>1510</v>
      </c>
      <c r="G581" t="s">
        <v>1513</v>
      </c>
      <c r="H581" s="3">
        <v>2352.94</v>
      </c>
      <c r="I581">
        <v>79</v>
      </c>
      <c r="J581">
        <v>0</v>
      </c>
      <c r="K581">
        <v>41</v>
      </c>
      <c r="L581" s="4">
        <v>0.70891978465356098</v>
      </c>
      <c r="M581" s="4">
        <v>0.29108021534643902</v>
      </c>
      <c r="N581">
        <v>0</v>
      </c>
    </row>
    <row r="582" spans="1:14" x14ac:dyDescent="0.25">
      <c r="A582" s="2"/>
      <c r="B582" t="s">
        <v>1514</v>
      </c>
      <c r="C582" t="s">
        <v>16</v>
      </c>
      <c r="D582" t="s">
        <v>1508</v>
      </c>
      <c r="E582" t="s">
        <v>1509</v>
      </c>
      <c r="F582" t="s">
        <v>1510</v>
      </c>
      <c r="G582" t="s">
        <v>1515</v>
      </c>
      <c r="H582" s="3">
        <v>1875</v>
      </c>
      <c r="I582">
        <v>819</v>
      </c>
      <c r="J582">
        <v>0</v>
      </c>
      <c r="K582">
        <v>43</v>
      </c>
      <c r="L582" s="4">
        <v>0.75648743752479997</v>
      </c>
      <c r="M582" s="4">
        <v>0.24351256247520001</v>
      </c>
      <c r="N582">
        <v>0</v>
      </c>
    </row>
    <row r="583" spans="1:14" x14ac:dyDescent="0.25">
      <c r="A583" s="2"/>
      <c r="B583" t="s">
        <v>1516</v>
      </c>
      <c r="C583" t="s">
        <v>16</v>
      </c>
      <c r="D583" t="s">
        <v>1508</v>
      </c>
      <c r="E583" t="s">
        <v>1509</v>
      </c>
      <c r="F583" t="s">
        <v>1510</v>
      </c>
      <c r="G583" t="s">
        <v>1517</v>
      </c>
      <c r="H583" s="3">
        <v>1864.86</v>
      </c>
      <c r="I583">
        <v>220</v>
      </c>
      <c r="J583">
        <v>0</v>
      </c>
      <c r="K583">
        <v>18</v>
      </c>
      <c r="L583" s="4">
        <v>0.75761545531937402</v>
      </c>
      <c r="M583" s="4">
        <v>0.24238454468062601</v>
      </c>
      <c r="N583">
        <v>0</v>
      </c>
    </row>
    <row r="584" spans="1:14" x14ac:dyDescent="0.25">
      <c r="A584" s="2"/>
      <c r="B584" t="s">
        <v>1518</v>
      </c>
      <c r="C584" t="s">
        <v>16</v>
      </c>
      <c r="D584" t="s">
        <v>1508</v>
      </c>
      <c r="E584" t="s">
        <v>1509</v>
      </c>
      <c r="F584" t="s">
        <v>1510</v>
      </c>
      <c r="G584" t="s">
        <v>1519</v>
      </c>
      <c r="H584" s="3">
        <v>2246.2199999999998</v>
      </c>
      <c r="I584">
        <v>634</v>
      </c>
      <c r="J584">
        <v>1</v>
      </c>
      <c r="K584">
        <v>26</v>
      </c>
      <c r="L584" s="4">
        <v>0.174952701874212</v>
      </c>
      <c r="M584" s="4">
        <v>0.82504729812578803</v>
      </c>
      <c r="N584">
        <v>0</v>
      </c>
    </row>
    <row r="585" spans="1:14" x14ac:dyDescent="0.25">
      <c r="A585" s="2"/>
      <c r="B585" t="s">
        <v>1520</v>
      </c>
      <c r="C585" t="s">
        <v>16</v>
      </c>
      <c r="D585" t="s">
        <v>1508</v>
      </c>
      <c r="E585" t="s">
        <v>1509</v>
      </c>
      <c r="F585" t="s">
        <v>1510</v>
      </c>
      <c r="G585" t="s">
        <v>1521</v>
      </c>
      <c r="H585" s="3">
        <v>2247.02</v>
      </c>
      <c r="I585">
        <v>419</v>
      </c>
      <c r="J585">
        <v>1</v>
      </c>
      <c r="K585">
        <v>14</v>
      </c>
      <c r="L585" s="4">
        <v>0.66918219868981499</v>
      </c>
      <c r="M585" s="4">
        <v>0.33081780131018501</v>
      </c>
      <c r="N585">
        <v>0</v>
      </c>
    </row>
    <row r="586" spans="1:14" x14ac:dyDescent="0.25">
      <c r="A586" s="2"/>
      <c r="C586" t="s">
        <v>28</v>
      </c>
      <c r="D586" t="s">
        <v>133</v>
      </c>
      <c r="E586" t="s">
        <v>1522</v>
      </c>
      <c r="F586" t="s">
        <v>1523</v>
      </c>
      <c r="G586" t="s">
        <v>1524</v>
      </c>
      <c r="H586" s="3">
        <v>2475.6</v>
      </c>
      <c r="I586">
        <v>347</v>
      </c>
      <c r="J586">
        <v>1</v>
      </c>
      <c r="K586">
        <v>42</v>
      </c>
      <c r="L586" s="4">
        <v>0.24061405424945601</v>
      </c>
      <c r="M586" s="4">
        <v>0.75938594575054397</v>
      </c>
      <c r="N586">
        <v>0</v>
      </c>
    </row>
    <row r="587" spans="1:14" x14ac:dyDescent="0.25">
      <c r="A587" s="2"/>
      <c r="B587" t="s">
        <v>1525</v>
      </c>
      <c r="C587" t="s">
        <v>16</v>
      </c>
      <c r="D587" t="s">
        <v>1526</v>
      </c>
      <c r="E587" t="s">
        <v>1527</v>
      </c>
      <c r="F587" t="s">
        <v>1528</v>
      </c>
      <c r="G587" t="s">
        <v>1529</v>
      </c>
      <c r="H587" s="3">
        <v>1800</v>
      </c>
      <c r="I587">
        <v>291</v>
      </c>
      <c r="J587">
        <v>0</v>
      </c>
      <c r="L587" s="4">
        <v>0.98822000965063295</v>
      </c>
      <c r="M587" s="4">
        <v>1.17799903493666E-2</v>
      </c>
      <c r="N587">
        <v>0</v>
      </c>
    </row>
    <row r="588" spans="1:14" x14ac:dyDescent="0.25">
      <c r="A588" s="2"/>
      <c r="B588" t="s">
        <v>1530</v>
      </c>
      <c r="C588" t="s">
        <v>16</v>
      </c>
      <c r="D588" t="s">
        <v>113</v>
      </c>
      <c r="E588" t="s">
        <v>1531</v>
      </c>
      <c r="F588" t="s">
        <v>1532</v>
      </c>
      <c r="G588" t="s">
        <v>1533</v>
      </c>
      <c r="H588" s="3">
        <v>1800</v>
      </c>
      <c r="I588">
        <v>529</v>
      </c>
      <c r="J588">
        <v>0</v>
      </c>
      <c r="K588">
        <v>34</v>
      </c>
      <c r="L588" s="4">
        <v>9.8430311796778303E-2</v>
      </c>
      <c r="M588" s="4">
        <v>0.90156968820322203</v>
      </c>
      <c r="N588">
        <v>0</v>
      </c>
    </row>
    <row r="589" spans="1:14" x14ac:dyDescent="0.25">
      <c r="A589" s="2"/>
      <c r="B589" t="s">
        <v>1534</v>
      </c>
      <c r="C589" t="s">
        <v>16</v>
      </c>
      <c r="D589" t="s">
        <v>113</v>
      </c>
      <c r="E589" t="s">
        <v>1531</v>
      </c>
      <c r="F589" t="s">
        <v>1532</v>
      </c>
      <c r="G589" t="s">
        <v>1535</v>
      </c>
      <c r="H589" s="3">
        <v>2034</v>
      </c>
      <c r="I589">
        <v>30</v>
      </c>
      <c r="J589">
        <v>0</v>
      </c>
      <c r="K589">
        <v>14</v>
      </c>
      <c r="L589" s="4">
        <v>9.3943547624665405E-2</v>
      </c>
      <c r="M589" s="4">
        <v>0.90605645237533505</v>
      </c>
      <c r="N589">
        <v>0</v>
      </c>
    </row>
    <row r="590" spans="1:14" x14ac:dyDescent="0.25">
      <c r="A590" s="2"/>
      <c r="B590" t="s">
        <v>1536</v>
      </c>
      <c r="C590" t="s">
        <v>16</v>
      </c>
      <c r="D590" t="s">
        <v>388</v>
      </c>
      <c r="E590" t="s">
        <v>1537</v>
      </c>
      <c r="F590" t="s">
        <v>1538</v>
      </c>
      <c r="G590" t="s">
        <v>1539</v>
      </c>
      <c r="H590" s="3">
        <v>487.9</v>
      </c>
      <c r="I590">
        <v>986</v>
      </c>
      <c r="J590">
        <v>0</v>
      </c>
      <c r="K590">
        <v>34</v>
      </c>
      <c r="L590" s="4">
        <v>0.49117373361396199</v>
      </c>
      <c r="M590" s="4">
        <v>0.50882626638603901</v>
      </c>
      <c r="N590">
        <v>0</v>
      </c>
    </row>
    <row r="591" spans="1:14" x14ac:dyDescent="0.25">
      <c r="A591" s="2"/>
      <c r="C591" t="s">
        <v>28</v>
      </c>
      <c r="D591" t="s">
        <v>388</v>
      </c>
      <c r="E591" t="s">
        <v>1537</v>
      </c>
      <c r="F591" t="s">
        <v>1538</v>
      </c>
      <c r="G591" t="s">
        <v>1540</v>
      </c>
      <c r="H591" s="3">
        <v>493.07</v>
      </c>
      <c r="J591">
        <v>0</v>
      </c>
      <c r="K591">
        <v>48</v>
      </c>
      <c r="L591" s="4">
        <v>0.52953411196036904</v>
      </c>
      <c r="M591" s="4">
        <v>0.47046588803963102</v>
      </c>
      <c r="N591">
        <v>0</v>
      </c>
    </row>
    <row r="592" spans="1:14" x14ac:dyDescent="0.25">
      <c r="A592" s="2"/>
      <c r="B592" t="s">
        <v>1541</v>
      </c>
      <c r="C592" t="s">
        <v>16</v>
      </c>
      <c r="D592" t="s">
        <v>388</v>
      </c>
      <c r="E592" t="s">
        <v>1537</v>
      </c>
      <c r="F592" t="s">
        <v>1538</v>
      </c>
      <c r="G592" t="s">
        <v>1542</v>
      </c>
      <c r="H592" s="3">
        <v>409.78</v>
      </c>
      <c r="I592">
        <v>288</v>
      </c>
      <c r="K592">
        <v>26</v>
      </c>
      <c r="L592" s="4">
        <v>0.19910468321108801</v>
      </c>
      <c r="M592" s="4">
        <v>0.80089531678891202</v>
      </c>
      <c r="N592">
        <v>0</v>
      </c>
    </row>
    <row r="593" spans="1:14" x14ac:dyDescent="0.25">
      <c r="A593" s="2"/>
      <c r="B593" t="s">
        <v>1543</v>
      </c>
      <c r="C593" t="s">
        <v>16</v>
      </c>
      <c r="D593" t="s">
        <v>388</v>
      </c>
      <c r="E593" t="s">
        <v>1537</v>
      </c>
      <c r="F593" t="s">
        <v>1538</v>
      </c>
      <c r="G593" t="s">
        <v>1544</v>
      </c>
      <c r="H593" s="3">
        <v>607.54</v>
      </c>
      <c r="I593">
        <v>990</v>
      </c>
      <c r="J593">
        <v>0</v>
      </c>
      <c r="K593">
        <v>40</v>
      </c>
      <c r="L593" s="4">
        <v>0.61066108003688802</v>
      </c>
      <c r="M593" s="4">
        <v>0.38933891996311198</v>
      </c>
      <c r="N593">
        <v>0</v>
      </c>
    </row>
    <row r="594" spans="1:14" x14ac:dyDescent="0.25">
      <c r="A594" s="2"/>
      <c r="C594" t="s">
        <v>28</v>
      </c>
      <c r="D594" t="s">
        <v>86</v>
      </c>
      <c r="E594" t="s">
        <v>1545</v>
      </c>
      <c r="F594" t="s">
        <v>1546</v>
      </c>
      <c r="G594" t="s">
        <v>1547</v>
      </c>
      <c r="H594" s="3">
        <v>1500</v>
      </c>
      <c r="I594">
        <v>335</v>
      </c>
      <c r="J594">
        <v>1</v>
      </c>
      <c r="K594">
        <v>10</v>
      </c>
      <c r="L594" s="4">
        <v>0.83116174610159399</v>
      </c>
      <c r="M594" s="4">
        <v>0.16883825389840601</v>
      </c>
      <c r="N594">
        <v>0</v>
      </c>
    </row>
    <row r="595" spans="1:14" x14ac:dyDescent="0.25">
      <c r="A595" s="2"/>
      <c r="B595" t="s">
        <v>1548</v>
      </c>
      <c r="C595" t="s">
        <v>16</v>
      </c>
      <c r="D595" t="s">
        <v>86</v>
      </c>
      <c r="E595" t="s">
        <v>1545</v>
      </c>
      <c r="F595" t="s">
        <v>1546</v>
      </c>
      <c r="G595" t="s">
        <v>1549</v>
      </c>
      <c r="H595" s="3">
        <v>1834.77</v>
      </c>
      <c r="I595">
        <v>763</v>
      </c>
      <c r="J595">
        <v>1</v>
      </c>
      <c r="K595">
        <v>31</v>
      </c>
      <c r="L595" s="4">
        <v>0.18329935145526399</v>
      </c>
      <c r="M595" s="4">
        <v>0.81670064854473601</v>
      </c>
      <c r="N595">
        <v>0</v>
      </c>
    </row>
    <row r="596" spans="1:14" x14ac:dyDescent="0.25">
      <c r="A596" s="2">
        <v>23750825</v>
      </c>
      <c r="C596" t="s">
        <v>0</v>
      </c>
      <c r="D596" t="s">
        <v>86</v>
      </c>
      <c r="E596" t="s">
        <v>1545</v>
      </c>
      <c r="F596" t="s">
        <v>1546</v>
      </c>
      <c r="G596" t="s">
        <v>1550</v>
      </c>
      <c r="H596" s="3">
        <v>1834.77</v>
      </c>
      <c r="I596">
        <v>997</v>
      </c>
      <c r="J596">
        <v>1</v>
      </c>
      <c r="K596">
        <v>6</v>
      </c>
      <c r="L596" s="4">
        <v>0.71171239440759504</v>
      </c>
      <c r="M596" s="4">
        <v>0.28828760559240502</v>
      </c>
      <c r="N596">
        <v>0</v>
      </c>
    </row>
    <row r="597" spans="1:14" x14ac:dyDescent="0.25">
      <c r="A597" s="2"/>
      <c r="B597" t="s">
        <v>1551</v>
      </c>
      <c r="C597" t="s">
        <v>16</v>
      </c>
      <c r="D597" t="s">
        <v>17</v>
      </c>
      <c r="E597" t="s">
        <v>1552</v>
      </c>
      <c r="F597" t="s">
        <v>1553</v>
      </c>
      <c r="G597" t="s">
        <v>1554</v>
      </c>
      <c r="H597" s="3">
        <v>2483.12</v>
      </c>
      <c r="I597">
        <v>620</v>
      </c>
      <c r="J597">
        <v>0</v>
      </c>
      <c r="K597">
        <v>47</v>
      </c>
      <c r="L597" s="4">
        <v>0.35698605445397902</v>
      </c>
      <c r="M597" s="4">
        <v>0.64301394554602198</v>
      </c>
      <c r="N597">
        <v>0</v>
      </c>
    </row>
    <row r="598" spans="1:14" x14ac:dyDescent="0.25">
      <c r="A598" s="2">
        <v>22928509</v>
      </c>
      <c r="B598" t="s">
        <v>1555</v>
      </c>
      <c r="C598" t="s">
        <v>31</v>
      </c>
      <c r="D598" t="s">
        <v>378</v>
      </c>
      <c r="E598" t="s">
        <v>1556</v>
      </c>
      <c r="F598" t="s">
        <v>1557</v>
      </c>
      <c r="G598" t="s">
        <v>1558</v>
      </c>
      <c r="H598" s="3">
        <v>270</v>
      </c>
      <c r="I598">
        <v>991</v>
      </c>
      <c r="J598">
        <v>0</v>
      </c>
      <c r="K598">
        <v>19</v>
      </c>
      <c r="L598" s="4">
        <v>0.73917606730341501</v>
      </c>
      <c r="M598" s="4">
        <v>0.26082393269658499</v>
      </c>
      <c r="N598">
        <v>0</v>
      </c>
    </row>
    <row r="599" spans="1:14" x14ac:dyDescent="0.25">
      <c r="A599" s="2"/>
      <c r="B599" t="s">
        <v>1559</v>
      </c>
      <c r="C599" t="s">
        <v>16</v>
      </c>
      <c r="D599" t="s">
        <v>133</v>
      </c>
      <c r="E599" t="s">
        <v>1560</v>
      </c>
      <c r="F599" t="s">
        <v>1561</v>
      </c>
      <c r="G599" t="s">
        <v>1562</v>
      </c>
      <c r="H599" s="3">
        <v>1987.56</v>
      </c>
      <c r="I599">
        <v>359</v>
      </c>
      <c r="J599">
        <v>1</v>
      </c>
      <c r="K599">
        <v>46</v>
      </c>
      <c r="L599" s="4">
        <v>0.23852873967286101</v>
      </c>
      <c r="M599" s="4">
        <v>0.76147126032713897</v>
      </c>
      <c r="N599">
        <v>0</v>
      </c>
    </row>
    <row r="600" spans="1:14" x14ac:dyDescent="0.25">
      <c r="A600" s="2"/>
      <c r="B600" t="s">
        <v>1563</v>
      </c>
      <c r="C600" t="s">
        <v>16</v>
      </c>
      <c r="D600" t="s">
        <v>333</v>
      </c>
      <c r="E600" t="s">
        <v>1564</v>
      </c>
      <c r="F600" t="s">
        <v>1565</v>
      </c>
      <c r="G600" t="s">
        <v>1566</v>
      </c>
      <c r="H600" s="3">
        <v>1653.18</v>
      </c>
      <c r="J600">
        <v>0</v>
      </c>
      <c r="K600">
        <v>21</v>
      </c>
      <c r="L600" s="4">
        <v>0.649035360259965</v>
      </c>
      <c r="M600" s="4">
        <v>0.350964639740035</v>
      </c>
      <c r="N600">
        <v>0</v>
      </c>
    </row>
    <row r="601" spans="1:14" x14ac:dyDescent="0.25">
      <c r="A601" s="2"/>
      <c r="B601" t="s">
        <v>1567</v>
      </c>
      <c r="C601" t="s">
        <v>16</v>
      </c>
      <c r="D601" t="s">
        <v>333</v>
      </c>
      <c r="E601" t="s">
        <v>1564</v>
      </c>
      <c r="F601" t="s">
        <v>1565</v>
      </c>
      <c r="G601" t="s">
        <v>1568</v>
      </c>
      <c r="H601" s="3">
        <v>2316.16</v>
      </c>
      <c r="I601">
        <v>355</v>
      </c>
      <c r="J601">
        <v>1</v>
      </c>
      <c r="K601">
        <v>49</v>
      </c>
      <c r="L601" s="4">
        <v>0.63338470883846498</v>
      </c>
      <c r="M601" s="4">
        <v>0.36661529116153602</v>
      </c>
      <c r="N601">
        <v>0</v>
      </c>
    </row>
    <row r="602" spans="1:14" x14ac:dyDescent="0.25">
      <c r="A602" s="2">
        <v>23881859</v>
      </c>
      <c r="C602" t="s">
        <v>0</v>
      </c>
      <c r="D602" t="s">
        <v>86</v>
      </c>
      <c r="E602" t="s">
        <v>1569</v>
      </c>
      <c r="F602" t="s">
        <v>1570</v>
      </c>
      <c r="G602" t="s">
        <v>1571</v>
      </c>
      <c r="H602" s="3">
        <v>1834.77</v>
      </c>
      <c r="I602">
        <v>915</v>
      </c>
      <c r="J602">
        <v>0</v>
      </c>
      <c r="K602">
        <v>12</v>
      </c>
      <c r="L602" s="4">
        <v>8.2784294806843607E-3</v>
      </c>
      <c r="M602" s="4">
        <v>0.99172157051931598</v>
      </c>
      <c r="N602">
        <v>0</v>
      </c>
    </row>
    <row r="603" spans="1:14" x14ac:dyDescent="0.25">
      <c r="A603" s="2"/>
      <c r="B603" t="s">
        <v>1572</v>
      </c>
      <c r="C603" t="s">
        <v>16</v>
      </c>
      <c r="D603" t="s">
        <v>69</v>
      </c>
      <c r="E603" t="s">
        <v>1573</v>
      </c>
      <c r="F603" t="s">
        <v>1574</v>
      </c>
      <c r="G603" t="s">
        <v>1575</v>
      </c>
      <c r="H603" s="3">
        <v>2331.9499999999998</v>
      </c>
      <c r="I603">
        <v>422</v>
      </c>
      <c r="J603">
        <v>0</v>
      </c>
      <c r="K603">
        <v>48</v>
      </c>
      <c r="L603" s="4">
        <v>0.19786109010043401</v>
      </c>
      <c r="M603" s="4">
        <v>0.80213890989956704</v>
      </c>
      <c r="N603">
        <v>0</v>
      </c>
    </row>
    <row r="604" spans="1:14" x14ac:dyDescent="0.25">
      <c r="A604" s="2">
        <v>23385540</v>
      </c>
      <c r="B604" t="s">
        <v>1576</v>
      </c>
      <c r="C604" t="s">
        <v>31</v>
      </c>
      <c r="D604" t="s">
        <v>69</v>
      </c>
      <c r="E604" t="s">
        <v>1573</v>
      </c>
      <c r="F604" t="s">
        <v>1574</v>
      </c>
      <c r="G604" t="s">
        <v>1577</v>
      </c>
      <c r="H604" s="3">
        <v>2285.92</v>
      </c>
      <c r="I604">
        <v>558</v>
      </c>
      <c r="J604">
        <v>0</v>
      </c>
      <c r="K604">
        <v>1</v>
      </c>
      <c r="L604" s="4">
        <v>0.13313475773049499</v>
      </c>
      <c r="M604" s="4">
        <v>0.86686524226950501</v>
      </c>
      <c r="N604">
        <v>0</v>
      </c>
    </row>
    <row r="605" spans="1:14" x14ac:dyDescent="0.25">
      <c r="A605" s="2"/>
      <c r="C605" t="s">
        <v>28</v>
      </c>
      <c r="D605" t="s">
        <v>110</v>
      </c>
      <c r="E605" t="s">
        <v>1578</v>
      </c>
      <c r="F605" t="s">
        <v>1579</v>
      </c>
      <c r="G605" t="s">
        <v>1580</v>
      </c>
      <c r="H605" s="3">
        <v>2040</v>
      </c>
      <c r="I605">
        <v>608</v>
      </c>
      <c r="J605">
        <v>0</v>
      </c>
      <c r="K605">
        <v>28</v>
      </c>
      <c r="L605" s="4">
        <v>0.37751735459879099</v>
      </c>
      <c r="M605" s="4">
        <v>0.62248264540120901</v>
      </c>
      <c r="N605">
        <v>0</v>
      </c>
    </row>
    <row r="606" spans="1:14" x14ac:dyDescent="0.25">
      <c r="A606" s="2"/>
      <c r="C606" t="s">
        <v>28</v>
      </c>
      <c r="D606" t="s">
        <v>1163</v>
      </c>
      <c r="E606" t="s">
        <v>1581</v>
      </c>
      <c r="F606" t="s">
        <v>1582</v>
      </c>
      <c r="G606" t="s">
        <v>1583</v>
      </c>
      <c r="H606" s="3">
        <v>800</v>
      </c>
      <c r="I606">
        <v>120</v>
      </c>
      <c r="J606">
        <v>1</v>
      </c>
      <c r="K606">
        <v>48</v>
      </c>
      <c r="L606" s="4">
        <v>7.2306757416037301E-2</v>
      </c>
      <c r="M606" s="4">
        <v>0.92769324258396302</v>
      </c>
      <c r="N606">
        <v>0</v>
      </c>
    </row>
    <row r="607" spans="1:14" x14ac:dyDescent="0.25">
      <c r="A607" s="2"/>
      <c r="B607" t="s">
        <v>1584</v>
      </c>
      <c r="C607" t="s">
        <v>16</v>
      </c>
      <c r="D607" t="s">
        <v>17</v>
      </c>
      <c r="E607" t="s">
        <v>1585</v>
      </c>
      <c r="F607" t="s">
        <v>1586</v>
      </c>
      <c r="G607" t="s">
        <v>1587</v>
      </c>
      <c r="H607" s="3">
        <v>2228</v>
      </c>
      <c r="I607">
        <v>193</v>
      </c>
      <c r="J607">
        <v>1</v>
      </c>
      <c r="K607">
        <v>27</v>
      </c>
      <c r="L607" s="4">
        <v>0.24818738475452401</v>
      </c>
      <c r="M607" s="4">
        <v>0.75181261524547605</v>
      </c>
      <c r="N607">
        <v>1028</v>
      </c>
    </row>
    <row r="608" spans="1:14" x14ac:dyDescent="0.25">
      <c r="A608" s="2"/>
      <c r="B608" t="s">
        <v>1588</v>
      </c>
      <c r="C608" t="s">
        <v>16</v>
      </c>
      <c r="D608" t="s">
        <v>69</v>
      </c>
      <c r="E608" t="s">
        <v>1589</v>
      </c>
      <c r="F608" t="s">
        <v>1590</v>
      </c>
      <c r="G608" t="s">
        <v>1591</v>
      </c>
      <c r="H608" s="3">
        <v>1632.89</v>
      </c>
      <c r="I608">
        <v>54</v>
      </c>
      <c r="J608">
        <v>0</v>
      </c>
      <c r="K608">
        <v>20</v>
      </c>
      <c r="L608" s="4">
        <v>0.46400580944610798</v>
      </c>
      <c r="M608" s="4">
        <v>0.53599419055389197</v>
      </c>
      <c r="N608">
        <v>0</v>
      </c>
    </row>
    <row r="609" spans="1:14" x14ac:dyDescent="0.25">
      <c r="A609" s="2">
        <v>23132696</v>
      </c>
      <c r="B609" t="s">
        <v>1592</v>
      </c>
      <c r="C609" t="s">
        <v>31</v>
      </c>
      <c r="D609" t="s">
        <v>1593</v>
      </c>
      <c r="E609" t="s">
        <v>1594</v>
      </c>
      <c r="F609" t="s">
        <v>1595</v>
      </c>
      <c r="G609" t="s">
        <v>1596</v>
      </c>
      <c r="H609" s="3">
        <v>1200</v>
      </c>
      <c r="I609">
        <v>500</v>
      </c>
      <c r="J609">
        <v>0</v>
      </c>
      <c r="K609">
        <v>46</v>
      </c>
      <c r="L609" s="4">
        <v>0.37864280841466003</v>
      </c>
      <c r="M609" s="4">
        <v>0.62135719158533997</v>
      </c>
      <c r="N609">
        <v>0</v>
      </c>
    </row>
    <row r="610" spans="1:14" x14ac:dyDescent="0.25">
      <c r="A610" s="2"/>
      <c r="B610" t="s">
        <v>1597</v>
      </c>
      <c r="C610" t="s">
        <v>16</v>
      </c>
      <c r="D610" t="s">
        <v>1598</v>
      </c>
      <c r="E610" t="s">
        <v>1594</v>
      </c>
      <c r="F610" t="s">
        <v>1595</v>
      </c>
      <c r="G610" t="s">
        <v>1599</v>
      </c>
      <c r="H610" s="3">
        <v>1440</v>
      </c>
      <c r="I610">
        <v>245</v>
      </c>
      <c r="J610">
        <v>0</v>
      </c>
      <c r="K610">
        <v>45</v>
      </c>
      <c r="L610" s="4">
        <v>0.411281744371637</v>
      </c>
      <c r="M610" s="4">
        <v>0.588718255628363</v>
      </c>
      <c r="N610">
        <v>0</v>
      </c>
    </row>
    <row r="611" spans="1:14" x14ac:dyDescent="0.25">
      <c r="A611" s="2"/>
      <c r="C611" t="s">
        <v>28</v>
      </c>
      <c r="D611" t="s">
        <v>133</v>
      </c>
      <c r="E611" t="s">
        <v>1600</v>
      </c>
      <c r="F611" t="s">
        <v>1601</v>
      </c>
      <c r="G611" t="s">
        <v>1602</v>
      </c>
      <c r="H611" s="3">
        <v>2260.8000000000002</v>
      </c>
      <c r="J611">
        <v>0</v>
      </c>
      <c r="K611">
        <v>16</v>
      </c>
      <c r="L611" s="4">
        <v>0.66614013203246303</v>
      </c>
      <c r="M611" s="4">
        <v>0.33385986796753703</v>
      </c>
      <c r="N611">
        <v>0</v>
      </c>
    </row>
    <row r="612" spans="1:14" x14ac:dyDescent="0.25">
      <c r="A612" s="2"/>
      <c r="B612" t="s">
        <v>1603</v>
      </c>
      <c r="C612" t="s">
        <v>16</v>
      </c>
      <c r="D612" t="s">
        <v>69</v>
      </c>
      <c r="E612" t="s">
        <v>1604</v>
      </c>
      <c r="F612" t="s">
        <v>1595</v>
      </c>
      <c r="G612" t="s">
        <v>1605</v>
      </c>
      <c r="H612" s="3">
        <v>1899.66</v>
      </c>
      <c r="I612">
        <v>780</v>
      </c>
      <c r="J612">
        <v>0</v>
      </c>
      <c r="K612">
        <v>4</v>
      </c>
      <c r="L612" s="4">
        <v>0.96684741693839205</v>
      </c>
      <c r="M612" s="4">
        <v>3.3152583061607697E-2</v>
      </c>
      <c r="N612">
        <v>0</v>
      </c>
    </row>
    <row r="613" spans="1:14" x14ac:dyDescent="0.25">
      <c r="A613" s="2"/>
      <c r="B613" t="s">
        <v>1606</v>
      </c>
      <c r="C613" t="s">
        <v>16</v>
      </c>
      <c r="D613" t="s">
        <v>69</v>
      </c>
      <c r="E613" t="s">
        <v>1604</v>
      </c>
      <c r="F613" t="s">
        <v>1595</v>
      </c>
      <c r="G613" t="s">
        <v>1607</v>
      </c>
      <c r="H613" s="3">
        <v>2220.9</v>
      </c>
      <c r="I613">
        <v>223</v>
      </c>
      <c r="J613">
        <v>1</v>
      </c>
      <c r="K613">
        <v>22</v>
      </c>
      <c r="L613" s="4">
        <v>6.9146710198529901E-2</v>
      </c>
      <c r="M613" s="4">
        <v>0.93085328980146997</v>
      </c>
      <c r="N613">
        <v>0</v>
      </c>
    </row>
    <row r="614" spans="1:14" x14ac:dyDescent="0.25">
      <c r="A614" s="2"/>
      <c r="C614" t="s">
        <v>28</v>
      </c>
      <c r="D614" t="s">
        <v>1608</v>
      </c>
      <c r="E614" t="s">
        <v>1609</v>
      </c>
      <c r="F614" t="s">
        <v>1610</v>
      </c>
      <c r="G614" t="s">
        <v>1611</v>
      </c>
      <c r="H614" s="3">
        <v>779.72</v>
      </c>
      <c r="I614">
        <v>92</v>
      </c>
      <c r="J614">
        <v>0</v>
      </c>
      <c r="K614">
        <v>30</v>
      </c>
      <c r="L614" s="4">
        <v>0.25283252321321797</v>
      </c>
      <c r="M614" s="4">
        <v>0.74716747678678197</v>
      </c>
      <c r="N614">
        <v>0</v>
      </c>
    </row>
    <row r="615" spans="1:14" x14ac:dyDescent="0.25">
      <c r="A615" s="2"/>
      <c r="B615" t="s">
        <v>1612</v>
      </c>
      <c r="C615" t="s">
        <v>16</v>
      </c>
      <c r="D615" t="s">
        <v>607</v>
      </c>
      <c r="E615" t="s">
        <v>1613</v>
      </c>
      <c r="F615" t="s">
        <v>1614</v>
      </c>
      <c r="G615" t="s">
        <v>1615</v>
      </c>
      <c r="H615" s="3">
        <v>2400</v>
      </c>
      <c r="I615">
        <v>527</v>
      </c>
      <c r="J615">
        <v>0</v>
      </c>
      <c r="K615">
        <v>29</v>
      </c>
      <c r="L615" s="4">
        <v>9.48591593643449E-2</v>
      </c>
      <c r="M615" s="4">
        <v>0.90514084063565503</v>
      </c>
      <c r="N615">
        <v>0</v>
      </c>
    </row>
    <row r="616" spans="1:14" x14ac:dyDescent="0.25">
      <c r="A616" s="2">
        <v>23632796</v>
      </c>
      <c r="C616" t="s">
        <v>0</v>
      </c>
      <c r="D616" t="s">
        <v>607</v>
      </c>
      <c r="E616" t="s">
        <v>1613</v>
      </c>
      <c r="F616" t="s">
        <v>1614</v>
      </c>
      <c r="G616" t="s">
        <v>1616</v>
      </c>
      <c r="H616" s="3">
        <v>2400</v>
      </c>
      <c r="I616">
        <v>416</v>
      </c>
      <c r="J616">
        <v>0</v>
      </c>
      <c r="K616">
        <v>27</v>
      </c>
      <c r="L616" s="4">
        <v>0.176200959122398</v>
      </c>
      <c r="M616" s="4">
        <v>0.82379904087760203</v>
      </c>
      <c r="N616">
        <v>0</v>
      </c>
    </row>
    <row r="617" spans="1:14" x14ac:dyDescent="0.25">
      <c r="A617" s="2"/>
      <c r="B617" t="s">
        <v>1617</v>
      </c>
      <c r="C617" t="s">
        <v>16</v>
      </c>
      <c r="D617" t="s">
        <v>86</v>
      </c>
      <c r="E617" t="s">
        <v>1569</v>
      </c>
      <c r="F617" t="s">
        <v>1618</v>
      </c>
      <c r="G617" t="s">
        <v>1619</v>
      </c>
      <c r="H617" s="3">
        <v>2256.65</v>
      </c>
      <c r="I617">
        <v>597</v>
      </c>
      <c r="J617">
        <v>1</v>
      </c>
      <c r="K617">
        <v>47</v>
      </c>
      <c r="L617" s="4">
        <v>0.98269206791111197</v>
      </c>
      <c r="M617" s="4">
        <v>1.7307932088888402E-2</v>
      </c>
      <c r="N617">
        <v>0</v>
      </c>
    </row>
    <row r="618" spans="1:14" x14ac:dyDescent="0.25">
      <c r="A618" s="2"/>
      <c r="B618" t="s">
        <v>1620</v>
      </c>
      <c r="C618" t="s">
        <v>16</v>
      </c>
      <c r="D618" t="s">
        <v>86</v>
      </c>
      <c r="E618" t="s">
        <v>1569</v>
      </c>
      <c r="F618" t="s">
        <v>1618</v>
      </c>
      <c r="G618" t="s">
        <v>1621</v>
      </c>
      <c r="H618" s="3">
        <v>1820.09</v>
      </c>
      <c r="I618">
        <v>394</v>
      </c>
      <c r="J618">
        <v>0</v>
      </c>
      <c r="K618">
        <v>8</v>
      </c>
      <c r="L618" s="4">
        <v>0.38495349269337997</v>
      </c>
      <c r="M618" s="4">
        <v>0.61504650730662003</v>
      </c>
      <c r="N618">
        <v>0</v>
      </c>
    </row>
    <row r="619" spans="1:14" x14ac:dyDescent="0.25">
      <c r="A619" s="2"/>
      <c r="B619" t="s">
        <v>1622</v>
      </c>
      <c r="C619" t="s">
        <v>16</v>
      </c>
      <c r="D619" t="s">
        <v>86</v>
      </c>
      <c r="E619" t="s">
        <v>1569</v>
      </c>
      <c r="F619" t="s">
        <v>1618</v>
      </c>
      <c r="G619" t="s">
        <v>1623</v>
      </c>
      <c r="H619" s="3">
        <v>2020.25</v>
      </c>
      <c r="I619">
        <v>815</v>
      </c>
      <c r="J619">
        <v>0</v>
      </c>
      <c r="K619">
        <v>6</v>
      </c>
      <c r="L619" s="4">
        <v>0.30569360487663999</v>
      </c>
      <c r="M619" s="4">
        <v>0.69430639512336001</v>
      </c>
      <c r="N619">
        <v>0</v>
      </c>
    </row>
    <row r="620" spans="1:14" x14ac:dyDescent="0.25">
      <c r="A620" s="2">
        <v>22965681</v>
      </c>
      <c r="B620" t="s">
        <v>1624</v>
      </c>
      <c r="C620" t="s">
        <v>31</v>
      </c>
      <c r="D620" t="s">
        <v>86</v>
      </c>
      <c r="E620" t="s">
        <v>1569</v>
      </c>
      <c r="F620" t="s">
        <v>1618</v>
      </c>
      <c r="G620" t="s">
        <v>1625</v>
      </c>
      <c r="H620" s="3">
        <v>2269</v>
      </c>
      <c r="I620">
        <v>303</v>
      </c>
      <c r="J620">
        <v>1</v>
      </c>
      <c r="K620">
        <v>40</v>
      </c>
      <c r="L620" s="4">
        <v>0.50709886056726405</v>
      </c>
      <c r="M620" s="4">
        <v>0.492901139432736</v>
      </c>
      <c r="N620">
        <v>0</v>
      </c>
    </row>
    <row r="621" spans="1:14" x14ac:dyDescent="0.25">
      <c r="A621" s="2">
        <v>22653709</v>
      </c>
      <c r="B621" t="s">
        <v>1626</v>
      </c>
      <c r="C621" t="s">
        <v>31</v>
      </c>
      <c r="D621" t="s">
        <v>86</v>
      </c>
      <c r="E621" t="s">
        <v>1569</v>
      </c>
      <c r="F621" t="s">
        <v>1618</v>
      </c>
      <c r="G621" t="s">
        <v>1627</v>
      </c>
      <c r="H621" s="3">
        <v>2380.96</v>
      </c>
      <c r="I621">
        <v>83</v>
      </c>
      <c r="J621">
        <v>1</v>
      </c>
      <c r="K621">
        <v>31</v>
      </c>
      <c r="L621" s="4">
        <v>0.39970080023480098</v>
      </c>
      <c r="M621" s="4">
        <v>0.60029919976519897</v>
      </c>
      <c r="N621">
        <v>0</v>
      </c>
    </row>
    <row r="622" spans="1:14" x14ac:dyDescent="0.25">
      <c r="A622" s="2"/>
      <c r="B622" t="s">
        <v>1628</v>
      </c>
      <c r="C622" t="s">
        <v>16</v>
      </c>
      <c r="D622" t="s">
        <v>86</v>
      </c>
      <c r="E622" t="s">
        <v>1569</v>
      </c>
      <c r="F622" t="s">
        <v>1618</v>
      </c>
      <c r="G622" t="s">
        <v>1629</v>
      </c>
      <c r="H622" s="3">
        <v>1635</v>
      </c>
      <c r="I622">
        <v>170</v>
      </c>
      <c r="J622">
        <v>0</v>
      </c>
      <c r="K622">
        <v>44</v>
      </c>
      <c r="L622" s="4">
        <v>0.68025853318428997</v>
      </c>
      <c r="M622" s="4">
        <v>0.31974146681570997</v>
      </c>
      <c r="N622">
        <v>0</v>
      </c>
    </row>
    <row r="623" spans="1:14" x14ac:dyDescent="0.25">
      <c r="A623" s="2"/>
      <c r="B623" t="s">
        <v>1630</v>
      </c>
      <c r="C623" t="s">
        <v>16</v>
      </c>
      <c r="D623" t="s">
        <v>86</v>
      </c>
      <c r="E623" t="s">
        <v>1569</v>
      </c>
      <c r="F623" t="s">
        <v>1618</v>
      </c>
      <c r="G623" t="s">
        <v>1631</v>
      </c>
      <c r="H623" s="3">
        <v>2320.19</v>
      </c>
      <c r="I623">
        <v>197</v>
      </c>
      <c r="J623">
        <v>1</v>
      </c>
      <c r="L623" s="4">
        <v>0.10337484409813601</v>
      </c>
      <c r="M623" s="4">
        <v>0.89662515590186398</v>
      </c>
      <c r="N623">
        <v>0</v>
      </c>
    </row>
    <row r="624" spans="1:14" x14ac:dyDescent="0.25">
      <c r="A624" s="2"/>
      <c r="B624" t="s">
        <v>1632</v>
      </c>
      <c r="C624" t="s">
        <v>16</v>
      </c>
      <c r="D624" t="s">
        <v>86</v>
      </c>
      <c r="E624" t="s">
        <v>1569</v>
      </c>
      <c r="F624" t="s">
        <v>1618</v>
      </c>
      <c r="G624" t="s">
        <v>1633</v>
      </c>
      <c r="H624" s="3">
        <v>2377.33</v>
      </c>
      <c r="I624">
        <v>883</v>
      </c>
      <c r="J624">
        <v>1</v>
      </c>
      <c r="K624">
        <v>2</v>
      </c>
      <c r="L624" s="4">
        <v>0.83970641596954698</v>
      </c>
      <c r="M624" s="4">
        <v>0.16029358403045299</v>
      </c>
      <c r="N624">
        <v>0</v>
      </c>
    </row>
    <row r="625" spans="1:14" x14ac:dyDescent="0.25">
      <c r="A625" s="2"/>
      <c r="B625" t="s">
        <v>1634</v>
      </c>
      <c r="C625" t="s">
        <v>16</v>
      </c>
      <c r="D625" t="s">
        <v>17</v>
      </c>
      <c r="E625" t="s">
        <v>1635</v>
      </c>
      <c r="F625" t="s">
        <v>1636</v>
      </c>
      <c r="G625" t="s">
        <v>1637</v>
      </c>
      <c r="H625" s="3">
        <v>2281.08</v>
      </c>
      <c r="I625">
        <v>2</v>
      </c>
      <c r="J625">
        <v>0</v>
      </c>
      <c r="K625">
        <v>50</v>
      </c>
      <c r="L625" s="4">
        <v>0.225710010444993</v>
      </c>
      <c r="M625" s="4">
        <v>0.77428998955500705</v>
      </c>
      <c r="N625">
        <v>0</v>
      </c>
    </row>
    <row r="626" spans="1:14" x14ac:dyDescent="0.25">
      <c r="A626" s="2">
        <v>23707654</v>
      </c>
      <c r="B626" t="s">
        <v>1638</v>
      </c>
      <c r="C626" t="s">
        <v>31</v>
      </c>
      <c r="D626" t="s">
        <v>17</v>
      </c>
      <c r="E626" t="s">
        <v>1635</v>
      </c>
      <c r="F626" t="s">
        <v>1636</v>
      </c>
      <c r="G626" t="s">
        <v>1639</v>
      </c>
      <c r="H626" s="3">
        <v>2468.5</v>
      </c>
      <c r="J626">
        <v>1</v>
      </c>
      <c r="K626">
        <v>11</v>
      </c>
      <c r="L626" s="4">
        <v>0.58841801301942698</v>
      </c>
      <c r="M626" s="4">
        <v>0.41158198698057302</v>
      </c>
      <c r="N626">
        <v>0</v>
      </c>
    </row>
    <row r="627" spans="1:14" x14ac:dyDescent="0.25">
      <c r="A627" s="2"/>
      <c r="C627" t="s">
        <v>28</v>
      </c>
      <c r="D627" t="s">
        <v>86</v>
      </c>
      <c r="E627" t="s">
        <v>1640</v>
      </c>
      <c r="F627" t="s">
        <v>1641</v>
      </c>
      <c r="G627" t="s">
        <v>1642</v>
      </c>
      <c r="H627" s="3">
        <v>1500</v>
      </c>
      <c r="I627">
        <v>302</v>
      </c>
      <c r="J627">
        <v>1</v>
      </c>
      <c r="K627">
        <v>8</v>
      </c>
      <c r="L627" s="4">
        <v>0.33804015005205401</v>
      </c>
      <c r="M627" s="4">
        <v>0.66195984994794699</v>
      </c>
      <c r="N627">
        <v>0</v>
      </c>
    </row>
    <row r="628" spans="1:14" x14ac:dyDescent="0.25">
      <c r="A628" s="2"/>
      <c r="C628" t="s">
        <v>28</v>
      </c>
      <c r="D628" t="s">
        <v>1163</v>
      </c>
      <c r="E628" t="s">
        <v>1643</v>
      </c>
      <c r="F628" t="s">
        <v>1644</v>
      </c>
      <c r="G628" t="s">
        <v>1645</v>
      </c>
      <c r="H628" s="3">
        <v>1920</v>
      </c>
      <c r="I628">
        <v>93</v>
      </c>
      <c r="J628">
        <v>1</v>
      </c>
      <c r="L628" s="4">
        <v>0.76381771636404405</v>
      </c>
      <c r="M628" s="4">
        <v>0.236182283635956</v>
      </c>
      <c r="N628">
        <v>0</v>
      </c>
    </row>
    <row r="629" spans="1:14" x14ac:dyDescent="0.25">
      <c r="A629" s="2">
        <v>23172732</v>
      </c>
      <c r="B629" t="s">
        <v>1646</v>
      </c>
      <c r="C629" t="s">
        <v>31</v>
      </c>
      <c r="D629" t="s">
        <v>110</v>
      </c>
      <c r="E629" t="s">
        <v>1647</v>
      </c>
      <c r="F629" t="s">
        <v>1648</v>
      </c>
      <c r="G629" t="s">
        <v>1649</v>
      </c>
      <c r="H629" s="3">
        <v>1800</v>
      </c>
      <c r="I629">
        <v>449</v>
      </c>
      <c r="J629">
        <v>0</v>
      </c>
      <c r="K629">
        <v>24</v>
      </c>
      <c r="L629" s="4">
        <v>1.42553429808778E-2</v>
      </c>
      <c r="M629" s="4">
        <v>0.98574465701912195</v>
      </c>
      <c r="N629">
        <v>0</v>
      </c>
    </row>
    <row r="630" spans="1:14" x14ac:dyDescent="0.25">
      <c r="A630" s="2"/>
      <c r="B630" t="s">
        <v>1650</v>
      </c>
      <c r="C630" t="s">
        <v>16</v>
      </c>
      <c r="D630" t="s">
        <v>17</v>
      </c>
      <c r="E630" t="s">
        <v>1651</v>
      </c>
      <c r="F630" t="s">
        <v>1652</v>
      </c>
      <c r="G630" t="s">
        <v>1653</v>
      </c>
      <c r="H630" s="3">
        <v>2325.59</v>
      </c>
      <c r="I630">
        <v>327</v>
      </c>
      <c r="J630">
        <v>0</v>
      </c>
      <c r="K630">
        <v>22</v>
      </c>
      <c r="L630" s="4">
        <v>0.25243661855229099</v>
      </c>
      <c r="M630" s="4">
        <v>0.74756338144770895</v>
      </c>
      <c r="N630">
        <v>0</v>
      </c>
    </row>
    <row r="631" spans="1:14" x14ac:dyDescent="0.25">
      <c r="A631" s="2"/>
      <c r="B631" t="s">
        <v>1654</v>
      </c>
      <c r="C631" t="s">
        <v>16</v>
      </c>
      <c r="D631" t="s">
        <v>69</v>
      </c>
      <c r="E631" t="s">
        <v>1655</v>
      </c>
      <c r="F631" t="s">
        <v>1656</v>
      </c>
      <c r="G631" t="s">
        <v>1657</v>
      </c>
      <c r="H631" s="3">
        <v>2263.1799999999998</v>
      </c>
      <c r="I631">
        <v>201</v>
      </c>
      <c r="J631">
        <v>1</v>
      </c>
      <c r="K631">
        <v>34</v>
      </c>
      <c r="L631" s="4">
        <v>2.6234436671044199E-2</v>
      </c>
      <c r="M631" s="4">
        <v>0.97376556332895603</v>
      </c>
      <c r="N631">
        <v>0</v>
      </c>
    </row>
    <row r="632" spans="1:14" x14ac:dyDescent="0.25">
      <c r="A632" s="2"/>
      <c r="C632" t="s">
        <v>28</v>
      </c>
      <c r="D632" t="s">
        <v>1658</v>
      </c>
      <c r="E632" t="s">
        <v>1659</v>
      </c>
      <c r="F632" t="s">
        <v>1660</v>
      </c>
      <c r="G632" t="s">
        <v>1661</v>
      </c>
      <c r="H632" s="3">
        <v>2340</v>
      </c>
      <c r="I632">
        <v>615</v>
      </c>
      <c r="J632">
        <v>0</v>
      </c>
      <c r="K632">
        <v>29</v>
      </c>
      <c r="L632" s="4">
        <v>0.75207189352996695</v>
      </c>
      <c r="M632" s="4">
        <v>0.24792810647003299</v>
      </c>
      <c r="N632">
        <v>0</v>
      </c>
    </row>
    <row r="633" spans="1:14" x14ac:dyDescent="0.25">
      <c r="A633" s="2"/>
      <c r="B633" t="s">
        <v>1662</v>
      </c>
      <c r="C633" t="s">
        <v>16</v>
      </c>
      <c r="D633" t="s">
        <v>86</v>
      </c>
      <c r="E633" t="s">
        <v>1663</v>
      </c>
      <c r="F633" t="s">
        <v>1664</v>
      </c>
      <c r="G633" t="s">
        <v>1665</v>
      </c>
      <c r="H633" s="3">
        <v>2300.38</v>
      </c>
      <c r="I633">
        <v>225</v>
      </c>
      <c r="J633">
        <v>1</v>
      </c>
      <c r="K633">
        <v>40</v>
      </c>
      <c r="L633" s="4">
        <v>0.83202653841552299</v>
      </c>
      <c r="M633" s="4">
        <v>0.16797346158447701</v>
      </c>
      <c r="N633">
        <v>0</v>
      </c>
    </row>
    <row r="634" spans="1:14" x14ac:dyDescent="0.25">
      <c r="A634" s="2"/>
      <c r="C634" t="s">
        <v>28</v>
      </c>
      <c r="D634" t="s">
        <v>1666</v>
      </c>
      <c r="E634" t="s">
        <v>1667</v>
      </c>
      <c r="F634" t="s">
        <v>1668</v>
      </c>
      <c r="G634" t="s">
        <v>1669</v>
      </c>
      <c r="H634" s="3">
        <v>651.25</v>
      </c>
      <c r="I634">
        <v>162</v>
      </c>
      <c r="J634">
        <v>1</v>
      </c>
      <c r="K634">
        <v>20</v>
      </c>
      <c r="L634" s="4">
        <v>0.95441264934720804</v>
      </c>
      <c r="M634" s="4">
        <v>4.5587350652791701E-2</v>
      </c>
      <c r="N634">
        <v>0</v>
      </c>
    </row>
    <row r="635" spans="1:14" x14ac:dyDescent="0.25">
      <c r="A635" s="2"/>
      <c r="C635" t="s">
        <v>28</v>
      </c>
      <c r="D635" t="s">
        <v>1666</v>
      </c>
      <c r="E635" t="s">
        <v>1667</v>
      </c>
      <c r="F635" t="s">
        <v>1668</v>
      </c>
      <c r="G635" t="s">
        <v>1670</v>
      </c>
      <c r="H635" s="3">
        <v>651.25</v>
      </c>
      <c r="I635">
        <v>563</v>
      </c>
      <c r="J635">
        <v>0</v>
      </c>
      <c r="K635">
        <v>20</v>
      </c>
      <c r="L635" s="4">
        <v>0.81766978427702697</v>
      </c>
      <c r="M635" s="4">
        <v>0.182330215722973</v>
      </c>
      <c r="N635">
        <v>0</v>
      </c>
    </row>
    <row r="636" spans="1:14" x14ac:dyDescent="0.25">
      <c r="A636" s="2"/>
      <c r="B636" t="s">
        <v>1671</v>
      </c>
      <c r="C636" t="s">
        <v>16</v>
      </c>
      <c r="D636" t="s">
        <v>148</v>
      </c>
      <c r="E636" t="s">
        <v>1672</v>
      </c>
      <c r="F636" t="s">
        <v>1673</v>
      </c>
      <c r="G636" t="s">
        <v>1674</v>
      </c>
      <c r="H636" s="3">
        <v>1564.5</v>
      </c>
      <c r="I636">
        <v>633</v>
      </c>
      <c r="J636">
        <v>1</v>
      </c>
      <c r="K636">
        <v>38</v>
      </c>
      <c r="L636" s="4">
        <v>0.29057632489561902</v>
      </c>
      <c r="M636" s="4">
        <v>0.70942367510438198</v>
      </c>
      <c r="N636">
        <v>0</v>
      </c>
    </row>
    <row r="637" spans="1:14" x14ac:dyDescent="0.25">
      <c r="A637" s="2"/>
      <c r="B637" t="s">
        <v>1675</v>
      </c>
      <c r="C637" t="s">
        <v>16</v>
      </c>
      <c r="D637" t="s">
        <v>86</v>
      </c>
      <c r="E637" t="s">
        <v>1676</v>
      </c>
      <c r="F637" t="s">
        <v>1677</v>
      </c>
      <c r="G637" t="s">
        <v>1678</v>
      </c>
      <c r="H637" s="3">
        <v>2184.2199999999998</v>
      </c>
      <c r="I637">
        <v>63</v>
      </c>
      <c r="J637">
        <v>0</v>
      </c>
      <c r="K637">
        <v>6</v>
      </c>
      <c r="L637" s="4">
        <v>0.51598524109007504</v>
      </c>
      <c r="M637" s="4">
        <v>0.48401475890992501</v>
      </c>
      <c r="N637">
        <v>0</v>
      </c>
    </row>
    <row r="638" spans="1:14" x14ac:dyDescent="0.25">
      <c r="A638" s="2"/>
      <c r="C638" t="s">
        <v>28</v>
      </c>
      <c r="D638" t="s">
        <v>86</v>
      </c>
      <c r="E638" t="s">
        <v>1676</v>
      </c>
      <c r="F638" t="s">
        <v>1677</v>
      </c>
      <c r="G638" t="s">
        <v>1679</v>
      </c>
      <c r="H638" s="3">
        <v>2374.52</v>
      </c>
      <c r="I638">
        <v>872</v>
      </c>
      <c r="J638">
        <v>1</v>
      </c>
      <c r="K638">
        <v>22</v>
      </c>
      <c r="L638" s="4">
        <v>0.122474723612937</v>
      </c>
      <c r="M638" s="4">
        <v>0.87752527638706401</v>
      </c>
      <c r="N638">
        <v>0</v>
      </c>
    </row>
    <row r="639" spans="1:14" x14ac:dyDescent="0.25">
      <c r="A639" s="2"/>
      <c r="B639" t="s">
        <v>1680</v>
      </c>
      <c r="C639" t="s">
        <v>16</v>
      </c>
      <c r="D639" t="s">
        <v>86</v>
      </c>
      <c r="E639" t="s">
        <v>1681</v>
      </c>
      <c r="F639" t="s">
        <v>1682</v>
      </c>
      <c r="G639" t="s">
        <v>1683</v>
      </c>
      <c r="H639" s="3">
        <v>1524</v>
      </c>
      <c r="I639">
        <v>364</v>
      </c>
      <c r="J639">
        <v>0</v>
      </c>
      <c r="K639">
        <v>30</v>
      </c>
      <c r="L639" s="4">
        <v>0.39701812904460498</v>
      </c>
      <c r="M639" s="4">
        <v>0.60298187095539502</v>
      </c>
      <c r="N639">
        <v>0</v>
      </c>
    </row>
    <row r="640" spans="1:14" x14ac:dyDescent="0.25">
      <c r="A640" s="2">
        <v>23371752</v>
      </c>
      <c r="B640" t="s">
        <v>1684</v>
      </c>
      <c r="C640" t="s">
        <v>31</v>
      </c>
      <c r="D640" t="s">
        <v>69</v>
      </c>
      <c r="E640" t="s">
        <v>1685</v>
      </c>
      <c r="F640" t="s">
        <v>1686</v>
      </c>
      <c r="G640" t="s">
        <v>1687</v>
      </c>
      <c r="H640" s="3">
        <v>1889.1</v>
      </c>
      <c r="I640">
        <v>283</v>
      </c>
      <c r="J640">
        <v>1</v>
      </c>
      <c r="K640">
        <v>5</v>
      </c>
      <c r="L640" s="4">
        <v>0.81532717541946598</v>
      </c>
      <c r="M640" s="4">
        <v>0.184672824580534</v>
      </c>
      <c r="N640">
        <v>0</v>
      </c>
    </row>
    <row r="641" spans="1:14" x14ac:dyDescent="0.25">
      <c r="A641" s="2"/>
      <c r="B641" t="s">
        <v>1688</v>
      </c>
      <c r="C641" t="s">
        <v>16</v>
      </c>
      <c r="D641" t="s">
        <v>69</v>
      </c>
      <c r="E641" t="s">
        <v>1685</v>
      </c>
      <c r="F641" t="s">
        <v>1686</v>
      </c>
      <c r="G641" t="s">
        <v>1689</v>
      </c>
      <c r="H641" s="3">
        <v>2076.5500000000002</v>
      </c>
      <c r="J641">
        <v>0</v>
      </c>
      <c r="K641">
        <v>33</v>
      </c>
      <c r="L641" s="4">
        <v>0.67928507228986201</v>
      </c>
      <c r="M641" s="4">
        <v>0.32071492771013799</v>
      </c>
      <c r="N641">
        <v>0</v>
      </c>
    </row>
    <row r="642" spans="1:14" x14ac:dyDescent="0.25">
      <c r="A642" s="2"/>
      <c r="B642" t="s">
        <v>1690</v>
      </c>
      <c r="C642" t="s">
        <v>16</v>
      </c>
      <c r="D642" t="s">
        <v>17</v>
      </c>
      <c r="E642" t="s">
        <v>1691</v>
      </c>
      <c r="F642" t="s">
        <v>1686</v>
      </c>
      <c r="G642" t="s">
        <v>1692</v>
      </c>
      <c r="H642" s="3">
        <v>2488.17</v>
      </c>
      <c r="I642">
        <v>969</v>
      </c>
      <c r="J642">
        <v>1</v>
      </c>
      <c r="K642">
        <v>12</v>
      </c>
      <c r="L642" s="4">
        <v>0.98003073295196896</v>
      </c>
      <c r="M642" s="4">
        <v>1.9969267048030599E-2</v>
      </c>
      <c r="N642">
        <v>0</v>
      </c>
    </row>
    <row r="643" spans="1:14" x14ac:dyDescent="0.25">
      <c r="A643" s="2"/>
      <c r="B643" t="s">
        <v>1693</v>
      </c>
      <c r="C643" t="s">
        <v>16</v>
      </c>
      <c r="D643" t="s">
        <v>17</v>
      </c>
      <c r="E643" t="s">
        <v>1694</v>
      </c>
      <c r="F643" t="s">
        <v>1686</v>
      </c>
      <c r="G643" t="s">
        <v>1695</v>
      </c>
      <c r="H643" s="3">
        <v>2395.4299999999998</v>
      </c>
      <c r="I643">
        <v>995</v>
      </c>
      <c r="J643">
        <v>1</v>
      </c>
      <c r="K643">
        <v>10</v>
      </c>
      <c r="L643" s="4">
        <v>0.63906245190227895</v>
      </c>
      <c r="M643" s="4">
        <v>0.36093754809772099</v>
      </c>
      <c r="N643">
        <v>0</v>
      </c>
    </row>
    <row r="644" spans="1:14" x14ac:dyDescent="0.25">
      <c r="A644" s="2">
        <v>23220237</v>
      </c>
      <c r="B644" t="s">
        <v>1696</v>
      </c>
      <c r="C644" t="s">
        <v>31</v>
      </c>
      <c r="D644" t="s">
        <v>17</v>
      </c>
      <c r="E644" t="s">
        <v>1697</v>
      </c>
      <c r="F644" t="s">
        <v>1698</v>
      </c>
      <c r="G644" t="s">
        <v>1699</v>
      </c>
      <c r="H644" s="3">
        <v>2328.2399999999998</v>
      </c>
      <c r="I644">
        <v>519</v>
      </c>
      <c r="J644">
        <v>1</v>
      </c>
      <c r="K644">
        <v>15</v>
      </c>
      <c r="L644" s="4">
        <v>0.27696366999702399</v>
      </c>
      <c r="M644" s="4">
        <v>0.72303633000297596</v>
      </c>
      <c r="N644">
        <v>0</v>
      </c>
    </row>
    <row r="645" spans="1:14" x14ac:dyDescent="0.25">
      <c r="A645" s="2"/>
      <c r="B645" t="s">
        <v>1700</v>
      </c>
      <c r="C645" t="s">
        <v>16</v>
      </c>
      <c r="D645" t="s">
        <v>17</v>
      </c>
      <c r="E645" t="s">
        <v>1701</v>
      </c>
      <c r="F645" t="s">
        <v>1702</v>
      </c>
      <c r="G645" t="s">
        <v>1703</v>
      </c>
      <c r="H645" s="3">
        <v>1771.93</v>
      </c>
      <c r="I645">
        <v>675</v>
      </c>
      <c r="J645">
        <v>0</v>
      </c>
      <c r="K645">
        <v>4</v>
      </c>
      <c r="L645" s="4">
        <v>0.59774841496694198</v>
      </c>
      <c r="M645" s="4">
        <v>0.40225158503305802</v>
      </c>
      <c r="N645">
        <v>0</v>
      </c>
    </row>
    <row r="646" spans="1:14" x14ac:dyDescent="0.25">
      <c r="A646" s="2"/>
      <c r="B646" t="s">
        <v>1704</v>
      </c>
      <c r="C646" t="s">
        <v>16</v>
      </c>
      <c r="D646" t="s">
        <v>17</v>
      </c>
      <c r="E646" t="s">
        <v>1701</v>
      </c>
      <c r="F646" t="s">
        <v>1702</v>
      </c>
      <c r="G646" t="s">
        <v>1705</v>
      </c>
      <c r="H646" s="3">
        <v>2380.2800000000002</v>
      </c>
      <c r="I646">
        <v>731</v>
      </c>
      <c r="J646">
        <v>1</v>
      </c>
      <c r="K646">
        <v>17</v>
      </c>
      <c r="L646" s="4">
        <v>0.53956671883349905</v>
      </c>
      <c r="M646" s="4">
        <v>0.46043328116650101</v>
      </c>
      <c r="N646">
        <v>0</v>
      </c>
    </row>
    <row r="647" spans="1:14" x14ac:dyDescent="0.25">
      <c r="A647" s="2">
        <v>23183165</v>
      </c>
      <c r="C647" t="s">
        <v>0</v>
      </c>
      <c r="D647" t="s">
        <v>17</v>
      </c>
      <c r="E647" t="s">
        <v>1706</v>
      </c>
      <c r="F647" t="s">
        <v>1707</v>
      </c>
      <c r="G647" t="s">
        <v>1708</v>
      </c>
      <c r="H647" s="3">
        <v>2329.56</v>
      </c>
      <c r="I647">
        <v>897</v>
      </c>
      <c r="K647">
        <v>15</v>
      </c>
      <c r="L647" s="4">
        <v>0.356843323739086</v>
      </c>
      <c r="M647" s="4">
        <v>0.643156676260914</v>
      </c>
      <c r="N647">
        <v>0</v>
      </c>
    </row>
    <row r="648" spans="1:14" x14ac:dyDescent="0.25">
      <c r="A648" s="2">
        <v>23538029</v>
      </c>
      <c r="B648" t="s">
        <v>1709</v>
      </c>
      <c r="C648" t="s">
        <v>31</v>
      </c>
      <c r="D648" t="s">
        <v>17</v>
      </c>
      <c r="E648" t="s">
        <v>1706</v>
      </c>
      <c r="F648" t="s">
        <v>1707</v>
      </c>
      <c r="G648" t="s">
        <v>1710</v>
      </c>
      <c r="H648" s="3">
        <v>2441.16</v>
      </c>
      <c r="I648">
        <v>782</v>
      </c>
      <c r="K648">
        <v>34</v>
      </c>
      <c r="L648" s="4">
        <v>1.2635680225314701E-2</v>
      </c>
      <c r="M648" s="4">
        <v>0.98736431977468497</v>
      </c>
      <c r="N648">
        <v>0</v>
      </c>
    </row>
    <row r="649" spans="1:14" x14ac:dyDescent="0.25">
      <c r="A649" s="2"/>
      <c r="B649" t="s">
        <v>1711</v>
      </c>
      <c r="C649" t="s">
        <v>16</v>
      </c>
      <c r="D649" t="s">
        <v>86</v>
      </c>
      <c r="E649" t="s">
        <v>1712</v>
      </c>
      <c r="F649" t="s">
        <v>1707</v>
      </c>
      <c r="G649" t="s">
        <v>1713</v>
      </c>
      <c r="H649" s="3">
        <v>1894.94</v>
      </c>
      <c r="I649">
        <v>414</v>
      </c>
      <c r="J649">
        <v>1</v>
      </c>
      <c r="K649">
        <v>8</v>
      </c>
      <c r="L649" s="4">
        <v>0.53562966012934399</v>
      </c>
      <c r="M649" s="4">
        <v>0.46437033987065601</v>
      </c>
      <c r="N649">
        <v>0</v>
      </c>
    </row>
    <row r="650" spans="1:14" x14ac:dyDescent="0.25">
      <c r="A650" s="2">
        <v>23879611</v>
      </c>
      <c r="C650" t="s">
        <v>0</v>
      </c>
      <c r="D650" t="s">
        <v>1714</v>
      </c>
      <c r="E650" t="s">
        <v>1715</v>
      </c>
      <c r="F650" t="s">
        <v>1716</v>
      </c>
      <c r="G650" t="s">
        <v>1717</v>
      </c>
      <c r="H650" s="3">
        <v>1700</v>
      </c>
      <c r="I650">
        <v>291</v>
      </c>
      <c r="J650">
        <v>1</v>
      </c>
      <c r="K650">
        <v>31</v>
      </c>
      <c r="L650" s="4">
        <v>0.86678361670990201</v>
      </c>
      <c r="M650" s="4">
        <v>0.13321638329009799</v>
      </c>
      <c r="N650">
        <v>0</v>
      </c>
    </row>
    <row r="651" spans="1:14" x14ac:dyDescent="0.25">
      <c r="A651" s="2"/>
      <c r="B651" t="s">
        <v>1718</v>
      </c>
      <c r="C651" t="s">
        <v>16</v>
      </c>
      <c r="D651" t="s">
        <v>113</v>
      </c>
      <c r="E651" t="s">
        <v>1719</v>
      </c>
      <c r="F651" t="s">
        <v>1720</v>
      </c>
      <c r="G651" t="s">
        <v>1721</v>
      </c>
      <c r="H651" s="3">
        <v>1800</v>
      </c>
      <c r="I651">
        <v>256</v>
      </c>
      <c r="J651">
        <v>1</v>
      </c>
      <c r="K651">
        <v>26</v>
      </c>
      <c r="L651" s="4">
        <v>0.13217124390517901</v>
      </c>
      <c r="M651" s="4">
        <v>0.86782875609482102</v>
      </c>
      <c r="N651">
        <v>0</v>
      </c>
    </row>
    <row r="652" spans="1:14" x14ac:dyDescent="0.25">
      <c r="A652" s="2">
        <v>22919070</v>
      </c>
      <c r="C652" t="s">
        <v>0</v>
      </c>
      <c r="D652" t="s">
        <v>1722</v>
      </c>
      <c r="E652" t="s">
        <v>1723</v>
      </c>
      <c r="F652" t="s">
        <v>1724</v>
      </c>
      <c r="G652" t="s">
        <v>1725</v>
      </c>
      <c r="H652" s="3">
        <v>1513.14</v>
      </c>
      <c r="I652">
        <v>427</v>
      </c>
      <c r="J652">
        <v>0</v>
      </c>
      <c r="L652" s="4">
        <v>0.73645485575901903</v>
      </c>
      <c r="M652" s="4">
        <v>0.26354514424098102</v>
      </c>
      <c r="N652">
        <v>0</v>
      </c>
    </row>
    <row r="653" spans="1:14" x14ac:dyDescent="0.25">
      <c r="A653" s="2"/>
      <c r="C653" t="s">
        <v>28</v>
      </c>
      <c r="D653" t="s">
        <v>1722</v>
      </c>
      <c r="E653" t="s">
        <v>1723</v>
      </c>
      <c r="F653" t="s">
        <v>1724</v>
      </c>
      <c r="G653" t="s">
        <v>1726</v>
      </c>
      <c r="H653" s="3">
        <v>1663.37</v>
      </c>
      <c r="I653">
        <v>769</v>
      </c>
      <c r="J653">
        <v>0</v>
      </c>
      <c r="K653">
        <v>45</v>
      </c>
      <c r="L653" s="4">
        <v>0.52376652093988696</v>
      </c>
      <c r="M653" s="4">
        <v>0.47623347906011398</v>
      </c>
      <c r="N653">
        <v>0</v>
      </c>
    </row>
    <row r="654" spans="1:14" x14ac:dyDescent="0.25">
      <c r="A654" s="2">
        <v>23982145</v>
      </c>
      <c r="C654" t="s">
        <v>0</v>
      </c>
      <c r="D654" t="s">
        <v>1722</v>
      </c>
      <c r="E654" t="s">
        <v>1723</v>
      </c>
      <c r="F654" t="s">
        <v>1724</v>
      </c>
      <c r="G654" t="s">
        <v>1727</v>
      </c>
      <c r="H654" s="3">
        <v>1920.98</v>
      </c>
      <c r="I654">
        <v>429</v>
      </c>
      <c r="J654">
        <v>0</v>
      </c>
      <c r="K654">
        <v>44</v>
      </c>
      <c r="L654" s="4">
        <v>0.61778573699035999</v>
      </c>
      <c r="M654" s="4">
        <v>0.38221426300964001</v>
      </c>
      <c r="N654">
        <v>0</v>
      </c>
    </row>
    <row r="655" spans="1:14" x14ac:dyDescent="0.25">
      <c r="A655" s="2"/>
      <c r="B655" t="s">
        <v>1728</v>
      </c>
      <c r="C655" t="s">
        <v>16</v>
      </c>
      <c r="D655" t="s">
        <v>1722</v>
      </c>
      <c r="E655" t="s">
        <v>1723</v>
      </c>
      <c r="F655" t="s">
        <v>1724</v>
      </c>
      <c r="G655" t="s">
        <v>1729</v>
      </c>
      <c r="H655" s="3">
        <v>1953.12</v>
      </c>
      <c r="I655">
        <v>176</v>
      </c>
      <c r="J655">
        <v>1</v>
      </c>
      <c r="K655">
        <v>36</v>
      </c>
      <c r="L655" s="4">
        <v>0.61692901474345097</v>
      </c>
      <c r="M655" s="4">
        <v>0.38307098525654898</v>
      </c>
      <c r="N655">
        <v>0</v>
      </c>
    </row>
    <row r="656" spans="1:14" x14ac:dyDescent="0.25">
      <c r="A656" s="2">
        <v>23118027</v>
      </c>
      <c r="C656" t="s">
        <v>0</v>
      </c>
      <c r="D656" t="s">
        <v>1722</v>
      </c>
      <c r="E656" t="s">
        <v>1723</v>
      </c>
      <c r="F656" t="s">
        <v>1724</v>
      </c>
      <c r="G656" t="s">
        <v>1730</v>
      </c>
      <c r="H656" s="3">
        <v>1866.72</v>
      </c>
      <c r="I656">
        <v>316</v>
      </c>
      <c r="J656">
        <v>0</v>
      </c>
      <c r="K656">
        <v>21</v>
      </c>
      <c r="L656" s="4">
        <v>0.679184235652184</v>
      </c>
      <c r="M656" s="4">
        <v>0.320815764347816</v>
      </c>
      <c r="N656">
        <v>0</v>
      </c>
    </row>
    <row r="657" spans="1:14" x14ac:dyDescent="0.25">
      <c r="A657" s="2"/>
      <c r="B657" t="s">
        <v>1731</v>
      </c>
      <c r="C657" t="s">
        <v>16</v>
      </c>
      <c r="D657" t="s">
        <v>1722</v>
      </c>
      <c r="E657" t="s">
        <v>1723</v>
      </c>
      <c r="F657" t="s">
        <v>1724</v>
      </c>
      <c r="G657" t="s">
        <v>1732</v>
      </c>
      <c r="H657" s="3">
        <v>2014.37</v>
      </c>
      <c r="I657">
        <v>795</v>
      </c>
      <c r="J657">
        <v>0</v>
      </c>
      <c r="K657">
        <v>29</v>
      </c>
      <c r="L657" s="4">
        <v>4.5197418975400101E-3</v>
      </c>
      <c r="M657" s="4">
        <v>0.99548025810245999</v>
      </c>
      <c r="N657">
        <v>0</v>
      </c>
    </row>
    <row r="658" spans="1:14" x14ac:dyDescent="0.25">
      <c r="A658" s="2"/>
      <c r="B658" t="s">
        <v>1733</v>
      </c>
      <c r="C658" t="s">
        <v>16</v>
      </c>
      <c r="D658" t="s">
        <v>1722</v>
      </c>
      <c r="E658" t="s">
        <v>1723</v>
      </c>
      <c r="F658" t="s">
        <v>1724</v>
      </c>
      <c r="G658" t="s">
        <v>1734</v>
      </c>
      <c r="H658" s="3">
        <v>1857.82</v>
      </c>
      <c r="I658">
        <v>175</v>
      </c>
      <c r="J658">
        <v>0</v>
      </c>
      <c r="K658">
        <v>25</v>
      </c>
      <c r="L658" s="4">
        <v>2.2652544397036699E-2</v>
      </c>
      <c r="M658" s="4">
        <v>0.97734745560296299</v>
      </c>
      <c r="N658">
        <v>0</v>
      </c>
    </row>
    <row r="659" spans="1:14" x14ac:dyDescent="0.25">
      <c r="A659" s="2">
        <v>23170778</v>
      </c>
      <c r="B659" t="s">
        <v>1735</v>
      </c>
      <c r="C659" t="s">
        <v>31</v>
      </c>
      <c r="D659" t="s">
        <v>86</v>
      </c>
      <c r="E659" t="s">
        <v>1736</v>
      </c>
      <c r="F659" t="s">
        <v>1737</v>
      </c>
      <c r="G659" t="s">
        <v>1738</v>
      </c>
      <c r="H659" s="3">
        <v>2246.21</v>
      </c>
      <c r="J659">
        <v>1</v>
      </c>
      <c r="K659">
        <v>40</v>
      </c>
      <c r="L659" s="4">
        <v>0.549795833946499</v>
      </c>
      <c r="M659" s="4">
        <v>0.450204166053501</v>
      </c>
      <c r="N659">
        <v>0</v>
      </c>
    </row>
    <row r="660" spans="1:14" x14ac:dyDescent="0.25">
      <c r="A660" s="2">
        <v>23082758</v>
      </c>
      <c r="B660" t="s">
        <v>1739</v>
      </c>
      <c r="C660" t="s">
        <v>31</v>
      </c>
      <c r="D660" t="s">
        <v>86</v>
      </c>
      <c r="E660" t="s">
        <v>1736</v>
      </c>
      <c r="F660" t="s">
        <v>1737</v>
      </c>
      <c r="G660" t="s">
        <v>1740</v>
      </c>
      <c r="H660" s="3">
        <v>2247.0500000000002</v>
      </c>
      <c r="I660">
        <v>676</v>
      </c>
      <c r="J660">
        <v>0</v>
      </c>
      <c r="K660">
        <v>1</v>
      </c>
      <c r="L660" s="4">
        <v>0.58464305912229797</v>
      </c>
      <c r="M660" s="4">
        <v>0.41535694087770197</v>
      </c>
      <c r="N660">
        <v>0</v>
      </c>
    </row>
    <row r="661" spans="1:14" x14ac:dyDescent="0.25">
      <c r="A661" s="2">
        <v>23517310</v>
      </c>
      <c r="B661" t="s">
        <v>1741</v>
      </c>
      <c r="C661" t="s">
        <v>31</v>
      </c>
      <c r="D661" t="s">
        <v>86</v>
      </c>
      <c r="E661" t="s">
        <v>1736</v>
      </c>
      <c r="F661" t="s">
        <v>1737</v>
      </c>
      <c r="G661" t="s">
        <v>1742</v>
      </c>
      <c r="H661" s="3">
        <v>1500</v>
      </c>
      <c r="I661">
        <v>358</v>
      </c>
      <c r="J661">
        <v>1</v>
      </c>
      <c r="K661">
        <v>19</v>
      </c>
      <c r="L661" s="4">
        <v>0.22330040069613</v>
      </c>
      <c r="M661" s="4">
        <v>0.77669959930387</v>
      </c>
      <c r="N661">
        <v>0</v>
      </c>
    </row>
    <row r="662" spans="1:14" x14ac:dyDescent="0.25">
      <c r="A662" s="2"/>
      <c r="C662" t="s">
        <v>28</v>
      </c>
      <c r="D662" t="s">
        <v>86</v>
      </c>
      <c r="E662" t="s">
        <v>1736</v>
      </c>
      <c r="F662" t="s">
        <v>1737</v>
      </c>
      <c r="G662" t="s">
        <v>1743</v>
      </c>
      <c r="H662" s="3">
        <v>1500</v>
      </c>
      <c r="I662">
        <v>266</v>
      </c>
      <c r="J662">
        <v>0</v>
      </c>
      <c r="K662">
        <v>49</v>
      </c>
      <c r="L662" s="4">
        <v>0.156103402095495</v>
      </c>
      <c r="M662" s="4">
        <v>0.843896597904505</v>
      </c>
      <c r="N662">
        <v>0</v>
      </c>
    </row>
    <row r="663" spans="1:14" x14ac:dyDescent="0.25">
      <c r="A663" s="2">
        <v>23506317</v>
      </c>
      <c r="C663" t="s">
        <v>0</v>
      </c>
      <c r="D663" t="s">
        <v>86</v>
      </c>
      <c r="E663" t="s">
        <v>1736</v>
      </c>
      <c r="F663" t="s">
        <v>1737</v>
      </c>
      <c r="G663" t="s">
        <v>1744</v>
      </c>
      <c r="H663" s="3">
        <v>2430</v>
      </c>
      <c r="I663">
        <v>197</v>
      </c>
      <c r="J663">
        <v>0</v>
      </c>
      <c r="K663">
        <v>8</v>
      </c>
      <c r="L663" s="4">
        <v>0.42568273567435599</v>
      </c>
      <c r="M663" s="4">
        <v>0.57431726432564401</v>
      </c>
      <c r="N663">
        <v>0</v>
      </c>
    </row>
    <row r="664" spans="1:14" x14ac:dyDescent="0.25">
      <c r="A664" s="2">
        <v>23627368</v>
      </c>
      <c r="B664" t="s">
        <v>1745</v>
      </c>
      <c r="C664" t="s">
        <v>31</v>
      </c>
      <c r="D664" t="s">
        <v>86</v>
      </c>
      <c r="E664" t="s">
        <v>1736</v>
      </c>
      <c r="F664" t="s">
        <v>1737</v>
      </c>
      <c r="G664" t="s">
        <v>1746</v>
      </c>
      <c r="H664" s="3">
        <v>2334.91</v>
      </c>
      <c r="I664">
        <v>553</v>
      </c>
      <c r="J664">
        <v>1</v>
      </c>
      <c r="K664">
        <v>32</v>
      </c>
      <c r="L664" s="4">
        <v>0.51171349041039604</v>
      </c>
      <c r="M664" s="4">
        <v>0.48828650958960501</v>
      </c>
      <c r="N664">
        <v>0</v>
      </c>
    </row>
    <row r="665" spans="1:14" x14ac:dyDescent="0.25">
      <c r="A665" s="2"/>
      <c r="C665" t="s">
        <v>28</v>
      </c>
      <c r="D665" t="s">
        <v>17</v>
      </c>
      <c r="E665" t="s">
        <v>1747</v>
      </c>
      <c r="F665" t="s">
        <v>1748</v>
      </c>
      <c r="G665" t="s">
        <v>1749</v>
      </c>
      <c r="H665" s="3">
        <v>2228</v>
      </c>
      <c r="I665">
        <v>222</v>
      </c>
      <c r="J665">
        <v>1</v>
      </c>
      <c r="K665">
        <v>40</v>
      </c>
      <c r="L665" s="4">
        <v>0.255095358882653</v>
      </c>
      <c r="M665" s="4">
        <v>0.744904641117347</v>
      </c>
      <c r="N665">
        <v>0</v>
      </c>
    </row>
    <row r="666" spans="1:14" x14ac:dyDescent="0.25">
      <c r="A666" s="2"/>
      <c r="B666" t="s">
        <v>1750</v>
      </c>
      <c r="C666" t="s">
        <v>16</v>
      </c>
      <c r="D666" t="s">
        <v>17</v>
      </c>
      <c r="E666" t="s">
        <v>1747</v>
      </c>
      <c r="F666" t="s">
        <v>1748</v>
      </c>
      <c r="G666" t="s">
        <v>1751</v>
      </c>
      <c r="H666" s="3">
        <v>2244.5700000000002</v>
      </c>
      <c r="J666">
        <v>1</v>
      </c>
      <c r="L666" s="4">
        <v>0.37413545302700701</v>
      </c>
      <c r="M666" s="4">
        <v>0.62586454697299299</v>
      </c>
      <c r="N666">
        <v>0</v>
      </c>
    </row>
    <row r="667" spans="1:14" x14ac:dyDescent="0.25">
      <c r="A667" s="2"/>
      <c r="C667" t="s">
        <v>28</v>
      </c>
      <c r="D667" t="s">
        <v>17</v>
      </c>
      <c r="E667" t="s">
        <v>1747</v>
      </c>
      <c r="F667" t="s">
        <v>1748</v>
      </c>
      <c r="G667" t="s">
        <v>1752</v>
      </c>
      <c r="H667" s="3">
        <v>2362.8200000000002</v>
      </c>
      <c r="I667">
        <v>510</v>
      </c>
      <c r="J667">
        <v>1</v>
      </c>
      <c r="K667">
        <v>17</v>
      </c>
      <c r="L667" s="4">
        <v>0.52165858422643296</v>
      </c>
      <c r="M667" s="4">
        <v>0.47834141577356698</v>
      </c>
      <c r="N667">
        <v>0</v>
      </c>
    </row>
    <row r="668" spans="1:14" x14ac:dyDescent="0.25">
      <c r="A668" s="2"/>
      <c r="B668" t="s">
        <v>1753</v>
      </c>
      <c r="C668" t="s">
        <v>16</v>
      </c>
      <c r="D668" t="s">
        <v>17</v>
      </c>
      <c r="E668" t="s">
        <v>1747</v>
      </c>
      <c r="F668" t="s">
        <v>1748</v>
      </c>
      <c r="G668" t="s">
        <v>1754</v>
      </c>
      <c r="H668" s="3">
        <v>2465.9299999999998</v>
      </c>
      <c r="I668">
        <v>467</v>
      </c>
      <c r="J668">
        <v>1</v>
      </c>
      <c r="K668">
        <v>10</v>
      </c>
      <c r="L668" s="4">
        <v>0.93796660132758503</v>
      </c>
      <c r="M668" s="4">
        <v>6.2033398672414898E-2</v>
      </c>
      <c r="N668">
        <v>0</v>
      </c>
    </row>
    <row r="669" spans="1:14" x14ac:dyDescent="0.25">
      <c r="A669" s="2"/>
      <c r="B669" t="s">
        <v>1755</v>
      </c>
      <c r="C669" t="s">
        <v>16</v>
      </c>
      <c r="D669" t="s">
        <v>17</v>
      </c>
      <c r="E669" t="s">
        <v>1747</v>
      </c>
      <c r="F669" t="s">
        <v>1748</v>
      </c>
      <c r="G669" t="s">
        <v>1756</v>
      </c>
      <c r="H669" s="3">
        <v>2143.17</v>
      </c>
      <c r="I669">
        <v>599</v>
      </c>
      <c r="J669">
        <v>1</v>
      </c>
      <c r="K669">
        <v>42</v>
      </c>
      <c r="L669" s="4">
        <v>0.16952208459203999</v>
      </c>
      <c r="M669" s="4">
        <v>0.83047791540796001</v>
      </c>
      <c r="N669">
        <v>0</v>
      </c>
    </row>
    <row r="670" spans="1:14" x14ac:dyDescent="0.25">
      <c r="A670" s="2">
        <v>23650598</v>
      </c>
      <c r="B670" t="s">
        <v>1757</v>
      </c>
      <c r="C670" t="s">
        <v>31</v>
      </c>
      <c r="D670" t="s">
        <v>17</v>
      </c>
      <c r="E670" t="s">
        <v>1758</v>
      </c>
      <c r="F670" t="s">
        <v>1759</v>
      </c>
      <c r="G670" t="s">
        <v>1760</v>
      </c>
      <c r="H670" s="3">
        <v>1254.25</v>
      </c>
      <c r="I670">
        <v>49</v>
      </c>
      <c r="J670">
        <v>1</v>
      </c>
      <c r="K670">
        <v>22</v>
      </c>
      <c r="L670" s="4">
        <v>0.122543595656242</v>
      </c>
      <c r="M670" s="4">
        <v>0.87745640434375805</v>
      </c>
      <c r="N670">
        <v>0</v>
      </c>
    </row>
    <row r="671" spans="1:14" x14ac:dyDescent="0.25">
      <c r="A671" s="2">
        <v>23772376</v>
      </c>
      <c r="B671" t="s">
        <v>1761</v>
      </c>
      <c r="C671" t="s">
        <v>31</v>
      </c>
      <c r="D671" t="s">
        <v>17</v>
      </c>
      <c r="E671" t="s">
        <v>1758</v>
      </c>
      <c r="F671" t="s">
        <v>1759</v>
      </c>
      <c r="G671" t="s">
        <v>1762</v>
      </c>
      <c r="H671" s="3">
        <v>1171.02</v>
      </c>
      <c r="I671">
        <v>533</v>
      </c>
      <c r="J671">
        <v>0</v>
      </c>
      <c r="L671" s="4">
        <v>0.87458093329576303</v>
      </c>
      <c r="M671" s="4">
        <v>0.125419066704237</v>
      </c>
      <c r="N671">
        <v>0</v>
      </c>
    </row>
    <row r="672" spans="1:14" x14ac:dyDescent="0.25">
      <c r="A672" s="2">
        <v>23763300</v>
      </c>
      <c r="C672" t="s">
        <v>0</v>
      </c>
      <c r="D672" t="s">
        <v>86</v>
      </c>
      <c r="E672" t="s">
        <v>1763</v>
      </c>
      <c r="F672" t="s">
        <v>1764</v>
      </c>
      <c r="G672" t="s">
        <v>1765</v>
      </c>
      <c r="H672" s="3">
        <v>2008.84</v>
      </c>
      <c r="J672">
        <v>1</v>
      </c>
      <c r="K672">
        <v>47</v>
      </c>
      <c r="L672" s="4">
        <v>0.386915586784364</v>
      </c>
      <c r="M672" s="4">
        <v>0.613084413215636</v>
      </c>
      <c r="N672">
        <v>0</v>
      </c>
    </row>
    <row r="673" spans="1:14" x14ac:dyDescent="0.25">
      <c r="A673" s="2"/>
      <c r="C673" t="s">
        <v>28</v>
      </c>
      <c r="D673" t="s">
        <v>86</v>
      </c>
      <c r="E673" t="s">
        <v>1763</v>
      </c>
      <c r="F673" t="s">
        <v>1764</v>
      </c>
      <c r="G673" t="s">
        <v>1766</v>
      </c>
      <c r="H673" s="3">
        <v>2337.66</v>
      </c>
      <c r="I673">
        <v>562</v>
      </c>
      <c r="J673">
        <v>1</v>
      </c>
      <c r="K673">
        <v>33</v>
      </c>
      <c r="L673" s="4">
        <v>0.62114029570079599</v>
      </c>
      <c r="M673" s="4">
        <v>0.37885970429920401</v>
      </c>
      <c r="N673">
        <v>0</v>
      </c>
    </row>
    <row r="674" spans="1:14" x14ac:dyDescent="0.25">
      <c r="A674" s="2"/>
      <c r="B674" t="s">
        <v>1767</v>
      </c>
      <c r="C674" t="s">
        <v>16</v>
      </c>
      <c r="D674" t="s">
        <v>86</v>
      </c>
      <c r="E674" t="s">
        <v>1763</v>
      </c>
      <c r="F674" t="s">
        <v>1764</v>
      </c>
      <c r="G674" t="s">
        <v>1768</v>
      </c>
      <c r="H674" s="3">
        <v>1985.1</v>
      </c>
      <c r="I674">
        <v>738</v>
      </c>
      <c r="J674">
        <v>0</v>
      </c>
      <c r="K674">
        <v>37</v>
      </c>
      <c r="L674" s="4">
        <v>0.305037159155293</v>
      </c>
      <c r="M674" s="4">
        <v>0.69496284084470705</v>
      </c>
      <c r="N674">
        <v>0</v>
      </c>
    </row>
    <row r="675" spans="1:14" x14ac:dyDescent="0.25">
      <c r="A675" s="2"/>
      <c r="B675" t="s">
        <v>1769</v>
      </c>
      <c r="C675" t="s">
        <v>16</v>
      </c>
      <c r="D675" t="s">
        <v>86</v>
      </c>
      <c r="E675" t="s">
        <v>1763</v>
      </c>
      <c r="F675" t="s">
        <v>1764</v>
      </c>
      <c r="G675" t="s">
        <v>1770</v>
      </c>
      <c r="H675" s="3">
        <v>2275.02</v>
      </c>
      <c r="J675">
        <v>1</v>
      </c>
      <c r="K675">
        <v>35</v>
      </c>
      <c r="L675" s="4">
        <v>0.53636318190976595</v>
      </c>
      <c r="M675" s="4">
        <v>0.46363681809023399</v>
      </c>
      <c r="N675">
        <v>0</v>
      </c>
    </row>
    <row r="676" spans="1:14" x14ac:dyDescent="0.25">
      <c r="A676" s="2"/>
      <c r="B676" t="s">
        <v>1771</v>
      </c>
      <c r="C676" t="s">
        <v>16</v>
      </c>
      <c r="D676" t="s">
        <v>17</v>
      </c>
      <c r="E676" t="s">
        <v>1772</v>
      </c>
      <c r="G676" t="s">
        <v>1773</v>
      </c>
      <c r="H676" s="3">
        <v>2169.98</v>
      </c>
      <c r="J676">
        <v>1</v>
      </c>
      <c r="K676">
        <v>49</v>
      </c>
      <c r="L676" s="4">
        <v>0.235513971319426</v>
      </c>
      <c r="M676" s="4">
        <v>0.76448602868057403</v>
      </c>
      <c r="N676">
        <v>0</v>
      </c>
    </row>
    <row r="677" spans="1:14" x14ac:dyDescent="0.25">
      <c r="A677" s="2"/>
      <c r="B677" t="s">
        <v>1774</v>
      </c>
      <c r="C677" t="s">
        <v>16</v>
      </c>
      <c r="D677" t="s">
        <v>17</v>
      </c>
      <c r="E677" t="s">
        <v>1772</v>
      </c>
      <c r="G677" t="s">
        <v>1775</v>
      </c>
      <c r="H677" s="3">
        <v>2373.7600000000002</v>
      </c>
      <c r="I677">
        <v>91</v>
      </c>
      <c r="J677">
        <v>1</v>
      </c>
      <c r="K677">
        <v>20</v>
      </c>
      <c r="L677" s="4">
        <v>0.64470584489163196</v>
      </c>
      <c r="M677" s="4">
        <v>0.35529415510836798</v>
      </c>
      <c r="N677">
        <v>0</v>
      </c>
    </row>
    <row r="678" spans="1:14" x14ac:dyDescent="0.25">
      <c r="A678" s="2"/>
      <c r="B678" t="s">
        <v>1776</v>
      </c>
      <c r="C678" t="s">
        <v>16</v>
      </c>
      <c r="D678" t="s">
        <v>17</v>
      </c>
      <c r="E678" t="s">
        <v>1772</v>
      </c>
      <c r="G678" t="s">
        <v>1777</v>
      </c>
      <c r="H678" s="3">
        <v>2373.7600000000002</v>
      </c>
      <c r="I678">
        <v>751</v>
      </c>
      <c r="J678">
        <v>1</v>
      </c>
      <c r="L678" s="4">
        <v>0.400727841113308</v>
      </c>
      <c r="M678" s="4">
        <v>0.59927215888669305</v>
      </c>
      <c r="N678">
        <v>0</v>
      </c>
    </row>
    <row r="679" spans="1:14" x14ac:dyDescent="0.25">
      <c r="A679" s="2"/>
      <c r="B679" t="s">
        <v>1778</v>
      </c>
      <c r="C679" t="s">
        <v>16</v>
      </c>
      <c r="D679" t="s">
        <v>17</v>
      </c>
      <c r="E679" t="s">
        <v>1779</v>
      </c>
      <c r="F679" t="s">
        <v>1780</v>
      </c>
      <c r="G679" t="s">
        <v>1781</v>
      </c>
      <c r="H679" s="3">
        <v>1755.59</v>
      </c>
      <c r="I679">
        <v>662</v>
      </c>
      <c r="J679">
        <v>1</v>
      </c>
      <c r="K679">
        <v>26</v>
      </c>
      <c r="L679" s="4">
        <v>0.86167289558746196</v>
      </c>
      <c r="M679" s="4">
        <v>0.13832710441253801</v>
      </c>
      <c r="N679">
        <v>0</v>
      </c>
    </row>
    <row r="680" spans="1:14" x14ac:dyDescent="0.25">
      <c r="A680" s="2"/>
      <c r="B680" t="s">
        <v>1782</v>
      </c>
      <c r="C680" t="s">
        <v>16</v>
      </c>
      <c r="D680" t="s">
        <v>607</v>
      </c>
      <c r="E680" t="s">
        <v>1783</v>
      </c>
      <c r="F680" t="s">
        <v>1784</v>
      </c>
      <c r="G680" t="s">
        <v>1785</v>
      </c>
      <c r="H680" s="3">
        <v>808.85</v>
      </c>
      <c r="I680">
        <v>94</v>
      </c>
      <c r="J680">
        <v>0</v>
      </c>
      <c r="K680">
        <v>35</v>
      </c>
      <c r="L680" s="4">
        <v>0.31976786701966098</v>
      </c>
      <c r="M680" s="4">
        <v>0.68023213298033902</v>
      </c>
      <c r="N680">
        <v>0</v>
      </c>
    </row>
    <row r="681" spans="1:14" x14ac:dyDescent="0.25">
      <c r="A681" s="2"/>
      <c r="B681" t="s">
        <v>1786</v>
      </c>
      <c r="C681" t="s">
        <v>16</v>
      </c>
      <c r="D681" t="s">
        <v>1787</v>
      </c>
      <c r="E681" t="s">
        <v>1788</v>
      </c>
      <c r="F681" t="s">
        <v>1789</v>
      </c>
      <c r="G681" t="s">
        <v>1790</v>
      </c>
      <c r="H681" s="3">
        <v>815.98</v>
      </c>
      <c r="I681">
        <v>486</v>
      </c>
      <c r="J681">
        <v>1</v>
      </c>
      <c r="K681">
        <v>38</v>
      </c>
      <c r="L681" s="4">
        <v>0.672608492569852</v>
      </c>
      <c r="M681" s="4">
        <v>0.327391507430148</v>
      </c>
      <c r="N681">
        <v>0</v>
      </c>
    </row>
    <row r="682" spans="1:14" x14ac:dyDescent="0.25">
      <c r="A682" s="2"/>
      <c r="B682" t="s">
        <v>1791</v>
      </c>
      <c r="C682" t="s">
        <v>16</v>
      </c>
      <c r="D682" t="s">
        <v>1787</v>
      </c>
      <c r="E682" t="s">
        <v>1792</v>
      </c>
      <c r="F682" t="s">
        <v>1793</v>
      </c>
      <c r="G682" t="s">
        <v>1794</v>
      </c>
      <c r="H682" s="3">
        <v>813.9</v>
      </c>
      <c r="I682">
        <v>37</v>
      </c>
      <c r="J682">
        <v>1</v>
      </c>
      <c r="K682">
        <v>14</v>
      </c>
      <c r="L682" s="4">
        <v>0.71424975506646604</v>
      </c>
      <c r="M682" s="4">
        <v>0.28575024493353501</v>
      </c>
      <c r="N682">
        <v>0</v>
      </c>
    </row>
    <row r="683" spans="1:14" x14ac:dyDescent="0.25">
      <c r="A683" s="2"/>
      <c r="B683" t="s">
        <v>1795</v>
      </c>
      <c r="C683" t="s">
        <v>16</v>
      </c>
      <c r="D683" t="s">
        <v>1787</v>
      </c>
      <c r="E683" t="s">
        <v>1792</v>
      </c>
      <c r="F683" t="s">
        <v>1793</v>
      </c>
      <c r="G683" t="s">
        <v>1796</v>
      </c>
      <c r="H683" s="3">
        <v>813.9</v>
      </c>
      <c r="I683">
        <v>241</v>
      </c>
      <c r="J683">
        <v>0</v>
      </c>
      <c r="K683">
        <v>18</v>
      </c>
      <c r="L683" s="4">
        <v>0.61277316904756596</v>
      </c>
      <c r="M683" s="4">
        <v>0.38722683095243399</v>
      </c>
      <c r="N683">
        <v>0</v>
      </c>
    </row>
    <row r="684" spans="1:14" x14ac:dyDescent="0.25">
      <c r="A684" s="2"/>
      <c r="B684" t="s">
        <v>1797</v>
      </c>
      <c r="C684" t="s">
        <v>16</v>
      </c>
      <c r="D684" t="s">
        <v>1787</v>
      </c>
      <c r="E684" t="s">
        <v>1798</v>
      </c>
      <c r="F684" t="s">
        <v>1799</v>
      </c>
      <c r="G684" t="s">
        <v>1800</v>
      </c>
      <c r="H684" s="3">
        <v>1087.97</v>
      </c>
      <c r="I684">
        <v>737</v>
      </c>
      <c r="J684">
        <v>1</v>
      </c>
      <c r="K684">
        <v>48</v>
      </c>
      <c r="L684" s="4">
        <v>0.66747733639066897</v>
      </c>
      <c r="M684" s="4">
        <v>0.33252266360933203</v>
      </c>
      <c r="N684">
        <v>0</v>
      </c>
    </row>
    <row r="685" spans="1:14" x14ac:dyDescent="0.25">
      <c r="A685" s="2"/>
      <c r="B685" t="s">
        <v>1801</v>
      </c>
      <c r="C685" t="s">
        <v>16</v>
      </c>
      <c r="D685" t="s">
        <v>1787</v>
      </c>
      <c r="E685" t="s">
        <v>1798</v>
      </c>
      <c r="F685" t="s">
        <v>1799</v>
      </c>
      <c r="G685" t="s">
        <v>1802</v>
      </c>
      <c r="H685" s="3">
        <v>476.57</v>
      </c>
      <c r="I685">
        <v>485</v>
      </c>
      <c r="J685">
        <v>0</v>
      </c>
      <c r="K685">
        <v>20</v>
      </c>
      <c r="L685" s="4">
        <v>0.34270276154720902</v>
      </c>
      <c r="M685" s="4">
        <v>0.65729723845279098</v>
      </c>
      <c r="N685">
        <v>0</v>
      </c>
    </row>
    <row r="686" spans="1:14" x14ac:dyDescent="0.25">
      <c r="A686" s="2"/>
      <c r="C686" t="s">
        <v>28</v>
      </c>
      <c r="D686" t="s">
        <v>1787</v>
      </c>
      <c r="E686" t="s">
        <v>1803</v>
      </c>
      <c r="F686" t="s">
        <v>1804</v>
      </c>
      <c r="G686" t="s">
        <v>1805</v>
      </c>
      <c r="H686" s="3">
        <v>725.76</v>
      </c>
      <c r="I686">
        <v>128</v>
      </c>
      <c r="J686">
        <v>0</v>
      </c>
      <c r="K686">
        <v>5</v>
      </c>
      <c r="L686" s="4">
        <v>0.57372974720784797</v>
      </c>
      <c r="M686" s="4">
        <v>0.42627025279215203</v>
      </c>
      <c r="N686">
        <v>0</v>
      </c>
    </row>
    <row r="687" spans="1:14" x14ac:dyDescent="0.25">
      <c r="A687" s="2"/>
      <c r="B687" t="s">
        <v>1806</v>
      </c>
      <c r="C687" t="s">
        <v>16</v>
      </c>
      <c r="D687" t="s">
        <v>1787</v>
      </c>
      <c r="E687" t="s">
        <v>1803</v>
      </c>
      <c r="F687" t="s">
        <v>1804</v>
      </c>
      <c r="G687" t="s">
        <v>1807</v>
      </c>
      <c r="H687" s="3">
        <v>821.98</v>
      </c>
      <c r="I687">
        <v>471</v>
      </c>
      <c r="J687">
        <v>0</v>
      </c>
      <c r="K687">
        <v>36</v>
      </c>
      <c r="L687" s="4">
        <v>0.61796295390174005</v>
      </c>
      <c r="M687" s="4">
        <v>0.382037046098261</v>
      </c>
      <c r="N687">
        <v>0</v>
      </c>
    </row>
    <row r="688" spans="1:14" x14ac:dyDescent="0.25">
      <c r="A688" s="2"/>
      <c r="B688" t="s">
        <v>1808</v>
      </c>
      <c r="C688" t="s">
        <v>16</v>
      </c>
      <c r="D688" t="s">
        <v>1787</v>
      </c>
      <c r="E688" t="s">
        <v>1809</v>
      </c>
      <c r="F688" t="s">
        <v>1810</v>
      </c>
      <c r="G688" t="s">
        <v>1811</v>
      </c>
      <c r="H688" s="3">
        <v>808.22</v>
      </c>
      <c r="I688">
        <v>150</v>
      </c>
      <c r="J688">
        <v>0</v>
      </c>
      <c r="K688">
        <v>36</v>
      </c>
      <c r="L688" s="4">
        <v>0.72521406728784898</v>
      </c>
      <c r="M688" s="4">
        <v>0.27478593271215102</v>
      </c>
      <c r="N688">
        <v>0</v>
      </c>
    </row>
    <row r="689" spans="1:14" x14ac:dyDescent="0.25">
      <c r="A689" s="2"/>
      <c r="C689" t="s">
        <v>28</v>
      </c>
      <c r="D689" t="s">
        <v>1787</v>
      </c>
      <c r="E689" t="s">
        <v>1812</v>
      </c>
      <c r="F689" t="s">
        <v>1813</v>
      </c>
      <c r="G689" t="s">
        <v>1814</v>
      </c>
      <c r="H689" s="3">
        <v>434.7</v>
      </c>
      <c r="J689">
        <v>0</v>
      </c>
      <c r="K689">
        <v>46</v>
      </c>
      <c r="L689" s="4">
        <v>0.18173213264993701</v>
      </c>
      <c r="M689" s="4">
        <v>0.81826786735006296</v>
      </c>
      <c r="N689">
        <v>0</v>
      </c>
    </row>
    <row r="690" spans="1:14" x14ac:dyDescent="0.25">
      <c r="A690" s="2"/>
      <c r="B690" t="s">
        <v>1815</v>
      </c>
      <c r="C690" t="s">
        <v>16</v>
      </c>
      <c r="D690" t="s">
        <v>1787</v>
      </c>
      <c r="E690" t="s">
        <v>1816</v>
      </c>
      <c r="F690" t="s">
        <v>1817</v>
      </c>
      <c r="G690" t="s">
        <v>1818</v>
      </c>
      <c r="H690" s="3">
        <v>711.11</v>
      </c>
      <c r="I690">
        <v>878</v>
      </c>
      <c r="J690">
        <v>0</v>
      </c>
      <c r="K690">
        <v>49</v>
      </c>
      <c r="L690" s="4">
        <v>0.78112235470292601</v>
      </c>
      <c r="M690" s="4">
        <v>0.21887764529707501</v>
      </c>
      <c r="N690">
        <v>0</v>
      </c>
    </row>
    <row r="691" spans="1:14" x14ac:dyDescent="0.25">
      <c r="A691" s="2"/>
      <c r="B691" t="s">
        <v>1819</v>
      </c>
      <c r="C691" t="s">
        <v>16</v>
      </c>
      <c r="D691" t="s">
        <v>1787</v>
      </c>
      <c r="E691" t="s">
        <v>1820</v>
      </c>
      <c r="F691" t="s">
        <v>1821</v>
      </c>
      <c r="G691" t="s">
        <v>1822</v>
      </c>
      <c r="H691" s="3">
        <v>1392.61</v>
      </c>
      <c r="I691">
        <v>91</v>
      </c>
      <c r="J691">
        <v>0</v>
      </c>
      <c r="K691">
        <v>30</v>
      </c>
      <c r="L691" s="4">
        <v>0.70355503848713996</v>
      </c>
      <c r="M691" s="4">
        <v>0.29644496151285998</v>
      </c>
      <c r="N691">
        <v>0</v>
      </c>
    </row>
    <row r="692" spans="1:14" x14ac:dyDescent="0.25">
      <c r="A692" s="2"/>
      <c r="B692" t="s">
        <v>1823</v>
      </c>
      <c r="C692" t="s">
        <v>16</v>
      </c>
      <c r="D692" t="s">
        <v>1787</v>
      </c>
      <c r="E692" t="s">
        <v>1824</v>
      </c>
      <c r="F692" t="s">
        <v>1825</v>
      </c>
      <c r="G692" t="s">
        <v>1826</v>
      </c>
      <c r="H692" s="3">
        <v>840.19</v>
      </c>
      <c r="I692">
        <v>274</v>
      </c>
      <c r="J692">
        <v>1</v>
      </c>
      <c r="K692">
        <v>13</v>
      </c>
      <c r="L692" s="4">
        <v>0.163804146789847</v>
      </c>
      <c r="M692" s="4">
        <v>0.836195853210153</v>
      </c>
      <c r="N692">
        <v>0</v>
      </c>
    </row>
    <row r="693" spans="1:14" x14ac:dyDescent="0.25">
      <c r="A693" s="2"/>
      <c r="C693" t="s">
        <v>28</v>
      </c>
      <c r="D693" t="s">
        <v>1787</v>
      </c>
      <c r="E693" t="s">
        <v>1827</v>
      </c>
      <c r="F693" t="s">
        <v>1828</v>
      </c>
      <c r="G693" t="s">
        <v>1829</v>
      </c>
      <c r="H693" s="3">
        <v>827.13</v>
      </c>
      <c r="I693">
        <v>347</v>
      </c>
      <c r="J693">
        <v>0</v>
      </c>
      <c r="K693">
        <v>20</v>
      </c>
      <c r="L693" s="4">
        <v>0.85596043573321401</v>
      </c>
      <c r="M693" s="4">
        <v>0.14403956426678599</v>
      </c>
      <c r="N693">
        <v>0</v>
      </c>
    </row>
    <row r="694" spans="1:14" x14ac:dyDescent="0.25">
      <c r="A694" s="2"/>
      <c r="B694" t="s">
        <v>1830</v>
      </c>
      <c r="C694" t="s">
        <v>16</v>
      </c>
      <c r="D694" t="s">
        <v>1787</v>
      </c>
      <c r="E694" t="s">
        <v>1831</v>
      </c>
      <c r="F694" t="s">
        <v>1828</v>
      </c>
      <c r="G694" t="s">
        <v>1832</v>
      </c>
      <c r="H694" s="3">
        <v>975.81</v>
      </c>
      <c r="I694">
        <v>339</v>
      </c>
      <c r="J694">
        <v>1</v>
      </c>
      <c r="K694">
        <v>41</v>
      </c>
      <c r="L694" s="4">
        <v>0.59797665641213604</v>
      </c>
      <c r="M694" s="4">
        <v>0.40202334358786401</v>
      </c>
      <c r="N694">
        <v>0</v>
      </c>
    </row>
    <row r="695" spans="1:14" x14ac:dyDescent="0.25">
      <c r="A695" s="2"/>
      <c r="B695" t="s">
        <v>1833</v>
      </c>
      <c r="C695" t="s">
        <v>16</v>
      </c>
      <c r="D695" t="s">
        <v>1787</v>
      </c>
      <c r="E695" t="s">
        <v>1834</v>
      </c>
      <c r="F695" t="s">
        <v>1835</v>
      </c>
      <c r="G695" t="s">
        <v>1836</v>
      </c>
      <c r="H695" s="3">
        <v>346.25</v>
      </c>
      <c r="I695">
        <v>9</v>
      </c>
      <c r="J695">
        <v>0</v>
      </c>
      <c r="K695">
        <v>24</v>
      </c>
      <c r="L695" s="4">
        <v>0.92541922676119603</v>
      </c>
      <c r="M695" s="4">
        <v>7.4580773238804202E-2</v>
      </c>
      <c r="N695">
        <v>0</v>
      </c>
    </row>
    <row r="696" spans="1:14" x14ac:dyDescent="0.25">
      <c r="A696" s="2"/>
      <c r="C696" t="s">
        <v>28</v>
      </c>
      <c r="D696" t="s">
        <v>1787</v>
      </c>
      <c r="E696" t="s">
        <v>1837</v>
      </c>
      <c r="F696" t="s">
        <v>1838</v>
      </c>
      <c r="G696" t="s">
        <v>1839</v>
      </c>
      <c r="H696" s="3">
        <v>582.12</v>
      </c>
      <c r="I696">
        <v>824</v>
      </c>
      <c r="J696">
        <v>1</v>
      </c>
      <c r="K696">
        <v>9</v>
      </c>
      <c r="L696" s="4">
        <v>0.79747158610991498</v>
      </c>
      <c r="M696" s="4">
        <v>0.202528413890085</v>
      </c>
      <c r="N696">
        <v>0</v>
      </c>
    </row>
    <row r="697" spans="1:14" x14ac:dyDescent="0.25">
      <c r="A697" s="2"/>
      <c r="C697" t="s">
        <v>28</v>
      </c>
      <c r="D697" t="s">
        <v>1787</v>
      </c>
      <c r="E697" t="s">
        <v>1837</v>
      </c>
      <c r="F697" t="s">
        <v>1838</v>
      </c>
      <c r="G697" t="s">
        <v>1840</v>
      </c>
      <c r="H697" s="3">
        <v>825.37</v>
      </c>
      <c r="I697">
        <v>433</v>
      </c>
      <c r="J697">
        <v>0</v>
      </c>
      <c r="L697" s="4">
        <v>0.23417213472660101</v>
      </c>
      <c r="M697" s="4">
        <v>0.76582786527339997</v>
      </c>
      <c r="N697">
        <v>0</v>
      </c>
    </row>
    <row r="698" spans="1:14" x14ac:dyDescent="0.25">
      <c r="A698" s="2"/>
      <c r="B698" t="s">
        <v>1841</v>
      </c>
      <c r="C698" t="s">
        <v>16</v>
      </c>
      <c r="D698" t="s">
        <v>1787</v>
      </c>
      <c r="E698" t="s">
        <v>1837</v>
      </c>
      <c r="F698" t="s">
        <v>1838</v>
      </c>
      <c r="G698" t="s">
        <v>1842</v>
      </c>
      <c r="H698" s="3">
        <v>827.13</v>
      </c>
      <c r="J698">
        <v>1</v>
      </c>
      <c r="L698" s="4">
        <v>3.8242344299439499E-3</v>
      </c>
      <c r="M698" s="4">
        <v>0.99617576557005605</v>
      </c>
      <c r="N698">
        <v>0</v>
      </c>
    </row>
    <row r="699" spans="1:14" x14ac:dyDescent="0.25">
      <c r="A699" s="2">
        <v>23720616</v>
      </c>
      <c r="B699" t="s">
        <v>1843</v>
      </c>
      <c r="C699" t="s">
        <v>31</v>
      </c>
      <c r="D699" t="s">
        <v>1787</v>
      </c>
      <c r="E699" t="s">
        <v>1837</v>
      </c>
      <c r="F699" t="s">
        <v>1838</v>
      </c>
      <c r="G699" t="s">
        <v>1844</v>
      </c>
      <c r="H699" s="3">
        <v>1000.87</v>
      </c>
      <c r="I699">
        <v>984</v>
      </c>
      <c r="J699">
        <v>1</v>
      </c>
      <c r="K699">
        <v>14</v>
      </c>
      <c r="L699" s="4">
        <v>0.582677642520807</v>
      </c>
      <c r="M699" s="4">
        <v>0.417322357479193</v>
      </c>
      <c r="N699">
        <v>0</v>
      </c>
    </row>
    <row r="700" spans="1:14" x14ac:dyDescent="0.25">
      <c r="A700" s="2"/>
      <c r="B700" t="s">
        <v>1845</v>
      </c>
      <c r="C700" t="s">
        <v>16</v>
      </c>
      <c r="D700" t="s">
        <v>1787</v>
      </c>
      <c r="E700" t="s">
        <v>1837</v>
      </c>
      <c r="F700" t="s">
        <v>1838</v>
      </c>
      <c r="G700" t="s">
        <v>1846</v>
      </c>
      <c r="H700" s="3">
        <v>837.74</v>
      </c>
      <c r="I700">
        <v>290</v>
      </c>
      <c r="J700">
        <v>1</v>
      </c>
      <c r="K700">
        <v>12</v>
      </c>
      <c r="L700" s="4">
        <v>0.73954094845267704</v>
      </c>
      <c r="M700" s="4">
        <v>0.26045905154732302</v>
      </c>
      <c r="N700">
        <v>0</v>
      </c>
    </row>
    <row r="701" spans="1:14" x14ac:dyDescent="0.25">
      <c r="A701" s="2"/>
      <c r="B701" t="s">
        <v>1847</v>
      </c>
      <c r="C701" t="s">
        <v>16</v>
      </c>
      <c r="D701" t="s">
        <v>1787</v>
      </c>
      <c r="E701" t="s">
        <v>1848</v>
      </c>
      <c r="F701" t="s">
        <v>1849</v>
      </c>
      <c r="G701" t="s">
        <v>1850</v>
      </c>
      <c r="H701" s="3">
        <v>775.82</v>
      </c>
      <c r="I701">
        <v>728</v>
      </c>
      <c r="J701">
        <v>1</v>
      </c>
      <c r="K701">
        <v>12</v>
      </c>
      <c r="L701" s="4">
        <v>0.517774870139322</v>
      </c>
      <c r="M701" s="4">
        <v>0.482225129860678</v>
      </c>
      <c r="N701">
        <v>0</v>
      </c>
    </row>
    <row r="702" spans="1:14" x14ac:dyDescent="0.25">
      <c r="A702" s="2">
        <v>23805144</v>
      </c>
      <c r="B702" t="s">
        <v>1851</v>
      </c>
      <c r="C702" t="s">
        <v>31</v>
      </c>
      <c r="D702" t="s">
        <v>1787</v>
      </c>
      <c r="E702" t="s">
        <v>1852</v>
      </c>
      <c r="F702" t="s">
        <v>1853</v>
      </c>
      <c r="G702" t="s">
        <v>1854</v>
      </c>
      <c r="H702" s="3">
        <v>1014.44</v>
      </c>
      <c r="J702">
        <v>1</v>
      </c>
      <c r="K702">
        <v>47</v>
      </c>
      <c r="L702" s="4">
        <v>7.1189366726878506E-2</v>
      </c>
      <c r="M702" s="4">
        <v>0.92881063327312197</v>
      </c>
      <c r="N702">
        <v>0</v>
      </c>
    </row>
    <row r="703" spans="1:14" x14ac:dyDescent="0.25">
      <c r="A703" s="2"/>
      <c r="B703" t="s">
        <v>1855</v>
      </c>
      <c r="C703" t="s">
        <v>16</v>
      </c>
      <c r="D703" t="s">
        <v>1787</v>
      </c>
      <c r="E703" t="s">
        <v>1856</v>
      </c>
      <c r="F703" t="s">
        <v>1853</v>
      </c>
      <c r="G703" t="s">
        <v>1857</v>
      </c>
      <c r="H703" s="3">
        <v>687.79</v>
      </c>
      <c r="J703">
        <v>0</v>
      </c>
      <c r="K703">
        <v>43</v>
      </c>
      <c r="L703" s="4">
        <v>4.0619212391652802E-2</v>
      </c>
      <c r="M703" s="4">
        <v>0.959380787608347</v>
      </c>
      <c r="N703">
        <v>0</v>
      </c>
    </row>
    <row r="704" spans="1:14" x14ac:dyDescent="0.25">
      <c r="A704" s="2"/>
      <c r="B704" t="s">
        <v>1858</v>
      </c>
      <c r="C704" t="s">
        <v>16</v>
      </c>
      <c r="D704" t="s">
        <v>1787</v>
      </c>
      <c r="E704" t="s">
        <v>1859</v>
      </c>
      <c r="F704" t="s">
        <v>1860</v>
      </c>
      <c r="G704" t="s">
        <v>1861</v>
      </c>
      <c r="H704" s="3">
        <v>937.34</v>
      </c>
      <c r="I704">
        <v>66</v>
      </c>
      <c r="J704">
        <v>0</v>
      </c>
      <c r="K704">
        <v>3</v>
      </c>
      <c r="L704" s="4">
        <v>9.0052948887456904E-3</v>
      </c>
      <c r="M704" s="4">
        <v>0.99099470511125398</v>
      </c>
      <c r="N704">
        <v>0</v>
      </c>
    </row>
    <row r="705" spans="1:14" x14ac:dyDescent="0.25">
      <c r="A705" s="2"/>
      <c r="B705" t="s">
        <v>1862</v>
      </c>
      <c r="C705" t="s">
        <v>16</v>
      </c>
      <c r="D705" t="s">
        <v>1787</v>
      </c>
      <c r="E705" t="s">
        <v>1863</v>
      </c>
      <c r="F705" t="s">
        <v>1864</v>
      </c>
      <c r="G705" t="s">
        <v>1865</v>
      </c>
      <c r="H705" s="3">
        <v>967.18</v>
      </c>
      <c r="J705">
        <v>1</v>
      </c>
      <c r="K705">
        <v>29</v>
      </c>
      <c r="L705" s="4">
        <v>0.56439555759691595</v>
      </c>
      <c r="M705" s="4">
        <v>0.43560444240308399</v>
      </c>
      <c r="N705">
        <v>0</v>
      </c>
    </row>
    <row r="706" spans="1:14" x14ac:dyDescent="0.25">
      <c r="A706" s="2"/>
      <c r="C706" t="s">
        <v>28</v>
      </c>
      <c r="D706" t="s">
        <v>1787</v>
      </c>
      <c r="E706" t="s">
        <v>1866</v>
      </c>
      <c r="F706" t="s">
        <v>1867</v>
      </c>
      <c r="G706" t="s">
        <v>1868</v>
      </c>
      <c r="H706" s="3">
        <v>1209.5999999999999</v>
      </c>
      <c r="I706">
        <v>388</v>
      </c>
      <c r="J706">
        <v>1</v>
      </c>
      <c r="K706">
        <v>16</v>
      </c>
      <c r="L706" s="4">
        <v>7.8276884573897795E-2</v>
      </c>
      <c r="M706" s="4">
        <v>0.92172311542610197</v>
      </c>
      <c r="N706">
        <v>0</v>
      </c>
    </row>
    <row r="707" spans="1:14" x14ac:dyDescent="0.25">
      <c r="A707" s="2"/>
      <c r="B707" t="s">
        <v>1869</v>
      </c>
      <c r="C707" t="s">
        <v>16</v>
      </c>
      <c r="D707" t="s">
        <v>1787</v>
      </c>
      <c r="E707" t="s">
        <v>1870</v>
      </c>
      <c r="F707" t="s">
        <v>1871</v>
      </c>
      <c r="G707" t="s">
        <v>1872</v>
      </c>
      <c r="H707" s="3">
        <v>819.45</v>
      </c>
      <c r="I707">
        <v>985</v>
      </c>
      <c r="J707">
        <v>0</v>
      </c>
      <c r="K707">
        <v>2</v>
      </c>
      <c r="L707" s="4">
        <v>0.26098852285714502</v>
      </c>
      <c r="M707" s="4">
        <v>0.73901147714285498</v>
      </c>
      <c r="N707">
        <v>0</v>
      </c>
    </row>
    <row r="708" spans="1:14" x14ac:dyDescent="0.25">
      <c r="A708" s="2"/>
      <c r="B708" t="s">
        <v>1873</v>
      </c>
      <c r="C708" t="s">
        <v>16</v>
      </c>
      <c r="D708" t="s">
        <v>1787</v>
      </c>
      <c r="E708" t="s">
        <v>1874</v>
      </c>
      <c r="F708" t="s">
        <v>1875</v>
      </c>
      <c r="G708" t="s">
        <v>1876</v>
      </c>
      <c r="H708" s="3">
        <v>625.20000000000005</v>
      </c>
      <c r="I708">
        <v>502</v>
      </c>
      <c r="J708">
        <v>1</v>
      </c>
      <c r="K708">
        <v>38</v>
      </c>
      <c r="L708" s="4">
        <v>0.49275636979593901</v>
      </c>
      <c r="M708" s="4">
        <v>0.50724363020406105</v>
      </c>
      <c r="N708">
        <v>0</v>
      </c>
    </row>
    <row r="709" spans="1:14" x14ac:dyDescent="0.25">
      <c r="A709" s="2"/>
      <c r="B709" t="s">
        <v>1877</v>
      </c>
      <c r="C709" t="s">
        <v>16</v>
      </c>
      <c r="D709" t="s">
        <v>1787</v>
      </c>
      <c r="E709" t="s">
        <v>1878</v>
      </c>
      <c r="F709" t="s">
        <v>1879</v>
      </c>
      <c r="G709" t="s">
        <v>1880</v>
      </c>
      <c r="H709" s="3">
        <v>987.91</v>
      </c>
      <c r="I709">
        <v>901</v>
      </c>
      <c r="J709">
        <v>0</v>
      </c>
      <c r="K709">
        <v>47</v>
      </c>
      <c r="L709" s="4">
        <v>0.90105204886668799</v>
      </c>
      <c r="M709" s="4">
        <v>9.8947951133312298E-2</v>
      </c>
      <c r="N709">
        <v>0</v>
      </c>
    </row>
    <row r="710" spans="1:14" x14ac:dyDescent="0.25">
      <c r="A710" s="2"/>
      <c r="B710" t="s">
        <v>1881</v>
      </c>
      <c r="C710" t="s">
        <v>16</v>
      </c>
      <c r="D710" t="s">
        <v>1787</v>
      </c>
      <c r="E710" t="s">
        <v>1882</v>
      </c>
      <c r="F710" t="s">
        <v>1883</v>
      </c>
      <c r="G710" t="s">
        <v>1884</v>
      </c>
      <c r="H710" s="3">
        <v>821.98</v>
      </c>
      <c r="I710">
        <v>695</v>
      </c>
      <c r="J710">
        <v>0</v>
      </c>
      <c r="K710">
        <v>49</v>
      </c>
      <c r="L710" s="4">
        <v>0.83511696029117699</v>
      </c>
      <c r="M710" s="4">
        <v>0.16488303970882401</v>
      </c>
      <c r="N710">
        <v>0</v>
      </c>
    </row>
    <row r="711" spans="1:14" x14ac:dyDescent="0.25">
      <c r="A711" s="2"/>
      <c r="B711" t="s">
        <v>1885</v>
      </c>
      <c r="C711" t="s">
        <v>16</v>
      </c>
      <c r="D711" t="s">
        <v>1787</v>
      </c>
      <c r="E711" t="s">
        <v>1886</v>
      </c>
      <c r="F711" t="s">
        <v>1887</v>
      </c>
      <c r="G711" t="s">
        <v>1888</v>
      </c>
      <c r="H711" s="3">
        <v>1644.25</v>
      </c>
      <c r="I711">
        <v>335</v>
      </c>
      <c r="J711">
        <v>1</v>
      </c>
      <c r="K711">
        <v>29</v>
      </c>
      <c r="L711" s="4">
        <v>1.4189716053948601E-2</v>
      </c>
      <c r="M711" s="4">
        <v>0.98581028394605097</v>
      </c>
      <c r="N711">
        <v>0</v>
      </c>
    </row>
    <row r="712" spans="1:14" x14ac:dyDescent="0.25">
      <c r="A712" s="2">
        <v>23847615</v>
      </c>
      <c r="B712" t="s">
        <v>1889</v>
      </c>
      <c r="C712" t="s">
        <v>31</v>
      </c>
      <c r="D712" t="s">
        <v>1787</v>
      </c>
      <c r="E712" t="s">
        <v>1890</v>
      </c>
      <c r="F712" t="s">
        <v>1891</v>
      </c>
      <c r="G712" t="s">
        <v>1892</v>
      </c>
      <c r="H712" s="3">
        <v>1017.58</v>
      </c>
      <c r="I712">
        <v>625</v>
      </c>
      <c r="J712">
        <v>1</v>
      </c>
      <c r="K712">
        <v>36</v>
      </c>
      <c r="L712" s="4">
        <v>0.50997486386227597</v>
      </c>
      <c r="M712" s="4">
        <v>0.49002513613772503</v>
      </c>
      <c r="N712">
        <v>0</v>
      </c>
    </row>
    <row r="713" spans="1:14" x14ac:dyDescent="0.25">
      <c r="A713" s="2"/>
      <c r="B713" t="s">
        <v>1893</v>
      </c>
      <c r="C713" t="s">
        <v>16</v>
      </c>
      <c r="D713" t="s">
        <v>352</v>
      </c>
      <c r="E713" t="s">
        <v>1894</v>
      </c>
      <c r="G713" t="s">
        <v>1895</v>
      </c>
      <c r="H713" s="3">
        <v>720</v>
      </c>
      <c r="I713">
        <v>933</v>
      </c>
      <c r="J713">
        <v>0</v>
      </c>
      <c r="L713" s="4">
        <v>0.37879055961846803</v>
      </c>
      <c r="M713" s="4">
        <v>0.62120944038153303</v>
      </c>
      <c r="N713">
        <v>0</v>
      </c>
    </row>
    <row r="714" spans="1:14" x14ac:dyDescent="0.25">
      <c r="A714" s="2"/>
      <c r="B714" t="s">
        <v>1896</v>
      </c>
      <c r="C714" t="s">
        <v>16</v>
      </c>
      <c r="D714" t="s">
        <v>352</v>
      </c>
      <c r="E714" t="s">
        <v>1894</v>
      </c>
      <c r="G714" t="s">
        <v>1897</v>
      </c>
      <c r="H714" s="3">
        <v>720</v>
      </c>
      <c r="J714">
        <v>0</v>
      </c>
      <c r="K714">
        <v>35</v>
      </c>
      <c r="L714" s="4">
        <v>0.422987011527171</v>
      </c>
      <c r="M714" s="4">
        <v>0.577012988472829</v>
      </c>
      <c r="N714">
        <v>0</v>
      </c>
    </row>
    <row r="715" spans="1:14" x14ac:dyDescent="0.25">
      <c r="A715" s="2"/>
      <c r="B715" t="s">
        <v>1898</v>
      </c>
      <c r="C715" t="s">
        <v>16</v>
      </c>
      <c r="D715" t="s">
        <v>352</v>
      </c>
      <c r="E715" t="s">
        <v>1894</v>
      </c>
      <c r="G715" t="s">
        <v>1899</v>
      </c>
      <c r="H715" s="3">
        <v>720</v>
      </c>
      <c r="I715">
        <v>871</v>
      </c>
      <c r="K715">
        <v>6</v>
      </c>
      <c r="L715" s="4">
        <v>0.36562188968571702</v>
      </c>
      <c r="M715" s="4">
        <v>0.63437811031428304</v>
      </c>
      <c r="N715">
        <v>0</v>
      </c>
    </row>
    <row r="716" spans="1:14" x14ac:dyDescent="0.25">
      <c r="A716" s="2"/>
      <c r="B716" t="s">
        <v>1900</v>
      </c>
      <c r="C716" t="s">
        <v>16</v>
      </c>
      <c r="D716" t="s">
        <v>17</v>
      </c>
      <c r="E716" t="s">
        <v>1901</v>
      </c>
      <c r="F716" t="s">
        <v>1902</v>
      </c>
      <c r="G716" t="s">
        <v>1903</v>
      </c>
      <c r="H716" s="3">
        <v>2272.0100000000002</v>
      </c>
      <c r="I716">
        <v>555</v>
      </c>
      <c r="J716">
        <v>0</v>
      </c>
      <c r="K716">
        <v>5</v>
      </c>
      <c r="L716" s="4">
        <v>1.5784527028483899E-2</v>
      </c>
      <c r="M716" s="4">
        <v>0.98421547297151601</v>
      </c>
      <c r="N716">
        <v>0</v>
      </c>
    </row>
    <row r="717" spans="1:14" x14ac:dyDescent="0.25">
      <c r="A717" s="2"/>
      <c r="B717" t="s">
        <v>1904</v>
      </c>
      <c r="C717" t="s">
        <v>16</v>
      </c>
      <c r="D717" t="s">
        <v>17</v>
      </c>
      <c r="E717" t="s">
        <v>1905</v>
      </c>
      <c r="F717" t="s">
        <v>1906</v>
      </c>
      <c r="G717" t="s">
        <v>1907</v>
      </c>
      <c r="H717" s="3">
        <v>2378.19</v>
      </c>
      <c r="J717">
        <v>0</v>
      </c>
      <c r="L717" s="4">
        <v>0.50050958097963705</v>
      </c>
      <c r="M717" s="4">
        <v>0.49949041902036401</v>
      </c>
      <c r="N717">
        <v>0</v>
      </c>
    </row>
    <row r="718" spans="1:14" x14ac:dyDescent="0.25">
      <c r="A718" s="2">
        <v>23256812</v>
      </c>
      <c r="C718" t="s">
        <v>0</v>
      </c>
      <c r="D718" t="s">
        <v>1908</v>
      </c>
      <c r="E718" t="s">
        <v>1909</v>
      </c>
      <c r="F718" t="s">
        <v>1910</v>
      </c>
      <c r="G718" t="s">
        <v>1911</v>
      </c>
      <c r="H718" s="3">
        <v>2040</v>
      </c>
      <c r="I718">
        <v>714</v>
      </c>
      <c r="J718">
        <v>0</v>
      </c>
      <c r="K718">
        <v>20</v>
      </c>
      <c r="L718" s="4">
        <v>0.66411916243968006</v>
      </c>
      <c r="M718" s="4">
        <v>0.33588083756032</v>
      </c>
      <c r="N718">
        <v>0</v>
      </c>
    </row>
    <row r="719" spans="1:14" x14ac:dyDescent="0.25">
      <c r="A719" s="2">
        <v>24024949</v>
      </c>
      <c r="C719" t="s">
        <v>0</v>
      </c>
      <c r="D719" t="s">
        <v>1908</v>
      </c>
      <c r="E719" t="s">
        <v>1909</v>
      </c>
      <c r="F719" t="s">
        <v>1910</v>
      </c>
      <c r="G719" t="s">
        <v>1912</v>
      </c>
      <c r="H719" s="3">
        <v>2270</v>
      </c>
      <c r="I719">
        <v>645</v>
      </c>
      <c r="J719">
        <v>0</v>
      </c>
      <c r="K719">
        <v>3</v>
      </c>
      <c r="L719" s="4">
        <v>0.38342226859026302</v>
      </c>
      <c r="M719" s="4">
        <v>0.61657773140973804</v>
      </c>
      <c r="N719">
        <v>0</v>
      </c>
    </row>
    <row r="720" spans="1:14" x14ac:dyDescent="0.25">
      <c r="A720" s="2"/>
      <c r="B720" t="s">
        <v>1913</v>
      </c>
      <c r="C720" t="s">
        <v>16</v>
      </c>
      <c r="D720" t="s">
        <v>1914</v>
      </c>
      <c r="E720" t="s">
        <v>1915</v>
      </c>
      <c r="G720" t="s">
        <v>1916</v>
      </c>
      <c r="H720" s="3">
        <v>1700</v>
      </c>
      <c r="J720">
        <v>0</v>
      </c>
      <c r="K720">
        <v>4</v>
      </c>
      <c r="L720" s="4">
        <v>0.186476682360039</v>
      </c>
      <c r="M720" s="4">
        <v>0.813523317639961</v>
      </c>
      <c r="N720">
        <v>0</v>
      </c>
    </row>
    <row r="721" spans="1:14" x14ac:dyDescent="0.25">
      <c r="A721" s="2"/>
      <c r="B721" t="s">
        <v>1917</v>
      </c>
      <c r="C721" t="s">
        <v>16</v>
      </c>
      <c r="D721" t="s">
        <v>1914</v>
      </c>
      <c r="E721" t="s">
        <v>1918</v>
      </c>
      <c r="F721" t="s">
        <v>1919</v>
      </c>
      <c r="G721" t="s">
        <v>1920</v>
      </c>
      <c r="H721" s="3">
        <v>2040</v>
      </c>
      <c r="I721">
        <v>481</v>
      </c>
      <c r="J721">
        <v>0</v>
      </c>
      <c r="K721">
        <v>18</v>
      </c>
      <c r="L721" s="4">
        <v>0.29007349668791998</v>
      </c>
      <c r="M721" s="4">
        <v>0.70992650331207996</v>
      </c>
      <c r="N721">
        <v>0</v>
      </c>
    </row>
    <row r="722" spans="1:14" x14ac:dyDescent="0.25">
      <c r="A722" s="2"/>
      <c r="C722" t="s">
        <v>28</v>
      </c>
      <c r="D722" t="s">
        <v>1914</v>
      </c>
      <c r="E722" t="s">
        <v>1921</v>
      </c>
      <c r="F722" t="s">
        <v>1922</v>
      </c>
      <c r="G722" t="s">
        <v>1923</v>
      </c>
      <c r="H722" s="3">
        <v>1850</v>
      </c>
      <c r="I722">
        <v>875</v>
      </c>
      <c r="J722">
        <v>1</v>
      </c>
      <c r="K722">
        <v>50</v>
      </c>
      <c r="L722" s="4">
        <v>6.3853836911451897E-2</v>
      </c>
      <c r="M722" s="4">
        <v>0.93614616308854803</v>
      </c>
      <c r="N722">
        <v>0</v>
      </c>
    </row>
    <row r="723" spans="1:14" x14ac:dyDescent="0.25">
      <c r="A723" s="2"/>
      <c r="B723" t="s">
        <v>1924</v>
      </c>
      <c r="C723" t="s">
        <v>16</v>
      </c>
      <c r="D723" t="s">
        <v>1914</v>
      </c>
      <c r="E723" t="s">
        <v>1921</v>
      </c>
      <c r="F723" t="s">
        <v>1922</v>
      </c>
      <c r="G723" t="s">
        <v>1925</v>
      </c>
      <c r="H723" s="3">
        <v>2040</v>
      </c>
      <c r="I723">
        <v>976</v>
      </c>
      <c r="J723">
        <v>1</v>
      </c>
      <c r="L723" s="4">
        <v>0.25805337664615102</v>
      </c>
      <c r="M723" s="4">
        <v>0.74194662335384998</v>
      </c>
      <c r="N723">
        <v>0</v>
      </c>
    </row>
    <row r="724" spans="1:14" x14ac:dyDescent="0.25">
      <c r="A724" s="2"/>
      <c r="B724" t="s">
        <v>1926</v>
      </c>
      <c r="C724" t="s">
        <v>16</v>
      </c>
      <c r="D724" t="s">
        <v>191</v>
      </c>
      <c r="E724" t="s">
        <v>1927</v>
      </c>
      <c r="F724" t="s">
        <v>1928</v>
      </c>
      <c r="G724" t="s">
        <v>1929</v>
      </c>
      <c r="H724" s="3">
        <v>1230.67</v>
      </c>
      <c r="I724">
        <v>9</v>
      </c>
      <c r="J724">
        <v>1</v>
      </c>
      <c r="L724" s="4">
        <v>0.30587421802776699</v>
      </c>
      <c r="M724" s="4">
        <v>0.69412578197223296</v>
      </c>
      <c r="N724">
        <v>0</v>
      </c>
    </row>
    <row r="725" spans="1:14" x14ac:dyDescent="0.25">
      <c r="A725" s="2"/>
      <c r="B725" t="s">
        <v>1930</v>
      </c>
      <c r="C725" t="s">
        <v>16</v>
      </c>
      <c r="D725" t="s">
        <v>1931</v>
      </c>
      <c r="E725" t="s">
        <v>1932</v>
      </c>
      <c r="F725" t="s">
        <v>1933</v>
      </c>
      <c r="G725" t="s">
        <v>1934</v>
      </c>
      <c r="H725" s="3">
        <v>238.08</v>
      </c>
      <c r="I725">
        <v>420</v>
      </c>
      <c r="J725">
        <v>0</v>
      </c>
      <c r="K725">
        <v>31</v>
      </c>
      <c r="L725" s="4">
        <v>0.43835435284402302</v>
      </c>
      <c r="M725" s="4">
        <v>0.56164564715597698</v>
      </c>
      <c r="N725">
        <v>0</v>
      </c>
    </row>
    <row r="726" spans="1:14" x14ac:dyDescent="0.25">
      <c r="A726" s="2"/>
      <c r="B726" t="s">
        <v>1935</v>
      </c>
      <c r="C726" t="s">
        <v>16</v>
      </c>
      <c r="D726" t="s">
        <v>17</v>
      </c>
      <c r="E726" t="s">
        <v>1932</v>
      </c>
      <c r="F726" t="s">
        <v>1933</v>
      </c>
      <c r="G726" t="s">
        <v>1936</v>
      </c>
      <c r="H726" s="3">
        <v>2228</v>
      </c>
      <c r="I726">
        <v>169</v>
      </c>
      <c r="J726">
        <v>0</v>
      </c>
      <c r="K726">
        <v>18</v>
      </c>
      <c r="L726" s="4">
        <v>0.447937416996465</v>
      </c>
      <c r="M726" s="4">
        <v>0.55206258300353495</v>
      </c>
      <c r="N726">
        <v>0</v>
      </c>
    </row>
    <row r="727" spans="1:14" x14ac:dyDescent="0.25">
      <c r="A727" s="2"/>
      <c r="B727" t="s">
        <v>1937</v>
      </c>
      <c r="C727" t="s">
        <v>16</v>
      </c>
      <c r="D727" t="s">
        <v>17</v>
      </c>
      <c r="E727" t="s">
        <v>1938</v>
      </c>
      <c r="F727" t="s">
        <v>1939</v>
      </c>
      <c r="G727" t="s">
        <v>1940</v>
      </c>
      <c r="H727" s="3">
        <v>2406.1</v>
      </c>
      <c r="I727">
        <v>838</v>
      </c>
      <c r="J727">
        <v>1</v>
      </c>
      <c r="K727">
        <v>22</v>
      </c>
      <c r="L727" s="4">
        <v>0.63027751802432597</v>
      </c>
      <c r="M727" s="4">
        <v>0.36972248197567398</v>
      </c>
      <c r="N727">
        <v>0</v>
      </c>
    </row>
    <row r="728" spans="1:14" x14ac:dyDescent="0.25">
      <c r="A728" s="2"/>
      <c r="B728" t="s">
        <v>1941</v>
      </c>
      <c r="C728" t="s">
        <v>16</v>
      </c>
      <c r="D728" t="s">
        <v>17</v>
      </c>
      <c r="E728" t="s">
        <v>1938</v>
      </c>
      <c r="F728" t="s">
        <v>1939</v>
      </c>
      <c r="G728" t="s">
        <v>1942</v>
      </c>
      <c r="H728" s="3">
        <v>2445.23</v>
      </c>
      <c r="J728">
        <v>1</v>
      </c>
      <c r="K728">
        <v>7</v>
      </c>
      <c r="L728" s="4">
        <v>0.11167432442439899</v>
      </c>
      <c r="M728" s="4">
        <v>0.88832567557560105</v>
      </c>
      <c r="N728">
        <v>0</v>
      </c>
    </row>
    <row r="729" spans="1:14" x14ac:dyDescent="0.25">
      <c r="A729" s="2"/>
      <c r="B729" t="s">
        <v>1943</v>
      </c>
      <c r="C729" t="s">
        <v>16</v>
      </c>
      <c r="D729" t="s">
        <v>17</v>
      </c>
      <c r="E729" t="s">
        <v>1938</v>
      </c>
      <c r="F729" t="s">
        <v>1939</v>
      </c>
      <c r="G729" t="s">
        <v>1944</v>
      </c>
      <c r="H729" s="3">
        <v>2468.7399999999998</v>
      </c>
      <c r="I729">
        <v>847</v>
      </c>
      <c r="J729">
        <v>1</v>
      </c>
      <c r="K729">
        <v>2</v>
      </c>
      <c r="L729" s="4">
        <v>6.2753185941573905E-2</v>
      </c>
      <c r="M729" s="4">
        <v>0.93724681405842603</v>
      </c>
      <c r="N729">
        <v>0</v>
      </c>
    </row>
    <row r="730" spans="1:14" x14ac:dyDescent="0.25">
      <c r="A730" s="2"/>
      <c r="B730" t="s">
        <v>1945</v>
      </c>
      <c r="C730" t="s">
        <v>16</v>
      </c>
      <c r="D730" t="s">
        <v>17</v>
      </c>
      <c r="E730" t="s">
        <v>1946</v>
      </c>
      <c r="F730" t="s">
        <v>1947</v>
      </c>
      <c r="G730" t="s">
        <v>1948</v>
      </c>
      <c r="H730" s="3">
        <v>2446.9699999999998</v>
      </c>
      <c r="J730">
        <v>0</v>
      </c>
      <c r="K730">
        <v>20</v>
      </c>
      <c r="L730" s="4">
        <v>0.47783745432425001</v>
      </c>
      <c r="M730" s="4">
        <v>0.52216254567575004</v>
      </c>
      <c r="N730">
        <v>0</v>
      </c>
    </row>
    <row r="731" spans="1:14" x14ac:dyDescent="0.25">
      <c r="A731" s="2"/>
      <c r="C731" t="s">
        <v>28</v>
      </c>
      <c r="D731" t="s">
        <v>607</v>
      </c>
      <c r="E731" t="s">
        <v>1946</v>
      </c>
      <c r="F731" t="s">
        <v>1947</v>
      </c>
      <c r="G731" t="s">
        <v>1949</v>
      </c>
      <c r="H731" s="3">
        <v>3000</v>
      </c>
      <c r="I731">
        <v>24</v>
      </c>
      <c r="J731">
        <v>1</v>
      </c>
      <c r="K731">
        <v>48</v>
      </c>
      <c r="L731" s="4">
        <v>0.10354502097792601</v>
      </c>
      <c r="M731" s="4">
        <v>0.89645497902207505</v>
      </c>
      <c r="N731">
        <v>0</v>
      </c>
    </row>
    <row r="732" spans="1:14" x14ac:dyDescent="0.25">
      <c r="A732" s="2"/>
      <c r="B732" t="s">
        <v>1950</v>
      </c>
      <c r="C732" t="s">
        <v>16</v>
      </c>
      <c r="D732" t="s">
        <v>1951</v>
      </c>
      <c r="E732" t="s">
        <v>1952</v>
      </c>
      <c r="F732" t="s">
        <v>1953</v>
      </c>
      <c r="G732" t="s">
        <v>1954</v>
      </c>
      <c r="H732" s="3">
        <v>1501.44</v>
      </c>
      <c r="I732">
        <v>589</v>
      </c>
      <c r="J732">
        <v>0</v>
      </c>
      <c r="K732">
        <v>3</v>
      </c>
      <c r="L732" s="4">
        <v>0.145225376911823</v>
      </c>
      <c r="M732" s="4">
        <v>0.85477462308817698</v>
      </c>
      <c r="N732">
        <v>0</v>
      </c>
    </row>
    <row r="733" spans="1:14" x14ac:dyDescent="0.25">
      <c r="A733" s="2"/>
      <c r="B733" t="s">
        <v>1955</v>
      </c>
      <c r="C733" t="s">
        <v>16</v>
      </c>
      <c r="D733" t="s">
        <v>1951</v>
      </c>
      <c r="E733" t="s">
        <v>1952</v>
      </c>
      <c r="F733" t="s">
        <v>1953</v>
      </c>
      <c r="G733" t="s">
        <v>1956</v>
      </c>
      <c r="H733" s="3">
        <v>1267.3399999999999</v>
      </c>
      <c r="I733">
        <v>839</v>
      </c>
      <c r="J733">
        <v>0</v>
      </c>
      <c r="K733">
        <v>39</v>
      </c>
      <c r="L733" s="4">
        <v>0.59044581358480397</v>
      </c>
      <c r="M733" s="4">
        <v>0.40955418641519598</v>
      </c>
      <c r="N733">
        <v>0</v>
      </c>
    </row>
    <row r="734" spans="1:14" x14ac:dyDescent="0.25">
      <c r="A734" s="2">
        <v>23738518</v>
      </c>
      <c r="C734" t="s">
        <v>0</v>
      </c>
      <c r="D734" t="s">
        <v>86</v>
      </c>
      <c r="E734" t="s">
        <v>1957</v>
      </c>
      <c r="F734" t="s">
        <v>1958</v>
      </c>
      <c r="G734" t="s">
        <v>1959</v>
      </c>
      <c r="H734" s="3">
        <v>2355.52</v>
      </c>
      <c r="I734">
        <v>895</v>
      </c>
      <c r="J734">
        <v>1</v>
      </c>
      <c r="K734">
        <v>41</v>
      </c>
      <c r="L734" s="4">
        <v>0.35799700918621302</v>
      </c>
      <c r="M734" s="4">
        <v>0.64200299081378698</v>
      </c>
      <c r="N734">
        <v>0</v>
      </c>
    </row>
    <row r="735" spans="1:14" x14ac:dyDescent="0.25">
      <c r="A735" s="2">
        <v>21255266</v>
      </c>
      <c r="B735" t="s">
        <v>1960</v>
      </c>
      <c r="C735" t="s">
        <v>31</v>
      </c>
      <c r="D735" t="s">
        <v>86</v>
      </c>
      <c r="E735" t="s">
        <v>1957</v>
      </c>
      <c r="F735" t="s">
        <v>1958</v>
      </c>
      <c r="G735" t="s">
        <v>1961</v>
      </c>
      <c r="H735" s="3">
        <v>2408.35</v>
      </c>
      <c r="I735">
        <v>775</v>
      </c>
      <c r="J735">
        <v>1</v>
      </c>
      <c r="K735">
        <v>31</v>
      </c>
      <c r="L735" s="4">
        <v>0.123183468840231</v>
      </c>
      <c r="M735" s="4">
        <v>0.87681653115976899</v>
      </c>
      <c r="N735">
        <v>0</v>
      </c>
    </row>
    <row r="736" spans="1:14" x14ac:dyDescent="0.25">
      <c r="A736" s="2">
        <v>23315936</v>
      </c>
      <c r="B736" t="s">
        <v>1962</v>
      </c>
      <c r="C736" t="s">
        <v>31</v>
      </c>
      <c r="D736" t="s">
        <v>86</v>
      </c>
      <c r="E736" t="s">
        <v>1963</v>
      </c>
      <c r="F736" t="s">
        <v>1964</v>
      </c>
      <c r="G736" t="s">
        <v>1965</v>
      </c>
      <c r="H736" s="3">
        <v>2376.4</v>
      </c>
      <c r="I736">
        <v>141</v>
      </c>
      <c r="J736">
        <v>1</v>
      </c>
      <c r="K736">
        <v>13</v>
      </c>
      <c r="L736" s="4">
        <v>0.15002183040893199</v>
      </c>
      <c r="M736" s="4">
        <v>0.84997816959106798</v>
      </c>
      <c r="N736">
        <v>0</v>
      </c>
    </row>
    <row r="737" spans="1:14" x14ac:dyDescent="0.25">
      <c r="A737" s="2"/>
      <c r="B737" t="s">
        <v>1966</v>
      </c>
      <c r="C737" t="s">
        <v>16</v>
      </c>
      <c r="D737" t="s">
        <v>86</v>
      </c>
      <c r="E737" t="s">
        <v>1967</v>
      </c>
      <c r="F737" t="s">
        <v>1968</v>
      </c>
      <c r="G737" t="s">
        <v>1969</v>
      </c>
      <c r="H737" s="3">
        <v>2372.9899999999998</v>
      </c>
      <c r="I737">
        <v>984</v>
      </c>
      <c r="J737">
        <v>1</v>
      </c>
      <c r="K737">
        <v>3</v>
      </c>
      <c r="L737" s="4">
        <v>0.34811425115678102</v>
      </c>
      <c r="M737" s="4">
        <v>0.65188574884321904</v>
      </c>
      <c r="N737">
        <v>0</v>
      </c>
    </row>
    <row r="738" spans="1:14" x14ac:dyDescent="0.25">
      <c r="A738" s="2"/>
      <c r="B738" t="s">
        <v>1970</v>
      </c>
      <c r="C738" t="s">
        <v>16</v>
      </c>
      <c r="D738" t="s">
        <v>86</v>
      </c>
      <c r="E738" t="s">
        <v>1967</v>
      </c>
      <c r="F738" t="s">
        <v>1968</v>
      </c>
      <c r="G738" t="s">
        <v>1971</v>
      </c>
      <c r="H738" s="3">
        <v>2345.75</v>
      </c>
      <c r="I738">
        <v>674</v>
      </c>
      <c r="J738">
        <v>1</v>
      </c>
      <c r="L738" s="4">
        <v>0.24519621773193501</v>
      </c>
      <c r="M738" s="4">
        <v>0.75480378226806499</v>
      </c>
      <c r="N738">
        <v>0</v>
      </c>
    </row>
    <row r="739" spans="1:14" x14ac:dyDescent="0.25">
      <c r="A739" s="2"/>
      <c r="B739" t="s">
        <v>1972</v>
      </c>
      <c r="C739" t="s">
        <v>16</v>
      </c>
      <c r="D739" t="s">
        <v>86</v>
      </c>
      <c r="E739" t="s">
        <v>1967</v>
      </c>
      <c r="F739" t="s">
        <v>1968</v>
      </c>
      <c r="G739" t="s">
        <v>1973</v>
      </c>
      <c r="H739" s="3">
        <v>2286.7399999999998</v>
      </c>
      <c r="I739">
        <v>471</v>
      </c>
      <c r="J739">
        <v>1</v>
      </c>
      <c r="L739" s="4">
        <v>0.160406959116276</v>
      </c>
      <c r="M739" s="4">
        <v>0.839593040883724</v>
      </c>
      <c r="N739">
        <v>0</v>
      </c>
    </row>
    <row r="740" spans="1:14" x14ac:dyDescent="0.25">
      <c r="A740" s="2"/>
      <c r="B740" t="s">
        <v>1974</v>
      </c>
      <c r="C740" t="s">
        <v>16</v>
      </c>
      <c r="D740" t="s">
        <v>86</v>
      </c>
      <c r="E740" t="s">
        <v>1967</v>
      </c>
      <c r="F740" t="s">
        <v>1968</v>
      </c>
      <c r="G740" t="s">
        <v>1975</v>
      </c>
      <c r="H740" s="3">
        <v>1911.3</v>
      </c>
      <c r="I740">
        <v>193</v>
      </c>
      <c r="J740">
        <v>0</v>
      </c>
      <c r="K740">
        <v>18</v>
      </c>
      <c r="L740" s="4">
        <v>0.30089167269783801</v>
      </c>
      <c r="M740" s="4">
        <v>0.69910832730216299</v>
      </c>
      <c r="N740">
        <v>0</v>
      </c>
    </row>
    <row r="741" spans="1:14" x14ac:dyDescent="0.25">
      <c r="A741" s="2"/>
      <c r="B741" t="s">
        <v>1976</v>
      </c>
      <c r="C741" t="s">
        <v>16</v>
      </c>
      <c r="D741" t="s">
        <v>191</v>
      </c>
      <c r="E741" t="s">
        <v>1977</v>
      </c>
      <c r="F741" t="s">
        <v>1978</v>
      </c>
      <c r="G741" t="s">
        <v>1979</v>
      </c>
      <c r="H741" s="3">
        <v>790.93</v>
      </c>
      <c r="I741">
        <v>997</v>
      </c>
      <c r="J741">
        <v>0</v>
      </c>
      <c r="K741">
        <v>43</v>
      </c>
      <c r="L741" s="4">
        <v>0.73239749346791705</v>
      </c>
      <c r="M741" s="4">
        <v>0.26760250653208301</v>
      </c>
      <c r="N741">
        <v>1107</v>
      </c>
    </row>
    <row r="742" spans="1:14" x14ac:dyDescent="0.25">
      <c r="A742" s="2"/>
      <c r="B742" t="s">
        <v>1980</v>
      </c>
      <c r="C742" t="s">
        <v>16</v>
      </c>
      <c r="D742" t="s">
        <v>191</v>
      </c>
      <c r="E742" t="s">
        <v>1977</v>
      </c>
      <c r="F742" t="s">
        <v>1978</v>
      </c>
      <c r="G742" t="s">
        <v>1981</v>
      </c>
      <c r="H742" s="3">
        <v>1197.72</v>
      </c>
      <c r="J742">
        <v>1</v>
      </c>
      <c r="L742" s="4">
        <v>0.19369495509034901</v>
      </c>
      <c r="M742" s="4">
        <v>0.80630504490965105</v>
      </c>
      <c r="N742">
        <v>0</v>
      </c>
    </row>
    <row r="743" spans="1:14" x14ac:dyDescent="0.25">
      <c r="A743" s="2">
        <v>23703681</v>
      </c>
      <c r="C743" t="s">
        <v>0</v>
      </c>
      <c r="D743" t="s">
        <v>607</v>
      </c>
      <c r="E743" t="s">
        <v>1982</v>
      </c>
      <c r="F743" t="s">
        <v>1983</v>
      </c>
      <c r="G743" t="s">
        <v>1984</v>
      </c>
      <c r="H743" s="3">
        <v>3360</v>
      </c>
      <c r="I743">
        <v>535</v>
      </c>
      <c r="J743">
        <v>0</v>
      </c>
      <c r="L743" s="4">
        <v>0.17916483252262899</v>
      </c>
      <c r="M743" s="4">
        <v>0.82083516747737095</v>
      </c>
      <c r="N743">
        <v>0</v>
      </c>
    </row>
    <row r="744" spans="1:14" x14ac:dyDescent="0.25">
      <c r="A744" s="2"/>
      <c r="C744" t="s">
        <v>28</v>
      </c>
      <c r="D744" t="s">
        <v>607</v>
      </c>
      <c r="E744" t="s">
        <v>1982</v>
      </c>
      <c r="F744" t="s">
        <v>1983</v>
      </c>
      <c r="G744" t="s">
        <v>1985</v>
      </c>
      <c r="H744" s="3">
        <v>3000</v>
      </c>
      <c r="I744">
        <v>497</v>
      </c>
      <c r="J744">
        <v>0</v>
      </c>
      <c r="K744">
        <v>9</v>
      </c>
      <c r="L744" s="4">
        <v>0.208311233628408</v>
      </c>
      <c r="M744" s="4">
        <v>0.79168876637159202</v>
      </c>
      <c r="N744">
        <v>0</v>
      </c>
    </row>
    <row r="745" spans="1:14" x14ac:dyDescent="0.25">
      <c r="A745" s="2">
        <v>23889909</v>
      </c>
      <c r="C745" t="s">
        <v>0</v>
      </c>
      <c r="D745" t="s">
        <v>148</v>
      </c>
      <c r="E745" t="s">
        <v>1986</v>
      </c>
      <c r="F745" t="s">
        <v>1958</v>
      </c>
      <c r="G745" t="s">
        <v>1987</v>
      </c>
      <c r="H745" s="3">
        <v>1788.9</v>
      </c>
      <c r="I745">
        <v>255</v>
      </c>
      <c r="J745">
        <v>1</v>
      </c>
      <c r="L745" s="4">
        <v>0.58257009331902998</v>
      </c>
      <c r="M745" s="4">
        <v>0.41742990668097002</v>
      </c>
      <c r="N745">
        <v>0</v>
      </c>
    </row>
    <row r="746" spans="1:14" x14ac:dyDescent="0.25">
      <c r="A746" s="2"/>
      <c r="B746" t="s">
        <v>1988</v>
      </c>
      <c r="C746" t="s">
        <v>16</v>
      </c>
      <c r="D746" t="s">
        <v>148</v>
      </c>
      <c r="E746" t="s">
        <v>1986</v>
      </c>
      <c r="F746" t="s">
        <v>1958</v>
      </c>
      <c r="G746" t="s">
        <v>1989</v>
      </c>
      <c r="H746" s="3">
        <v>1950</v>
      </c>
      <c r="I746">
        <v>833</v>
      </c>
      <c r="J746">
        <v>1</v>
      </c>
      <c r="K746">
        <v>47</v>
      </c>
      <c r="L746" s="4">
        <v>0.79114965887594002</v>
      </c>
      <c r="M746" s="4">
        <v>0.20885034112406001</v>
      </c>
      <c r="N746">
        <v>0</v>
      </c>
    </row>
    <row r="747" spans="1:14" x14ac:dyDescent="0.25">
      <c r="A747" s="2"/>
      <c r="B747" t="s">
        <v>1990</v>
      </c>
      <c r="C747" t="s">
        <v>16</v>
      </c>
      <c r="D747" t="s">
        <v>148</v>
      </c>
      <c r="E747" t="s">
        <v>1986</v>
      </c>
      <c r="F747" t="s">
        <v>1958</v>
      </c>
      <c r="G747" t="s">
        <v>1991</v>
      </c>
      <c r="H747" s="3">
        <v>2010</v>
      </c>
      <c r="I747">
        <v>401</v>
      </c>
      <c r="J747">
        <v>0</v>
      </c>
      <c r="K747">
        <v>49</v>
      </c>
      <c r="L747" s="4">
        <v>0.910925170253299</v>
      </c>
      <c r="M747" s="4">
        <v>8.9074829746701195E-2</v>
      </c>
      <c r="N747">
        <v>0</v>
      </c>
    </row>
    <row r="748" spans="1:14" x14ac:dyDescent="0.25">
      <c r="A748" s="2"/>
      <c r="B748" t="s">
        <v>1992</v>
      </c>
      <c r="C748" t="s">
        <v>16</v>
      </c>
      <c r="D748" t="s">
        <v>148</v>
      </c>
      <c r="E748" t="s">
        <v>1993</v>
      </c>
      <c r="F748" t="s">
        <v>1983</v>
      </c>
      <c r="G748" t="s">
        <v>1994</v>
      </c>
      <c r="H748" s="3">
        <v>2010</v>
      </c>
      <c r="I748">
        <v>104</v>
      </c>
      <c r="J748">
        <v>1</v>
      </c>
      <c r="K748">
        <v>13</v>
      </c>
      <c r="L748" s="4">
        <v>0.22658565278576001</v>
      </c>
      <c r="M748" s="4">
        <v>0.77341434721423996</v>
      </c>
      <c r="N748">
        <v>0</v>
      </c>
    </row>
    <row r="749" spans="1:14" x14ac:dyDescent="0.25">
      <c r="A749" s="2"/>
      <c r="C749" t="s">
        <v>28</v>
      </c>
      <c r="D749" t="s">
        <v>148</v>
      </c>
      <c r="E749" t="s">
        <v>1993</v>
      </c>
      <c r="F749" t="s">
        <v>1983</v>
      </c>
      <c r="G749" t="s">
        <v>1995</v>
      </c>
      <c r="H749" s="3">
        <v>1728.9</v>
      </c>
      <c r="I749">
        <v>702</v>
      </c>
      <c r="J749">
        <v>0</v>
      </c>
      <c r="K749">
        <v>1</v>
      </c>
      <c r="L749" s="4">
        <v>0.35206486684343102</v>
      </c>
      <c r="M749" s="4">
        <v>0.64793513315656903</v>
      </c>
      <c r="N749">
        <v>0</v>
      </c>
    </row>
    <row r="750" spans="1:14" x14ac:dyDescent="0.25">
      <c r="A750" s="2"/>
      <c r="B750" t="s">
        <v>1996</v>
      </c>
      <c r="C750" t="s">
        <v>16</v>
      </c>
      <c r="D750" t="s">
        <v>1951</v>
      </c>
      <c r="E750" t="s">
        <v>1997</v>
      </c>
      <c r="F750" t="s">
        <v>1998</v>
      </c>
      <c r="G750" t="s">
        <v>1999</v>
      </c>
      <c r="H750" s="3">
        <v>1491.24</v>
      </c>
      <c r="I750">
        <v>251</v>
      </c>
      <c r="J750">
        <v>1</v>
      </c>
      <c r="K750">
        <v>29</v>
      </c>
      <c r="L750" s="4">
        <v>0.91746552598612596</v>
      </c>
      <c r="M750" s="4">
        <v>8.2534474013873996E-2</v>
      </c>
      <c r="N750">
        <v>0</v>
      </c>
    </row>
    <row r="751" spans="1:14" x14ac:dyDescent="0.25">
      <c r="A751" s="2"/>
      <c r="B751" t="s">
        <v>2000</v>
      </c>
      <c r="C751" t="s">
        <v>16</v>
      </c>
      <c r="D751" t="s">
        <v>1951</v>
      </c>
      <c r="E751" t="s">
        <v>1997</v>
      </c>
      <c r="F751" t="s">
        <v>1998</v>
      </c>
      <c r="G751" t="s">
        <v>2001</v>
      </c>
      <c r="H751" s="3">
        <v>1548.77</v>
      </c>
      <c r="I751">
        <v>600</v>
      </c>
      <c r="J751">
        <v>0</v>
      </c>
      <c r="K751">
        <v>37</v>
      </c>
      <c r="L751" s="4">
        <v>0.57966266503289099</v>
      </c>
      <c r="M751" s="4">
        <v>0.42033733496710901</v>
      </c>
      <c r="N751">
        <v>0</v>
      </c>
    </row>
    <row r="752" spans="1:14" x14ac:dyDescent="0.25">
      <c r="A752" s="2"/>
      <c r="B752" t="s">
        <v>2002</v>
      </c>
      <c r="C752" t="s">
        <v>16</v>
      </c>
      <c r="D752" t="s">
        <v>86</v>
      </c>
      <c r="E752" t="s">
        <v>2003</v>
      </c>
      <c r="F752" t="s">
        <v>2004</v>
      </c>
      <c r="G752" t="s">
        <v>2005</v>
      </c>
      <c r="H752" s="3">
        <v>1977.72</v>
      </c>
      <c r="I752">
        <v>752</v>
      </c>
      <c r="J752">
        <v>0</v>
      </c>
      <c r="K752">
        <v>26</v>
      </c>
      <c r="L752" s="4">
        <v>7.76347661751111E-2</v>
      </c>
      <c r="M752" s="4">
        <v>0.922365233824889</v>
      </c>
      <c r="N752">
        <v>0</v>
      </c>
    </row>
    <row r="753" spans="1:14" x14ac:dyDescent="0.25">
      <c r="A753" s="2"/>
      <c r="B753" t="s">
        <v>2006</v>
      </c>
      <c r="C753" t="s">
        <v>16</v>
      </c>
      <c r="D753" t="s">
        <v>86</v>
      </c>
      <c r="E753" t="s">
        <v>2003</v>
      </c>
      <c r="F753" t="s">
        <v>2004</v>
      </c>
      <c r="G753" t="s">
        <v>2007</v>
      </c>
      <c r="H753" s="3">
        <v>2184.2199999999998</v>
      </c>
      <c r="I753">
        <v>734</v>
      </c>
      <c r="J753">
        <v>1</v>
      </c>
      <c r="K753">
        <v>49</v>
      </c>
      <c r="L753" s="4">
        <v>0.84103626836663403</v>
      </c>
      <c r="M753" s="4">
        <v>0.15896373163336699</v>
      </c>
      <c r="N753">
        <v>0</v>
      </c>
    </row>
    <row r="754" spans="1:14" x14ac:dyDescent="0.25">
      <c r="A754" s="2"/>
      <c r="C754" t="s">
        <v>28</v>
      </c>
      <c r="D754" t="s">
        <v>110</v>
      </c>
      <c r="E754" t="s">
        <v>2008</v>
      </c>
      <c r="F754" t="s">
        <v>2009</v>
      </c>
      <c r="G754" t="s">
        <v>2010</v>
      </c>
      <c r="H754" s="3">
        <v>440.66</v>
      </c>
      <c r="J754">
        <v>1</v>
      </c>
      <c r="K754">
        <v>17</v>
      </c>
      <c r="L754" s="4">
        <v>5.2585535023022698E-2</v>
      </c>
      <c r="M754" s="4">
        <v>0.94741446497697701</v>
      </c>
      <c r="N754">
        <v>0</v>
      </c>
    </row>
    <row r="755" spans="1:14" x14ac:dyDescent="0.25">
      <c r="A755" s="2"/>
      <c r="B755" t="s">
        <v>2011</v>
      </c>
      <c r="C755" t="s">
        <v>16</v>
      </c>
      <c r="D755" t="s">
        <v>110</v>
      </c>
      <c r="E755" t="s">
        <v>2008</v>
      </c>
      <c r="F755" t="s">
        <v>2009</v>
      </c>
      <c r="G755" t="s">
        <v>2012</v>
      </c>
      <c r="H755" s="3">
        <v>1700</v>
      </c>
      <c r="I755">
        <v>717</v>
      </c>
      <c r="J755">
        <v>0</v>
      </c>
      <c r="K755">
        <v>33</v>
      </c>
      <c r="L755" s="4">
        <v>0.156719647670891</v>
      </c>
      <c r="M755" s="4">
        <v>0.84328035232910903</v>
      </c>
      <c r="N755">
        <v>0</v>
      </c>
    </row>
    <row r="756" spans="1:14" x14ac:dyDescent="0.25">
      <c r="A756" s="2"/>
      <c r="B756" t="s">
        <v>2013</v>
      </c>
      <c r="C756" t="s">
        <v>16</v>
      </c>
      <c r="D756" t="s">
        <v>352</v>
      </c>
      <c r="E756" t="s">
        <v>2014</v>
      </c>
      <c r="F756" t="s">
        <v>2015</v>
      </c>
      <c r="G756" t="s">
        <v>2016</v>
      </c>
      <c r="H756" s="3">
        <v>2040</v>
      </c>
      <c r="J756">
        <v>0</v>
      </c>
      <c r="L756" s="4">
        <v>0.438664519344312</v>
      </c>
      <c r="M756" s="4">
        <v>0.56133548065568795</v>
      </c>
      <c r="N756">
        <v>0</v>
      </c>
    </row>
    <row r="757" spans="1:14" x14ac:dyDescent="0.25">
      <c r="A757" s="2">
        <v>23665989</v>
      </c>
      <c r="C757" t="s">
        <v>0</v>
      </c>
      <c r="D757" t="s">
        <v>352</v>
      </c>
      <c r="E757" t="s">
        <v>2014</v>
      </c>
      <c r="F757" t="s">
        <v>2015</v>
      </c>
      <c r="G757" t="s">
        <v>2017</v>
      </c>
      <c r="H757" s="3">
        <v>2340</v>
      </c>
      <c r="I757">
        <v>317</v>
      </c>
      <c r="J757">
        <v>1</v>
      </c>
      <c r="K757">
        <v>36</v>
      </c>
      <c r="L757" s="4">
        <v>0.15754904681794801</v>
      </c>
      <c r="M757" s="4">
        <v>0.84245095318205199</v>
      </c>
      <c r="N757">
        <v>0</v>
      </c>
    </row>
    <row r="758" spans="1:14" x14ac:dyDescent="0.25">
      <c r="A758" s="2"/>
      <c r="C758" t="s">
        <v>28</v>
      </c>
      <c r="D758" t="s">
        <v>352</v>
      </c>
      <c r="E758" t="s">
        <v>2014</v>
      </c>
      <c r="F758" t="s">
        <v>2015</v>
      </c>
      <c r="G758" t="s">
        <v>2018</v>
      </c>
      <c r="H758" s="3">
        <v>2340</v>
      </c>
      <c r="I758">
        <v>946</v>
      </c>
      <c r="J758">
        <v>1</v>
      </c>
      <c r="K758">
        <v>1</v>
      </c>
      <c r="L758" s="4">
        <v>0.73853490300415103</v>
      </c>
      <c r="M758" s="4">
        <v>0.26146509699584902</v>
      </c>
      <c r="N758">
        <v>0</v>
      </c>
    </row>
    <row r="759" spans="1:14" x14ac:dyDescent="0.25">
      <c r="A759" s="2"/>
      <c r="B759" t="s">
        <v>2019</v>
      </c>
      <c r="C759" t="s">
        <v>16</v>
      </c>
      <c r="D759" t="s">
        <v>2020</v>
      </c>
      <c r="E759" t="s">
        <v>2021</v>
      </c>
      <c r="F759" t="s">
        <v>2022</v>
      </c>
      <c r="G759" t="s">
        <v>2023</v>
      </c>
      <c r="H759" s="3">
        <v>1567.94</v>
      </c>
      <c r="I759">
        <v>750</v>
      </c>
      <c r="J759">
        <v>1</v>
      </c>
      <c r="K759">
        <v>10</v>
      </c>
      <c r="L759" s="4">
        <v>0.98118222093310403</v>
      </c>
      <c r="M759" s="4">
        <v>1.8817779066896499E-2</v>
      </c>
      <c r="N759">
        <v>0</v>
      </c>
    </row>
    <row r="760" spans="1:14" x14ac:dyDescent="0.25">
      <c r="A760" s="2">
        <v>22419580</v>
      </c>
      <c r="B760" t="s">
        <v>2024</v>
      </c>
      <c r="C760" t="s">
        <v>31</v>
      </c>
      <c r="D760" t="s">
        <v>2020</v>
      </c>
      <c r="E760" t="s">
        <v>2021</v>
      </c>
      <c r="F760" t="s">
        <v>2025</v>
      </c>
      <c r="G760" t="s">
        <v>2026</v>
      </c>
      <c r="H760" s="3">
        <v>378.7</v>
      </c>
      <c r="I760">
        <v>394</v>
      </c>
      <c r="K760">
        <v>29</v>
      </c>
      <c r="L760" s="4">
        <v>0.45633793468714601</v>
      </c>
      <c r="M760" s="4">
        <v>0.54366206531285399</v>
      </c>
      <c r="N760">
        <v>0</v>
      </c>
    </row>
    <row r="761" spans="1:14" x14ac:dyDescent="0.25">
      <c r="A761" s="2"/>
      <c r="C761" t="s">
        <v>28</v>
      </c>
      <c r="D761" t="s">
        <v>86</v>
      </c>
      <c r="E761" t="s">
        <v>2027</v>
      </c>
      <c r="F761" t="s">
        <v>2028</v>
      </c>
      <c r="G761" t="s">
        <v>2029</v>
      </c>
      <c r="H761" s="3">
        <v>1914.12</v>
      </c>
      <c r="I761">
        <v>668</v>
      </c>
      <c r="J761">
        <v>0</v>
      </c>
      <c r="K761">
        <v>42</v>
      </c>
      <c r="L761" s="4">
        <v>0.76900061788812202</v>
      </c>
      <c r="M761" s="4">
        <v>0.23099938211187801</v>
      </c>
      <c r="N761">
        <v>0</v>
      </c>
    </row>
    <row r="762" spans="1:14" x14ac:dyDescent="0.25">
      <c r="A762" s="2"/>
      <c r="C762" t="s">
        <v>28</v>
      </c>
      <c r="D762" t="s">
        <v>2030</v>
      </c>
      <c r="E762" t="s">
        <v>2031</v>
      </c>
      <c r="F762" t="s">
        <v>2032</v>
      </c>
      <c r="G762" t="s">
        <v>2033</v>
      </c>
      <c r="H762" s="3">
        <v>551.27</v>
      </c>
      <c r="I762">
        <v>813</v>
      </c>
      <c r="J762">
        <v>0</v>
      </c>
      <c r="K762">
        <v>12</v>
      </c>
      <c r="L762" s="4">
        <v>0.99892649038973602</v>
      </c>
      <c r="M762" s="4">
        <v>1.0735096102637599E-3</v>
      </c>
      <c r="N762">
        <v>0</v>
      </c>
    </row>
    <row r="763" spans="1:14" x14ac:dyDescent="0.25">
      <c r="A763" s="2"/>
      <c r="C763" t="s">
        <v>28</v>
      </c>
      <c r="D763" t="s">
        <v>17</v>
      </c>
      <c r="E763" t="s">
        <v>2034</v>
      </c>
      <c r="F763" t="s">
        <v>2035</v>
      </c>
      <c r="G763" t="s">
        <v>2036</v>
      </c>
      <c r="H763" s="3">
        <v>1836.92</v>
      </c>
      <c r="I763">
        <v>158</v>
      </c>
      <c r="J763">
        <v>0</v>
      </c>
      <c r="L763" s="4">
        <v>0.70692226949139203</v>
      </c>
      <c r="M763" s="4">
        <v>0.29307773050860803</v>
      </c>
      <c r="N763">
        <v>0</v>
      </c>
    </row>
    <row r="764" spans="1:14" x14ac:dyDescent="0.25">
      <c r="A764" s="2">
        <v>23376730</v>
      </c>
      <c r="B764" t="s">
        <v>2037</v>
      </c>
      <c r="C764" t="s">
        <v>31</v>
      </c>
      <c r="D764" t="s">
        <v>17</v>
      </c>
      <c r="E764" t="s">
        <v>2034</v>
      </c>
      <c r="F764" t="s">
        <v>2035</v>
      </c>
      <c r="G764" t="s">
        <v>2038</v>
      </c>
      <c r="H764" s="3">
        <v>1749.74</v>
      </c>
      <c r="I764">
        <v>95</v>
      </c>
      <c r="J764">
        <v>1</v>
      </c>
      <c r="K764">
        <v>25</v>
      </c>
      <c r="L764" s="4">
        <v>0.93385364717300201</v>
      </c>
      <c r="M764" s="4">
        <v>6.6146352826997698E-2</v>
      </c>
      <c r="N764">
        <v>0</v>
      </c>
    </row>
    <row r="765" spans="1:14" x14ac:dyDescent="0.25">
      <c r="A765" s="2"/>
      <c r="B765" t="s">
        <v>2039</v>
      </c>
      <c r="C765" t="s">
        <v>16</v>
      </c>
      <c r="D765" t="s">
        <v>110</v>
      </c>
      <c r="E765" t="s">
        <v>2040</v>
      </c>
      <c r="G765" t="s">
        <v>2041</v>
      </c>
      <c r="H765" s="3">
        <v>1800</v>
      </c>
      <c r="I765">
        <v>518</v>
      </c>
      <c r="J765">
        <v>0</v>
      </c>
      <c r="K765">
        <v>8</v>
      </c>
      <c r="L765" s="4">
        <v>0.12767173132087301</v>
      </c>
      <c r="M765" s="4">
        <v>0.87232826867912705</v>
      </c>
      <c r="N765">
        <v>0</v>
      </c>
    </row>
    <row r="766" spans="1:14" x14ac:dyDescent="0.25">
      <c r="A766" s="2"/>
      <c r="C766" t="s">
        <v>28</v>
      </c>
      <c r="D766" t="s">
        <v>110</v>
      </c>
      <c r="E766" t="s">
        <v>2042</v>
      </c>
      <c r="F766" t="s">
        <v>2043</v>
      </c>
      <c r="G766" t="s">
        <v>2044</v>
      </c>
      <c r="H766" s="3">
        <v>1700</v>
      </c>
      <c r="I766">
        <v>163</v>
      </c>
      <c r="J766">
        <v>0</v>
      </c>
      <c r="K766">
        <v>30</v>
      </c>
      <c r="L766" s="4">
        <v>3.1922961082063502E-2</v>
      </c>
      <c r="M766" s="4">
        <v>0.96807703891793695</v>
      </c>
      <c r="N766">
        <v>0</v>
      </c>
    </row>
    <row r="767" spans="1:14" x14ac:dyDescent="0.25">
      <c r="A767" s="2">
        <v>23477577</v>
      </c>
      <c r="B767" t="s">
        <v>2045</v>
      </c>
      <c r="C767" t="s">
        <v>31</v>
      </c>
      <c r="D767" t="s">
        <v>406</v>
      </c>
      <c r="E767" t="s">
        <v>2046</v>
      </c>
      <c r="F767" t="s">
        <v>2035</v>
      </c>
      <c r="G767" t="s">
        <v>2047</v>
      </c>
      <c r="H767" s="3">
        <v>3188.3</v>
      </c>
      <c r="I767">
        <v>668</v>
      </c>
      <c r="K767">
        <v>22</v>
      </c>
      <c r="L767" s="4">
        <v>0.58814075481517503</v>
      </c>
      <c r="M767" s="4">
        <v>0.41185924518482497</v>
      </c>
      <c r="N767">
        <v>0</v>
      </c>
    </row>
    <row r="768" spans="1:14" x14ac:dyDescent="0.25">
      <c r="A768" s="2"/>
      <c r="C768" t="s">
        <v>28</v>
      </c>
      <c r="D768" t="s">
        <v>1163</v>
      </c>
      <c r="E768" t="s">
        <v>2048</v>
      </c>
      <c r="F768" t="s">
        <v>2049</v>
      </c>
      <c r="G768" t="s">
        <v>2050</v>
      </c>
      <c r="H768" s="3">
        <v>1920</v>
      </c>
      <c r="I768">
        <v>764</v>
      </c>
      <c r="J768">
        <v>1</v>
      </c>
      <c r="K768">
        <v>9</v>
      </c>
      <c r="L768" s="4">
        <v>0.83836109101791001</v>
      </c>
      <c r="M768" s="4">
        <v>0.16163890898208999</v>
      </c>
      <c r="N768">
        <v>0</v>
      </c>
    </row>
    <row r="769" spans="1:14" x14ac:dyDescent="0.25">
      <c r="A769" s="2"/>
      <c r="C769" t="s">
        <v>28</v>
      </c>
      <c r="D769" t="s">
        <v>352</v>
      </c>
      <c r="E769" t="s">
        <v>2051</v>
      </c>
      <c r="F769" t="s">
        <v>2052</v>
      </c>
      <c r="G769" t="s">
        <v>2053</v>
      </c>
      <c r="H769" s="3">
        <v>2040</v>
      </c>
      <c r="I769">
        <v>219</v>
      </c>
      <c r="J769">
        <v>0</v>
      </c>
      <c r="K769">
        <v>41</v>
      </c>
      <c r="L769" s="4">
        <v>0.50046441324509405</v>
      </c>
      <c r="M769" s="4">
        <v>0.499535586754906</v>
      </c>
      <c r="N769">
        <v>0</v>
      </c>
    </row>
    <row r="770" spans="1:14" x14ac:dyDescent="0.25">
      <c r="A770" s="2"/>
      <c r="B770" t="s">
        <v>2054</v>
      </c>
      <c r="C770" t="s">
        <v>16</v>
      </c>
      <c r="D770" t="s">
        <v>328</v>
      </c>
      <c r="E770" t="s">
        <v>2055</v>
      </c>
      <c r="F770" t="s">
        <v>2056</v>
      </c>
      <c r="G770" t="s">
        <v>2057</v>
      </c>
      <c r="H770" s="3">
        <v>1349.18</v>
      </c>
      <c r="I770">
        <v>885</v>
      </c>
      <c r="J770">
        <v>0</v>
      </c>
      <c r="K770">
        <v>45</v>
      </c>
      <c r="L770" s="4">
        <v>0.73853713913595798</v>
      </c>
      <c r="M770" s="4">
        <v>0.26146286086404202</v>
      </c>
      <c r="N770">
        <v>0</v>
      </c>
    </row>
    <row r="771" spans="1:14" x14ac:dyDescent="0.25">
      <c r="A771" s="2">
        <v>22807091</v>
      </c>
      <c r="B771" t="s">
        <v>2058</v>
      </c>
      <c r="C771" t="s">
        <v>31</v>
      </c>
      <c r="D771" t="s">
        <v>86</v>
      </c>
      <c r="E771" t="s">
        <v>2059</v>
      </c>
      <c r="F771" t="s">
        <v>2060</v>
      </c>
      <c r="G771" t="s">
        <v>2061</v>
      </c>
      <c r="H771" s="3">
        <v>1500</v>
      </c>
      <c r="I771">
        <v>776</v>
      </c>
      <c r="J771">
        <v>1</v>
      </c>
      <c r="L771" s="4">
        <v>0.14874757674995001</v>
      </c>
      <c r="M771" s="4">
        <v>0.85125242325005002</v>
      </c>
      <c r="N771">
        <v>0</v>
      </c>
    </row>
    <row r="772" spans="1:14" x14ac:dyDescent="0.25">
      <c r="A772" s="2">
        <v>23775568</v>
      </c>
      <c r="C772" t="s">
        <v>0</v>
      </c>
      <c r="D772" t="s">
        <v>86</v>
      </c>
      <c r="E772" t="s">
        <v>2059</v>
      </c>
      <c r="F772" t="s">
        <v>2060</v>
      </c>
      <c r="G772" t="s">
        <v>2062</v>
      </c>
      <c r="H772" s="3">
        <v>1500</v>
      </c>
      <c r="I772">
        <v>239</v>
      </c>
      <c r="J772">
        <v>1</v>
      </c>
      <c r="K772">
        <v>49</v>
      </c>
      <c r="L772" s="4">
        <v>8.8919779908914198E-2</v>
      </c>
      <c r="M772" s="4">
        <v>0.91108022009108602</v>
      </c>
      <c r="N772">
        <v>0</v>
      </c>
    </row>
    <row r="773" spans="1:14" x14ac:dyDescent="0.25">
      <c r="A773" s="2"/>
      <c r="C773" t="s">
        <v>28</v>
      </c>
      <c r="D773" t="s">
        <v>86</v>
      </c>
      <c r="E773" t="s">
        <v>2059</v>
      </c>
      <c r="F773" t="s">
        <v>2060</v>
      </c>
      <c r="G773" t="s">
        <v>2063</v>
      </c>
      <c r="H773" s="3">
        <v>1969.41</v>
      </c>
      <c r="J773">
        <v>0</v>
      </c>
      <c r="K773">
        <v>49</v>
      </c>
      <c r="L773" s="4">
        <v>0.70047055239632205</v>
      </c>
      <c r="M773" s="4">
        <v>0.299529447603678</v>
      </c>
      <c r="N773">
        <v>0</v>
      </c>
    </row>
    <row r="774" spans="1:14" x14ac:dyDescent="0.25">
      <c r="A774" s="2"/>
      <c r="C774" t="s">
        <v>28</v>
      </c>
      <c r="D774" t="s">
        <v>86</v>
      </c>
      <c r="E774" t="s">
        <v>2059</v>
      </c>
      <c r="F774" t="s">
        <v>2060</v>
      </c>
      <c r="G774" t="s">
        <v>2064</v>
      </c>
      <c r="H774" s="3">
        <v>2355.52</v>
      </c>
      <c r="J774">
        <v>0</v>
      </c>
      <c r="L774" s="4">
        <v>0.16337136995325499</v>
      </c>
      <c r="M774" s="4">
        <v>0.83662863004674504</v>
      </c>
      <c r="N774">
        <v>0</v>
      </c>
    </row>
    <row r="775" spans="1:14" x14ac:dyDescent="0.25">
      <c r="A775" s="2"/>
      <c r="B775" t="s">
        <v>2065</v>
      </c>
      <c r="C775" t="s">
        <v>16</v>
      </c>
      <c r="D775" t="s">
        <v>86</v>
      </c>
      <c r="E775" t="s">
        <v>2059</v>
      </c>
      <c r="F775" t="s">
        <v>2060</v>
      </c>
      <c r="G775" t="s">
        <v>2066</v>
      </c>
      <c r="H775" s="3">
        <v>2373.2600000000002</v>
      </c>
      <c r="I775">
        <v>738</v>
      </c>
      <c r="J775">
        <v>1</v>
      </c>
      <c r="K775">
        <v>47</v>
      </c>
      <c r="L775" s="4">
        <v>0.946544097032198</v>
      </c>
      <c r="M775" s="4">
        <v>5.3455902967801602E-2</v>
      </c>
      <c r="N775">
        <v>0</v>
      </c>
    </row>
    <row r="776" spans="1:14" x14ac:dyDescent="0.25">
      <c r="A776" s="2"/>
      <c r="B776" t="s">
        <v>2067</v>
      </c>
      <c r="C776" t="s">
        <v>16</v>
      </c>
      <c r="D776" t="s">
        <v>86</v>
      </c>
      <c r="E776" t="s">
        <v>2059</v>
      </c>
      <c r="F776" t="s">
        <v>2060</v>
      </c>
      <c r="G776" t="s">
        <v>2068</v>
      </c>
      <c r="H776" s="3">
        <v>1635</v>
      </c>
      <c r="I776">
        <v>648</v>
      </c>
      <c r="J776">
        <v>0</v>
      </c>
      <c r="L776" s="4">
        <v>0.39565153499083</v>
      </c>
      <c r="M776" s="4">
        <v>0.60434846500917005</v>
      </c>
      <c r="N776">
        <v>0</v>
      </c>
    </row>
    <row r="777" spans="1:14" x14ac:dyDescent="0.25">
      <c r="A777" s="2">
        <v>23080298</v>
      </c>
      <c r="C777" t="s">
        <v>0</v>
      </c>
      <c r="D777" t="s">
        <v>86</v>
      </c>
      <c r="E777" t="s">
        <v>2059</v>
      </c>
      <c r="F777" t="s">
        <v>2060</v>
      </c>
      <c r="G777" t="s">
        <v>2069</v>
      </c>
      <c r="H777" s="3">
        <v>1884.3</v>
      </c>
      <c r="I777">
        <v>438</v>
      </c>
      <c r="K777">
        <v>50</v>
      </c>
      <c r="L777" s="4">
        <v>0.42971930034024902</v>
      </c>
      <c r="M777" s="4">
        <v>0.57028069965975103</v>
      </c>
      <c r="N777">
        <v>0</v>
      </c>
    </row>
    <row r="778" spans="1:14" x14ac:dyDescent="0.25">
      <c r="A778" s="2"/>
      <c r="B778" t="s">
        <v>2070</v>
      </c>
      <c r="C778" t="s">
        <v>16</v>
      </c>
      <c r="D778" t="s">
        <v>86</v>
      </c>
      <c r="E778" t="s">
        <v>2059</v>
      </c>
      <c r="F778" t="s">
        <v>2060</v>
      </c>
      <c r="G778" t="s">
        <v>2071</v>
      </c>
      <c r="H778" s="3">
        <v>1986</v>
      </c>
      <c r="I778">
        <v>418</v>
      </c>
      <c r="J778">
        <v>1</v>
      </c>
      <c r="L778" s="4">
        <v>8.0049703643842507E-2</v>
      </c>
      <c r="M778" s="4">
        <v>0.91995029635615799</v>
      </c>
      <c r="N778">
        <v>0</v>
      </c>
    </row>
    <row r="779" spans="1:14" x14ac:dyDescent="0.25">
      <c r="A779" s="2"/>
      <c r="B779" t="s">
        <v>2072</v>
      </c>
      <c r="C779" t="s">
        <v>16</v>
      </c>
      <c r="D779" t="s">
        <v>86</v>
      </c>
      <c r="E779" t="s">
        <v>2059</v>
      </c>
      <c r="F779" t="s">
        <v>2073</v>
      </c>
      <c r="G779" t="s">
        <v>2074</v>
      </c>
      <c r="H779" s="3">
        <v>1852.01</v>
      </c>
      <c r="I779">
        <v>352</v>
      </c>
      <c r="J779">
        <v>0</v>
      </c>
      <c r="K779">
        <v>50</v>
      </c>
      <c r="L779" s="4">
        <v>0.50851912319687498</v>
      </c>
      <c r="M779" s="4">
        <v>0.49148087680312502</v>
      </c>
      <c r="N779">
        <v>0</v>
      </c>
    </row>
    <row r="780" spans="1:14" x14ac:dyDescent="0.25">
      <c r="A780" s="2"/>
      <c r="C780" t="s">
        <v>28</v>
      </c>
      <c r="D780" t="s">
        <v>69</v>
      </c>
      <c r="E780" t="s">
        <v>2075</v>
      </c>
      <c r="F780" t="s">
        <v>2076</v>
      </c>
      <c r="G780" t="s">
        <v>2077</v>
      </c>
      <c r="H780" s="3">
        <v>1897.21</v>
      </c>
      <c r="I780">
        <v>804</v>
      </c>
      <c r="J780">
        <v>1</v>
      </c>
      <c r="L780" s="4">
        <v>0.57988964284186495</v>
      </c>
      <c r="M780" s="4">
        <v>0.42011035715813499</v>
      </c>
      <c r="N780">
        <v>0</v>
      </c>
    </row>
    <row r="781" spans="1:14" x14ac:dyDescent="0.25">
      <c r="A781" s="2"/>
      <c r="C781" t="s">
        <v>28</v>
      </c>
      <c r="D781" t="s">
        <v>86</v>
      </c>
      <c r="E781" t="s">
        <v>2078</v>
      </c>
      <c r="F781" t="s">
        <v>2079</v>
      </c>
      <c r="G781" t="s">
        <v>2080</v>
      </c>
      <c r="H781" s="3">
        <v>1500</v>
      </c>
      <c r="I781">
        <v>573</v>
      </c>
      <c r="J781">
        <v>0</v>
      </c>
      <c r="K781">
        <v>4</v>
      </c>
      <c r="L781" s="4">
        <v>0.53741260097849797</v>
      </c>
      <c r="M781" s="4">
        <v>0.46258739902150198</v>
      </c>
      <c r="N781">
        <v>0</v>
      </c>
    </row>
    <row r="782" spans="1:14" x14ac:dyDescent="0.25">
      <c r="A782" s="2"/>
      <c r="C782" t="s">
        <v>28</v>
      </c>
      <c r="D782" t="s">
        <v>86</v>
      </c>
      <c r="E782" t="s">
        <v>2078</v>
      </c>
      <c r="F782" t="s">
        <v>2079</v>
      </c>
      <c r="G782" t="s">
        <v>2081</v>
      </c>
      <c r="H782" s="3">
        <v>1500</v>
      </c>
      <c r="I782">
        <v>237</v>
      </c>
      <c r="J782">
        <v>1</v>
      </c>
      <c r="K782">
        <v>14</v>
      </c>
      <c r="L782" s="4">
        <v>0.776887073440655</v>
      </c>
      <c r="M782" s="4">
        <v>0.223112926559345</v>
      </c>
      <c r="N782">
        <v>0</v>
      </c>
    </row>
    <row r="783" spans="1:14" x14ac:dyDescent="0.25">
      <c r="A783" s="2"/>
      <c r="C783" t="s">
        <v>28</v>
      </c>
      <c r="D783" t="s">
        <v>86</v>
      </c>
      <c r="E783" t="s">
        <v>2078</v>
      </c>
      <c r="F783" t="s">
        <v>2079</v>
      </c>
      <c r="G783" t="s">
        <v>2082</v>
      </c>
      <c r="H783" s="3">
        <v>1500</v>
      </c>
      <c r="I783">
        <v>242</v>
      </c>
      <c r="J783">
        <v>0</v>
      </c>
      <c r="K783">
        <v>25</v>
      </c>
      <c r="L783" s="4">
        <v>0.60418410735319295</v>
      </c>
      <c r="M783" s="4">
        <v>0.395815892646807</v>
      </c>
      <c r="N783">
        <v>0</v>
      </c>
    </row>
    <row r="784" spans="1:14" x14ac:dyDescent="0.25">
      <c r="A784" s="2"/>
      <c r="B784" t="s">
        <v>2083</v>
      </c>
      <c r="C784" t="s">
        <v>16</v>
      </c>
      <c r="D784" t="s">
        <v>86</v>
      </c>
      <c r="E784" t="s">
        <v>2078</v>
      </c>
      <c r="F784" t="s">
        <v>2079</v>
      </c>
      <c r="G784" t="s">
        <v>2084</v>
      </c>
      <c r="H784" s="3">
        <v>1409.96</v>
      </c>
      <c r="I784">
        <v>700</v>
      </c>
      <c r="J784">
        <v>1</v>
      </c>
      <c r="K784">
        <v>29</v>
      </c>
      <c r="L784" s="4">
        <v>8.3627749994601694E-2</v>
      </c>
      <c r="M784" s="4">
        <v>0.91637225000539801</v>
      </c>
      <c r="N784">
        <v>0</v>
      </c>
    </row>
    <row r="785" spans="1:14" x14ac:dyDescent="0.25">
      <c r="A785" s="2"/>
      <c r="B785" t="s">
        <v>2085</v>
      </c>
      <c r="C785" t="s">
        <v>16</v>
      </c>
      <c r="D785" t="s">
        <v>86</v>
      </c>
      <c r="E785" t="s">
        <v>2078</v>
      </c>
      <c r="F785" t="s">
        <v>2079</v>
      </c>
      <c r="G785" t="s">
        <v>2086</v>
      </c>
      <c r="H785" s="3">
        <v>2300.12</v>
      </c>
      <c r="I785">
        <v>966</v>
      </c>
      <c r="J785">
        <v>1</v>
      </c>
      <c r="K785">
        <v>17</v>
      </c>
      <c r="L785" s="4">
        <v>0.120793470123796</v>
      </c>
      <c r="M785" s="4">
        <v>0.87920652987620396</v>
      </c>
      <c r="N785">
        <v>0</v>
      </c>
    </row>
    <row r="786" spans="1:14" x14ac:dyDescent="0.25">
      <c r="A786" s="2"/>
      <c r="B786" t="s">
        <v>2087</v>
      </c>
      <c r="C786" t="s">
        <v>16</v>
      </c>
      <c r="D786" t="s">
        <v>1163</v>
      </c>
      <c r="E786" t="s">
        <v>2088</v>
      </c>
      <c r="F786" t="s">
        <v>2089</v>
      </c>
      <c r="G786" t="s">
        <v>2090</v>
      </c>
      <c r="H786" s="3">
        <v>240</v>
      </c>
      <c r="J786">
        <v>0</v>
      </c>
      <c r="K786">
        <v>2</v>
      </c>
      <c r="L786" s="4">
        <v>0.15627084550579601</v>
      </c>
      <c r="M786" s="4">
        <v>0.84372915449420405</v>
      </c>
      <c r="N786">
        <v>0</v>
      </c>
    </row>
    <row r="787" spans="1:14" x14ac:dyDescent="0.25">
      <c r="A787" s="2"/>
      <c r="B787" t="s">
        <v>2091</v>
      </c>
      <c r="C787" t="s">
        <v>16</v>
      </c>
      <c r="D787" t="s">
        <v>1163</v>
      </c>
      <c r="E787" t="s">
        <v>2088</v>
      </c>
      <c r="F787" t="s">
        <v>2089</v>
      </c>
      <c r="G787" t="s">
        <v>2092</v>
      </c>
      <c r="H787" s="3">
        <v>1920</v>
      </c>
      <c r="I787">
        <v>504</v>
      </c>
      <c r="J787">
        <v>0</v>
      </c>
      <c r="K787">
        <v>23</v>
      </c>
      <c r="L787" s="4">
        <v>0.96966564469504501</v>
      </c>
      <c r="M787" s="4">
        <v>3.0334355304955402E-2</v>
      </c>
      <c r="N787">
        <v>0</v>
      </c>
    </row>
    <row r="788" spans="1:14" x14ac:dyDescent="0.25">
      <c r="A788" s="2"/>
      <c r="B788" t="s">
        <v>2093</v>
      </c>
      <c r="C788" t="s">
        <v>16</v>
      </c>
      <c r="D788" t="s">
        <v>1163</v>
      </c>
      <c r="E788" t="s">
        <v>2088</v>
      </c>
      <c r="F788" t="s">
        <v>2089</v>
      </c>
      <c r="G788" t="s">
        <v>2094</v>
      </c>
      <c r="H788" s="3">
        <v>1920</v>
      </c>
      <c r="I788">
        <v>828</v>
      </c>
      <c r="J788">
        <v>0</v>
      </c>
      <c r="K788">
        <v>37</v>
      </c>
      <c r="L788" s="4">
        <v>3.5074461979732699E-2</v>
      </c>
      <c r="M788" s="4">
        <v>0.96492553802026704</v>
      </c>
      <c r="N788">
        <v>0</v>
      </c>
    </row>
    <row r="789" spans="1:14" x14ac:dyDescent="0.25">
      <c r="A789" s="2"/>
      <c r="B789" t="s">
        <v>2095</v>
      </c>
      <c r="C789" t="s">
        <v>16</v>
      </c>
      <c r="D789" t="s">
        <v>1163</v>
      </c>
      <c r="E789" t="s">
        <v>2088</v>
      </c>
      <c r="F789" t="s">
        <v>2089</v>
      </c>
      <c r="G789" t="s">
        <v>2096</v>
      </c>
      <c r="H789" s="3">
        <v>1920</v>
      </c>
      <c r="J789">
        <v>0</v>
      </c>
      <c r="K789">
        <v>4</v>
      </c>
      <c r="L789" s="4">
        <v>0.92682508969311195</v>
      </c>
      <c r="M789" s="4">
        <v>7.3174910306888399E-2</v>
      </c>
      <c r="N789">
        <v>0</v>
      </c>
    </row>
    <row r="790" spans="1:14" x14ac:dyDescent="0.25">
      <c r="A790" s="2"/>
      <c r="B790" t="s">
        <v>2097</v>
      </c>
      <c r="C790" t="s">
        <v>16</v>
      </c>
      <c r="D790" t="s">
        <v>1163</v>
      </c>
      <c r="E790" t="s">
        <v>2088</v>
      </c>
      <c r="F790" t="s">
        <v>2089</v>
      </c>
      <c r="G790" t="s">
        <v>2098</v>
      </c>
      <c r="H790" s="3">
        <v>1920</v>
      </c>
      <c r="I790">
        <v>64</v>
      </c>
      <c r="J790">
        <v>0</v>
      </c>
      <c r="K790">
        <v>9</v>
      </c>
      <c r="L790" s="4">
        <v>0.82233246704784602</v>
      </c>
      <c r="M790" s="4">
        <v>0.17766753295215401</v>
      </c>
      <c r="N790">
        <v>0</v>
      </c>
    </row>
    <row r="791" spans="1:14" x14ac:dyDescent="0.25">
      <c r="A791" s="2"/>
      <c r="B791" t="s">
        <v>2099</v>
      </c>
      <c r="C791" t="s">
        <v>16</v>
      </c>
      <c r="D791" t="s">
        <v>110</v>
      </c>
      <c r="E791" t="s">
        <v>2100</v>
      </c>
      <c r="F791" t="s">
        <v>2101</v>
      </c>
      <c r="G791" t="s">
        <v>2102</v>
      </c>
      <c r="H791" s="3">
        <v>2100</v>
      </c>
      <c r="I791">
        <v>350</v>
      </c>
      <c r="J791">
        <v>1</v>
      </c>
      <c r="K791">
        <v>43</v>
      </c>
      <c r="L791" s="4">
        <v>0.88282248207625502</v>
      </c>
      <c r="M791" s="4">
        <v>0.11717751792374501</v>
      </c>
      <c r="N791">
        <v>0</v>
      </c>
    </row>
    <row r="792" spans="1:14" x14ac:dyDescent="0.25">
      <c r="A792" s="2"/>
      <c r="B792" t="s">
        <v>2103</v>
      </c>
      <c r="C792" t="s">
        <v>16</v>
      </c>
      <c r="D792" t="s">
        <v>86</v>
      </c>
      <c r="E792" t="s">
        <v>2104</v>
      </c>
      <c r="F792" t="s">
        <v>2105</v>
      </c>
      <c r="G792" t="s">
        <v>2106</v>
      </c>
      <c r="H792" s="3">
        <v>2311.56</v>
      </c>
      <c r="I792">
        <v>135</v>
      </c>
      <c r="J792">
        <v>0</v>
      </c>
      <c r="L792" s="4">
        <v>0.85026969827954402</v>
      </c>
      <c r="M792" s="4">
        <v>0.14973030172045601</v>
      </c>
      <c r="N792">
        <v>0</v>
      </c>
    </row>
    <row r="793" spans="1:14" x14ac:dyDescent="0.25">
      <c r="A793" s="2"/>
      <c r="B793" t="s">
        <v>2107</v>
      </c>
      <c r="C793" t="s">
        <v>16</v>
      </c>
      <c r="D793" t="s">
        <v>148</v>
      </c>
      <c r="E793" t="s">
        <v>2108</v>
      </c>
      <c r="F793" t="s">
        <v>2109</v>
      </c>
      <c r="G793" t="s">
        <v>2110</v>
      </c>
      <c r="H793" s="3">
        <v>1525</v>
      </c>
      <c r="I793">
        <v>320</v>
      </c>
      <c r="K793">
        <v>36</v>
      </c>
      <c r="L793" s="4">
        <v>0.46555608870127302</v>
      </c>
      <c r="M793" s="4">
        <v>0.53444391129872704</v>
      </c>
      <c r="N793">
        <v>0</v>
      </c>
    </row>
    <row r="794" spans="1:14" x14ac:dyDescent="0.25">
      <c r="A794" s="2"/>
      <c r="C794" t="s">
        <v>28</v>
      </c>
      <c r="D794" t="s">
        <v>86</v>
      </c>
      <c r="E794" t="s">
        <v>2027</v>
      </c>
      <c r="F794" t="s">
        <v>2111</v>
      </c>
      <c r="G794" t="s">
        <v>2112</v>
      </c>
      <c r="H794" s="3">
        <v>1500</v>
      </c>
      <c r="I794">
        <v>444</v>
      </c>
      <c r="J794">
        <v>0</v>
      </c>
      <c r="K794">
        <v>43</v>
      </c>
      <c r="L794" s="4">
        <v>0.31537048075775798</v>
      </c>
      <c r="M794" s="4">
        <v>0.68462951924224202</v>
      </c>
      <c r="N794">
        <v>0</v>
      </c>
    </row>
    <row r="795" spans="1:14" x14ac:dyDescent="0.25">
      <c r="A795" s="2">
        <v>23396536</v>
      </c>
      <c r="B795" t="s">
        <v>2113</v>
      </c>
      <c r="C795" t="s">
        <v>31</v>
      </c>
      <c r="D795" t="s">
        <v>110</v>
      </c>
      <c r="E795" t="s">
        <v>2114</v>
      </c>
      <c r="F795" t="s">
        <v>2115</v>
      </c>
      <c r="G795" t="s">
        <v>2116</v>
      </c>
      <c r="H795" s="3">
        <v>2040</v>
      </c>
      <c r="I795">
        <v>883</v>
      </c>
      <c r="J795">
        <v>0</v>
      </c>
      <c r="K795">
        <v>31</v>
      </c>
      <c r="L795" s="4">
        <v>0.96612885931605796</v>
      </c>
      <c r="M795" s="4">
        <v>3.3871140683942001E-2</v>
      </c>
      <c r="N795">
        <v>0</v>
      </c>
    </row>
    <row r="796" spans="1:14" x14ac:dyDescent="0.25">
      <c r="A796" s="2"/>
      <c r="B796" t="s">
        <v>2117</v>
      </c>
      <c r="C796" t="s">
        <v>16</v>
      </c>
      <c r="D796" t="s">
        <v>110</v>
      </c>
      <c r="E796" t="s">
        <v>2114</v>
      </c>
      <c r="F796" t="s">
        <v>2118</v>
      </c>
      <c r="G796" t="s">
        <v>2119</v>
      </c>
      <c r="H796" s="3">
        <v>2040</v>
      </c>
      <c r="I796">
        <v>515</v>
      </c>
      <c r="J796">
        <v>1</v>
      </c>
      <c r="K796">
        <v>49</v>
      </c>
      <c r="L796" s="4">
        <v>4.35105520871297E-2</v>
      </c>
      <c r="M796" s="4">
        <v>0.95648944791287005</v>
      </c>
      <c r="N796">
        <v>0</v>
      </c>
    </row>
    <row r="797" spans="1:14" x14ac:dyDescent="0.25">
      <c r="A797" s="2"/>
      <c r="B797" t="s">
        <v>2120</v>
      </c>
      <c r="C797" t="s">
        <v>16</v>
      </c>
      <c r="D797" t="s">
        <v>110</v>
      </c>
      <c r="E797" t="s">
        <v>2114</v>
      </c>
      <c r="F797" t="s">
        <v>2118</v>
      </c>
      <c r="G797" t="s">
        <v>2121</v>
      </c>
      <c r="H797" s="3">
        <v>2040</v>
      </c>
      <c r="I797">
        <v>375</v>
      </c>
      <c r="J797">
        <v>1</v>
      </c>
      <c r="K797">
        <v>21</v>
      </c>
      <c r="L797" s="4">
        <v>0.89424630503699798</v>
      </c>
      <c r="M797" s="4">
        <v>0.10575369496300201</v>
      </c>
      <c r="N797">
        <v>0</v>
      </c>
    </row>
    <row r="798" spans="1:14" x14ac:dyDescent="0.25">
      <c r="A798" s="2">
        <v>23814040</v>
      </c>
      <c r="C798" t="s">
        <v>0</v>
      </c>
      <c r="D798" t="s">
        <v>110</v>
      </c>
      <c r="E798" t="s">
        <v>2114</v>
      </c>
      <c r="F798" t="s">
        <v>2118</v>
      </c>
      <c r="G798" t="s">
        <v>2122</v>
      </c>
      <c r="H798" s="3">
        <v>2100</v>
      </c>
      <c r="I798">
        <v>214</v>
      </c>
      <c r="J798">
        <v>0</v>
      </c>
      <c r="L798" s="4">
        <v>0.85661283978035196</v>
      </c>
      <c r="M798" s="4">
        <v>0.14338716021964801</v>
      </c>
      <c r="N798">
        <v>0</v>
      </c>
    </row>
    <row r="799" spans="1:14" x14ac:dyDescent="0.25">
      <c r="A799" s="2"/>
      <c r="B799" t="s">
        <v>2123</v>
      </c>
      <c r="C799" t="s">
        <v>16</v>
      </c>
      <c r="D799" t="s">
        <v>110</v>
      </c>
      <c r="E799" t="s">
        <v>2114</v>
      </c>
      <c r="F799" t="s">
        <v>2118</v>
      </c>
      <c r="G799" t="s">
        <v>2124</v>
      </c>
      <c r="H799" s="3">
        <v>2100</v>
      </c>
      <c r="J799">
        <v>1</v>
      </c>
      <c r="K799">
        <v>30</v>
      </c>
      <c r="L799" s="4">
        <v>0.11079939332154901</v>
      </c>
      <c r="M799" s="4">
        <v>0.88920060667845202</v>
      </c>
      <c r="N799">
        <v>0</v>
      </c>
    </row>
    <row r="800" spans="1:14" x14ac:dyDescent="0.25">
      <c r="A800" s="2"/>
      <c r="C800" t="s">
        <v>28</v>
      </c>
      <c r="D800" t="s">
        <v>110</v>
      </c>
      <c r="E800" t="s">
        <v>2114</v>
      </c>
      <c r="F800" t="s">
        <v>2118</v>
      </c>
      <c r="G800" t="s">
        <v>2125</v>
      </c>
      <c r="H800" s="3">
        <v>2100</v>
      </c>
      <c r="I800">
        <v>31</v>
      </c>
      <c r="J800">
        <v>1</v>
      </c>
      <c r="K800">
        <v>45</v>
      </c>
      <c r="L800" s="4">
        <v>0.70150951942786199</v>
      </c>
      <c r="M800" s="4">
        <v>0.29849048057213801</v>
      </c>
      <c r="N800">
        <v>0</v>
      </c>
    </row>
    <row r="801" spans="1:14" x14ac:dyDescent="0.25">
      <c r="A801" s="2"/>
      <c r="C801" t="s">
        <v>28</v>
      </c>
      <c r="D801" t="s">
        <v>110</v>
      </c>
      <c r="E801" t="s">
        <v>2114</v>
      </c>
      <c r="F801" t="s">
        <v>2118</v>
      </c>
      <c r="G801" t="s">
        <v>2126</v>
      </c>
      <c r="H801" s="3">
        <v>2100</v>
      </c>
      <c r="I801">
        <v>102</v>
      </c>
      <c r="J801">
        <v>0</v>
      </c>
      <c r="K801">
        <v>16</v>
      </c>
      <c r="L801" s="4">
        <v>0.45123822627905402</v>
      </c>
      <c r="M801" s="4">
        <v>0.54876177372094603</v>
      </c>
      <c r="N801">
        <v>0</v>
      </c>
    </row>
    <row r="802" spans="1:14" x14ac:dyDescent="0.25">
      <c r="A802" s="2"/>
      <c r="B802" t="s">
        <v>2127</v>
      </c>
      <c r="C802" t="s">
        <v>16</v>
      </c>
      <c r="D802" t="s">
        <v>110</v>
      </c>
      <c r="E802" t="s">
        <v>2114</v>
      </c>
      <c r="F802" t="s">
        <v>2118</v>
      </c>
      <c r="G802" t="s">
        <v>2128</v>
      </c>
      <c r="H802" s="3">
        <v>2040</v>
      </c>
      <c r="I802">
        <v>97</v>
      </c>
      <c r="J802">
        <v>0</v>
      </c>
      <c r="K802">
        <v>27</v>
      </c>
      <c r="L802" s="4">
        <v>0.96978328294983196</v>
      </c>
      <c r="M802" s="4">
        <v>3.0216717050167999E-2</v>
      </c>
      <c r="N802">
        <v>0</v>
      </c>
    </row>
    <row r="803" spans="1:14" x14ac:dyDescent="0.25">
      <c r="A803" s="2"/>
      <c r="B803" t="s">
        <v>2129</v>
      </c>
      <c r="C803" t="s">
        <v>16</v>
      </c>
      <c r="D803" t="s">
        <v>110</v>
      </c>
      <c r="E803" t="s">
        <v>2114</v>
      </c>
      <c r="F803" t="s">
        <v>2118</v>
      </c>
      <c r="G803" t="s">
        <v>2130</v>
      </c>
      <c r="H803" s="3">
        <v>2040</v>
      </c>
      <c r="I803">
        <v>465</v>
      </c>
      <c r="J803">
        <v>0</v>
      </c>
      <c r="K803">
        <v>48</v>
      </c>
      <c r="L803" s="4">
        <v>0.94033595197417996</v>
      </c>
      <c r="M803" s="4">
        <v>5.9664048025819802E-2</v>
      </c>
      <c r="N803">
        <v>0</v>
      </c>
    </row>
    <row r="804" spans="1:14" x14ac:dyDescent="0.25">
      <c r="A804" s="2"/>
      <c r="B804" t="s">
        <v>2131</v>
      </c>
      <c r="C804" t="s">
        <v>16</v>
      </c>
      <c r="D804" t="s">
        <v>110</v>
      </c>
      <c r="E804" t="s">
        <v>2114</v>
      </c>
      <c r="F804" t="s">
        <v>2118</v>
      </c>
      <c r="G804" t="s">
        <v>2132</v>
      </c>
      <c r="H804" s="3">
        <v>2100</v>
      </c>
      <c r="I804">
        <v>390</v>
      </c>
      <c r="J804">
        <v>0</v>
      </c>
      <c r="K804">
        <v>11</v>
      </c>
      <c r="L804" s="4">
        <v>0.76981655071335797</v>
      </c>
      <c r="M804" s="4">
        <v>0.230183449286642</v>
      </c>
      <c r="N804">
        <v>0</v>
      </c>
    </row>
    <row r="805" spans="1:14" x14ac:dyDescent="0.25">
      <c r="A805" s="2"/>
      <c r="B805" t="s">
        <v>2133</v>
      </c>
      <c r="C805" t="s">
        <v>16</v>
      </c>
      <c r="D805" t="s">
        <v>110</v>
      </c>
      <c r="E805" t="s">
        <v>2114</v>
      </c>
      <c r="F805" t="s">
        <v>2118</v>
      </c>
      <c r="G805" t="s">
        <v>2134</v>
      </c>
      <c r="H805" s="3">
        <v>1700</v>
      </c>
      <c r="I805">
        <v>21</v>
      </c>
      <c r="J805">
        <v>1</v>
      </c>
      <c r="K805">
        <v>38</v>
      </c>
      <c r="L805" s="4">
        <v>0.55985255932407696</v>
      </c>
      <c r="M805" s="4">
        <v>0.44014744067592299</v>
      </c>
      <c r="N805">
        <v>0</v>
      </c>
    </row>
    <row r="806" spans="1:14" x14ac:dyDescent="0.25">
      <c r="A806" s="2"/>
      <c r="B806" t="s">
        <v>2135</v>
      </c>
      <c r="C806" t="s">
        <v>16</v>
      </c>
      <c r="D806" t="s">
        <v>110</v>
      </c>
      <c r="E806" t="s">
        <v>2114</v>
      </c>
      <c r="F806" t="s">
        <v>2118</v>
      </c>
      <c r="G806" t="s">
        <v>2136</v>
      </c>
      <c r="H806" s="3">
        <v>1978.75</v>
      </c>
      <c r="I806">
        <v>99</v>
      </c>
      <c r="J806">
        <v>0</v>
      </c>
      <c r="K806">
        <v>37</v>
      </c>
      <c r="L806" s="4">
        <v>0.93399238660517403</v>
      </c>
      <c r="M806" s="4">
        <v>6.6007613394826095E-2</v>
      </c>
      <c r="N806">
        <v>0</v>
      </c>
    </row>
    <row r="807" spans="1:14" x14ac:dyDescent="0.25">
      <c r="A807" s="2"/>
      <c r="B807" t="s">
        <v>2137</v>
      </c>
      <c r="C807" t="s">
        <v>16</v>
      </c>
      <c r="D807" t="s">
        <v>110</v>
      </c>
      <c r="E807" t="s">
        <v>2114</v>
      </c>
      <c r="F807" t="s">
        <v>2118</v>
      </c>
      <c r="G807" t="s">
        <v>2138</v>
      </c>
      <c r="H807" s="3">
        <v>2040</v>
      </c>
      <c r="I807">
        <v>441</v>
      </c>
      <c r="J807">
        <v>1</v>
      </c>
      <c r="K807">
        <v>21</v>
      </c>
      <c r="L807" s="4">
        <v>0.37920519191511198</v>
      </c>
      <c r="M807" s="4">
        <v>0.62079480808488796</v>
      </c>
      <c r="N807">
        <v>0</v>
      </c>
    </row>
    <row r="808" spans="1:14" x14ac:dyDescent="0.25">
      <c r="A808" s="2"/>
      <c r="B808" t="s">
        <v>2139</v>
      </c>
      <c r="C808" t="s">
        <v>16</v>
      </c>
      <c r="D808" t="s">
        <v>110</v>
      </c>
      <c r="E808" t="s">
        <v>2114</v>
      </c>
      <c r="F808" t="s">
        <v>2118</v>
      </c>
      <c r="G808" t="s">
        <v>2140</v>
      </c>
      <c r="H808" s="3">
        <v>2040</v>
      </c>
      <c r="I808">
        <v>74</v>
      </c>
      <c r="J808">
        <v>1</v>
      </c>
      <c r="K808">
        <v>38</v>
      </c>
      <c r="L808" s="4">
        <v>0.81093453888115796</v>
      </c>
      <c r="M808" s="4">
        <v>0.18906546111884201</v>
      </c>
      <c r="N808">
        <v>0</v>
      </c>
    </row>
    <row r="809" spans="1:14" x14ac:dyDescent="0.25">
      <c r="A809" s="2"/>
      <c r="B809" t="s">
        <v>2141</v>
      </c>
      <c r="C809" t="s">
        <v>16</v>
      </c>
      <c r="D809" t="s">
        <v>110</v>
      </c>
      <c r="E809" t="s">
        <v>2114</v>
      </c>
      <c r="F809" t="s">
        <v>2118</v>
      </c>
      <c r="G809" t="s">
        <v>2142</v>
      </c>
      <c r="H809" s="3">
        <v>2040</v>
      </c>
      <c r="J809">
        <v>0</v>
      </c>
      <c r="K809">
        <v>43</v>
      </c>
      <c r="L809" s="4">
        <v>0.75451575299904405</v>
      </c>
      <c r="M809" s="4">
        <v>0.245484247000956</v>
      </c>
      <c r="N809">
        <v>0</v>
      </c>
    </row>
    <row r="810" spans="1:14" x14ac:dyDescent="0.25">
      <c r="A810" s="2"/>
      <c r="B810" t="s">
        <v>2143</v>
      </c>
      <c r="C810" t="s">
        <v>16</v>
      </c>
      <c r="D810" t="s">
        <v>110</v>
      </c>
      <c r="E810" t="s">
        <v>2114</v>
      </c>
      <c r="F810" t="s">
        <v>2118</v>
      </c>
      <c r="G810" t="s">
        <v>2144</v>
      </c>
      <c r="H810" s="3">
        <v>2040</v>
      </c>
      <c r="I810">
        <v>576</v>
      </c>
      <c r="J810">
        <v>1</v>
      </c>
      <c r="K810">
        <v>48</v>
      </c>
      <c r="L810" s="4">
        <v>0.57170969233001401</v>
      </c>
      <c r="M810" s="4">
        <v>0.42829030766998599</v>
      </c>
      <c r="N810">
        <v>0</v>
      </c>
    </row>
    <row r="811" spans="1:14" x14ac:dyDescent="0.25">
      <c r="A811" s="2">
        <v>23804751</v>
      </c>
      <c r="C811" t="s">
        <v>0</v>
      </c>
      <c r="D811" t="s">
        <v>110</v>
      </c>
      <c r="E811" t="s">
        <v>2114</v>
      </c>
      <c r="F811" t="s">
        <v>2118</v>
      </c>
      <c r="G811" t="s">
        <v>2145</v>
      </c>
      <c r="H811" s="3">
        <v>2100</v>
      </c>
      <c r="I811">
        <v>949</v>
      </c>
      <c r="J811">
        <v>0</v>
      </c>
      <c r="K811">
        <v>32</v>
      </c>
      <c r="L811" s="4">
        <v>0.82549744366473898</v>
      </c>
      <c r="M811" s="4">
        <v>0.17450255633526099</v>
      </c>
      <c r="N811">
        <v>0</v>
      </c>
    </row>
    <row r="812" spans="1:14" x14ac:dyDescent="0.25">
      <c r="A812" s="2">
        <v>23933736</v>
      </c>
      <c r="B812" t="s">
        <v>2146</v>
      </c>
      <c r="C812" t="s">
        <v>31</v>
      </c>
      <c r="D812" t="s">
        <v>110</v>
      </c>
      <c r="E812" t="s">
        <v>2114</v>
      </c>
      <c r="F812" t="s">
        <v>2118</v>
      </c>
      <c r="G812" t="s">
        <v>2147</v>
      </c>
      <c r="H812" s="3">
        <v>2100</v>
      </c>
      <c r="I812">
        <v>45</v>
      </c>
      <c r="J812">
        <v>1</v>
      </c>
      <c r="K812">
        <v>47</v>
      </c>
      <c r="L812" s="4">
        <v>0.90220587113500195</v>
      </c>
      <c r="M812" s="4">
        <v>9.7794128864998303E-2</v>
      </c>
      <c r="N812">
        <v>0</v>
      </c>
    </row>
    <row r="813" spans="1:14" x14ac:dyDescent="0.25">
      <c r="A813" s="2"/>
      <c r="B813" t="s">
        <v>2148</v>
      </c>
      <c r="C813" t="s">
        <v>16</v>
      </c>
      <c r="D813" t="s">
        <v>110</v>
      </c>
      <c r="E813" t="s">
        <v>2114</v>
      </c>
      <c r="F813" t="s">
        <v>2118</v>
      </c>
      <c r="G813" t="s">
        <v>2149</v>
      </c>
      <c r="H813" s="3">
        <v>2040</v>
      </c>
      <c r="I813">
        <v>634</v>
      </c>
      <c r="J813">
        <v>1</v>
      </c>
      <c r="K813">
        <v>2</v>
      </c>
      <c r="L813" s="4">
        <v>0.30349753640986299</v>
      </c>
      <c r="M813" s="4">
        <v>0.69650246359013801</v>
      </c>
      <c r="N813">
        <v>0</v>
      </c>
    </row>
    <row r="814" spans="1:14" x14ac:dyDescent="0.25">
      <c r="A814" s="2"/>
      <c r="B814" t="s">
        <v>2150</v>
      </c>
      <c r="C814" t="s">
        <v>16</v>
      </c>
      <c r="D814" t="s">
        <v>110</v>
      </c>
      <c r="E814" t="s">
        <v>2114</v>
      </c>
      <c r="F814" t="s">
        <v>2118</v>
      </c>
      <c r="G814" t="s">
        <v>2151</v>
      </c>
      <c r="H814" s="3">
        <v>2040</v>
      </c>
      <c r="I814">
        <v>272</v>
      </c>
      <c r="J814">
        <v>0</v>
      </c>
      <c r="K814">
        <v>35</v>
      </c>
      <c r="L814" s="4">
        <v>0.56210839779412802</v>
      </c>
      <c r="M814" s="4">
        <v>0.43789160220587198</v>
      </c>
      <c r="N814">
        <v>0</v>
      </c>
    </row>
    <row r="815" spans="1:14" x14ac:dyDescent="0.25">
      <c r="A815" s="2"/>
      <c r="B815" t="s">
        <v>2152</v>
      </c>
      <c r="C815" t="s">
        <v>16</v>
      </c>
      <c r="D815" t="s">
        <v>110</v>
      </c>
      <c r="E815" t="s">
        <v>2114</v>
      </c>
      <c r="F815" t="s">
        <v>2115</v>
      </c>
      <c r="G815" t="s">
        <v>2153</v>
      </c>
      <c r="H815" s="3">
        <v>1700</v>
      </c>
      <c r="I815">
        <v>163</v>
      </c>
      <c r="J815">
        <v>0</v>
      </c>
      <c r="L815" s="4">
        <v>0.444569384461035</v>
      </c>
      <c r="M815" s="4">
        <v>0.555430615538965</v>
      </c>
      <c r="N815">
        <v>0</v>
      </c>
    </row>
    <row r="816" spans="1:14" x14ac:dyDescent="0.25">
      <c r="A816" s="2"/>
      <c r="B816" t="s">
        <v>2154</v>
      </c>
      <c r="C816" t="s">
        <v>16</v>
      </c>
      <c r="D816" t="s">
        <v>86</v>
      </c>
      <c r="E816" t="s">
        <v>2155</v>
      </c>
      <c r="F816" t="s">
        <v>2111</v>
      </c>
      <c r="G816" t="s">
        <v>2156</v>
      </c>
      <c r="H816" s="3">
        <v>2310.9499999999998</v>
      </c>
      <c r="I816">
        <v>288</v>
      </c>
      <c r="J816">
        <v>0</v>
      </c>
      <c r="K816">
        <v>32</v>
      </c>
      <c r="L816" s="4">
        <v>0.121968539432286</v>
      </c>
      <c r="M816" s="4">
        <v>0.87803146056771397</v>
      </c>
      <c r="N816">
        <v>0</v>
      </c>
    </row>
    <row r="817" spans="1:14" x14ac:dyDescent="0.25">
      <c r="A817" s="2">
        <v>23696415</v>
      </c>
      <c r="C817" t="s">
        <v>0</v>
      </c>
      <c r="D817" t="s">
        <v>86</v>
      </c>
      <c r="E817" t="s">
        <v>2155</v>
      </c>
      <c r="F817" t="s">
        <v>2111</v>
      </c>
      <c r="G817" t="s">
        <v>2157</v>
      </c>
      <c r="H817" s="3">
        <v>1986.9</v>
      </c>
      <c r="I817">
        <v>946</v>
      </c>
      <c r="J817">
        <v>0</v>
      </c>
      <c r="K817">
        <v>42</v>
      </c>
      <c r="L817" s="4">
        <v>0.94608454451720703</v>
      </c>
      <c r="M817" s="4">
        <v>5.3915455482793098E-2</v>
      </c>
      <c r="N817">
        <v>0</v>
      </c>
    </row>
    <row r="818" spans="1:14" x14ac:dyDescent="0.25">
      <c r="A818" s="2"/>
      <c r="B818" t="s">
        <v>2158</v>
      </c>
      <c r="C818" t="s">
        <v>16</v>
      </c>
      <c r="D818" t="s">
        <v>86</v>
      </c>
      <c r="E818" t="s">
        <v>2159</v>
      </c>
      <c r="F818" t="s">
        <v>2160</v>
      </c>
      <c r="G818" t="s">
        <v>2161</v>
      </c>
      <c r="H818" s="3">
        <v>1500</v>
      </c>
      <c r="J818">
        <v>0</v>
      </c>
      <c r="K818">
        <v>7</v>
      </c>
      <c r="L818" s="4">
        <v>0.87838183842304796</v>
      </c>
      <c r="M818" s="4">
        <v>0.121618161576953</v>
      </c>
      <c r="N818">
        <v>0</v>
      </c>
    </row>
    <row r="819" spans="1:14" x14ac:dyDescent="0.25">
      <c r="A819" s="2"/>
      <c r="B819" t="s">
        <v>2162</v>
      </c>
      <c r="C819" t="s">
        <v>16</v>
      </c>
      <c r="D819" t="s">
        <v>110</v>
      </c>
      <c r="E819" t="s">
        <v>2163</v>
      </c>
      <c r="F819" t="s">
        <v>2164</v>
      </c>
      <c r="G819" t="s">
        <v>2165</v>
      </c>
      <c r="H819" s="3">
        <v>2040</v>
      </c>
      <c r="I819">
        <v>550</v>
      </c>
      <c r="J819">
        <v>1</v>
      </c>
      <c r="K819">
        <v>13</v>
      </c>
      <c r="L819" s="4">
        <v>0.51199089206239301</v>
      </c>
      <c r="M819" s="4">
        <v>0.48800910793760699</v>
      </c>
      <c r="N819">
        <v>0</v>
      </c>
    </row>
    <row r="820" spans="1:14" x14ac:dyDescent="0.25">
      <c r="A820" s="2"/>
      <c r="B820" t="s">
        <v>2166</v>
      </c>
      <c r="C820" t="s">
        <v>16</v>
      </c>
      <c r="D820" t="s">
        <v>148</v>
      </c>
      <c r="E820" t="s">
        <v>2108</v>
      </c>
      <c r="F820" t="s">
        <v>2167</v>
      </c>
      <c r="G820" t="s">
        <v>2168</v>
      </c>
      <c r="H820" s="3">
        <v>1125</v>
      </c>
      <c r="I820">
        <v>809</v>
      </c>
      <c r="J820">
        <v>1</v>
      </c>
      <c r="K820">
        <v>12</v>
      </c>
      <c r="L820" s="4">
        <v>0.443166867534528</v>
      </c>
      <c r="M820" s="4">
        <v>0.55683313246547295</v>
      </c>
      <c r="N820">
        <v>0</v>
      </c>
    </row>
    <row r="821" spans="1:14" x14ac:dyDescent="0.25">
      <c r="A821" s="2"/>
      <c r="C821" t="s">
        <v>28</v>
      </c>
      <c r="D821" t="s">
        <v>2169</v>
      </c>
      <c r="E821" t="s">
        <v>2170</v>
      </c>
      <c r="F821" t="s">
        <v>2171</v>
      </c>
      <c r="G821" t="s">
        <v>2172</v>
      </c>
      <c r="H821" s="3">
        <v>2587.1</v>
      </c>
      <c r="I821">
        <v>172</v>
      </c>
      <c r="J821">
        <v>0</v>
      </c>
      <c r="K821">
        <v>2</v>
      </c>
      <c r="L821" s="4">
        <v>0.26730306003210802</v>
      </c>
      <c r="M821" s="4">
        <v>0.73269693996789198</v>
      </c>
      <c r="N821">
        <v>0</v>
      </c>
    </row>
    <row r="822" spans="1:14" x14ac:dyDescent="0.25">
      <c r="A822" s="2"/>
      <c r="B822" t="s">
        <v>2173</v>
      </c>
      <c r="C822" t="s">
        <v>16</v>
      </c>
      <c r="D822" t="s">
        <v>17</v>
      </c>
      <c r="E822" t="s">
        <v>2174</v>
      </c>
      <c r="F822" t="s">
        <v>2175</v>
      </c>
      <c r="G822" t="s">
        <v>2176</v>
      </c>
      <c r="H822" s="3">
        <v>2317.94</v>
      </c>
      <c r="I822">
        <v>592</v>
      </c>
      <c r="J822">
        <v>0</v>
      </c>
      <c r="K822">
        <v>24</v>
      </c>
      <c r="L822" s="4">
        <v>0.80730644998865797</v>
      </c>
      <c r="M822" s="4">
        <v>0.192693550011343</v>
      </c>
      <c r="N822">
        <v>0</v>
      </c>
    </row>
    <row r="823" spans="1:14" x14ac:dyDescent="0.25">
      <c r="A823" s="2"/>
      <c r="B823" t="s">
        <v>2177</v>
      </c>
      <c r="C823" t="s">
        <v>16</v>
      </c>
      <c r="D823" t="s">
        <v>17</v>
      </c>
      <c r="E823" t="s">
        <v>2178</v>
      </c>
      <c r="F823" t="s">
        <v>2179</v>
      </c>
      <c r="G823" t="s">
        <v>2180</v>
      </c>
      <c r="H823" s="3">
        <v>3799.84</v>
      </c>
      <c r="I823">
        <v>319</v>
      </c>
      <c r="J823">
        <v>0</v>
      </c>
      <c r="L823" s="4">
        <v>0.59081230504336801</v>
      </c>
      <c r="M823" s="4">
        <v>0.40918769495663199</v>
      </c>
      <c r="N823">
        <v>0</v>
      </c>
    </row>
    <row r="824" spans="1:14" x14ac:dyDescent="0.25">
      <c r="A824" s="2"/>
      <c r="B824" t="s">
        <v>2181</v>
      </c>
      <c r="C824" t="s">
        <v>16</v>
      </c>
      <c r="D824" t="s">
        <v>17</v>
      </c>
      <c r="E824" t="s">
        <v>2178</v>
      </c>
      <c r="F824" t="s">
        <v>2179</v>
      </c>
      <c r="G824" t="s">
        <v>2182</v>
      </c>
      <c r="H824" s="3">
        <v>4069.66</v>
      </c>
      <c r="I824">
        <v>830</v>
      </c>
      <c r="L824" s="4">
        <v>0.78131206848121604</v>
      </c>
      <c r="M824" s="4">
        <v>0.21868793151878399</v>
      </c>
      <c r="N824">
        <v>0</v>
      </c>
    </row>
    <row r="825" spans="1:14" x14ac:dyDescent="0.25">
      <c r="A825" s="2">
        <v>23644721</v>
      </c>
      <c r="B825" t="s">
        <v>2183</v>
      </c>
      <c r="C825" t="s">
        <v>31</v>
      </c>
      <c r="D825" t="s">
        <v>69</v>
      </c>
      <c r="E825" t="s">
        <v>2184</v>
      </c>
      <c r="F825" t="s">
        <v>2185</v>
      </c>
      <c r="G825" t="s">
        <v>2186</v>
      </c>
      <c r="H825" s="3">
        <v>2211.52</v>
      </c>
      <c r="I825">
        <v>400</v>
      </c>
      <c r="J825">
        <v>1</v>
      </c>
      <c r="K825">
        <v>43</v>
      </c>
      <c r="L825" s="4">
        <v>0.70015177273479201</v>
      </c>
      <c r="M825" s="4">
        <v>0.29984822726520799</v>
      </c>
      <c r="N825">
        <v>0</v>
      </c>
    </row>
    <row r="826" spans="1:14" x14ac:dyDescent="0.25">
      <c r="A826" s="2">
        <v>23974321</v>
      </c>
      <c r="B826" t="s">
        <v>2187</v>
      </c>
      <c r="C826" t="s">
        <v>31</v>
      </c>
      <c r="D826" t="s">
        <v>69</v>
      </c>
      <c r="E826" t="s">
        <v>2184</v>
      </c>
      <c r="F826" t="s">
        <v>2185</v>
      </c>
      <c r="G826" t="s">
        <v>2188</v>
      </c>
      <c r="H826" s="3">
        <v>2240.86</v>
      </c>
      <c r="J826">
        <v>1</v>
      </c>
      <c r="K826">
        <v>50</v>
      </c>
      <c r="L826" s="4">
        <v>0.68143795187954503</v>
      </c>
      <c r="M826" s="4">
        <v>0.31856204812045502</v>
      </c>
      <c r="N826">
        <v>0</v>
      </c>
    </row>
    <row r="827" spans="1:14" x14ac:dyDescent="0.25">
      <c r="A827" s="2"/>
      <c r="C827" t="s">
        <v>28</v>
      </c>
      <c r="D827" t="s">
        <v>86</v>
      </c>
      <c r="E827" t="s">
        <v>2189</v>
      </c>
      <c r="F827" t="s">
        <v>2190</v>
      </c>
      <c r="G827" t="s">
        <v>2191</v>
      </c>
      <c r="H827" s="3">
        <v>1500</v>
      </c>
      <c r="I827">
        <v>843</v>
      </c>
      <c r="J827">
        <v>0</v>
      </c>
      <c r="K827">
        <v>24</v>
      </c>
      <c r="L827" s="4">
        <v>0.24267362920942501</v>
      </c>
      <c r="M827" s="4">
        <v>0.75732637079057596</v>
      </c>
      <c r="N827">
        <v>0</v>
      </c>
    </row>
    <row r="828" spans="1:14" x14ac:dyDescent="0.25">
      <c r="A828" s="2"/>
      <c r="B828" t="s">
        <v>2192</v>
      </c>
      <c r="C828" t="s">
        <v>16</v>
      </c>
      <c r="D828" t="s">
        <v>86</v>
      </c>
      <c r="E828" t="s">
        <v>2193</v>
      </c>
      <c r="F828" t="s">
        <v>2185</v>
      </c>
      <c r="G828" t="s">
        <v>2194</v>
      </c>
      <c r="H828" s="3">
        <v>1513.73</v>
      </c>
      <c r="I828">
        <v>896</v>
      </c>
      <c r="J828">
        <v>1</v>
      </c>
      <c r="K828">
        <v>6</v>
      </c>
      <c r="L828" s="4">
        <v>0.65023969633912604</v>
      </c>
      <c r="M828" s="4">
        <v>0.34976030366087402</v>
      </c>
      <c r="N828">
        <v>0</v>
      </c>
    </row>
    <row r="829" spans="1:14" x14ac:dyDescent="0.25">
      <c r="A829" s="2">
        <v>23621371</v>
      </c>
      <c r="C829" t="s">
        <v>0</v>
      </c>
      <c r="D829" t="s">
        <v>86</v>
      </c>
      <c r="E829" t="s">
        <v>2193</v>
      </c>
      <c r="F829" t="s">
        <v>2185</v>
      </c>
      <c r="G829" t="s">
        <v>2195</v>
      </c>
      <c r="H829" s="3">
        <v>2305.08</v>
      </c>
      <c r="J829">
        <v>1</v>
      </c>
      <c r="K829">
        <v>7</v>
      </c>
      <c r="L829" s="4">
        <v>7.0537718616360295E-2</v>
      </c>
      <c r="M829" s="4">
        <v>0.92946228138363995</v>
      </c>
      <c r="N829">
        <v>0</v>
      </c>
    </row>
    <row r="830" spans="1:14" x14ac:dyDescent="0.25">
      <c r="A830" s="2"/>
      <c r="B830" t="s">
        <v>2196</v>
      </c>
      <c r="C830" t="s">
        <v>16</v>
      </c>
      <c r="D830" t="s">
        <v>17</v>
      </c>
      <c r="E830" t="s">
        <v>2197</v>
      </c>
      <c r="F830" t="s">
        <v>2198</v>
      </c>
      <c r="G830" t="s">
        <v>2199</v>
      </c>
      <c r="H830" s="3">
        <v>2961.924</v>
      </c>
      <c r="I830">
        <v>825</v>
      </c>
      <c r="J830">
        <v>1</v>
      </c>
      <c r="K830">
        <v>3</v>
      </c>
      <c r="L830" s="4">
        <v>0.22425200603338299</v>
      </c>
      <c r="M830" s="4">
        <v>0.77574799396661698</v>
      </c>
      <c r="N830">
        <v>0</v>
      </c>
    </row>
    <row r="831" spans="1:14" x14ac:dyDescent="0.25">
      <c r="A831" s="2"/>
      <c r="B831" t="s">
        <v>2200</v>
      </c>
      <c r="C831" t="s">
        <v>16</v>
      </c>
      <c r="D831" t="s">
        <v>148</v>
      </c>
      <c r="E831" t="s">
        <v>2201</v>
      </c>
      <c r="F831" t="s">
        <v>2202</v>
      </c>
      <c r="G831" t="s">
        <v>2203</v>
      </c>
      <c r="H831" s="3">
        <v>1345</v>
      </c>
      <c r="I831">
        <v>184</v>
      </c>
      <c r="J831">
        <v>0</v>
      </c>
      <c r="L831" s="4">
        <v>0.62838706899804397</v>
      </c>
      <c r="M831" s="4">
        <v>0.37161293100195603</v>
      </c>
      <c r="N831">
        <v>0</v>
      </c>
    </row>
    <row r="832" spans="1:14" x14ac:dyDescent="0.25">
      <c r="A832" s="2">
        <v>22988015</v>
      </c>
      <c r="B832" t="s">
        <v>2204</v>
      </c>
      <c r="C832" t="s">
        <v>31</v>
      </c>
      <c r="D832" t="s">
        <v>333</v>
      </c>
      <c r="E832" t="s">
        <v>2205</v>
      </c>
      <c r="F832" t="s">
        <v>2206</v>
      </c>
      <c r="G832" t="s">
        <v>2207</v>
      </c>
      <c r="H832" s="3">
        <v>1910.82</v>
      </c>
      <c r="I832">
        <v>173</v>
      </c>
      <c r="J832">
        <v>1</v>
      </c>
      <c r="L832" s="4">
        <v>8.2389784853242096E-2</v>
      </c>
      <c r="M832" s="4">
        <v>0.917610215146758</v>
      </c>
      <c r="N832">
        <v>0</v>
      </c>
    </row>
    <row r="833" spans="1:14" x14ac:dyDescent="0.25">
      <c r="A833" s="2"/>
      <c r="C833" t="s">
        <v>28</v>
      </c>
      <c r="D833" t="s">
        <v>333</v>
      </c>
      <c r="E833" t="s">
        <v>2205</v>
      </c>
      <c r="F833" t="s">
        <v>2206</v>
      </c>
      <c r="G833" t="s">
        <v>2208</v>
      </c>
      <c r="H833" s="3">
        <v>2034</v>
      </c>
      <c r="I833">
        <v>589</v>
      </c>
      <c r="J833">
        <v>0</v>
      </c>
      <c r="K833">
        <v>16</v>
      </c>
      <c r="L833" s="4">
        <v>0.53021708774578202</v>
      </c>
      <c r="M833" s="4">
        <v>0.46978291225421798</v>
      </c>
      <c r="N833">
        <v>0</v>
      </c>
    </row>
    <row r="834" spans="1:14" x14ac:dyDescent="0.25">
      <c r="A834" s="2"/>
      <c r="B834" t="s">
        <v>2209</v>
      </c>
      <c r="C834" t="s">
        <v>16</v>
      </c>
      <c r="D834" t="s">
        <v>333</v>
      </c>
      <c r="E834" t="s">
        <v>2205</v>
      </c>
      <c r="F834" t="s">
        <v>2206</v>
      </c>
      <c r="G834" t="s">
        <v>2210</v>
      </c>
      <c r="H834" s="3">
        <v>2249.4299999999998</v>
      </c>
      <c r="I834">
        <v>669</v>
      </c>
      <c r="J834">
        <v>0</v>
      </c>
      <c r="K834">
        <v>35</v>
      </c>
      <c r="L834" s="4">
        <v>0.913360355445064</v>
      </c>
      <c r="M834" s="4">
        <v>8.6639644554935696E-2</v>
      </c>
      <c r="N834">
        <v>0</v>
      </c>
    </row>
    <row r="835" spans="1:14" x14ac:dyDescent="0.25">
      <c r="A835" s="2"/>
      <c r="B835" t="s">
        <v>2211</v>
      </c>
      <c r="C835" t="s">
        <v>16</v>
      </c>
      <c r="D835" t="s">
        <v>333</v>
      </c>
      <c r="E835" t="s">
        <v>2205</v>
      </c>
      <c r="F835" t="s">
        <v>2206</v>
      </c>
      <c r="G835" t="s">
        <v>2212</v>
      </c>
      <c r="H835" s="3">
        <v>1529.54</v>
      </c>
      <c r="I835">
        <v>582</v>
      </c>
      <c r="J835">
        <v>0</v>
      </c>
      <c r="K835">
        <v>11</v>
      </c>
      <c r="L835" s="4">
        <v>0.78784988511957699</v>
      </c>
      <c r="M835" s="4">
        <v>0.21215011488042301</v>
      </c>
      <c r="N835">
        <v>0</v>
      </c>
    </row>
    <row r="836" spans="1:14" x14ac:dyDescent="0.25">
      <c r="A836" s="2">
        <v>23115042</v>
      </c>
      <c r="B836" t="s">
        <v>2213</v>
      </c>
      <c r="C836" t="s">
        <v>31</v>
      </c>
      <c r="D836" t="s">
        <v>328</v>
      </c>
      <c r="E836" t="s">
        <v>2205</v>
      </c>
      <c r="F836" t="s">
        <v>2206</v>
      </c>
      <c r="G836" t="s">
        <v>2214</v>
      </c>
      <c r="H836" s="3">
        <v>1237.76</v>
      </c>
      <c r="I836">
        <v>194</v>
      </c>
      <c r="J836">
        <v>0</v>
      </c>
      <c r="L836" s="4">
        <v>0.72262063898485296</v>
      </c>
      <c r="M836" s="4">
        <v>0.27737936101514699</v>
      </c>
      <c r="N836">
        <v>0</v>
      </c>
    </row>
    <row r="837" spans="1:14" x14ac:dyDescent="0.25">
      <c r="A837" s="2"/>
      <c r="B837" t="s">
        <v>2215</v>
      </c>
      <c r="C837" t="s">
        <v>16</v>
      </c>
      <c r="D837" t="s">
        <v>17</v>
      </c>
      <c r="E837" t="s">
        <v>2216</v>
      </c>
      <c r="F837" t="s">
        <v>2217</v>
      </c>
      <c r="G837" t="s">
        <v>2218</v>
      </c>
      <c r="H837" s="3">
        <v>1770.62</v>
      </c>
      <c r="I837">
        <v>958</v>
      </c>
      <c r="J837">
        <v>0</v>
      </c>
      <c r="K837">
        <v>40</v>
      </c>
      <c r="L837" s="4">
        <v>0.65264308965894502</v>
      </c>
      <c r="M837" s="4">
        <v>0.34735691034105498</v>
      </c>
      <c r="N837">
        <v>0</v>
      </c>
    </row>
    <row r="838" spans="1:14" x14ac:dyDescent="0.25">
      <c r="A838" s="2"/>
      <c r="B838" t="s">
        <v>2219</v>
      </c>
      <c r="C838" t="s">
        <v>16</v>
      </c>
      <c r="D838" t="s">
        <v>69</v>
      </c>
      <c r="E838" t="s">
        <v>2220</v>
      </c>
      <c r="F838" t="s">
        <v>2221</v>
      </c>
      <c r="G838" t="s">
        <v>2222</v>
      </c>
      <c r="H838" s="3">
        <v>2759.24</v>
      </c>
      <c r="I838">
        <v>10</v>
      </c>
      <c r="J838">
        <v>0</v>
      </c>
      <c r="K838">
        <v>42</v>
      </c>
      <c r="L838" s="4">
        <v>0.12704581817704999</v>
      </c>
      <c r="M838" s="4">
        <v>0.87295418182295004</v>
      </c>
      <c r="N838">
        <v>0</v>
      </c>
    </row>
    <row r="839" spans="1:14" x14ac:dyDescent="0.25">
      <c r="A839" s="2"/>
      <c r="B839" t="s">
        <v>2223</v>
      </c>
      <c r="C839" t="s">
        <v>16</v>
      </c>
      <c r="D839" t="s">
        <v>86</v>
      </c>
      <c r="E839" t="s">
        <v>2224</v>
      </c>
      <c r="F839" t="s">
        <v>2225</v>
      </c>
      <c r="G839" t="s">
        <v>2226</v>
      </c>
      <c r="H839" s="3">
        <v>1927.56</v>
      </c>
      <c r="I839">
        <v>782</v>
      </c>
      <c r="J839">
        <v>0</v>
      </c>
      <c r="K839">
        <v>6</v>
      </c>
      <c r="L839" s="4">
        <v>0.75548894119806698</v>
      </c>
      <c r="M839" s="4">
        <v>0.244511058801933</v>
      </c>
      <c r="N839">
        <v>0</v>
      </c>
    </row>
    <row r="840" spans="1:14" x14ac:dyDescent="0.25">
      <c r="A840" s="2">
        <v>23782406</v>
      </c>
      <c r="C840" t="s">
        <v>0</v>
      </c>
      <c r="D840" t="s">
        <v>86</v>
      </c>
      <c r="E840" t="s">
        <v>2227</v>
      </c>
      <c r="F840" t="s">
        <v>2228</v>
      </c>
      <c r="G840" t="s">
        <v>2229</v>
      </c>
      <c r="H840" s="3">
        <v>1834.77</v>
      </c>
      <c r="I840">
        <v>158</v>
      </c>
      <c r="J840">
        <v>1</v>
      </c>
      <c r="K840">
        <v>24</v>
      </c>
      <c r="L840" s="4">
        <v>0.53027385773812596</v>
      </c>
      <c r="M840" s="4">
        <v>0.46972614226187498</v>
      </c>
      <c r="N840">
        <v>0</v>
      </c>
    </row>
    <row r="841" spans="1:14" x14ac:dyDescent="0.25">
      <c r="A841" s="2"/>
      <c r="B841" t="s">
        <v>2230</v>
      </c>
      <c r="C841" t="s">
        <v>16</v>
      </c>
      <c r="D841" t="s">
        <v>110</v>
      </c>
      <c r="E841" t="s">
        <v>2231</v>
      </c>
      <c r="F841" t="s">
        <v>2232</v>
      </c>
      <c r="G841" t="s">
        <v>2233</v>
      </c>
      <c r="H841" s="3">
        <v>1700</v>
      </c>
      <c r="I841">
        <v>187</v>
      </c>
      <c r="J841">
        <v>1</v>
      </c>
      <c r="L841" s="4">
        <v>0.91683109711627497</v>
      </c>
      <c r="M841" s="4">
        <v>8.3168902883724694E-2</v>
      </c>
      <c r="N841">
        <v>0</v>
      </c>
    </row>
    <row r="842" spans="1:14" x14ac:dyDescent="0.25">
      <c r="A842" s="2">
        <v>23137753</v>
      </c>
      <c r="C842" t="s">
        <v>0</v>
      </c>
      <c r="D842" t="s">
        <v>17</v>
      </c>
      <c r="E842" t="s">
        <v>2234</v>
      </c>
      <c r="F842" t="s">
        <v>2235</v>
      </c>
      <c r="G842" t="s">
        <v>2236</v>
      </c>
      <c r="H842" s="3">
        <v>2294</v>
      </c>
      <c r="I842">
        <v>127</v>
      </c>
      <c r="J842">
        <v>1</v>
      </c>
      <c r="K842">
        <v>10</v>
      </c>
      <c r="L842" s="4">
        <v>0.31804739264735199</v>
      </c>
      <c r="M842" s="4">
        <v>0.68195260735264795</v>
      </c>
      <c r="N842">
        <v>0</v>
      </c>
    </row>
    <row r="843" spans="1:14" x14ac:dyDescent="0.25">
      <c r="A843" s="2"/>
      <c r="B843" t="s">
        <v>2237</v>
      </c>
      <c r="C843" t="s">
        <v>16</v>
      </c>
      <c r="D843" t="s">
        <v>552</v>
      </c>
      <c r="E843" t="s">
        <v>2238</v>
      </c>
      <c r="F843" t="s">
        <v>2239</v>
      </c>
      <c r="G843" t="s">
        <v>2240</v>
      </c>
      <c r="H843" s="3">
        <v>1260</v>
      </c>
      <c r="I843">
        <v>304</v>
      </c>
      <c r="J843">
        <v>0</v>
      </c>
      <c r="K843">
        <v>30</v>
      </c>
      <c r="L843" s="4">
        <v>0.593701778625081</v>
      </c>
      <c r="M843" s="4">
        <v>0.406298221374919</v>
      </c>
      <c r="N843">
        <v>0</v>
      </c>
    </row>
    <row r="844" spans="1:14" x14ac:dyDescent="0.25">
      <c r="A844" s="2"/>
      <c r="B844" t="s">
        <v>2241</v>
      </c>
      <c r="C844" t="s">
        <v>16</v>
      </c>
      <c r="D844" t="s">
        <v>17</v>
      </c>
      <c r="E844" t="s">
        <v>2242</v>
      </c>
      <c r="F844" t="s">
        <v>2243</v>
      </c>
      <c r="G844" t="s">
        <v>2244</v>
      </c>
      <c r="H844" s="3">
        <v>1413.88</v>
      </c>
      <c r="I844">
        <v>260</v>
      </c>
      <c r="J844">
        <v>1</v>
      </c>
      <c r="K844">
        <v>45</v>
      </c>
      <c r="L844" s="4">
        <v>0.67841546632842498</v>
      </c>
      <c r="M844" s="4">
        <v>0.32158453367157602</v>
      </c>
      <c r="N844">
        <v>0</v>
      </c>
    </row>
    <row r="845" spans="1:14" x14ac:dyDescent="0.25">
      <c r="A845" s="2">
        <v>23606632</v>
      </c>
      <c r="B845" t="s">
        <v>2245</v>
      </c>
      <c r="C845" t="s">
        <v>31</v>
      </c>
      <c r="D845" t="s">
        <v>110</v>
      </c>
      <c r="E845" t="s">
        <v>2246</v>
      </c>
      <c r="F845" t="s">
        <v>2247</v>
      </c>
      <c r="G845" t="s">
        <v>2248</v>
      </c>
      <c r="H845" s="3">
        <v>2040</v>
      </c>
      <c r="I845">
        <v>364</v>
      </c>
      <c r="J845">
        <v>0</v>
      </c>
      <c r="K845">
        <v>44</v>
      </c>
      <c r="L845" s="4">
        <v>0.121651814162512</v>
      </c>
      <c r="M845" s="4">
        <v>0.87834818583748797</v>
      </c>
      <c r="N845">
        <v>0</v>
      </c>
    </row>
    <row r="846" spans="1:14" x14ac:dyDescent="0.25">
      <c r="A846" s="2"/>
      <c r="C846" t="s">
        <v>28</v>
      </c>
      <c r="D846" t="s">
        <v>110</v>
      </c>
      <c r="E846" t="s">
        <v>2231</v>
      </c>
      <c r="F846" t="s">
        <v>2249</v>
      </c>
      <c r="G846" t="s">
        <v>2250</v>
      </c>
      <c r="H846" s="3">
        <v>2400</v>
      </c>
      <c r="I846">
        <v>426</v>
      </c>
      <c r="J846">
        <v>0</v>
      </c>
      <c r="K846">
        <v>33</v>
      </c>
      <c r="L846" s="4">
        <v>0.34056880175654097</v>
      </c>
      <c r="M846" s="4">
        <v>0.65943119824345897</v>
      </c>
      <c r="N846">
        <v>0</v>
      </c>
    </row>
    <row r="847" spans="1:14" x14ac:dyDescent="0.25">
      <c r="A847" s="2"/>
      <c r="B847" t="s">
        <v>2251</v>
      </c>
      <c r="C847" t="s">
        <v>16</v>
      </c>
      <c r="D847" t="s">
        <v>148</v>
      </c>
      <c r="E847" t="s">
        <v>2252</v>
      </c>
      <c r="F847" t="s">
        <v>2253</v>
      </c>
      <c r="G847" t="s">
        <v>2254</v>
      </c>
      <c r="H847" s="3">
        <v>1398</v>
      </c>
      <c r="I847">
        <v>662</v>
      </c>
      <c r="J847">
        <v>0</v>
      </c>
      <c r="K847">
        <v>37</v>
      </c>
      <c r="L847" s="4">
        <v>0.68579744488363603</v>
      </c>
      <c r="M847" s="4">
        <v>0.31420255511636402</v>
      </c>
      <c r="N847">
        <v>0</v>
      </c>
    </row>
    <row r="848" spans="1:14" x14ac:dyDescent="0.25">
      <c r="A848" s="2"/>
      <c r="C848" t="s">
        <v>28</v>
      </c>
      <c r="D848" t="s">
        <v>17</v>
      </c>
      <c r="E848" t="s">
        <v>2234</v>
      </c>
      <c r="F848" t="s">
        <v>2235</v>
      </c>
      <c r="G848" t="s">
        <v>2255</v>
      </c>
      <c r="H848" s="3">
        <v>1410</v>
      </c>
      <c r="I848">
        <v>558</v>
      </c>
      <c r="J848">
        <v>1</v>
      </c>
      <c r="K848">
        <v>29</v>
      </c>
      <c r="L848" s="4">
        <v>0.62957881792260695</v>
      </c>
      <c r="M848" s="4">
        <v>0.370421182077393</v>
      </c>
      <c r="N848">
        <v>0</v>
      </c>
    </row>
    <row r="849" spans="1:14" x14ac:dyDescent="0.25">
      <c r="A849" s="2"/>
      <c r="C849" t="s">
        <v>28</v>
      </c>
      <c r="D849" t="s">
        <v>17</v>
      </c>
      <c r="E849" t="s">
        <v>2256</v>
      </c>
      <c r="F849" t="s">
        <v>2257</v>
      </c>
      <c r="G849" t="s">
        <v>2258</v>
      </c>
      <c r="H849" s="3">
        <v>2330.12</v>
      </c>
      <c r="I849">
        <v>960</v>
      </c>
      <c r="J849">
        <v>1</v>
      </c>
      <c r="K849">
        <v>22</v>
      </c>
      <c r="L849" s="4">
        <v>0.41020046793611797</v>
      </c>
      <c r="M849" s="4">
        <v>0.58979953206388203</v>
      </c>
      <c r="N849">
        <v>0</v>
      </c>
    </row>
    <row r="850" spans="1:14" x14ac:dyDescent="0.25">
      <c r="A850" s="2"/>
      <c r="B850" t="s">
        <v>2259</v>
      </c>
      <c r="C850" t="s">
        <v>16</v>
      </c>
      <c r="D850" t="s">
        <v>148</v>
      </c>
      <c r="E850" t="s">
        <v>2260</v>
      </c>
      <c r="F850" t="s">
        <v>2261</v>
      </c>
      <c r="G850" t="s">
        <v>2262</v>
      </c>
      <c r="H850" s="3">
        <v>719.97</v>
      </c>
      <c r="I850">
        <v>751</v>
      </c>
      <c r="J850">
        <v>0</v>
      </c>
      <c r="K850">
        <v>16</v>
      </c>
      <c r="L850" s="4">
        <v>0.71319272846526305</v>
      </c>
      <c r="M850" s="4">
        <v>0.28680727153473701</v>
      </c>
      <c r="N850">
        <v>0</v>
      </c>
    </row>
    <row r="851" spans="1:14" x14ac:dyDescent="0.25">
      <c r="A851" s="2"/>
      <c r="B851" t="s">
        <v>2263</v>
      </c>
      <c r="C851" t="s">
        <v>16</v>
      </c>
      <c r="D851" t="s">
        <v>148</v>
      </c>
      <c r="E851" t="s">
        <v>2260</v>
      </c>
      <c r="F851" t="s">
        <v>2261</v>
      </c>
      <c r="G851" t="s">
        <v>2264</v>
      </c>
      <c r="H851" s="3">
        <v>1315.8</v>
      </c>
      <c r="I851">
        <v>189</v>
      </c>
      <c r="J851">
        <v>1</v>
      </c>
      <c r="K851">
        <v>4</v>
      </c>
      <c r="L851" s="4">
        <v>0.85428130369850297</v>
      </c>
      <c r="M851" s="4">
        <v>0.145718696301497</v>
      </c>
      <c r="N851">
        <v>0</v>
      </c>
    </row>
    <row r="852" spans="1:14" x14ac:dyDescent="0.25">
      <c r="A852" s="2"/>
      <c r="C852" t="s">
        <v>28</v>
      </c>
      <c r="D852" t="s">
        <v>17</v>
      </c>
      <c r="E852" t="s">
        <v>2265</v>
      </c>
      <c r="F852" t="s">
        <v>2266</v>
      </c>
      <c r="G852" t="s">
        <v>2267</v>
      </c>
      <c r="H852" s="3">
        <v>2384.5300000000002</v>
      </c>
      <c r="I852">
        <v>150</v>
      </c>
      <c r="J852">
        <v>0</v>
      </c>
      <c r="K852">
        <v>19</v>
      </c>
      <c r="L852" s="4">
        <v>0.90435097788762697</v>
      </c>
      <c r="M852" s="4">
        <v>9.5649022112372806E-2</v>
      </c>
      <c r="N852">
        <v>0</v>
      </c>
    </row>
    <row r="853" spans="1:14" x14ac:dyDescent="0.25">
      <c r="A853" s="2"/>
      <c r="B853" t="s">
        <v>2268</v>
      </c>
      <c r="C853" t="s">
        <v>16</v>
      </c>
      <c r="D853" t="s">
        <v>17</v>
      </c>
      <c r="E853" t="s">
        <v>2269</v>
      </c>
      <c r="F853" t="s">
        <v>2270</v>
      </c>
      <c r="G853" t="s">
        <v>2271</v>
      </c>
      <c r="H853" s="3">
        <v>1128.42</v>
      </c>
      <c r="I853">
        <v>840</v>
      </c>
      <c r="J853">
        <v>1</v>
      </c>
      <c r="K853">
        <v>1</v>
      </c>
      <c r="L853" s="4">
        <v>0.22299085710984601</v>
      </c>
      <c r="M853" s="4">
        <v>0.77700914289015399</v>
      </c>
      <c r="N853">
        <v>0</v>
      </c>
    </row>
    <row r="854" spans="1:14" x14ac:dyDescent="0.25">
      <c r="A854" s="2"/>
      <c r="B854" t="s">
        <v>2272</v>
      </c>
      <c r="C854" t="s">
        <v>16</v>
      </c>
      <c r="D854" t="s">
        <v>17</v>
      </c>
      <c r="E854" t="s">
        <v>2269</v>
      </c>
      <c r="F854" t="s">
        <v>2270</v>
      </c>
      <c r="G854" t="s">
        <v>2273</v>
      </c>
      <c r="H854" s="3">
        <v>2384.2199999999998</v>
      </c>
      <c r="I854">
        <v>84</v>
      </c>
      <c r="J854">
        <v>0</v>
      </c>
      <c r="K854">
        <v>28</v>
      </c>
      <c r="L854" s="4">
        <v>0.73575378775046696</v>
      </c>
      <c r="M854" s="4">
        <v>0.26424621224953299</v>
      </c>
      <c r="N854">
        <v>0</v>
      </c>
    </row>
    <row r="855" spans="1:14" x14ac:dyDescent="0.25">
      <c r="A855" s="2">
        <v>23932869</v>
      </c>
      <c r="B855" t="s">
        <v>2274</v>
      </c>
      <c r="C855" t="s">
        <v>31</v>
      </c>
      <c r="D855" t="s">
        <v>17</v>
      </c>
      <c r="E855" t="s">
        <v>2269</v>
      </c>
      <c r="F855" t="s">
        <v>2270</v>
      </c>
      <c r="G855" t="s">
        <v>2275</v>
      </c>
      <c r="H855" s="3">
        <v>2406.73</v>
      </c>
      <c r="I855">
        <v>274</v>
      </c>
      <c r="J855">
        <v>0</v>
      </c>
      <c r="K855">
        <v>23</v>
      </c>
      <c r="L855" s="4">
        <v>0.22684903419444899</v>
      </c>
      <c r="M855" s="4">
        <v>0.77315096580555098</v>
      </c>
      <c r="N855">
        <v>0</v>
      </c>
    </row>
    <row r="856" spans="1:14" x14ac:dyDescent="0.25">
      <c r="A856" s="2">
        <v>23873369</v>
      </c>
      <c r="C856" t="s">
        <v>0</v>
      </c>
      <c r="D856" t="s">
        <v>2276</v>
      </c>
      <c r="E856" t="s">
        <v>2277</v>
      </c>
      <c r="F856" t="s">
        <v>2278</v>
      </c>
      <c r="G856" t="s">
        <v>2279</v>
      </c>
      <c r="H856" s="3">
        <v>1306.1099999999999</v>
      </c>
      <c r="I856">
        <v>113</v>
      </c>
      <c r="J856">
        <v>0</v>
      </c>
      <c r="K856">
        <v>1</v>
      </c>
      <c r="L856" s="4">
        <v>7.2393642913956099E-2</v>
      </c>
      <c r="M856" s="4">
        <v>0.927606357086044</v>
      </c>
      <c r="N856">
        <v>0</v>
      </c>
    </row>
    <row r="857" spans="1:14" x14ac:dyDescent="0.25">
      <c r="A857" s="2"/>
      <c r="B857" t="s">
        <v>2280</v>
      </c>
      <c r="C857" t="s">
        <v>16</v>
      </c>
      <c r="D857" t="s">
        <v>110</v>
      </c>
      <c r="E857" t="s">
        <v>2231</v>
      </c>
      <c r="F857" t="s">
        <v>2249</v>
      </c>
      <c r="G857" t="s">
        <v>2281</v>
      </c>
      <c r="H857" s="3">
        <v>2040</v>
      </c>
      <c r="I857">
        <v>757</v>
      </c>
      <c r="J857">
        <v>1</v>
      </c>
      <c r="K857">
        <v>45</v>
      </c>
      <c r="L857" s="4">
        <v>0.12609549704224299</v>
      </c>
      <c r="M857" s="4">
        <v>0.87390450295775701</v>
      </c>
      <c r="N857">
        <v>0</v>
      </c>
    </row>
    <row r="858" spans="1:14" x14ac:dyDescent="0.25">
      <c r="A858" s="2"/>
      <c r="C858" t="s">
        <v>28</v>
      </c>
      <c r="D858" t="s">
        <v>110</v>
      </c>
      <c r="E858" t="s">
        <v>2231</v>
      </c>
      <c r="F858" t="s">
        <v>2249</v>
      </c>
      <c r="G858" t="s">
        <v>2282</v>
      </c>
      <c r="H858" s="3">
        <v>2400</v>
      </c>
      <c r="I858">
        <v>181</v>
      </c>
      <c r="J858">
        <v>1</v>
      </c>
      <c r="K858">
        <v>2</v>
      </c>
      <c r="L858" s="4">
        <v>9.3488412479877298E-2</v>
      </c>
      <c r="M858" s="4">
        <v>0.90651158752012295</v>
      </c>
      <c r="N858">
        <v>0</v>
      </c>
    </row>
    <row r="859" spans="1:14" x14ac:dyDescent="0.25">
      <c r="A859" s="2"/>
      <c r="B859" t="s">
        <v>2283</v>
      </c>
      <c r="C859" t="s">
        <v>16</v>
      </c>
      <c r="D859" t="s">
        <v>110</v>
      </c>
      <c r="E859" t="s">
        <v>2231</v>
      </c>
      <c r="F859" t="s">
        <v>2249</v>
      </c>
      <c r="G859" t="s">
        <v>2284</v>
      </c>
      <c r="H859" s="3">
        <v>2040</v>
      </c>
      <c r="I859">
        <v>785</v>
      </c>
      <c r="J859">
        <v>1</v>
      </c>
      <c r="K859">
        <v>4</v>
      </c>
      <c r="L859" s="4">
        <v>0.67637402616580999</v>
      </c>
      <c r="M859" s="4">
        <v>0.32362597383419001</v>
      </c>
      <c r="N859">
        <v>0</v>
      </c>
    </row>
    <row r="860" spans="1:14" x14ac:dyDescent="0.25">
      <c r="A860" s="2">
        <v>23771720</v>
      </c>
      <c r="C860" t="s">
        <v>0</v>
      </c>
      <c r="D860" t="s">
        <v>110</v>
      </c>
      <c r="E860" t="s">
        <v>2231</v>
      </c>
      <c r="F860" t="s">
        <v>2249</v>
      </c>
      <c r="G860" t="s">
        <v>2285</v>
      </c>
      <c r="H860" s="3">
        <v>2400</v>
      </c>
      <c r="I860">
        <v>699</v>
      </c>
      <c r="J860">
        <v>1</v>
      </c>
      <c r="K860">
        <v>17</v>
      </c>
      <c r="L860" s="4">
        <v>0.27390027826334501</v>
      </c>
      <c r="M860" s="4">
        <v>0.72609972173665505</v>
      </c>
      <c r="N860">
        <v>0</v>
      </c>
    </row>
    <row r="861" spans="1:14" x14ac:dyDescent="0.25">
      <c r="A861" s="2"/>
      <c r="B861" t="s">
        <v>2286</v>
      </c>
      <c r="C861" t="s">
        <v>16</v>
      </c>
      <c r="D861" t="s">
        <v>110</v>
      </c>
      <c r="E861" t="s">
        <v>2231</v>
      </c>
      <c r="F861" t="s">
        <v>2249</v>
      </c>
      <c r="G861" t="s">
        <v>2287</v>
      </c>
      <c r="H861" s="3">
        <v>2400</v>
      </c>
      <c r="I861">
        <v>108</v>
      </c>
      <c r="J861">
        <v>1</v>
      </c>
      <c r="K861">
        <v>36</v>
      </c>
      <c r="L861" s="4">
        <v>0.52136996603354002</v>
      </c>
      <c r="M861" s="4">
        <v>0.47863003396645998</v>
      </c>
      <c r="N861">
        <v>0</v>
      </c>
    </row>
    <row r="862" spans="1:14" x14ac:dyDescent="0.25">
      <c r="A862" s="2">
        <v>23837793</v>
      </c>
      <c r="C862" t="s">
        <v>0</v>
      </c>
      <c r="D862" t="s">
        <v>86</v>
      </c>
      <c r="E862" t="s">
        <v>2288</v>
      </c>
      <c r="F862" t="s">
        <v>2289</v>
      </c>
      <c r="G862" t="s">
        <v>2290</v>
      </c>
      <c r="H862" s="3">
        <v>2320.0300000000002</v>
      </c>
      <c r="I862">
        <v>719</v>
      </c>
      <c r="J862">
        <v>1</v>
      </c>
      <c r="K862">
        <v>17</v>
      </c>
      <c r="L862" s="4">
        <v>0.469874294455641</v>
      </c>
      <c r="M862" s="4">
        <v>0.530125705544359</v>
      </c>
      <c r="N862">
        <v>0</v>
      </c>
    </row>
    <row r="863" spans="1:14" x14ac:dyDescent="0.25">
      <c r="A863" s="2"/>
      <c r="C863" t="s">
        <v>28</v>
      </c>
      <c r="D863" t="s">
        <v>2291</v>
      </c>
      <c r="E863" t="s">
        <v>2292</v>
      </c>
      <c r="F863" t="s">
        <v>2293</v>
      </c>
      <c r="G863" t="s">
        <v>2294</v>
      </c>
      <c r="H863" s="3">
        <v>187.03</v>
      </c>
      <c r="I863">
        <v>636</v>
      </c>
      <c r="J863">
        <v>1</v>
      </c>
      <c r="K863">
        <v>15</v>
      </c>
      <c r="L863" s="4">
        <v>0.77778713127872601</v>
      </c>
      <c r="M863" s="4">
        <v>0.22221286872127399</v>
      </c>
      <c r="N863">
        <v>0</v>
      </c>
    </row>
    <row r="864" spans="1:14" x14ac:dyDescent="0.25">
      <c r="A864" s="2"/>
      <c r="B864" t="s">
        <v>2295</v>
      </c>
      <c r="C864" t="s">
        <v>16</v>
      </c>
      <c r="D864" t="s">
        <v>86</v>
      </c>
      <c r="E864" t="s">
        <v>2296</v>
      </c>
      <c r="F864" t="s">
        <v>2297</v>
      </c>
      <c r="G864" t="s">
        <v>2298</v>
      </c>
      <c r="H864" s="3">
        <v>2302.9299999999998</v>
      </c>
      <c r="I864">
        <v>673</v>
      </c>
      <c r="J864">
        <v>0</v>
      </c>
      <c r="K864">
        <v>46</v>
      </c>
      <c r="L864" s="4">
        <v>8.3499784791295606E-2</v>
      </c>
      <c r="M864" s="4">
        <v>0.91650021520870395</v>
      </c>
      <c r="N864">
        <v>0</v>
      </c>
    </row>
    <row r="865" spans="1:14" x14ac:dyDescent="0.25">
      <c r="A865" s="2">
        <v>23327189</v>
      </c>
      <c r="B865" t="s">
        <v>2299</v>
      </c>
      <c r="C865" t="s">
        <v>31</v>
      </c>
      <c r="D865" t="s">
        <v>148</v>
      </c>
      <c r="E865" t="s">
        <v>2300</v>
      </c>
      <c r="F865" t="s">
        <v>2301</v>
      </c>
      <c r="G865" t="s">
        <v>2302</v>
      </c>
      <c r="H865" s="3">
        <v>867.38</v>
      </c>
      <c r="I865">
        <v>417</v>
      </c>
      <c r="J865">
        <v>1</v>
      </c>
      <c r="K865">
        <v>32</v>
      </c>
      <c r="L865" s="4">
        <v>1.07766767829439E-2</v>
      </c>
      <c r="M865" s="4">
        <v>0.98922332321705597</v>
      </c>
      <c r="N865">
        <v>0</v>
      </c>
    </row>
    <row r="866" spans="1:14" x14ac:dyDescent="0.25">
      <c r="A866" s="2"/>
      <c r="C866" t="s">
        <v>28</v>
      </c>
      <c r="D866" t="s">
        <v>113</v>
      </c>
      <c r="E866" t="s">
        <v>2303</v>
      </c>
      <c r="F866" t="s">
        <v>2304</v>
      </c>
      <c r="G866" t="s">
        <v>2305</v>
      </c>
      <c r="H866" s="3">
        <v>1020</v>
      </c>
      <c r="J866">
        <v>0</v>
      </c>
      <c r="K866">
        <v>5</v>
      </c>
      <c r="L866" s="4">
        <v>0.89071021935444294</v>
      </c>
      <c r="M866" s="4">
        <v>0.109289780645557</v>
      </c>
      <c r="N866">
        <v>0</v>
      </c>
    </row>
    <row r="867" spans="1:14" x14ac:dyDescent="0.25">
      <c r="A867" s="2">
        <v>24132152</v>
      </c>
      <c r="B867" t="s">
        <v>2306</v>
      </c>
      <c r="C867" t="s">
        <v>31</v>
      </c>
      <c r="D867" t="s">
        <v>2307</v>
      </c>
      <c r="E867" t="s">
        <v>2308</v>
      </c>
      <c r="F867" t="s">
        <v>2257</v>
      </c>
      <c r="G867" t="s">
        <v>2309</v>
      </c>
      <c r="H867" s="3">
        <v>1384.34</v>
      </c>
      <c r="I867">
        <v>52</v>
      </c>
      <c r="J867">
        <v>1</v>
      </c>
      <c r="K867">
        <v>42</v>
      </c>
      <c r="L867" s="4">
        <v>0.92668911752669403</v>
      </c>
      <c r="M867" s="4">
        <v>7.3310882473306499E-2</v>
      </c>
      <c r="N867">
        <v>0</v>
      </c>
    </row>
    <row r="868" spans="1:14" x14ac:dyDescent="0.25">
      <c r="A868" s="2">
        <v>23229735</v>
      </c>
      <c r="B868" t="s">
        <v>2310</v>
      </c>
      <c r="C868" t="s">
        <v>31</v>
      </c>
      <c r="D868" t="s">
        <v>607</v>
      </c>
      <c r="E868" t="s">
        <v>2311</v>
      </c>
      <c r="F868" t="s">
        <v>2312</v>
      </c>
      <c r="G868" t="s">
        <v>2313</v>
      </c>
      <c r="H868" s="3">
        <v>3000</v>
      </c>
      <c r="I868">
        <v>137</v>
      </c>
      <c r="J868">
        <v>0</v>
      </c>
      <c r="K868">
        <v>41</v>
      </c>
      <c r="L868" s="4">
        <v>0.88367922885046801</v>
      </c>
      <c r="M868" s="4">
        <v>0.116320771149532</v>
      </c>
      <c r="N868">
        <v>1612</v>
      </c>
    </row>
    <row r="869" spans="1:14" x14ac:dyDescent="0.25">
      <c r="A869" s="2"/>
      <c r="B869" t="s">
        <v>2314</v>
      </c>
      <c r="C869" t="s">
        <v>16</v>
      </c>
      <c r="D869" t="s">
        <v>17</v>
      </c>
      <c r="E869" t="s">
        <v>2234</v>
      </c>
      <c r="F869" t="s">
        <v>2235</v>
      </c>
      <c r="G869" t="s">
        <v>2315</v>
      </c>
      <c r="H869" s="3">
        <v>2386.44</v>
      </c>
      <c r="I869">
        <v>379</v>
      </c>
      <c r="J869">
        <v>0</v>
      </c>
      <c r="K869">
        <v>36</v>
      </c>
      <c r="L869" s="4">
        <v>0.45231568932301103</v>
      </c>
      <c r="M869" s="4">
        <v>0.54768431067698897</v>
      </c>
      <c r="N869">
        <v>0</v>
      </c>
    </row>
    <row r="870" spans="1:14" x14ac:dyDescent="0.25">
      <c r="A870" s="2">
        <v>23209475</v>
      </c>
      <c r="B870" t="s">
        <v>2316</v>
      </c>
      <c r="C870" t="s">
        <v>31</v>
      </c>
      <c r="D870" t="s">
        <v>2317</v>
      </c>
      <c r="E870" t="s">
        <v>2318</v>
      </c>
      <c r="F870" t="s">
        <v>2319</v>
      </c>
      <c r="G870" t="s">
        <v>2320</v>
      </c>
      <c r="H870" s="3">
        <v>626</v>
      </c>
      <c r="I870">
        <v>19</v>
      </c>
      <c r="J870">
        <v>0</v>
      </c>
      <c r="K870">
        <v>42</v>
      </c>
      <c r="L870" s="4">
        <v>0.87208958308972695</v>
      </c>
      <c r="M870" s="4">
        <v>0.12791041691027299</v>
      </c>
      <c r="N870">
        <v>0</v>
      </c>
    </row>
    <row r="871" spans="1:14" x14ac:dyDescent="0.25">
      <c r="A871" s="2"/>
      <c r="C871" t="s">
        <v>28</v>
      </c>
      <c r="D871" t="s">
        <v>86</v>
      </c>
      <c r="E871" t="s">
        <v>2321</v>
      </c>
      <c r="F871" t="s">
        <v>2322</v>
      </c>
      <c r="G871" t="s">
        <v>2323</v>
      </c>
      <c r="H871" s="3">
        <v>1500</v>
      </c>
      <c r="I871">
        <v>262</v>
      </c>
      <c r="J871">
        <v>0</v>
      </c>
      <c r="K871">
        <v>18</v>
      </c>
      <c r="L871" s="4">
        <v>0.63317679769625101</v>
      </c>
      <c r="M871" s="4">
        <v>0.36682320230374899</v>
      </c>
      <c r="N871">
        <v>0</v>
      </c>
    </row>
    <row r="872" spans="1:14" x14ac:dyDescent="0.25">
      <c r="A872" s="2"/>
      <c r="C872" t="s">
        <v>28</v>
      </c>
      <c r="D872" t="s">
        <v>2169</v>
      </c>
      <c r="E872" t="s">
        <v>2170</v>
      </c>
      <c r="F872" t="s">
        <v>2324</v>
      </c>
      <c r="G872" t="s">
        <v>2325</v>
      </c>
      <c r="H872" s="3">
        <v>2440.41</v>
      </c>
      <c r="J872">
        <v>1</v>
      </c>
      <c r="K872">
        <v>17</v>
      </c>
      <c r="L872" s="4">
        <v>7.5641646756163805E-2</v>
      </c>
      <c r="M872" s="4">
        <v>0.92435835324383597</v>
      </c>
      <c r="N872">
        <v>0</v>
      </c>
    </row>
    <row r="873" spans="1:14" x14ac:dyDescent="0.25">
      <c r="A873" s="2"/>
      <c r="B873" t="s">
        <v>2326</v>
      </c>
      <c r="C873" t="s">
        <v>16</v>
      </c>
      <c r="D873" t="s">
        <v>113</v>
      </c>
      <c r="E873" t="s">
        <v>2327</v>
      </c>
      <c r="F873" t="s">
        <v>2328</v>
      </c>
      <c r="G873" t="s">
        <v>2329</v>
      </c>
      <c r="H873" s="3">
        <v>2034</v>
      </c>
      <c r="I873">
        <v>80</v>
      </c>
      <c r="J873">
        <v>0</v>
      </c>
      <c r="K873">
        <v>44</v>
      </c>
      <c r="L873" s="4">
        <v>0.38735995364728398</v>
      </c>
      <c r="M873" s="4">
        <v>0.61264004635271596</v>
      </c>
      <c r="N873">
        <v>0</v>
      </c>
    </row>
    <row r="874" spans="1:14" x14ac:dyDescent="0.25">
      <c r="A874" s="2">
        <v>23570314</v>
      </c>
      <c r="B874" t="s">
        <v>2330</v>
      </c>
      <c r="C874" t="s">
        <v>31</v>
      </c>
      <c r="D874" t="s">
        <v>2331</v>
      </c>
      <c r="E874" t="s">
        <v>2332</v>
      </c>
      <c r="F874" t="s">
        <v>2333</v>
      </c>
      <c r="G874" t="s">
        <v>2334</v>
      </c>
      <c r="H874" s="3">
        <v>2775.23</v>
      </c>
      <c r="J874">
        <v>0</v>
      </c>
      <c r="K874">
        <v>34</v>
      </c>
      <c r="L874" s="4">
        <v>0.93287073391434105</v>
      </c>
      <c r="M874" s="4">
        <v>6.7129266085659098E-2</v>
      </c>
      <c r="N874">
        <v>0</v>
      </c>
    </row>
    <row r="875" spans="1:14" x14ac:dyDescent="0.25">
      <c r="A875" s="2"/>
      <c r="B875" t="s">
        <v>2335</v>
      </c>
      <c r="C875" t="s">
        <v>16</v>
      </c>
      <c r="D875" t="s">
        <v>110</v>
      </c>
      <c r="E875" t="s">
        <v>2231</v>
      </c>
      <c r="F875" t="s">
        <v>2249</v>
      </c>
      <c r="G875" t="s">
        <v>2336</v>
      </c>
      <c r="H875" s="3">
        <v>2040</v>
      </c>
      <c r="I875">
        <v>841</v>
      </c>
      <c r="J875">
        <v>1</v>
      </c>
      <c r="K875">
        <v>30</v>
      </c>
      <c r="L875" s="4">
        <v>0.35188224181718603</v>
      </c>
      <c r="M875" s="4">
        <v>0.64811775818281403</v>
      </c>
      <c r="N875">
        <v>0</v>
      </c>
    </row>
    <row r="876" spans="1:14" x14ac:dyDescent="0.25">
      <c r="A876" s="2"/>
      <c r="B876" t="s">
        <v>2337</v>
      </c>
      <c r="C876" t="s">
        <v>16</v>
      </c>
      <c r="D876" t="s">
        <v>530</v>
      </c>
      <c r="E876" t="s">
        <v>2338</v>
      </c>
      <c r="F876" t="s">
        <v>2339</v>
      </c>
      <c r="G876" t="s">
        <v>2340</v>
      </c>
      <c r="H876" s="3">
        <v>1487.46</v>
      </c>
      <c r="I876">
        <v>361</v>
      </c>
      <c r="J876">
        <v>0</v>
      </c>
      <c r="K876">
        <v>12</v>
      </c>
      <c r="L876" s="4">
        <v>0.92562168970606196</v>
      </c>
      <c r="M876" s="4">
        <v>7.4378310293938002E-2</v>
      </c>
      <c r="N876">
        <v>0</v>
      </c>
    </row>
    <row r="877" spans="1:14" x14ac:dyDescent="0.25">
      <c r="A877" s="2"/>
      <c r="B877" t="s">
        <v>2341</v>
      </c>
      <c r="C877" t="s">
        <v>16</v>
      </c>
      <c r="D877" t="s">
        <v>530</v>
      </c>
      <c r="E877" t="s">
        <v>2338</v>
      </c>
      <c r="F877" t="s">
        <v>2339</v>
      </c>
      <c r="G877" t="s">
        <v>2342</v>
      </c>
      <c r="H877" s="3">
        <v>1531.08</v>
      </c>
      <c r="I877">
        <v>622</v>
      </c>
      <c r="J877">
        <v>0</v>
      </c>
      <c r="K877">
        <v>11</v>
      </c>
      <c r="L877" s="4">
        <v>0.249386957733857</v>
      </c>
      <c r="M877" s="4">
        <v>0.750613042266143</v>
      </c>
      <c r="N877">
        <v>0</v>
      </c>
    </row>
    <row r="878" spans="1:14" x14ac:dyDescent="0.25">
      <c r="A878" s="2"/>
      <c r="B878" t="s">
        <v>2343</v>
      </c>
      <c r="C878" t="s">
        <v>16</v>
      </c>
      <c r="D878" t="s">
        <v>530</v>
      </c>
      <c r="E878" t="s">
        <v>2338</v>
      </c>
      <c r="F878" t="s">
        <v>2339</v>
      </c>
      <c r="G878" t="s">
        <v>2344</v>
      </c>
      <c r="H878" s="3">
        <v>1290.23</v>
      </c>
      <c r="I878">
        <v>122</v>
      </c>
      <c r="J878">
        <v>1</v>
      </c>
      <c r="L878" s="4">
        <v>0.66670924418078004</v>
      </c>
      <c r="M878" s="4">
        <v>0.33329075581922102</v>
      </c>
      <c r="N878">
        <v>0</v>
      </c>
    </row>
    <row r="879" spans="1:14" x14ac:dyDescent="0.25">
      <c r="A879" s="2"/>
      <c r="B879" t="s">
        <v>2345</v>
      </c>
      <c r="C879" t="s">
        <v>16</v>
      </c>
      <c r="D879" t="s">
        <v>530</v>
      </c>
      <c r="E879" t="s">
        <v>2338</v>
      </c>
      <c r="F879" t="s">
        <v>2339</v>
      </c>
      <c r="G879" t="s">
        <v>2346</v>
      </c>
      <c r="H879" s="3">
        <v>1508.97</v>
      </c>
      <c r="I879">
        <v>517</v>
      </c>
      <c r="J879">
        <v>1</v>
      </c>
      <c r="K879">
        <v>50</v>
      </c>
      <c r="L879" s="4">
        <v>0.65666975259723304</v>
      </c>
      <c r="M879" s="4">
        <v>0.34333024740276702</v>
      </c>
      <c r="N879">
        <v>0</v>
      </c>
    </row>
    <row r="880" spans="1:14" x14ac:dyDescent="0.25">
      <c r="A880" s="2"/>
      <c r="B880" t="s">
        <v>2347</v>
      </c>
      <c r="C880" t="s">
        <v>16</v>
      </c>
      <c r="D880" t="s">
        <v>530</v>
      </c>
      <c r="E880" t="s">
        <v>2338</v>
      </c>
      <c r="F880" t="s">
        <v>2339</v>
      </c>
      <c r="G880" t="s">
        <v>2348</v>
      </c>
      <c r="H880" s="3">
        <v>1521.32</v>
      </c>
      <c r="J880">
        <v>1</v>
      </c>
      <c r="K880">
        <v>20</v>
      </c>
      <c r="L880" s="4">
        <v>0.49538180616887201</v>
      </c>
      <c r="M880" s="4">
        <v>0.50461819383112905</v>
      </c>
      <c r="N880">
        <v>0</v>
      </c>
    </row>
    <row r="881" spans="1:14" x14ac:dyDescent="0.25">
      <c r="A881" s="2"/>
      <c r="B881" t="s">
        <v>2349</v>
      </c>
      <c r="C881" t="s">
        <v>16</v>
      </c>
      <c r="D881" t="s">
        <v>530</v>
      </c>
      <c r="E881" t="s">
        <v>2338</v>
      </c>
      <c r="F881" t="s">
        <v>2339</v>
      </c>
      <c r="G881" t="s">
        <v>2350</v>
      </c>
      <c r="H881" s="3">
        <v>1334.16</v>
      </c>
      <c r="I881">
        <v>362</v>
      </c>
      <c r="J881">
        <v>0</v>
      </c>
      <c r="K881">
        <v>39</v>
      </c>
      <c r="L881" s="4">
        <v>9.8352231381879499E-2</v>
      </c>
      <c r="M881" s="4">
        <v>0.90164776861812101</v>
      </c>
      <c r="N881">
        <v>0</v>
      </c>
    </row>
    <row r="882" spans="1:14" x14ac:dyDescent="0.25">
      <c r="A882" s="2"/>
      <c r="B882" t="s">
        <v>2351</v>
      </c>
      <c r="C882" t="s">
        <v>16</v>
      </c>
      <c r="D882" t="s">
        <v>2352</v>
      </c>
      <c r="E882" t="s">
        <v>2353</v>
      </c>
      <c r="F882" t="s">
        <v>2354</v>
      </c>
      <c r="G882" t="s">
        <v>2355</v>
      </c>
      <c r="H882" s="3">
        <v>2350</v>
      </c>
      <c r="I882">
        <v>178</v>
      </c>
      <c r="J882">
        <v>1</v>
      </c>
      <c r="K882">
        <v>2</v>
      </c>
      <c r="L882" s="4">
        <v>0.67114195310374103</v>
      </c>
      <c r="M882" s="4">
        <v>0.32885804689625903</v>
      </c>
      <c r="N882">
        <v>0</v>
      </c>
    </row>
    <row r="883" spans="1:14" x14ac:dyDescent="0.25">
      <c r="A883" s="2">
        <v>23704353</v>
      </c>
      <c r="B883" t="s">
        <v>2356</v>
      </c>
      <c r="C883" t="s">
        <v>31</v>
      </c>
      <c r="D883" t="s">
        <v>525</v>
      </c>
      <c r="E883" t="s">
        <v>2357</v>
      </c>
      <c r="F883" t="s">
        <v>2358</v>
      </c>
      <c r="G883" t="s">
        <v>2359</v>
      </c>
      <c r="H883" s="3">
        <v>2400</v>
      </c>
      <c r="I883">
        <v>687</v>
      </c>
      <c r="J883">
        <v>1</v>
      </c>
      <c r="K883">
        <v>42</v>
      </c>
      <c r="L883" s="4">
        <v>0.59597435379524899</v>
      </c>
      <c r="M883" s="4">
        <v>0.40402564620475101</v>
      </c>
      <c r="N883">
        <v>0</v>
      </c>
    </row>
    <row r="884" spans="1:14" x14ac:dyDescent="0.25">
      <c r="A884" s="2"/>
      <c r="B884" t="s">
        <v>2360</v>
      </c>
      <c r="C884" t="s">
        <v>16</v>
      </c>
      <c r="D884" t="s">
        <v>328</v>
      </c>
      <c r="E884" t="s">
        <v>2361</v>
      </c>
      <c r="F884" t="s">
        <v>2362</v>
      </c>
      <c r="G884" t="s">
        <v>2363</v>
      </c>
      <c r="H884" s="3">
        <v>1250.6600000000001</v>
      </c>
      <c r="I884">
        <v>615</v>
      </c>
      <c r="J884">
        <v>0</v>
      </c>
      <c r="K884">
        <v>11</v>
      </c>
      <c r="L884" s="4">
        <v>0.71756668407344404</v>
      </c>
      <c r="M884" s="4">
        <v>0.28243331592655602</v>
      </c>
      <c r="N884">
        <v>0</v>
      </c>
    </row>
    <row r="885" spans="1:14" x14ac:dyDescent="0.25">
      <c r="A885" s="2"/>
      <c r="B885" t="s">
        <v>2364</v>
      </c>
      <c r="C885" t="s">
        <v>16</v>
      </c>
      <c r="D885" t="s">
        <v>191</v>
      </c>
      <c r="E885" t="s">
        <v>2365</v>
      </c>
      <c r="F885" t="s">
        <v>2366</v>
      </c>
      <c r="G885" t="s">
        <v>2367</v>
      </c>
      <c r="H885" s="3">
        <v>1926.45</v>
      </c>
      <c r="I885">
        <v>647</v>
      </c>
      <c r="J885">
        <v>0</v>
      </c>
      <c r="L885" s="4">
        <v>0.38064919707205602</v>
      </c>
      <c r="M885" s="4">
        <v>0.61935080292794498</v>
      </c>
      <c r="N885">
        <v>0</v>
      </c>
    </row>
    <row r="886" spans="1:14" x14ac:dyDescent="0.25">
      <c r="A886" s="2">
        <v>23319734</v>
      </c>
      <c r="B886" t="s">
        <v>2368</v>
      </c>
      <c r="C886" t="s">
        <v>31</v>
      </c>
      <c r="D886" t="s">
        <v>191</v>
      </c>
      <c r="E886" t="s">
        <v>2365</v>
      </c>
      <c r="F886" t="s">
        <v>2366</v>
      </c>
      <c r="G886" t="s">
        <v>2369</v>
      </c>
      <c r="H886" s="3">
        <v>772.13</v>
      </c>
      <c r="I886">
        <v>68</v>
      </c>
      <c r="J886">
        <v>1</v>
      </c>
      <c r="K886">
        <v>50</v>
      </c>
      <c r="L886" s="4">
        <v>0.71529883674466299</v>
      </c>
      <c r="M886" s="4">
        <v>0.28470116325533701</v>
      </c>
      <c r="N886">
        <v>0</v>
      </c>
    </row>
    <row r="887" spans="1:14" x14ac:dyDescent="0.25">
      <c r="A887" s="2"/>
      <c r="B887" t="s">
        <v>2370</v>
      </c>
      <c r="C887" t="s">
        <v>16</v>
      </c>
      <c r="D887" t="s">
        <v>110</v>
      </c>
      <c r="E887" t="s">
        <v>2371</v>
      </c>
      <c r="F887" t="s">
        <v>2372</v>
      </c>
      <c r="G887" t="s">
        <v>2373</v>
      </c>
      <c r="H887" s="3">
        <v>378.78</v>
      </c>
      <c r="I887">
        <v>160</v>
      </c>
      <c r="J887">
        <v>1</v>
      </c>
      <c r="K887">
        <v>30</v>
      </c>
      <c r="L887" s="4">
        <v>0.164605015238589</v>
      </c>
      <c r="M887" s="4">
        <v>0.83539498476141105</v>
      </c>
      <c r="N887">
        <v>0</v>
      </c>
    </row>
    <row r="888" spans="1:14" x14ac:dyDescent="0.25">
      <c r="A888" s="2">
        <v>23043264</v>
      </c>
      <c r="B888" t="s">
        <v>2374</v>
      </c>
      <c r="C888" t="s">
        <v>31</v>
      </c>
      <c r="D888" t="s">
        <v>22</v>
      </c>
      <c r="E888" t="s">
        <v>2375</v>
      </c>
      <c r="F888" t="s">
        <v>2376</v>
      </c>
      <c r="G888" t="s">
        <v>2377</v>
      </c>
      <c r="H888" s="3">
        <v>642.55999999999995</v>
      </c>
      <c r="I888">
        <v>997</v>
      </c>
      <c r="J888">
        <v>1</v>
      </c>
      <c r="L888" s="4">
        <v>0.34916966448888898</v>
      </c>
      <c r="M888" s="4">
        <v>0.65083033551111102</v>
      </c>
      <c r="N888">
        <v>0</v>
      </c>
    </row>
    <row r="889" spans="1:14" x14ac:dyDescent="0.25">
      <c r="A889" s="2">
        <v>23438330</v>
      </c>
      <c r="B889" t="s">
        <v>2378</v>
      </c>
      <c r="C889" t="s">
        <v>31</v>
      </c>
      <c r="D889" t="s">
        <v>22</v>
      </c>
      <c r="E889" t="s">
        <v>2375</v>
      </c>
      <c r="F889" t="s">
        <v>2376</v>
      </c>
      <c r="G889" t="s">
        <v>2379</v>
      </c>
      <c r="H889" s="3">
        <v>669.64</v>
      </c>
      <c r="I889">
        <v>910</v>
      </c>
      <c r="J889">
        <v>0</v>
      </c>
      <c r="K889">
        <v>10</v>
      </c>
      <c r="L889" s="4">
        <v>0.73230338822380803</v>
      </c>
      <c r="M889" s="4">
        <v>0.26769661177619197</v>
      </c>
      <c r="N889">
        <v>0</v>
      </c>
    </row>
    <row r="890" spans="1:14" x14ac:dyDescent="0.25">
      <c r="A890" s="2"/>
      <c r="B890" t="s">
        <v>2380</v>
      </c>
      <c r="C890" t="s">
        <v>16</v>
      </c>
      <c r="D890" t="s">
        <v>2381</v>
      </c>
      <c r="E890" t="s">
        <v>2375</v>
      </c>
      <c r="F890" t="s">
        <v>2376</v>
      </c>
      <c r="G890" t="s">
        <v>2382</v>
      </c>
      <c r="H890" s="3">
        <v>625.6</v>
      </c>
      <c r="I890">
        <v>228</v>
      </c>
      <c r="J890">
        <v>0</v>
      </c>
      <c r="K890">
        <v>11</v>
      </c>
      <c r="L890" s="4">
        <v>3.7952292205583202E-2</v>
      </c>
      <c r="M890" s="4">
        <v>0.96204770779441695</v>
      </c>
      <c r="N890">
        <v>0</v>
      </c>
    </row>
    <row r="891" spans="1:14" x14ac:dyDescent="0.25">
      <c r="A891" s="2"/>
      <c r="B891" t="s">
        <v>2383</v>
      </c>
      <c r="C891" t="s">
        <v>16</v>
      </c>
      <c r="D891" t="s">
        <v>2381</v>
      </c>
      <c r="E891" t="s">
        <v>2375</v>
      </c>
      <c r="F891" t="s">
        <v>2376</v>
      </c>
      <c r="G891" t="s">
        <v>2384</v>
      </c>
      <c r="H891" s="3">
        <v>1272.99</v>
      </c>
      <c r="I891">
        <v>478</v>
      </c>
      <c r="J891">
        <v>1</v>
      </c>
      <c r="K891">
        <v>3</v>
      </c>
      <c r="L891" s="4">
        <v>0.195558937838582</v>
      </c>
      <c r="M891" s="4">
        <v>0.80444106216141797</v>
      </c>
      <c r="N891">
        <v>0</v>
      </c>
    </row>
    <row r="892" spans="1:14" x14ac:dyDescent="0.25">
      <c r="A892" s="2"/>
      <c r="B892" t="s">
        <v>2385</v>
      </c>
      <c r="C892" t="s">
        <v>16</v>
      </c>
      <c r="D892" t="s">
        <v>2381</v>
      </c>
      <c r="E892" t="s">
        <v>2375</v>
      </c>
      <c r="F892" t="s">
        <v>2376</v>
      </c>
      <c r="G892" t="s">
        <v>2386</v>
      </c>
      <c r="H892" s="3">
        <v>1280.73</v>
      </c>
      <c r="J892">
        <v>0</v>
      </c>
      <c r="K892">
        <v>32</v>
      </c>
      <c r="L892" s="4">
        <v>4.03137353759047E-2</v>
      </c>
      <c r="M892" s="4">
        <v>0.95968626462409501</v>
      </c>
      <c r="N892">
        <v>0</v>
      </c>
    </row>
    <row r="893" spans="1:14" x14ac:dyDescent="0.25">
      <c r="A893" s="2"/>
      <c r="B893" t="s">
        <v>2387</v>
      </c>
      <c r="C893" t="s">
        <v>16</v>
      </c>
      <c r="D893" t="s">
        <v>2381</v>
      </c>
      <c r="E893" t="s">
        <v>2375</v>
      </c>
      <c r="F893" t="s">
        <v>2376</v>
      </c>
      <c r="G893" t="s">
        <v>2388</v>
      </c>
      <c r="H893" s="3">
        <v>1535.56</v>
      </c>
      <c r="I893">
        <v>24</v>
      </c>
      <c r="J893">
        <v>1</v>
      </c>
      <c r="K893">
        <v>47</v>
      </c>
      <c r="L893" s="4">
        <v>0.600404491122705</v>
      </c>
      <c r="M893" s="4">
        <v>0.399595508877295</v>
      </c>
      <c r="N893">
        <v>0</v>
      </c>
    </row>
    <row r="894" spans="1:14" x14ac:dyDescent="0.25">
      <c r="A894" s="2"/>
      <c r="B894" t="s">
        <v>2389</v>
      </c>
      <c r="C894" t="s">
        <v>16</v>
      </c>
      <c r="D894" t="s">
        <v>2390</v>
      </c>
      <c r="E894" t="s">
        <v>2391</v>
      </c>
      <c r="F894" t="s">
        <v>2392</v>
      </c>
      <c r="G894" t="s">
        <v>2393</v>
      </c>
      <c r="H894" s="3">
        <v>1303.21</v>
      </c>
      <c r="I894">
        <v>302</v>
      </c>
      <c r="J894">
        <v>1</v>
      </c>
      <c r="K894">
        <v>5</v>
      </c>
      <c r="L894" s="4">
        <v>0.44679510697437902</v>
      </c>
      <c r="M894" s="4">
        <v>0.55320489302562104</v>
      </c>
      <c r="N894">
        <v>0</v>
      </c>
    </row>
    <row r="895" spans="1:14" x14ac:dyDescent="0.25">
      <c r="A895" s="2"/>
      <c r="B895" t="s">
        <v>2394</v>
      </c>
      <c r="C895" t="s">
        <v>16</v>
      </c>
      <c r="D895" t="s">
        <v>17</v>
      </c>
      <c r="E895" t="s">
        <v>2395</v>
      </c>
      <c r="G895" t="s">
        <v>2396</v>
      </c>
      <c r="H895" s="3">
        <v>2264.1999999999998</v>
      </c>
      <c r="I895">
        <v>711</v>
      </c>
      <c r="J895">
        <v>0</v>
      </c>
      <c r="K895">
        <v>38</v>
      </c>
      <c r="L895" s="4">
        <v>0.16160249399587701</v>
      </c>
      <c r="M895" s="4">
        <v>0.83839750600412299</v>
      </c>
      <c r="N895">
        <v>0</v>
      </c>
    </row>
    <row r="896" spans="1:14" x14ac:dyDescent="0.25">
      <c r="A896" s="2">
        <v>23438216</v>
      </c>
      <c r="B896" t="s">
        <v>2397</v>
      </c>
      <c r="C896" t="s">
        <v>31</v>
      </c>
      <c r="D896" t="s">
        <v>22</v>
      </c>
      <c r="E896" t="s">
        <v>2398</v>
      </c>
      <c r="F896" t="s">
        <v>2399</v>
      </c>
      <c r="G896" t="s">
        <v>2400</v>
      </c>
      <c r="H896" s="3">
        <v>685.88</v>
      </c>
      <c r="I896">
        <v>359</v>
      </c>
      <c r="J896">
        <v>1</v>
      </c>
      <c r="K896">
        <v>7</v>
      </c>
      <c r="L896" s="4">
        <v>7.8039216457752095E-2</v>
      </c>
      <c r="M896" s="4">
        <v>0.92196078354224797</v>
      </c>
      <c r="N896">
        <v>0</v>
      </c>
    </row>
    <row r="897" spans="1:14" x14ac:dyDescent="0.25">
      <c r="A897" s="2">
        <v>23291110</v>
      </c>
      <c r="C897" t="s">
        <v>0</v>
      </c>
      <c r="D897" t="s">
        <v>17</v>
      </c>
      <c r="E897" t="s">
        <v>2401</v>
      </c>
      <c r="F897" t="s">
        <v>2402</v>
      </c>
      <c r="G897" t="s">
        <v>2403</v>
      </c>
      <c r="H897" s="3">
        <v>2322.5700000000002</v>
      </c>
      <c r="I897">
        <v>60</v>
      </c>
      <c r="J897">
        <v>0</v>
      </c>
      <c r="K897">
        <v>44</v>
      </c>
      <c r="L897" s="4">
        <v>0.89928651506179802</v>
      </c>
      <c r="M897" s="4">
        <v>0.10071348493820199</v>
      </c>
      <c r="N897">
        <v>0</v>
      </c>
    </row>
    <row r="898" spans="1:14" x14ac:dyDescent="0.25">
      <c r="A898" s="2"/>
      <c r="B898" t="s">
        <v>2404</v>
      </c>
      <c r="C898" t="s">
        <v>16</v>
      </c>
      <c r="D898" t="s">
        <v>45</v>
      </c>
      <c r="E898" t="s">
        <v>2405</v>
      </c>
      <c r="F898" t="s">
        <v>2406</v>
      </c>
      <c r="G898" t="s">
        <v>2407</v>
      </c>
      <c r="H898" s="3">
        <v>746.9</v>
      </c>
      <c r="I898">
        <v>27</v>
      </c>
      <c r="J898">
        <v>0</v>
      </c>
      <c r="K898">
        <v>7</v>
      </c>
      <c r="L898" s="4">
        <v>0.90866700248444998</v>
      </c>
      <c r="M898" s="4">
        <v>9.1332997515549602E-2</v>
      </c>
      <c r="N898">
        <v>0</v>
      </c>
    </row>
    <row r="899" spans="1:14" x14ac:dyDescent="0.25">
      <c r="A899" s="2"/>
      <c r="B899" t="s">
        <v>2408</v>
      </c>
      <c r="C899" t="s">
        <v>16</v>
      </c>
      <c r="D899" t="s">
        <v>121</v>
      </c>
      <c r="E899" t="s">
        <v>2409</v>
      </c>
      <c r="F899" t="s">
        <v>2410</v>
      </c>
      <c r="G899" t="s">
        <v>2411</v>
      </c>
      <c r="H899" s="3">
        <v>1375.8</v>
      </c>
      <c r="I899">
        <v>410</v>
      </c>
      <c r="J899">
        <v>0</v>
      </c>
      <c r="K899">
        <v>42</v>
      </c>
      <c r="L899" s="4">
        <v>0.87029058096694401</v>
      </c>
      <c r="M899" s="4">
        <v>0.12970941903305599</v>
      </c>
      <c r="N899">
        <v>0</v>
      </c>
    </row>
    <row r="900" spans="1:14" x14ac:dyDescent="0.25">
      <c r="A900" s="2"/>
      <c r="B900" t="s">
        <v>2412</v>
      </c>
      <c r="C900" t="s">
        <v>16</v>
      </c>
      <c r="D900" t="s">
        <v>2307</v>
      </c>
      <c r="E900" t="s">
        <v>2413</v>
      </c>
      <c r="F900" t="s">
        <v>2414</v>
      </c>
      <c r="G900" t="s">
        <v>2415</v>
      </c>
      <c r="H900" s="3">
        <v>952.45</v>
      </c>
      <c r="I900">
        <v>949</v>
      </c>
      <c r="J900">
        <v>0</v>
      </c>
      <c r="K900">
        <v>9</v>
      </c>
      <c r="L900" s="4">
        <v>0.496049109185141</v>
      </c>
      <c r="M900" s="4">
        <v>0.503950890814859</v>
      </c>
      <c r="N900">
        <v>0</v>
      </c>
    </row>
    <row r="901" spans="1:14" x14ac:dyDescent="0.25">
      <c r="A901" s="2">
        <v>23443656</v>
      </c>
      <c r="C901" t="s">
        <v>0</v>
      </c>
      <c r="D901" t="s">
        <v>530</v>
      </c>
      <c r="E901" t="s">
        <v>2338</v>
      </c>
      <c r="F901" t="s">
        <v>2416</v>
      </c>
      <c r="G901" t="s">
        <v>2417</v>
      </c>
      <c r="H901" s="3">
        <v>381.04</v>
      </c>
      <c r="I901">
        <v>626</v>
      </c>
      <c r="J901">
        <v>0</v>
      </c>
      <c r="K901">
        <v>17</v>
      </c>
      <c r="L901" s="4">
        <v>0.66731542656016596</v>
      </c>
      <c r="M901" s="4">
        <v>0.33268457343983399</v>
      </c>
      <c r="N901">
        <v>0</v>
      </c>
    </row>
    <row r="902" spans="1:14" x14ac:dyDescent="0.25">
      <c r="A902" s="2">
        <v>23166325</v>
      </c>
      <c r="C902" t="s">
        <v>0</v>
      </c>
      <c r="D902" t="s">
        <v>328</v>
      </c>
      <c r="E902" t="s">
        <v>2338</v>
      </c>
      <c r="F902" t="s">
        <v>2416</v>
      </c>
      <c r="G902" t="s">
        <v>2418</v>
      </c>
      <c r="H902" s="3">
        <v>1035</v>
      </c>
      <c r="I902">
        <v>125</v>
      </c>
      <c r="J902">
        <v>0</v>
      </c>
      <c r="K902">
        <v>26</v>
      </c>
      <c r="L902" s="4">
        <v>0.71853729201434902</v>
      </c>
      <c r="M902" s="4">
        <v>0.28146270798565098</v>
      </c>
      <c r="N902">
        <v>0</v>
      </c>
    </row>
    <row r="903" spans="1:14" x14ac:dyDescent="0.25">
      <c r="A903" s="2"/>
      <c r="B903" t="s">
        <v>2419</v>
      </c>
      <c r="C903" t="s">
        <v>16</v>
      </c>
      <c r="D903" t="s">
        <v>530</v>
      </c>
      <c r="E903" t="s">
        <v>2338</v>
      </c>
      <c r="F903" t="s">
        <v>2416</v>
      </c>
      <c r="G903" t="s">
        <v>2420</v>
      </c>
      <c r="H903" s="3">
        <v>1255.58</v>
      </c>
      <c r="I903">
        <v>760</v>
      </c>
      <c r="J903">
        <v>0</v>
      </c>
      <c r="K903">
        <v>12</v>
      </c>
      <c r="L903" s="4">
        <v>0.79358894425292403</v>
      </c>
      <c r="M903" s="4">
        <v>0.20641105574707599</v>
      </c>
      <c r="N903">
        <v>0</v>
      </c>
    </row>
    <row r="904" spans="1:14" x14ac:dyDescent="0.25">
      <c r="A904" s="2"/>
      <c r="C904" t="s">
        <v>28</v>
      </c>
      <c r="D904" t="s">
        <v>113</v>
      </c>
      <c r="E904" t="s">
        <v>2421</v>
      </c>
      <c r="F904" t="s">
        <v>2422</v>
      </c>
      <c r="G904" t="s">
        <v>2423</v>
      </c>
      <c r="H904" s="3">
        <v>2034</v>
      </c>
      <c r="I904">
        <v>188</v>
      </c>
      <c r="J904">
        <v>1</v>
      </c>
      <c r="K904">
        <v>11</v>
      </c>
      <c r="L904" s="4">
        <v>0.57684276120946298</v>
      </c>
      <c r="M904" s="4">
        <v>0.42315723879053702</v>
      </c>
      <c r="N904">
        <v>0</v>
      </c>
    </row>
    <row r="905" spans="1:14" x14ac:dyDescent="0.25">
      <c r="A905" s="2"/>
      <c r="B905" t="s">
        <v>2424</v>
      </c>
      <c r="C905" t="s">
        <v>16</v>
      </c>
      <c r="D905" t="s">
        <v>333</v>
      </c>
      <c r="E905" t="s">
        <v>2361</v>
      </c>
      <c r="F905" t="s">
        <v>2362</v>
      </c>
      <c r="G905" t="s">
        <v>2425</v>
      </c>
      <c r="H905" s="3">
        <v>1364.47</v>
      </c>
      <c r="I905">
        <v>388</v>
      </c>
      <c r="J905">
        <v>1</v>
      </c>
      <c r="K905">
        <v>10</v>
      </c>
      <c r="L905" s="4">
        <v>0.56030182254905103</v>
      </c>
      <c r="M905" s="4">
        <v>0.43969817745094902</v>
      </c>
      <c r="N905">
        <v>0</v>
      </c>
    </row>
    <row r="906" spans="1:14" x14ac:dyDescent="0.25">
      <c r="A906" s="2"/>
      <c r="B906" t="s">
        <v>2426</v>
      </c>
      <c r="C906" t="s">
        <v>16</v>
      </c>
      <c r="D906" t="s">
        <v>530</v>
      </c>
      <c r="E906" t="s">
        <v>2338</v>
      </c>
      <c r="F906" t="s">
        <v>2427</v>
      </c>
      <c r="G906" t="s">
        <v>2428</v>
      </c>
      <c r="H906" s="3">
        <v>938.75</v>
      </c>
      <c r="I906">
        <v>922</v>
      </c>
      <c r="J906">
        <v>1</v>
      </c>
      <c r="L906" s="4">
        <v>0.52363600925518805</v>
      </c>
      <c r="M906" s="4">
        <v>0.476363990744812</v>
      </c>
      <c r="N906">
        <v>0</v>
      </c>
    </row>
    <row r="907" spans="1:14" x14ac:dyDescent="0.25">
      <c r="A907" s="2"/>
      <c r="C907" t="s">
        <v>28</v>
      </c>
      <c r="D907" t="s">
        <v>1508</v>
      </c>
      <c r="E907" t="s">
        <v>2429</v>
      </c>
      <c r="F907" t="s">
        <v>2430</v>
      </c>
      <c r="G907" t="s">
        <v>2431</v>
      </c>
      <c r="H907" s="3">
        <v>3602.41</v>
      </c>
      <c r="I907">
        <v>407</v>
      </c>
      <c r="J907">
        <v>0</v>
      </c>
      <c r="K907">
        <v>47</v>
      </c>
      <c r="L907" s="4">
        <v>0.41720846363563102</v>
      </c>
      <c r="M907" s="4">
        <v>0.58279153636436898</v>
      </c>
      <c r="N907">
        <v>0</v>
      </c>
    </row>
    <row r="908" spans="1:14" x14ac:dyDescent="0.25">
      <c r="A908" s="2"/>
      <c r="B908" t="s">
        <v>2432</v>
      </c>
      <c r="C908" t="s">
        <v>16</v>
      </c>
      <c r="D908" t="s">
        <v>406</v>
      </c>
      <c r="E908" t="s">
        <v>2433</v>
      </c>
      <c r="F908" t="s">
        <v>2434</v>
      </c>
      <c r="G908" t="s">
        <v>2435</v>
      </c>
      <c r="H908" s="3">
        <v>2534.5300000000002</v>
      </c>
      <c r="I908">
        <v>946</v>
      </c>
      <c r="J908">
        <v>0</v>
      </c>
      <c r="K908">
        <v>12</v>
      </c>
      <c r="L908" s="4">
        <v>0.14984268712336199</v>
      </c>
      <c r="M908" s="4">
        <v>0.85015731287663798</v>
      </c>
      <c r="N908">
        <v>0</v>
      </c>
    </row>
    <row r="909" spans="1:14" x14ac:dyDescent="0.25">
      <c r="A909" s="2">
        <v>23846567</v>
      </c>
      <c r="C909" t="s">
        <v>0</v>
      </c>
      <c r="D909" t="s">
        <v>121</v>
      </c>
      <c r="E909" t="s">
        <v>2409</v>
      </c>
      <c r="F909" t="s">
        <v>2436</v>
      </c>
      <c r="G909" t="s">
        <v>2437</v>
      </c>
      <c r="H909" s="3">
        <v>2034.75</v>
      </c>
      <c r="I909">
        <v>648</v>
      </c>
      <c r="J909">
        <v>0</v>
      </c>
      <c r="K909">
        <v>48</v>
      </c>
      <c r="L909" s="4">
        <v>0.49185148694583197</v>
      </c>
      <c r="M909" s="4">
        <v>0.50814851305416797</v>
      </c>
      <c r="N909">
        <v>0</v>
      </c>
    </row>
    <row r="910" spans="1:14" x14ac:dyDescent="0.25">
      <c r="A910" s="2"/>
      <c r="C910" t="s">
        <v>28</v>
      </c>
      <c r="D910" t="s">
        <v>121</v>
      </c>
      <c r="E910" t="s">
        <v>2409</v>
      </c>
      <c r="F910" t="s">
        <v>2410</v>
      </c>
      <c r="G910" t="s">
        <v>2438</v>
      </c>
      <c r="H910" s="3">
        <v>1836.92</v>
      </c>
      <c r="I910">
        <v>747</v>
      </c>
      <c r="K910">
        <v>1</v>
      </c>
      <c r="L910" s="4">
        <v>0.214450309824463</v>
      </c>
      <c r="M910" s="4">
        <v>0.785549690175537</v>
      </c>
      <c r="N910">
        <v>0</v>
      </c>
    </row>
    <row r="911" spans="1:14" x14ac:dyDescent="0.25">
      <c r="A911" s="2"/>
      <c r="B911" t="s">
        <v>2439</v>
      </c>
      <c r="C911" t="s">
        <v>16</v>
      </c>
      <c r="D911" t="s">
        <v>17</v>
      </c>
      <c r="E911" t="s">
        <v>2440</v>
      </c>
      <c r="F911" t="s">
        <v>2441</v>
      </c>
      <c r="G911" t="s">
        <v>2442</v>
      </c>
      <c r="H911" s="3">
        <v>2283.58</v>
      </c>
      <c r="I911">
        <v>278</v>
      </c>
      <c r="J911">
        <v>1</v>
      </c>
      <c r="K911">
        <v>24</v>
      </c>
      <c r="L911" s="4">
        <v>0.99570804957762804</v>
      </c>
      <c r="M911" s="4">
        <v>4.29195042237163E-3</v>
      </c>
      <c r="N911">
        <v>0</v>
      </c>
    </row>
    <row r="912" spans="1:14" x14ac:dyDescent="0.25">
      <c r="A912" s="2"/>
      <c r="B912" t="s">
        <v>2443</v>
      </c>
      <c r="C912" t="s">
        <v>16</v>
      </c>
      <c r="D912" t="s">
        <v>17</v>
      </c>
      <c r="E912" t="s">
        <v>2440</v>
      </c>
      <c r="F912" t="s">
        <v>2441</v>
      </c>
      <c r="G912" t="s">
        <v>2444</v>
      </c>
      <c r="H912" s="3">
        <v>2323.4899999999998</v>
      </c>
      <c r="I912">
        <v>190</v>
      </c>
      <c r="J912">
        <v>1</v>
      </c>
      <c r="K912">
        <v>9</v>
      </c>
      <c r="L912" s="4">
        <v>0.67898389842656803</v>
      </c>
      <c r="M912" s="4">
        <v>0.32101610157343202</v>
      </c>
      <c r="N912">
        <v>0</v>
      </c>
    </row>
    <row r="913" spans="1:14" x14ac:dyDescent="0.25">
      <c r="A913" s="2"/>
      <c r="B913" t="s">
        <v>2445</v>
      </c>
      <c r="C913" t="s">
        <v>16</v>
      </c>
      <c r="D913" t="s">
        <v>17</v>
      </c>
      <c r="E913" t="s">
        <v>2440</v>
      </c>
      <c r="F913" t="s">
        <v>2441</v>
      </c>
      <c r="G913" t="s">
        <v>2446</v>
      </c>
      <c r="H913" s="3">
        <v>2357.04</v>
      </c>
      <c r="I913">
        <v>523</v>
      </c>
      <c r="J913">
        <v>1</v>
      </c>
      <c r="K913">
        <v>17</v>
      </c>
      <c r="L913" s="4">
        <v>0.15390349433234901</v>
      </c>
      <c r="M913" s="4">
        <v>0.84609650566765104</v>
      </c>
      <c r="N913">
        <v>0</v>
      </c>
    </row>
    <row r="914" spans="1:14" x14ac:dyDescent="0.25">
      <c r="A914" s="2"/>
      <c r="B914" t="s">
        <v>2447</v>
      </c>
      <c r="C914" t="s">
        <v>16</v>
      </c>
      <c r="D914" t="s">
        <v>17</v>
      </c>
      <c r="E914" t="s">
        <v>2440</v>
      </c>
      <c r="F914" t="s">
        <v>2441</v>
      </c>
      <c r="G914" t="s">
        <v>2448</v>
      </c>
      <c r="H914" s="3">
        <v>1530.77</v>
      </c>
      <c r="I914">
        <v>692</v>
      </c>
      <c r="J914">
        <v>0</v>
      </c>
      <c r="K914">
        <v>35</v>
      </c>
      <c r="L914" s="4">
        <v>0.38944774632268098</v>
      </c>
      <c r="M914" s="4">
        <v>0.61055225367731902</v>
      </c>
      <c r="N914">
        <v>0</v>
      </c>
    </row>
    <row r="915" spans="1:14" x14ac:dyDescent="0.25">
      <c r="A915" s="2"/>
      <c r="B915" t="s">
        <v>2449</v>
      </c>
      <c r="C915" t="s">
        <v>16</v>
      </c>
      <c r="D915" t="s">
        <v>121</v>
      </c>
      <c r="E915" t="s">
        <v>2450</v>
      </c>
      <c r="G915" t="s">
        <v>2451</v>
      </c>
      <c r="H915" s="3">
        <v>2009.65</v>
      </c>
      <c r="I915">
        <v>891</v>
      </c>
      <c r="J915">
        <v>1</v>
      </c>
      <c r="K915">
        <v>31</v>
      </c>
      <c r="L915" s="4">
        <v>0.78675310015717503</v>
      </c>
      <c r="M915" s="4">
        <v>0.21324689984282499</v>
      </c>
      <c r="N915">
        <v>0</v>
      </c>
    </row>
    <row r="916" spans="1:14" x14ac:dyDescent="0.25">
      <c r="A916" s="2"/>
      <c r="B916" t="s">
        <v>2452</v>
      </c>
      <c r="C916" t="s">
        <v>16</v>
      </c>
      <c r="D916" t="s">
        <v>2317</v>
      </c>
      <c r="E916" t="s">
        <v>2453</v>
      </c>
      <c r="F916" t="s">
        <v>2454</v>
      </c>
      <c r="G916" t="s">
        <v>2455</v>
      </c>
      <c r="H916" s="3">
        <v>655.85</v>
      </c>
      <c r="I916">
        <v>73</v>
      </c>
      <c r="J916">
        <v>0</v>
      </c>
      <c r="K916">
        <v>34</v>
      </c>
      <c r="L916" s="4">
        <v>0.83139897604749402</v>
      </c>
      <c r="M916" s="4">
        <v>0.16860102395250601</v>
      </c>
      <c r="N916">
        <v>0</v>
      </c>
    </row>
    <row r="917" spans="1:14" x14ac:dyDescent="0.25">
      <c r="A917" s="2"/>
      <c r="B917" t="s">
        <v>2456</v>
      </c>
      <c r="C917" t="s">
        <v>16</v>
      </c>
      <c r="D917" t="s">
        <v>17</v>
      </c>
      <c r="E917" t="s">
        <v>2457</v>
      </c>
      <c r="F917" t="s">
        <v>2458</v>
      </c>
      <c r="G917" t="s">
        <v>2459</v>
      </c>
      <c r="H917" s="3">
        <v>2277.79</v>
      </c>
      <c r="I917">
        <v>659</v>
      </c>
      <c r="J917">
        <v>0</v>
      </c>
      <c r="K917">
        <v>37</v>
      </c>
      <c r="L917" s="4">
        <v>0.99466599743126105</v>
      </c>
      <c r="M917" s="4">
        <v>5.3340025687393898E-3</v>
      </c>
      <c r="N917">
        <v>0</v>
      </c>
    </row>
    <row r="918" spans="1:14" x14ac:dyDescent="0.25">
      <c r="A918" s="2"/>
      <c r="B918" t="s">
        <v>2460</v>
      </c>
      <c r="C918" t="s">
        <v>16</v>
      </c>
      <c r="D918" t="s">
        <v>17</v>
      </c>
      <c r="E918" t="s">
        <v>2457</v>
      </c>
      <c r="F918" t="s">
        <v>2458</v>
      </c>
      <c r="G918" t="s">
        <v>2461</v>
      </c>
      <c r="H918" s="3">
        <v>2277.8000000000002</v>
      </c>
      <c r="J918">
        <v>1</v>
      </c>
      <c r="K918">
        <v>21</v>
      </c>
      <c r="L918" s="4">
        <v>0.601635110013645</v>
      </c>
      <c r="M918" s="4">
        <v>0.398364889986355</v>
      </c>
      <c r="N918">
        <v>0</v>
      </c>
    </row>
    <row r="919" spans="1:14" x14ac:dyDescent="0.25">
      <c r="A919" s="2"/>
      <c r="B919" t="s">
        <v>2462</v>
      </c>
      <c r="C919" t="s">
        <v>16</v>
      </c>
      <c r="D919" t="s">
        <v>17</v>
      </c>
      <c r="E919" t="s">
        <v>2457</v>
      </c>
      <c r="F919" t="s">
        <v>2463</v>
      </c>
      <c r="G919" t="s">
        <v>2464</v>
      </c>
      <c r="H919" s="3">
        <v>1914.82</v>
      </c>
      <c r="I919">
        <v>566</v>
      </c>
      <c r="J919">
        <v>1</v>
      </c>
      <c r="K919">
        <v>40</v>
      </c>
      <c r="L919" s="4">
        <v>0.36632446692509002</v>
      </c>
      <c r="M919" s="4">
        <v>0.63367553307490998</v>
      </c>
      <c r="N919">
        <v>0</v>
      </c>
    </row>
    <row r="920" spans="1:14" x14ac:dyDescent="0.25">
      <c r="A920" s="2">
        <v>23806636</v>
      </c>
      <c r="C920" t="s">
        <v>0</v>
      </c>
      <c r="D920" t="s">
        <v>17</v>
      </c>
      <c r="E920" t="s">
        <v>2457</v>
      </c>
      <c r="F920" t="s">
        <v>2463</v>
      </c>
      <c r="G920" t="s">
        <v>2465</v>
      </c>
      <c r="H920" s="3">
        <v>2320.04</v>
      </c>
      <c r="I920">
        <v>669</v>
      </c>
      <c r="J920">
        <v>0</v>
      </c>
      <c r="K920">
        <v>9</v>
      </c>
      <c r="L920" s="4">
        <v>0.16889746041253101</v>
      </c>
      <c r="M920" s="4">
        <v>0.83110253958746905</v>
      </c>
      <c r="N920">
        <v>0</v>
      </c>
    </row>
    <row r="921" spans="1:14" x14ac:dyDescent="0.25">
      <c r="A921" s="2"/>
      <c r="C921" t="s">
        <v>28</v>
      </c>
      <c r="D921" t="s">
        <v>17</v>
      </c>
      <c r="E921" t="s">
        <v>2457</v>
      </c>
      <c r="F921" t="s">
        <v>2463</v>
      </c>
      <c r="G921" t="s">
        <v>2466</v>
      </c>
      <c r="H921" s="3">
        <v>2382.4899999999998</v>
      </c>
      <c r="J921">
        <v>0</v>
      </c>
      <c r="K921">
        <v>6</v>
      </c>
      <c r="L921" s="4">
        <v>0.77751524181964005</v>
      </c>
      <c r="M921" s="4">
        <v>0.22248475818036001</v>
      </c>
      <c r="N921">
        <v>0</v>
      </c>
    </row>
    <row r="922" spans="1:14" x14ac:dyDescent="0.25">
      <c r="A922" s="2"/>
      <c r="C922" t="s">
        <v>28</v>
      </c>
      <c r="D922" t="s">
        <v>2467</v>
      </c>
      <c r="E922" t="s">
        <v>2468</v>
      </c>
      <c r="F922" t="s">
        <v>2441</v>
      </c>
      <c r="G922" t="s">
        <v>2469</v>
      </c>
      <c r="H922" s="3">
        <v>780.25</v>
      </c>
      <c r="J922">
        <v>1</v>
      </c>
      <c r="K922">
        <v>42</v>
      </c>
      <c r="L922" s="4">
        <v>0.90567208884278505</v>
      </c>
      <c r="M922" s="4">
        <v>9.4327911157215505E-2</v>
      </c>
      <c r="N922">
        <v>0</v>
      </c>
    </row>
    <row r="923" spans="1:14" x14ac:dyDescent="0.25">
      <c r="A923" s="2"/>
      <c r="C923" t="s">
        <v>28</v>
      </c>
      <c r="D923" t="s">
        <v>17</v>
      </c>
      <c r="E923" t="s">
        <v>2470</v>
      </c>
      <c r="F923" t="s">
        <v>2471</v>
      </c>
      <c r="G923" t="s">
        <v>2472</v>
      </c>
      <c r="H923" s="3">
        <v>2470.0100000000002</v>
      </c>
      <c r="I923">
        <v>162</v>
      </c>
      <c r="J923">
        <v>1</v>
      </c>
      <c r="K923">
        <v>27</v>
      </c>
      <c r="L923" s="4">
        <v>0.33838020409453101</v>
      </c>
      <c r="M923" s="4">
        <v>0.66161979590546904</v>
      </c>
      <c r="N923">
        <v>0</v>
      </c>
    </row>
    <row r="924" spans="1:14" x14ac:dyDescent="0.25">
      <c r="A924" s="2">
        <v>23788479</v>
      </c>
      <c r="B924" t="s">
        <v>2473</v>
      </c>
      <c r="C924" t="s">
        <v>31</v>
      </c>
      <c r="D924" t="s">
        <v>110</v>
      </c>
      <c r="E924" t="s">
        <v>2474</v>
      </c>
      <c r="F924" t="s">
        <v>2475</v>
      </c>
      <c r="G924" t="s">
        <v>2476</v>
      </c>
      <c r="H924" s="3">
        <v>2400</v>
      </c>
      <c r="I924">
        <v>127</v>
      </c>
      <c r="J924">
        <v>1</v>
      </c>
      <c r="K924">
        <v>17</v>
      </c>
      <c r="L924" s="4">
        <v>0.62230703004005306</v>
      </c>
      <c r="M924" s="4">
        <v>0.377692969959947</v>
      </c>
      <c r="N924">
        <v>1029</v>
      </c>
    </row>
    <row r="925" spans="1:14" x14ac:dyDescent="0.25">
      <c r="A925" s="2"/>
      <c r="B925" t="s">
        <v>2477</v>
      </c>
      <c r="C925" t="s">
        <v>16</v>
      </c>
      <c r="D925" t="s">
        <v>110</v>
      </c>
      <c r="E925" t="s">
        <v>2474</v>
      </c>
      <c r="F925" t="s">
        <v>2475</v>
      </c>
      <c r="G925" t="s">
        <v>2478</v>
      </c>
      <c r="H925" s="3">
        <v>2040</v>
      </c>
      <c r="I925">
        <v>263</v>
      </c>
      <c r="J925">
        <v>1</v>
      </c>
      <c r="K925">
        <v>32</v>
      </c>
      <c r="L925" s="4">
        <v>0.43216330959347099</v>
      </c>
      <c r="M925" s="4">
        <v>0.56783669040652895</v>
      </c>
      <c r="N925">
        <v>0</v>
      </c>
    </row>
    <row r="926" spans="1:14" x14ac:dyDescent="0.25">
      <c r="A926" s="2"/>
      <c r="B926" t="s">
        <v>2479</v>
      </c>
      <c r="C926" t="s">
        <v>16</v>
      </c>
      <c r="D926" t="s">
        <v>45</v>
      </c>
      <c r="E926" t="s">
        <v>2480</v>
      </c>
      <c r="F926" t="s">
        <v>2475</v>
      </c>
      <c r="G926" t="s">
        <v>2481</v>
      </c>
      <c r="H926" s="3">
        <v>758.53</v>
      </c>
      <c r="I926">
        <v>414</v>
      </c>
      <c r="J926">
        <v>0</v>
      </c>
      <c r="K926">
        <v>44</v>
      </c>
      <c r="L926" s="4">
        <v>0.342527609637932</v>
      </c>
      <c r="M926" s="4">
        <v>0.65747239036206795</v>
      </c>
      <c r="N926">
        <v>0</v>
      </c>
    </row>
    <row r="927" spans="1:14" x14ac:dyDescent="0.25">
      <c r="A927" s="2"/>
      <c r="B927" t="s">
        <v>2482</v>
      </c>
      <c r="C927" t="s">
        <v>16</v>
      </c>
      <c r="D927" t="s">
        <v>2483</v>
      </c>
      <c r="E927" t="s">
        <v>2484</v>
      </c>
      <c r="F927" t="s">
        <v>2434</v>
      </c>
      <c r="G927" t="s">
        <v>2485</v>
      </c>
      <c r="H927" s="3">
        <v>1288</v>
      </c>
      <c r="J927">
        <v>0</v>
      </c>
      <c r="K927">
        <v>10</v>
      </c>
      <c r="L927" s="4">
        <v>0.88758469764571601</v>
      </c>
      <c r="M927" s="4">
        <v>0.112415302354284</v>
      </c>
      <c r="N927">
        <v>0</v>
      </c>
    </row>
    <row r="928" spans="1:14" x14ac:dyDescent="0.25">
      <c r="A928" s="2"/>
      <c r="B928" t="s">
        <v>2486</v>
      </c>
      <c r="C928" t="s">
        <v>16</v>
      </c>
      <c r="D928" t="s">
        <v>17</v>
      </c>
      <c r="E928" t="s">
        <v>2487</v>
      </c>
      <c r="F928" t="s">
        <v>2488</v>
      </c>
      <c r="G928" t="s">
        <v>2489</v>
      </c>
      <c r="H928" s="3">
        <v>2243.5500000000002</v>
      </c>
      <c r="J928">
        <v>0</v>
      </c>
      <c r="K928">
        <v>33</v>
      </c>
      <c r="L928" s="4">
        <v>0.84169464317226494</v>
      </c>
      <c r="M928" s="4">
        <v>0.158305356827735</v>
      </c>
      <c r="N928">
        <v>0</v>
      </c>
    </row>
    <row r="929" spans="1:14" x14ac:dyDescent="0.25">
      <c r="A929" s="2">
        <v>23748436</v>
      </c>
      <c r="C929" t="s">
        <v>0</v>
      </c>
      <c r="D929" t="s">
        <v>69</v>
      </c>
      <c r="E929" t="s">
        <v>2490</v>
      </c>
      <c r="F929" t="s">
        <v>2491</v>
      </c>
      <c r="G929" t="s">
        <v>2492</v>
      </c>
      <c r="H929" s="3">
        <v>2324.7600000000002</v>
      </c>
      <c r="I929">
        <v>334</v>
      </c>
      <c r="J929">
        <v>0</v>
      </c>
      <c r="K929">
        <v>4</v>
      </c>
      <c r="L929" s="4">
        <v>0.29724527133268103</v>
      </c>
      <c r="M929" s="4">
        <v>0.70275472866732003</v>
      </c>
      <c r="N929">
        <v>0</v>
      </c>
    </row>
    <row r="930" spans="1:14" x14ac:dyDescent="0.25">
      <c r="A930" s="2"/>
      <c r="B930" t="s">
        <v>2493</v>
      </c>
      <c r="C930" t="s">
        <v>16</v>
      </c>
      <c r="D930" t="s">
        <v>69</v>
      </c>
      <c r="E930" t="s">
        <v>2490</v>
      </c>
      <c r="F930" t="s">
        <v>2491</v>
      </c>
      <c r="G930" t="s">
        <v>2494</v>
      </c>
      <c r="H930" s="3">
        <v>2240.48</v>
      </c>
      <c r="I930">
        <v>457</v>
      </c>
      <c r="J930">
        <v>1</v>
      </c>
      <c r="K930">
        <v>5</v>
      </c>
      <c r="L930" s="4">
        <v>0.311101364602001</v>
      </c>
      <c r="M930" s="4">
        <v>0.688898635397999</v>
      </c>
      <c r="N930">
        <v>0</v>
      </c>
    </row>
    <row r="931" spans="1:14" x14ac:dyDescent="0.25">
      <c r="A931" s="2"/>
      <c r="B931" t="s">
        <v>2495</v>
      </c>
      <c r="C931" t="s">
        <v>16</v>
      </c>
      <c r="D931" t="s">
        <v>333</v>
      </c>
      <c r="E931" t="s">
        <v>2496</v>
      </c>
      <c r="F931" t="s">
        <v>2497</v>
      </c>
      <c r="G931" t="s">
        <v>2498</v>
      </c>
      <c r="H931" s="3">
        <v>1343.82</v>
      </c>
      <c r="I931">
        <v>112</v>
      </c>
      <c r="J931">
        <v>1</v>
      </c>
      <c r="K931">
        <v>40</v>
      </c>
      <c r="L931" s="4">
        <v>0.46983869124664701</v>
      </c>
      <c r="M931" s="4">
        <v>0.53016130875335299</v>
      </c>
      <c r="N931">
        <v>0</v>
      </c>
    </row>
    <row r="932" spans="1:14" x14ac:dyDescent="0.25">
      <c r="A932" s="2"/>
      <c r="B932" t="s">
        <v>2499</v>
      </c>
      <c r="C932" t="s">
        <v>16</v>
      </c>
      <c r="D932" t="s">
        <v>328</v>
      </c>
      <c r="E932" t="s">
        <v>2496</v>
      </c>
      <c r="F932" t="s">
        <v>2497</v>
      </c>
      <c r="G932" t="s">
        <v>2500</v>
      </c>
      <c r="H932" s="3">
        <v>2082.11</v>
      </c>
      <c r="I932">
        <v>594</v>
      </c>
      <c r="J932">
        <v>1</v>
      </c>
      <c r="K932">
        <v>43</v>
      </c>
      <c r="L932" s="4">
        <v>7.3073901524314299E-3</v>
      </c>
      <c r="M932" s="4">
        <v>0.99269260984756902</v>
      </c>
      <c r="N932">
        <v>0</v>
      </c>
    </row>
    <row r="933" spans="1:14" x14ac:dyDescent="0.25">
      <c r="A933" s="2"/>
      <c r="C933" t="s">
        <v>28</v>
      </c>
      <c r="D933" t="s">
        <v>17</v>
      </c>
      <c r="E933" t="s">
        <v>2501</v>
      </c>
      <c r="F933" t="s">
        <v>2502</v>
      </c>
      <c r="G933" t="s">
        <v>2503</v>
      </c>
      <c r="H933" s="3">
        <v>1442.64</v>
      </c>
      <c r="I933">
        <v>677</v>
      </c>
      <c r="J933">
        <v>1</v>
      </c>
      <c r="K933">
        <v>36</v>
      </c>
      <c r="L933" s="4">
        <v>0.181727295363703</v>
      </c>
      <c r="M933" s="4">
        <v>0.81827270463629698</v>
      </c>
      <c r="N933">
        <v>0</v>
      </c>
    </row>
    <row r="934" spans="1:14" x14ac:dyDescent="0.25">
      <c r="A934" s="2"/>
      <c r="B934" t="s">
        <v>2504</v>
      </c>
      <c r="C934" t="s">
        <v>16</v>
      </c>
      <c r="D934" t="s">
        <v>17</v>
      </c>
      <c r="E934" t="s">
        <v>2501</v>
      </c>
      <c r="F934" t="s">
        <v>2502</v>
      </c>
      <c r="G934" t="s">
        <v>2505</v>
      </c>
      <c r="H934" s="3">
        <v>2332.6</v>
      </c>
      <c r="I934">
        <v>926</v>
      </c>
      <c r="J934">
        <v>1</v>
      </c>
      <c r="K934">
        <v>29</v>
      </c>
      <c r="L934" s="4">
        <v>0.70366519844585795</v>
      </c>
      <c r="M934" s="4">
        <v>0.29633480155414199</v>
      </c>
      <c r="N934">
        <v>0</v>
      </c>
    </row>
    <row r="935" spans="1:14" x14ac:dyDescent="0.25">
      <c r="A935" s="2"/>
      <c r="B935" t="s">
        <v>2506</v>
      </c>
      <c r="C935" t="s">
        <v>16</v>
      </c>
      <c r="D935" t="s">
        <v>17</v>
      </c>
      <c r="E935" t="s">
        <v>2501</v>
      </c>
      <c r="F935" t="s">
        <v>2507</v>
      </c>
      <c r="G935" t="s">
        <v>2508</v>
      </c>
      <c r="H935" s="3">
        <v>2375.14</v>
      </c>
      <c r="I935">
        <v>905</v>
      </c>
      <c r="J935">
        <v>0</v>
      </c>
      <c r="K935">
        <v>15</v>
      </c>
      <c r="L935" s="4">
        <v>0.24400801818985399</v>
      </c>
      <c r="M935" s="4">
        <v>0.75599198181014604</v>
      </c>
      <c r="N935">
        <v>0</v>
      </c>
    </row>
    <row r="936" spans="1:14" x14ac:dyDescent="0.25">
      <c r="A936" s="2">
        <v>23575945</v>
      </c>
      <c r="C936" t="s">
        <v>0</v>
      </c>
      <c r="D936" t="s">
        <v>69</v>
      </c>
      <c r="E936" t="s">
        <v>2509</v>
      </c>
      <c r="F936" t="s">
        <v>2510</v>
      </c>
      <c r="G936" t="s">
        <v>2511</v>
      </c>
      <c r="H936" s="3">
        <v>2262.6799999999998</v>
      </c>
      <c r="I936">
        <v>747</v>
      </c>
      <c r="J936">
        <v>1</v>
      </c>
      <c r="K936">
        <v>20</v>
      </c>
      <c r="L936" s="4">
        <v>8.1493322868774795E-2</v>
      </c>
      <c r="M936" s="4">
        <v>0.91850667713122502</v>
      </c>
      <c r="N936">
        <v>0</v>
      </c>
    </row>
    <row r="937" spans="1:14" x14ac:dyDescent="0.25">
      <c r="A937" s="2"/>
      <c r="B937" t="s">
        <v>2512</v>
      </c>
      <c r="C937" t="s">
        <v>16</v>
      </c>
      <c r="D937" t="s">
        <v>69</v>
      </c>
      <c r="E937" t="s">
        <v>2513</v>
      </c>
      <c r="F937" t="s">
        <v>2514</v>
      </c>
      <c r="G937" t="s">
        <v>2515</v>
      </c>
      <c r="H937" s="3">
        <v>1938.26</v>
      </c>
      <c r="K937">
        <v>6</v>
      </c>
      <c r="L937" s="4">
        <v>0.83346416237467402</v>
      </c>
      <c r="M937" s="4">
        <v>0.16653583762532601</v>
      </c>
      <c r="N937">
        <v>0</v>
      </c>
    </row>
    <row r="938" spans="1:14" x14ac:dyDescent="0.25">
      <c r="A938" s="2">
        <v>23589301</v>
      </c>
      <c r="C938" t="s">
        <v>0</v>
      </c>
      <c r="D938" t="s">
        <v>530</v>
      </c>
      <c r="E938" t="s">
        <v>2338</v>
      </c>
      <c r="F938" t="s">
        <v>2339</v>
      </c>
      <c r="G938" t="s">
        <v>2516</v>
      </c>
      <c r="H938" s="3">
        <v>1055.07</v>
      </c>
      <c r="I938">
        <v>929</v>
      </c>
      <c r="J938">
        <v>0</v>
      </c>
      <c r="K938">
        <v>32</v>
      </c>
      <c r="L938" s="4">
        <v>0.96892215308032703</v>
      </c>
      <c r="M938" s="4">
        <v>3.10778469196729E-2</v>
      </c>
      <c r="N938">
        <v>0</v>
      </c>
    </row>
    <row r="939" spans="1:14" x14ac:dyDescent="0.25">
      <c r="A939" s="2">
        <v>22610094</v>
      </c>
      <c r="C939" t="s">
        <v>0</v>
      </c>
      <c r="D939" t="s">
        <v>530</v>
      </c>
      <c r="E939" t="s">
        <v>2338</v>
      </c>
      <c r="F939" t="s">
        <v>2339</v>
      </c>
      <c r="G939" t="s">
        <v>2517</v>
      </c>
      <c r="H939" s="3">
        <v>265.67</v>
      </c>
      <c r="K939">
        <v>46</v>
      </c>
      <c r="L939" s="4">
        <v>0.246301798698951</v>
      </c>
      <c r="M939" s="4">
        <v>0.75369820130104903</v>
      </c>
      <c r="N939">
        <v>0</v>
      </c>
    </row>
    <row r="940" spans="1:14" x14ac:dyDescent="0.25">
      <c r="A940" s="2"/>
      <c r="B940" t="s">
        <v>2518</v>
      </c>
      <c r="C940" t="s">
        <v>16</v>
      </c>
      <c r="D940" t="s">
        <v>530</v>
      </c>
      <c r="E940" t="s">
        <v>2338</v>
      </c>
      <c r="F940" t="s">
        <v>2339</v>
      </c>
      <c r="G940" t="s">
        <v>2519</v>
      </c>
      <c r="H940" s="3">
        <v>1100</v>
      </c>
      <c r="I940">
        <v>490</v>
      </c>
      <c r="J940">
        <v>1</v>
      </c>
      <c r="K940">
        <v>41</v>
      </c>
      <c r="L940" s="4">
        <v>0.57582904581549899</v>
      </c>
      <c r="M940" s="4">
        <v>0.42417095418450101</v>
      </c>
      <c r="N940">
        <v>0</v>
      </c>
    </row>
    <row r="941" spans="1:14" x14ac:dyDescent="0.25">
      <c r="A941" s="2">
        <v>23239883</v>
      </c>
      <c r="B941" t="s">
        <v>2520</v>
      </c>
      <c r="C941" t="s">
        <v>31</v>
      </c>
      <c r="D941" t="s">
        <v>530</v>
      </c>
      <c r="E941" t="s">
        <v>2338</v>
      </c>
      <c r="F941" t="s">
        <v>2339</v>
      </c>
      <c r="G941" t="s">
        <v>2521</v>
      </c>
      <c r="H941" s="3">
        <v>2259.64</v>
      </c>
      <c r="I941">
        <v>277</v>
      </c>
      <c r="J941">
        <v>0</v>
      </c>
      <c r="K941">
        <v>40</v>
      </c>
      <c r="L941" s="4">
        <v>2.1127198609880399E-3</v>
      </c>
      <c r="M941" s="4">
        <v>0.99788728013901196</v>
      </c>
      <c r="N941">
        <v>0</v>
      </c>
    </row>
    <row r="942" spans="1:14" x14ac:dyDescent="0.25">
      <c r="A942" s="2"/>
      <c r="B942" t="s">
        <v>2522</v>
      </c>
      <c r="C942" t="s">
        <v>16</v>
      </c>
      <c r="D942" t="s">
        <v>530</v>
      </c>
      <c r="E942" t="s">
        <v>2338</v>
      </c>
      <c r="F942" t="s">
        <v>2339</v>
      </c>
      <c r="G942" t="s">
        <v>2523</v>
      </c>
      <c r="H942" s="3">
        <v>955</v>
      </c>
      <c r="I942">
        <v>548</v>
      </c>
      <c r="J942">
        <v>1</v>
      </c>
      <c r="K942">
        <v>35</v>
      </c>
      <c r="L942" s="4">
        <v>0.42938385794649903</v>
      </c>
      <c r="M942" s="4">
        <v>0.57061614205350197</v>
      </c>
      <c r="N942">
        <v>0</v>
      </c>
    </row>
    <row r="943" spans="1:14" x14ac:dyDescent="0.25">
      <c r="A943" s="2"/>
      <c r="B943" t="s">
        <v>2524</v>
      </c>
      <c r="C943" t="s">
        <v>16</v>
      </c>
      <c r="D943" t="s">
        <v>530</v>
      </c>
      <c r="E943" t="s">
        <v>2338</v>
      </c>
      <c r="F943" t="s">
        <v>2339</v>
      </c>
      <c r="G943" t="s">
        <v>2525</v>
      </c>
      <c r="H943" s="3">
        <v>969.68</v>
      </c>
      <c r="I943">
        <v>129</v>
      </c>
      <c r="J943">
        <v>1</v>
      </c>
      <c r="K943">
        <v>39</v>
      </c>
      <c r="L943" s="4">
        <v>0.41013409641670701</v>
      </c>
      <c r="M943" s="4">
        <v>0.58986590358329305</v>
      </c>
      <c r="N943">
        <v>0</v>
      </c>
    </row>
    <row r="944" spans="1:14" x14ac:dyDescent="0.25">
      <c r="A944" s="2"/>
      <c r="B944" t="s">
        <v>2526</v>
      </c>
      <c r="C944" t="s">
        <v>16</v>
      </c>
      <c r="D944" t="s">
        <v>530</v>
      </c>
      <c r="E944" t="s">
        <v>2338</v>
      </c>
      <c r="F944" t="s">
        <v>2339</v>
      </c>
      <c r="G944" t="s">
        <v>2527</v>
      </c>
      <c r="H944" s="3">
        <v>1019.71</v>
      </c>
      <c r="J944">
        <v>1</v>
      </c>
      <c r="L944" s="4">
        <v>0.27870010244357901</v>
      </c>
      <c r="M944" s="4">
        <v>0.72129989755642099</v>
      </c>
      <c r="N944">
        <v>1798</v>
      </c>
    </row>
    <row r="945" spans="1:14" x14ac:dyDescent="0.25">
      <c r="A945" s="2">
        <v>22992744</v>
      </c>
      <c r="B945" t="s">
        <v>2528</v>
      </c>
      <c r="C945" t="s">
        <v>31</v>
      </c>
      <c r="D945" t="s">
        <v>530</v>
      </c>
      <c r="E945" t="s">
        <v>2338</v>
      </c>
      <c r="F945" t="s">
        <v>2339</v>
      </c>
      <c r="G945" t="s">
        <v>2529</v>
      </c>
      <c r="H945" s="3">
        <v>1119.6099999999999</v>
      </c>
      <c r="I945">
        <v>916</v>
      </c>
      <c r="J945">
        <v>0</v>
      </c>
      <c r="K945">
        <v>31</v>
      </c>
      <c r="L945" s="4">
        <v>0.33384186217730699</v>
      </c>
      <c r="M945" s="4">
        <v>0.66615813782269295</v>
      </c>
      <c r="N945">
        <v>0</v>
      </c>
    </row>
    <row r="946" spans="1:14" x14ac:dyDescent="0.25">
      <c r="A946" s="2"/>
      <c r="B946" t="s">
        <v>2530</v>
      </c>
      <c r="C946" t="s">
        <v>16</v>
      </c>
      <c r="D946" t="s">
        <v>530</v>
      </c>
      <c r="E946" t="s">
        <v>2338</v>
      </c>
      <c r="F946" t="s">
        <v>2339</v>
      </c>
      <c r="G946" t="s">
        <v>2531</v>
      </c>
      <c r="H946" s="3">
        <v>1131.01</v>
      </c>
      <c r="I946">
        <v>641</v>
      </c>
      <c r="J946">
        <v>1</v>
      </c>
      <c r="K946">
        <v>13</v>
      </c>
      <c r="L946" s="4">
        <v>0.346976479833639</v>
      </c>
      <c r="M946" s="4">
        <v>0.653023520166361</v>
      </c>
      <c r="N946">
        <v>0</v>
      </c>
    </row>
    <row r="947" spans="1:14" x14ac:dyDescent="0.25">
      <c r="A947" s="2"/>
      <c r="B947" t="s">
        <v>2532</v>
      </c>
      <c r="C947" t="s">
        <v>16</v>
      </c>
      <c r="D947" t="s">
        <v>530</v>
      </c>
      <c r="E947" t="s">
        <v>2338</v>
      </c>
      <c r="F947" t="s">
        <v>2339</v>
      </c>
      <c r="G947" t="s">
        <v>2533</v>
      </c>
      <c r="H947" s="3">
        <v>1137.51</v>
      </c>
      <c r="I947">
        <v>382</v>
      </c>
      <c r="J947">
        <v>0</v>
      </c>
      <c r="K947">
        <v>43</v>
      </c>
      <c r="L947" s="4">
        <v>0.50972035940869098</v>
      </c>
      <c r="M947" s="4">
        <v>0.49027964059130902</v>
      </c>
      <c r="N947">
        <v>0</v>
      </c>
    </row>
    <row r="948" spans="1:14" x14ac:dyDescent="0.25">
      <c r="A948" s="2">
        <v>23223336</v>
      </c>
      <c r="B948" t="s">
        <v>2534</v>
      </c>
      <c r="C948" t="s">
        <v>31</v>
      </c>
      <c r="D948" t="s">
        <v>530</v>
      </c>
      <c r="E948" t="s">
        <v>2338</v>
      </c>
      <c r="F948" t="s">
        <v>2339</v>
      </c>
      <c r="G948" t="s">
        <v>2535</v>
      </c>
      <c r="H948" s="3">
        <v>1152.72</v>
      </c>
      <c r="I948">
        <v>659</v>
      </c>
      <c r="J948">
        <v>1</v>
      </c>
      <c r="L948" s="4">
        <v>0.99718288796940902</v>
      </c>
      <c r="M948" s="4">
        <v>2.81711203059076E-3</v>
      </c>
      <c r="N948">
        <v>0</v>
      </c>
    </row>
    <row r="949" spans="1:14" x14ac:dyDescent="0.25">
      <c r="A949" s="2"/>
      <c r="B949" t="s">
        <v>2536</v>
      </c>
      <c r="C949" t="s">
        <v>16</v>
      </c>
      <c r="D949" t="s">
        <v>530</v>
      </c>
      <c r="E949" t="s">
        <v>2338</v>
      </c>
      <c r="F949" t="s">
        <v>2339</v>
      </c>
      <c r="G949" t="s">
        <v>2537</v>
      </c>
      <c r="H949" s="3">
        <v>1160.0899999999999</v>
      </c>
      <c r="I949">
        <v>1000</v>
      </c>
      <c r="J949">
        <v>0</v>
      </c>
      <c r="K949">
        <v>1</v>
      </c>
      <c r="L949" s="4">
        <v>0.62956995199346899</v>
      </c>
      <c r="M949" s="4">
        <v>0.37043004800653101</v>
      </c>
      <c r="N949">
        <v>0</v>
      </c>
    </row>
    <row r="950" spans="1:14" x14ac:dyDescent="0.25">
      <c r="A950" s="2"/>
      <c r="B950" t="s">
        <v>2538</v>
      </c>
      <c r="C950" t="s">
        <v>16</v>
      </c>
      <c r="D950" t="s">
        <v>530</v>
      </c>
      <c r="E950" t="s">
        <v>2338</v>
      </c>
      <c r="F950" t="s">
        <v>2339</v>
      </c>
      <c r="G950" t="s">
        <v>2539</v>
      </c>
      <c r="H950" s="3">
        <v>1166.8499999999999</v>
      </c>
      <c r="I950">
        <v>963</v>
      </c>
      <c r="J950">
        <v>0</v>
      </c>
      <c r="K950">
        <v>30</v>
      </c>
      <c r="L950" s="4">
        <v>3.8431096963014597E-2</v>
      </c>
      <c r="M950" s="4">
        <v>0.96156890303698495</v>
      </c>
      <c r="N950">
        <v>0</v>
      </c>
    </row>
    <row r="951" spans="1:14" x14ac:dyDescent="0.25">
      <c r="A951" s="2"/>
      <c r="B951" t="s">
        <v>2540</v>
      </c>
      <c r="C951" t="s">
        <v>16</v>
      </c>
      <c r="D951" t="s">
        <v>530</v>
      </c>
      <c r="E951" t="s">
        <v>2338</v>
      </c>
      <c r="F951" t="s">
        <v>2339</v>
      </c>
      <c r="G951" t="s">
        <v>2541</v>
      </c>
      <c r="H951" s="3">
        <v>1261.44</v>
      </c>
      <c r="I951">
        <v>545</v>
      </c>
      <c r="J951">
        <v>0</v>
      </c>
      <c r="K951">
        <v>16</v>
      </c>
      <c r="L951" s="4">
        <v>0.14423736293220299</v>
      </c>
      <c r="M951" s="4">
        <v>0.85576263706779698</v>
      </c>
      <c r="N951">
        <v>0</v>
      </c>
    </row>
    <row r="952" spans="1:14" x14ac:dyDescent="0.25">
      <c r="A952" s="2"/>
      <c r="B952" t="s">
        <v>2542</v>
      </c>
      <c r="C952" t="s">
        <v>16</v>
      </c>
      <c r="D952" t="s">
        <v>530</v>
      </c>
      <c r="E952" t="s">
        <v>2338</v>
      </c>
      <c r="F952" t="s">
        <v>2339</v>
      </c>
      <c r="G952" t="s">
        <v>2543</v>
      </c>
      <c r="H952" s="3">
        <v>1276.08</v>
      </c>
      <c r="I952">
        <v>60</v>
      </c>
      <c r="J952">
        <v>1</v>
      </c>
      <c r="K952">
        <v>43</v>
      </c>
      <c r="L952" s="4">
        <v>0.68408260465160897</v>
      </c>
      <c r="M952" s="4">
        <v>0.31591739534839097</v>
      </c>
      <c r="N952">
        <v>0</v>
      </c>
    </row>
    <row r="953" spans="1:14" x14ac:dyDescent="0.25">
      <c r="A953" s="2"/>
      <c r="B953" t="s">
        <v>2544</v>
      </c>
      <c r="C953" t="s">
        <v>16</v>
      </c>
      <c r="D953" t="s">
        <v>530</v>
      </c>
      <c r="E953" t="s">
        <v>2338</v>
      </c>
      <c r="F953" t="s">
        <v>2339</v>
      </c>
      <c r="G953" t="s">
        <v>2545</v>
      </c>
      <c r="H953" s="3">
        <v>1540</v>
      </c>
      <c r="I953">
        <v>137</v>
      </c>
      <c r="J953">
        <v>1</v>
      </c>
      <c r="K953">
        <v>29</v>
      </c>
      <c r="L953" s="4">
        <v>0.42524856181791698</v>
      </c>
      <c r="M953" s="4">
        <v>0.57475143818208296</v>
      </c>
      <c r="N953">
        <v>0</v>
      </c>
    </row>
    <row r="954" spans="1:14" x14ac:dyDescent="0.25">
      <c r="A954" s="2"/>
      <c r="B954" t="s">
        <v>2546</v>
      </c>
      <c r="C954" t="s">
        <v>16</v>
      </c>
      <c r="D954" t="s">
        <v>530</v>
      </c>
      <c r="E954" t="s">
        <v>2338</v>
      </c>
      <c r="F954" t="s">
        <v>2339</v>
      </c>
      <c r="G954" t="s">
        <v>2547</v>
      </c>
      <c r="H954" s="3">
        <v>1586.36</v>
      </c>
      <c r="I954">
        <v>119</v>
      </c>
      <c r="J954">
        <v>0</v>
      </c>
      <c r="L954" s="4">
        <v>0.961761691836861</v>
      </c>
      <c r="M954" s="4">
        <v>3.82383081631388E-2</v>
      </c>
      <c r="N954">
        <v>0</v>
      </c>
    </row>
    <row r="955" spans="1:14" x14ac:dyDescent="0.25">
      <c r="A955" s="2"/>
      <c r="B955" t="s">
        <v>2548</v>
      </c>
      <c r="C955" t="s">
        <v>16</v>
      </c>
      <c r="D955" t="s">
        <v>530</v>
      </c>
      <c r="E955" t="s">
        <v>2338</v>
      </c>
      <c r="F955" t="s">
        <v>2339</v>
      </c>
      <c r="G955" t="s">
        <v>2549</v>
      </c>
      <c r="H955" s="3">
        <v>1664.94</v>
      </c>
      <c r="I955">
        <v>864</v>
      </c>
      <c r="J955">
        <v>1</v>
      </c>
      <c r="K955">
        <v>2</v>
      </c>
      <c r="L955" s="4">
        <v>0.53047182623114797</v>
      </c>
      <c r="M955" s="4">
        <v>0.46952817376885297</v>
      </c>
      <c r="N955">
        <v>0</v>
      </c>
    </row>
    <row r="956" spans="1:14" x14ac:dyDescent="0.25">
      <c r="A956" s="2"/>
      <c r="B956" t="s">
        <v>2550</v>
      </c>
      <c r="C956" t="s">
        <v>16</v>
      </c>
      <c r="D956" t="s">
        <v>530</v>
      </c>
      <c r="E956" t="s">
        <v>2338</v>
      </c>
      <c r="F956" t="s">
        <v>2339</v>
      </c>
      <c r="G956" t="s">
        <v>2551</v>
      </c>
      <c r="H956" s="3">
        <v>1743.84</v>
      </c>
      <c r="I956">
        <v>236</v>
      </c>
      <c r="J956">
        <v>0</v>
      </c>
      <c r="K956">
        <v>10</v>
      </c>
      <c r="L956" s="4">
        <v>0.90233889260474198</v>
      </c>
      <c r="M956" s="4">
        <v>9.7661107395257699E-2</v>
      </c>
      <c r="N956">
        <v>0</v>
      </c>
    </row>
    <row r="957" spans="1:14" x14ac:dyDescent="0.25">
      <c r="A957" s="2">
        <v>23344959</v>
      </c>
      <c r="B957" t="s">
        <v>2552</v>
      </c>
      <c r="C957" t="s">
        <v>31</v>
      </c>
      <c r="D957" t="s">
        <v>530</v>
      </c>
      <c r="E957" t="s">
        <v>2338</v>
      </c>
      <c r="F957" t="s">
        <v>2339</v>
      </c>
      <c r="G957" t="s">
        <v>2553</v>
      </c>
      <c r="H957" s="3">
        <v>2501.0700000000002</v>
      </c>
      <c r="J957">
        <v>0</v>
      </c>
      <c r="K957">
        <v>48</v>
      </c>
      <c r="L957" s="4">
        <v>0.30434666733673299</v>
      </c>
      <c r="M957" s="4">
        <v>0.69565333266326701</v>
      </c>
      <c r="N957">
        <v>0</v>
      </c>
    </row>
    <row r="958" spans="1:14" x14ac:dyDescent="0.25">
      <c r="A958" s="2"/>
      <c r="B958" t="s">
        <v>2554</v>
      </c>
      <c r="C958" t="s">
        <v>16</v>
      </c>
      <c r="D958" t="s">
        <v>530</v>
      </c>
      <c r="E958" t="s">
        <v>2338</v>
      </c>
      <c r="F958" t="s">
        <v>2339</v>
      </c>
      <c r="G958" t="s">
        <v>2555</v>
      </c>
      <c r="H958" s="3">
        <v>917.5</v>
      </c>
      <c r="I958">
        <v>681</v>
      </c>
      <c r="J958">
        <v>1</v>
      </c>
      <c r="K958">
        <v>7</v>
      </c>
      <c r="L958" s="4">
        <v>0.82792045536466796</v>
      </c>
      <c r="M958" s="4">
        <v>0.17207954463533201</v>
      </c>
      <c r="N958">
        <v>0</v>
      </c>
    </row>
    <row r="959" spans="1:14" x14ac:dyDescent="0.25">
      <c r="A959" s="2"/>
      <c r="B959" t="s">
        <v>2556</v>
      </c>
      <c r="C959" t="s">
        <v>16</v>
      </c>
      <c r="D959" t="s">
        <v>530</v>
      </c>
      <c r="E959" t="s">
        <v>2338</v>
      </c>
      <c r="F959" t="s">
        <v>2339</v>
      </c>
      <c r="G959" t="s">
        <v>2557</v>
      </c>
      <c r="H959" s="3">
        <v>929.31</v>
      </c>
      <c r="I959">
        <v>659</v>
      </c>
      <c r="J959">
        <v>1</v>
      </c>
      <c r="K959">
        <v>8</v>
      </c>
      <c r="L959" s="4">
        <v>0.121667167532568</v>
      </c>
      <c r="M959" s="4">
        <v>0.87833283246743199</v>
      </c>
      <c r="N959">
        <v>0</v>
      </c>
    </row>
    <row r="960" spans="1:14" x14ac:dyDescent="0.25">
      <c r="A960" s="2"/>
      <c r="B960" t="s">
        <v>2558</v>
      </c>
      <c r="C960" t="s">
        <v>16</v>
      </c>
      <c r="D960" t="s">
        <v>530</v>
      </c>
      <c r="E960" t="s">
        <v>2338</v>
      </c>
      <c r="F960" t="s">
        <v>2339</v>
      </c>
      <c r="G960" t="s">
        <v>2559</v>
      </c>
      <c r="H960" s="3">
        <v>992.01</v>
      </c>
      <c r="I960">
        <v>862</v>
      </c>
      <c r="J960">
        <v>0</v>
      </c>
      <c r="K960">
        <v>21</v>
      </c>
      <c r="L960" s="4">
        <v>8.7330508018849506E-2</v>
      </c>
      <c r="M960" s="4">
        <v>0.91266949198115099</v>
      </c>
      <c r="N960">
        <v>0</v>
      </c>
    </row>
    <row r="961" spans="1:14" x14ac:dyDescent="0.25">
      <c r="A961" s="2">
        <v>23129765</v>
      </c>
      <c r="B961" t="s">
        <v>2560</v>
      </c>
      <c r="C961" t="s">
        <v>31</v>
      </c>
      <c r="D961" t="s">
        <v>530</v>
      </c>
      <c r="E961" t="s">
        <v>2338</v>
      </c>
      <c r="F961" t="s">
        <v>2339</v>
      </c>
      <c r="G961" t="s">
        <v>2561</v>
      </c>
      <c r="H961" s="3">
        <v>1134.5</v>
      </c>
      <c r="I961">
        <v>321</v>
      </c>
      <c r="J961">
        <v>0</v>
      </c>
      <c r="K961">
        <v>17</v>
      </c>
      <c r="L961" s="4">
        <v>0.68304247442335597</v>
      </c>
      <c r="M961" s="4">
        <v>0.31695752557664397</v>
      </c>
      <c r="N961">
        <v>0</v>
      </c>
    </row>
    <row r="962" spans="1:14" x14ac:dyDescent="0.25">
      <c r="A962" s="2"/>
      <c r="B962" t="s">
        <v>2562</v>
      </c>
      <c r="C962" t="s">
        <v>16</v>
      </c>
      <c r="D962" t="s">
        <v>530</v>
      </c>
      <c r="E962" t="s">
        <v>2338</v>
      </c>
      <c r="F962" t="s">
        <v>2339</v>
      </c>
      <c r="G962" t="s">
        <v>2563</v>
      </c>
      <c r="H962" s="3">
        <v>1150.5999999999999</v>
      </c>
      <c r="I962">
        <v>370</v>
      </c>
      <c r="J962">
        <v>0</v>
      </c>
      <c r="K962">
        <v>48</v>
      </c>
      <c r="L962" s="4">
        <v>0.24986068482851101</v>
      </c>
      <c r="M962" s="4">
        <v>0.75013931517148902</v>
      </c>
      <c r="N962">
        <v>0</v>
      </c>
    </row>
    <row r="963" spans="1:14" x14ac:dyDescent="0.25">
      <c r="A963" s="2"/>
      <c r="B963" t="s">
        <v>2564</v>
      </c>
      <c r="C963" t="s">
        <v>16</v>
      </c>
      <c r="D963" t="s">
        <v>530</v>
      </c>
      <c r="E963" t="s">
        <v>2338</v>
      </c>
      <c r="F963" t="s">
        <v>2339</v>
      </c>
      <c r="G963" t="s">
        <v>2565</v>
      </c>
      <c r="H963" s="3">
        <v>1225.26</v>
      </c>
      <c r="I963">
        <v>236</v>
      </c>
      <c r="J963">
        <v>0</v>
      </c>
      <c r="K963">
        <v>32</v>
      </c>
      <c r="L963" s="4">
        <v>0.58874818929700801</v>
      </c>
      <c r="M963" s="4">
        <v>0.41125181070299199</v>
      </c>
      <c r="N963">
        <v>0</v>
      </c>
    </row>
    <row r="964" spans="1:14" x14ac:dyDescent="0.25">
      <c r="A964" s="2"/>
      <c r="B964" t="s">
        <v>2566</v>
      </c>
      <c r="C964" t="s">
        <v>16</v>
      </c>
      <c r="D964" t="s">
        <v>530</v>
      </c>
      <c r="E964" t="s">
        <v>2338</v>
      </c>
      <c r="F964" t="s">
        <v>2339</v>
      </c>
      <c r="G964" t="s">
        <v>2567</v>
      </c>
      <c r="H964" s="3">
        <v>1246.42</v>
      </c>
      <c r="I964">
        <v>704</v>
      </c>
      <c r="J964">
        <v>0</v>
      </c>
      <c r="K964">
        <v>3</v>
      </c>
      <c r="L964" s="4">
        <v>5.51299224447565E-2</v>
      </c>
      <c r="M964" s="4">
        <v>0.94487007755524399</v>
      </c>
      <c r="N964">
        <v>0</v>
      </c>
    </row>
    <row r="965" spans="1:14" x14ac:dyDescent="0.25">
      <c r="A965" s="2"/>
      <c r="B965" t="s">
        <v>2568</v>
      </c>
      <c r="C965" t="s">
        <v>16</v>
      </c>
      <c r="D965" t="s">
        <v>530</v>
      </c>
      <c r="E965" t="s">
        <v>2338</v>
      </c>
      <c r="F965" t="s">
        <v>2339</v>
      </c>
      <c r="G965" t="s">
        <v>2569</v>
      </c>
      <c r="H965" s="3">
        <v>1246.76</v>
      </c>
      <c r="J965">
        <v>1</v>
      </c>
      <c r="K965">
        <v>23</v>
      </c>
      <c r="L965" s="4">
        <v>0.14062782314297601</v>
      </c>
      <c r="M965" s="4">
        <v>0.85937217685702405</v>
      </c>
      <c r="N965">
        <v>0</v>
      </c>
    </row>
    <row r="966" spans="1:14" x14ac:dyDescent="0.25">
      <c r="A966" s="2"/>
      <c r="C966" t="s">
        <v>28</v>
      </c>
      <c r="D966" t="s">
        <v>530</v>
      </c>
      <c r="E966" t="s">
        <v>2338</v>
      </c>
      <c r="F966" t="s">
        <v>2339</v>
      </c>
      <c r="G966" t="s">
        <v>2570</v>
      </c>
      <c r="H966" s="3">
        <v>1260.9000000000001</v>
      </c>
      <c r="I966">
        <v>469</v>
      </c>
      <c r="J966">
        <v>1</v>
      </c>
      <c r="K966">
        <v>26</v>
      </c>
      <c r="L966" s="4">
        <v>0.63314350393018803</v>
      </c>
      <c r="M966" s="4">
        <v>0.36685649606981202</v>
      </c>
      <c r="N966">
        <v>0</v>
      </c>
    </row>
    <row r="967" spans="1:14" x14ac:dyDescent="0.25">
      <c r="A967" s="2"/>
      <c r="B967" t="s">
        <v>2571</v>
      </c>
      <c r="C967" t="s">
        <v>16</v>
      </c>
      <c r="D967" t="s">
        <v>530</v>
      </c>
      <c r="E967" t="s">
        <v>2338</v>
      </c>
      <c r="F967" t="s">
        <v>2339</v>
      </c>
      <c r="G967" t="s">
        <v>2572</v>
      </c>
      <c r="H967" s="3">
        <v>1276.08</v>
      </c>
      <c r="I967">
        <v>528</v>
      </c>
      <c r="J967">
        <v>0</v>
      </c>
      <c r="K967">
        <v>9</v>
      </c>
      <c r="L967" s="4">
        <v>0.93588153609070801</v>
      </c>
      <c r="M967" s="4">
        <v>6.4118463909291795E-2</v>
      </c>
      <c r="N967">
        <v>0</v>
      </c>
    </row>
    <row r="968" spans="1:14" x14ac:dyDescent="0.25">
      <c r="A968" s="2"/>
      <c r="B968" t="s">
        <v>2573</v>
      </c>
      <c r="C968" t="s">
        <v>16</v>
      </c>
      <c r="D968" t="s">
        <v>530</v>
      </c>
      <c r="E968" t="s">
        <v>2338</v>
      </c>
      <c r="F968" t="s">
        <v>2339</v>
      </c>
      <c r="G968" t="s">
        <v>2574</v>
      </c>
      <c r="H968" s="3">
        <v>1286.8599999999999</v>
      </c>
      <c r="I968">
        <v>321</v>
      </c>
      <c r="J968">
        <v>1</v>
      </c>
      <c r="K968">
        <v>11</v>
      </c>
      <c r="L968" s="4">
        <v>0.10006413658197801</v>
      </c>
      <c r="M968" s="4">
        <v>0.89993586341802201</v>
      </c>
      <c r="N968">
        <v>0</v>
      </c>
    </row>
    <row r="969" spans="1:14" x14ac:dyDescent="0.25">
      <c r="A969" s="2"/>
      <c r="B969" t="s">
        <v>2575</v>
      </c>
      <c r="C969" t="s">
        <v>16</v>
      </c>
      <c r="D969" t="s">
        <v>530</v>
      </c>
      <c r="E969" t="s">
        <v>2338</v>
      </c>
      <c r="F969" t="s">
        <v>2339</v>
      </c>
      <c r="G969" t="s">
        <v>2576</v>
      </c>
      <c r="H969" s="3">
        <v>1287.75</v>
      </c>
      <c r="I969">
        <v>447</v>
      </c>
      <c r="J969">
        <v>1</v>
      </c>
      <c r="K969">
        <v>40</v>
      </c>
      <c r="L969" s="4">
        <v>0.58257187358207196</v>
      </c>
      <c r="M969" s="4">
        <v>0.41742812641792798</v>
      </c>
      <c r="N969">
        <v>0</v>
      </c>
    </row>
    <row r="970" spans="1:14" x14ac:dyDescent="0.25">
      <c r="A970" s="2"/>
      <c r="B970" t="s">
        <v>2577</v>
      </c>
      <c r="C970" t="s">
        <v>16</v>
      </c>
      <c r="D970" t="s">
        <v>530</v>
      </c>
      <c r="E970" t="s">
        <v>2338</v>
      </c>
      <c r="F970" t="s">
        <v>2339</v>
      </c>
      <c r="G970" t="s">
        <v>2578</v>
      </c>
      <c r="H970" s="3">
        <v>1302.76</v>
      </c>
      <c r="J970">
        <v>1</v>
      </c>
      <c r="K970">
        <v>4</v>
      </c>
      <c r="L970" s="4">
        <v>0.82010818987872303</v>
      </c>
      <c r="M970" s="4">
        <v>0.179891810121277</v>
      </c>
      <c r="N970">
        <v>0</v>
      </c>
    </row>
    <row r="971" spans="1:14" x14ac:dyDescent="0.25">
      <c r="A971" s="2"/>
      <c r="B971" t="s">
        <v>2579</v>
      </c>
      <c r="C971" t="s">
        <v>16</v>
      </c>
      <c r="D971" t="s">
        <v>530</v>
      </c>
      <c r="E971" t="s">
        <v>2338</v>
      </c>
      <c r="F971" t="s">
        <v>2339</v>
      </c>
      <c r="G971" t="s">
        <v>2580</v>
      </c>
      <c r="H971" s="3">
        <v>1314.53</v>
      </c>
      <c r="J971">
        <v>1</v>
      </c>
      <c r="K971">
        <v>1</v>
      </c>
      <c r="L971" s="4">
        <v>0.35396147853057303</v>
      </c>
      <c r="M971" s="4">
        <v>0.64603852146942697</v>
      </c>
      <c r="N971">
        <v>0</v>
      </c>
    </row>
    <row r="972" spans="1:14" x14ac:dyDescent="0.25">
      <c r="A972" s="2"/>
      <c r="B972" t="s">
        <v>2581</v>
      </c>
      <c r="C972" t="s">
        <v>16</v>
      </c>
      <c r="D972" t="s">
        <v>530</v>
      </c>
      <c r="E972" t="s">
        <v>2338</v>
      </c>
      <c r="F972" t="s">
        <v>2339</v>
      </c>
      <c r="G972" t="s">
        <v>2582</v>
      </c>
      <c r="H972" s="3">
        <v>1343.39</v>
      </c>
      <c r="I972">
        <v>167</v>
      </c>
      <c r="J972">
        <v>1</v>
      </c>
      <c r="K972">
        <v>40</v>
      </c>
      <c r="L972" s="4">
        <v>0.707465684561291</v>
      </c>
      <c r="M972" s="4">
        <v>0.292534315438709</v>
      </c>
      <c r="N972">
        <v>0</v>
      </c>
    </row>
    <row r="973" spans="1:14" x14ac:dyDescent="0.25">
      <c r="A973" s="2"/>
      <c r="B973" t="s">
        <v>2583</v>
      </c>
      <c r="C973" t="s">
        <v>16</v>
      </c>
      <c r="D973" t="s">
        <v>530</v>
      </c>
      <c r="E973" t="s">
        <v>2338</v>
      </c>
      <c r="F973" t="s">
        <v>2339</v>
      </c>
      <c r="G973" t="s">
        <v>2584</v>
      </c>
      <c r="H973" s="3">
        <v>1443.99</v>
      </c>
      <c r="I973">
        <v>782</v>
      </c>
      <c r="J973">
        <v>1</v>
      </c>
      <c r="K973">
        <v>34</v>
      </c>
      <c r="L973" s="4">
        <v>0.94342129334695202</v>
      </c>
      <c r="M973" s="4">
        <v>5.65787066530479E-2</v>
      </c>
      <c r="N973">
        <v>0</v>
      </c>
    </row>
    <row r="974" spans="1:14" x14ac:dyDescent="0.25">
      <c r="A974" s="2"/>
      <c r="B974" t="s">
        <v>2585</v>
      </c>
      <c r="C974" t="s">
        <v>16</v>
      </c>
      <c r="D974" t="s">
        <v>530</v>
      </c>
      <c r="E974" t="s">
        <v>2338</v>
      </c>
      <c r="F974" t="s">
        <v>2339</v>
      </c>
      <c r="G974" t="s">
        <v>2586</v>
      </c>
      <c r="H974" s="3">
        <v>1545.1</v>
      </c>
      <c r="I974">
        <v>231</v>
      </c>
      <c r="J974">
        <v>1</v>
      </c>
      <c r="L974" s="4">
        <v>0.17868173895848599</v>
      </c>
      <c r="M974" s="4">
        <v>0.82131826104151395</v>
      </c>
      <c r="N974">
        <v>0</v>
      </c>
    </row>
    <row r="975" spans="1:14" x14ac:dyDescent="0.25">
      <c r="A975" s="2"/>
      <c r="B975" t="s">
        <v>2587</v>
      </c>
      <c r="C975" t="s">
        <v>16</v>
      </c>
      <c r="D975" t="s">
        <v>530</v>
      </c>
      <c r="E975" t="s">
        <v>2338</v>
      </c>
      <c r="F975" t="s">
        <v>2339</v>
      </c>
      <c r="G975" t="s">
        <v>2588</v>
      </c>
      <c r="H975" s="3">
        <v>1552.26</v>
      </c>
      <c r="I975">
        <v>850</v>
      </c>
      <c r="J975">
        <v>0</v>
      </c>
      <c r="K975">
        <v>38</v>
      </c>
      <c r="L975" s="4">
        <v>0.23050203212937201</v>
      </c>
      <c r="M975" s="4">
        <v>0.76949796787062796</v>
      </c>
      <c r="N975">
        <v>0</v>
      </c>
    </row>
    <row r="976" spans="1:14" x14ac:dyDescent="0.25">
      <c r="A976" s="2"/>
      <c r="B976" t="s">
        <v>2589</v>
      </c>
      <c r="C976" t="s">
        <v>16</v>
      </c>
      <c r="D976" t="s">
        <v>530</v>
      </c>
      <c r="E976" t="s">
        <v>2338</v>
      </c>
      <c r="F976" t="s">
        <v>2339</v>
      </c>
      <c r="G976" t="s">
        <v>2590</v>
      </c>
      <c r="H976" s="3">
        <v>1556.61</v>
      </c>
      <c r="I976">
        <v>748</v>
      </c>
      <c r="J976">
        <v>1</v>
      </c>
      <c r="K976">
        <v>38</v>
      </c>
      <c r="L976" s="4">
        <v>0.764928361215098</v>
      </c>
      <c r="M976" s="4">
        <v>0.235071638784902</v>
      </c>
      <c r="N976">
        <v>0</v>
      </c>
    </row>
    <row r="977" spans="1:14" x14ac:dyDescent="0.25">
      <c r="A977" s="2"/>
      <c r="B977" t="s">
        <v>2591</v>
      </c>
      <c r="C977" t="s">
        <v>16</v>
      </c>
      <c r="D977" t="s">
        <v>530</v>
      </c>
      <c r="E977" t="s">
        <v>2338</v>
      </c>
      <c r="F977" t="s">
        <v>2339</v>
      </c>
      <c r="G977" t="s">
        <v>2592</v>
      </c>
      <c r="H977" s="3">
        <v>1556.61</v>
      </c>
      <c r="I977">
        <v>196</v>
      </c>
      <c r="J977">
        <v>1</v>
      </c>
      <c r="K977">
        <v>39</v>
      </c>
      <c r="L977" s="4">
        <v>0.87727816352575205</v>
      </c>
      <c r="M977" s="4">
        <v>0.122721836474248</v>
      </c>
      <c r="N977">
        <v>0</v>
      </c>
    </row>
    <row r="978" spans="1:14" x14ac:dyDescent="0.25">
      <c r="A978" s="2"/>
      <c r="B978" t="s">
        <v>2593</v>
      </c>
      <c r="C978" t="s">
        <v>16</v>
      </c>
      <c r="D978" t="s">
        <v>530</v>
      </c>
      <c r="E978" t="s">
        <v>2338</v>
      </c>
      <c r="F978" t="s">
        <v>2339</v>
      </c>
      <c r="G978" t="s">
        <v>2594</v>
      </c>
      <c r="H978" s="3">
        <v>1572.24</v>
      </c>
      <c r="I978">
        <v>507</v>
      </c>
      <c r="J978">
        <v>0</v>
      </c>
      <c r="K978">
        <v>31</v>
      </c>
      <c r="L978" s="4">
        <v>0.14017200060561899</v>
      </c>
      <c r="M978" s="4">
        <v>0.85982799939438104</v>
      </c>
      <c r="N978">
        <v>0</v>
      </c>
    </row>
    <row r="979" spans="1:14" x14ac:dyDescent="0.25">
      <c r="A979" s="2"/>
      <c r="B979" t="s">
        <v>2595</v>
      </c>
      <c r="C979" t="s">
        <v>16</v>
      </c>
      <c r="D979" t="s">
        <v>530</v>
      </c>
      <c r="E979" t="s">
        <v>2338</v>
      </c>
      <c r="F979" t="s">
        <v>2339</v>
      </c>
      <c r="G979" t="s">
        <v>2596</v>
      </c>
      <c r="H979" s="3">
        <v>1580.47</v>
      </c>
      <c r="I979">
        <v>219</v>
      </c>
      <c r="J979">
        <v>0</v>
      </c>
      <c r="K979">
        <v>29</v>
      </c>
      <c r="L979" s="4">
        <v>0.15786279842238099</v>
      </c>
      <c r="M979" s="4">
        <v>0.84213720157761895</v>
      </c>
      <c r="N979">
        <v>0</v>
      </c>
    </row>
    <row r="980" spans="1:14" x14ac:dyDescent="0.25">
      <c r="A980" s="2"/>
      <c r="B980" t="s">
        <v>2597</v>
      </c>
      <c r="C980" t="s">
        <v>16</v>
      </c>
      <c r="D980" t="s">
        <v>530</v>
      </c>
      <c r="E980" t="s">
        <v>2338</v>
      </c>
      <c r="F980" t="s">
        <v>2339</v>
      </c>
      <c r="G980" t="s">
        <v>2598</v>
      </c>
      <c r="H980" s="3">
        <v>1600.25</v>
      </c>
      <c r="I980">
        <v>753</v>
      </c>
      <c r="J980">
        <v>1</v>
      </c>
      <c r="K980">
        <v>35</v>
      </c>
      <c r="L980" s="4">
        <v>0.36972018143455998</v>
      </c>
      <c r="M980" s="4">
        <v>0.63027981856544002</v>
      </c>
      <c r="N980">
        <v>0</v>
      </c>
    </row>
    <row r="981" spans="1:14" x14ac:dyDescent="0.25">
      <c r="A981" s="2">
        <v>23569211</v>
      </c>
      <c r="B981" t="s">
        <v>2599</v>
      </c>
      <c r="C981" t="s">
        <v>31</v>
      </c>
      <c r="D981" t="s">
        <v>530</v>
      </c>
      <c r="E981" t="s">
        <v>2338</v>
      </c>
      <c r="F981" t="s">
        <v>2339</v>
      </c>
      <c r="G981" t="s">
        <v>2600</v>
      </c>
      <c r="H981" s="3">
        <v>1609.66</v>
      </c>
      <c r="I981">
        <v>290</v>
      </c>
      <c r="K981">
        <v>25</v>
      </c>
      <c r="L981" s="4">
        <v>0.95486544693562603</v>
      </c>
      <c r="M981" s="4">
        <v>4.5134553064374403E-2</v>
      </c>
      <c r="N981">
        <v>0</v>
      </c>
    </row>
    <row r="982" spans="1:14" x14ac:dyDescent="0.25">
      <c r="A982" s="2"/>
      <c r="B982" t="s">
        <v>2601</v>
      </c>
      <c r="C982" t="s">
        <v>16</v>
      </c>
      <c r="D982" t="s">
        <v>530</v>
      </c>
      <c r="E982" t="s">
        <v>2338</v>
      </c>
      <c r="F982" t="s">
        <v>2339</v>
      </c>
      <c r="G982" t="s">
        <v>2602</v>
      </c>
      <c r="H982" s="3">
        <v>1610.31</v>
      </c>
      <c r="I982">
        <v>881</v>
      </c>
      <c r="J982">
        <v>0</v>
      </c>
      <c r="K982">
        <v>13</v>
      </c>
      <c r="L982" s="4">
        <v>0.874075924224061</v>
      </c>
      <c r="M982" s="4">
        <v>0.125924075775939</v>
      </c>
      <c r="N982">
        <v>0</v>
      </c>
    </row>
    <row r="983" spans="1:14" x14ac:dyDescent="0.25">
      <c r="A983" s="2"/>
      <c r="B983" t="s">
        <v>2603</v>
      </c>
      <c r="C983" t="s">
        <v>16</v>
      </c>
      <c r="D983" t="s">
        <v>530</v>
      </c>
      <c r="E983" t="s">
        <v>2338</v>
      </c>
      <c r="F983" t="s">
        <v>2339</v>
      </c>
      <c r="G983" t="s">
        <v>2604</v>
      </c>
      <c r="H983" s="3">
        <v>1621.62</v>
      </c>
      <c r="I983">
        <v>751</v>
      </c>
      <c r="J983">
        <v>0</v>
      </c>
      <c r="K983">
        <v>34</v>
      </c>
      <c r="L983" s="4">
        <v>6.8582104947824393E-2</v>
      </c>
      <c r="M983" s="4">
        <v>0.93141789505217598</v>
      </c>
      <c r="N983">
        <v>0</v>
      </c>
    </row>
    <row r="984" spans="1:14" x14ac:dyDescent="0.25">
      <c r="A984" s="2"/>
      <c r="B984" t="s">
        <v>2605</v>
      </c>
      <c r="C984" t="s">
        <v>16</v>
      </c>
      <c r="D984" t="s">
        <v>530</v>
      </c>
      <c r="E984" t="s">
        <v>2338</v>
      </c>
      <c r="F984" t="s">
        <v>2339</v>
      </c>
      <c r="G984" t="s">
        <v>2606</v>
      </c>
      <c r="H984" s="3">
        <v>1707.08</v>
      </c>
      <c r="I984">
        <v>410</v>
      </c>
      <c r="J984">
        <v>0</v>
      </c>
      <c r="K984">
        <v>43</v>
      </c>
      <c r="L984" s="4">
        <v>0.42442599811671999</v>
      </c>
      <c r="M984" s="4">
        <v>0.57557400188328001</v>
      </c>
      <c r="N984">
        <v>0</v>
      </c>
    </row>
    <row r="985" spans="1:14" x14ac:dyDescent="0.25">
      <c r="A985" s="2"/>
      <c r="B985" t="s">
        <v>2607</v>
      </c>
      <c r="C985" t="s">
        <v>16</v>
      </c>
      <c r="D985" t="s">
        <v>530</v>
      </c>
      <c r="E985" t="s">
        <v>2338</v>
      </c>
      <c r="F985" t="s">
        <v>2339</v>
      </c>
      <c r="G985" t="s">
        <v>2608</v>
      </c>
      <c r="H985" s="3">
        <v>1763.21</v>
      </c>
      <c r="I985">
        <v>374</v>
      </c>
      <c r="J985">
        <v>1</v>
      </c>
      <c r="L985" s="4">
        <v>0.88188261668585499</v>
      </c>
      <c r="M985" s="4">
        <v>0.11811738331414499</v>
      </c>
      <c r="N985">
        <v>0</v>
      </c>
    </row>
    <row r="986" spans="1:14" x14ac:dyDescent="0.25">
      <c r="A986" s="2"/>
      <c r="B986" t="s">
        <v>2609</v>
      </c>
      <c r="C986" t="s">
        <v>16</v>
      </c>
      <c r="D986" t="s">
        <v>530</v>
      </c>
      <c r="E986" t="s">
        <v>2338</v>
      </c>
      <c r="F986" t="s">
        <v>2339</v>
      </c>
      <c r="G986" t="s">
        <v>2610</v>
      </c>
      <c r="H986" s="3">
        <v>2003.13</v>
      </c>
      <c r="I986">
        <v>496</v>
      </c>
      <c r="J986">
        <v>0</v>
      </c>
      <c r="K986">
        <v>8</v>
      </c>
      <c r="L986" s="4">
        <v>6.11405648999193E-2</v>
      </c>
      <c r="M986" s="4">
        <v>0.93885943510008096</v>
      </c>
      <c r="N986">
        <v>0</v>
      </c>
    </row>
    <row r="987" spans="1:14" x14ac:dyDescent="0.25">
      <c r="A987" s="2"/>
      <c r="B987" t="s">
        <v>2611</v>
      </c>
      <c r="C987" t="s">
        <v>16</v>
      </c>
      <c r="D987" t="s">
        <v>530</v>
      </c>
      <c r="E987" t="s">
        <v>2338</v>
      </c>
      <c r="F987" t="s">
        <v>2339</v>
      </c>
      <c r="G987" t="s">
        <v>2612</v>
      </c>
      <c r="H987" s="3">
        <v>2032.22</v>
      </c>
      <c r="I987">
        <v>66</v>
      </c>
      <c r="J987">
        <v>1</v>
      </c>
      <c r="K987">
        <v>2</v>
      </c>
      <c r="L987" s="4">
        <v>0.23041183896654199</v>
      </c>
      <c r="M987" s="4">
        <v>0.76958816103345795</v>
      </c>
      <c r="N987">
        <v>0</v>
      </c>
    </row>
    <row r="988" spans="1:14" x14ac:dyDescent="0.25">
      <c r="A988" s="2"/>
      <c r="B988" t="s">
        <v>2613</v>
      </c>
      <c r="C988" t="s">
        <v>16</v>
      </c>
      <c r="D988" t="s">
        <v>530</v>
      </c>
      <c r="E988" t="s">
        <v>2338</v>
      </c>
      <c r="F988" t="s">
        <v>2339</v>
      </c>
      <c r="G988" t="s">
        <v>2614</v>
      </c>
      <c r="H988" s="3">
        <v>2311.5700000000002</v>
      </c>
      <c r="I988">
        <v>112</v>
      </c>
      <c r="J988">
        <v>0</v>
      </c>
      <c r="K988">
        <v>20</v>
      </c>
      <c r="L988" s="4">
        <v>0.30446005599022902</v>
      </c>
      <c r="M988" s="4">
        <v>0.69553994400977104</v>
      </c>
      <c r="N988">
        <v>0</v>
      </c>
    </row>
    <row r="989" spans="1:14" x14ac:dyDescent="0.25">
      <c r="A989" s="2"/>
      <c r="B989" t="s">
        <v>2615</v>
      </c>
      <c r="C989" t="s">
        <v>16</v>
      </c>
      <c r="D989" t="s">
        <v>530</v>
      </c>
      <c r="E989" t="s">
        <v>2338</v>
      </c>
      <c r="F989" t="s">
        <v>2339</v>
      </c>
      <c r="G989" t="s">
        <v>2616</v>
      </c>
      <c r="H989" s="3">
        <v>2344.79</v>
      </c>
      <c r="I989">
        <v>864</v>
      </c>
      <c r="J989">
        <v>0</v>
      </c>
      <c r="K989">
        <v>43</v>
      </c>
      <c r="L989" s="4">
        <v>0.35446256887087801</v>
      </c>
      <c r="M989" s="4">
        <v>0.64553743112912199</v>
      </c>
      <c r="N989">
        <v>0</v>
      </c>
    </row>
    <row r="990" spans="1:14" x14ac:dyDescent="0.25">
      <c r="A990" s="2"/>
      <c r="B990" t="s">
        <v>2617</v>
      </c>
      <c r="C990" t="s">
        <v>16</v>
      </c>
      <c r="D990" t="s">
        <v>530</v>
      </c>
      <c r="E990" t="s">
        <v>2338</v>
      </c>
      <c r="F990" t="s">
        <v>2339</v>
      </c>
      <c r="G990" t="s">
        <v>2618</v>
      </c>
      <c r="H990" s="3">
        <v>1188.3900000000001</v>
      </c>
      <c r="I990">
        <v>651</v>
      </c>
      <c r="J990">
        <v>1</v>
      </c>
      <c r="K990">
        <v>41</v>
      </c>
      <c r="L990" s="4">
        <v>0.87908142952851198</v>
      </c>
      <c r="M990" s="4">
        <v>0.120918570471488</v>
      </c>
      <c r="N990">
        <v>0</v>
      </c>
    </row>
    <row r="991" spans="1:14" x14ac:dyDescent="0.25">
      <c r="A991" s="2">
        <v>23264619</v>
      </c>
      <c r="B991" t="s">
        <v>2619</v>
      </c>
      <c r="C991" t="s">
        <v>31</v>
      </c>
      <c r="D991" t="s">
        <v>328</v>
      </c>
      <c r="E991" t="s">
        <v>2338</v>
      </c>
      <c r="F991" t="s">
        <v>2339</v>
      </c>
      <c r="G991" t="s">
        <v>2620</v>
      </c>
      <c r="H991" s="3">
        <v>1804</v>
      </c>
      <c r="J991">
        <v>0</v>
      </c>
      <c r="K991">
        <v>49</v>
      </c>
      <c r="L991" s="4">
        <v>0.36488178582527198</v>
      </c>
      <c r="M991" s="4">
        <v>0.63511821417472802</v>
      </c>
      <c r="N991">
        <v>0</v>
      </c>
    </row>
    <row r="992" spans="1:14" x14ac:dyDescent="0.25">
      <c r="A992" s="2">
        <v>23704797</v>
      </c>
      <c r="B992" t="s">
        <v>2621</v>
      </c>
      <c r="C992" t="s">
        <v>31</v>
      </c>
      <c r="D992" t="s">
        <v>69</v>
      </c>
      <c r="E992" t="s">
        <v>2622</v>
      </c>
      <c r="F992" t="s">
        <v>2623</v>
      </c>
      <c r="G992" t="s">
        <v>2624</v>
      </c>
      <c r="H992" s="3">
        <v>2226.16</v>
      </c>
      <c r="J992">
        <v>0</v>
      </c>
      <c r="K992">
        <v>31</v>
      </c>
      <c r="L992" s="4">
        <v>0.267898870482843</v>
      </c>
      <c r="M992" s="4">
        <v>0.732101129517157</v>
      </c>
      <c r="N992">
        <v>0</v>
      </c>
    </row>
    <row r="993" spans="1:14" x14ac:dyDescent="0.25">
      <c r="A993" s="2"/>
      <c r="C993" t="s">
        <v>28</v>
      </c>
      <c r="D993" t="s">
        <v>2291</v>
      </c>
      <c r="E993" t="s">
        <v>2625</v>
      </c>
      <c r="F993" t="s">
        <v>2626</v>
      </c>
      <c r="G993" t="s">
        <v>2627</v>
      </c>
      <c r="H993" s="3">
        <v>135.29</v>
      </c>
      <c r="J993">
        <v>0</v>
      </c>
      <c r="L993" s="4">
        <v>0.24261284652402099</v>
      </c>
      <c r="M993" s="4">
        <v>0.75738715347597896</v>
      </c>
      <c r="N993">
        <v>0</v>
      </c>
    </row>
    <row r="994" spans="1:14" x14ac:dyDescent="0.25">
      <c r="A994" s="2"/>
      <c r="B994" t="s">
        <v>2628</v>
      </c>
      <c r="C994" t="s">
        <v>16</v>
      </c>
      <c r="D994" t="s">
        <v>86</v>
      </c>
      <c r="E994" t="s">
        <v>2629</v>
      </c>
      <c r="F994" t="s">
        <v>2630</v>
      </c>
      <c r="G994" t="s">
        <v>2631</v>
      </c>
      <c r="H994" s="3">
        <v>755.45</v>
      </c>
      <c r="I994">
        <v>666</v>
      </c>
      <c r="J994">
        <v>0</v>
      </c>
      <c r="K994">
        <v>8</v>
      </c>
      <c r="L994" s="4">
        <v>0.52925415493489703</v>
      </c>
      <c r="M994" s="4">
        <v>0.47074584506510297</v>
      </c>
      <c r="N994">
        <v>0</v>
      </c>
    </row>
    <row r="995" spans="1:14" x14ac:dyDescent="0.25">
      <c r="A995" s="2">
        <v>22566126</v>
      </c>
      <c r="B995" t="s">
        <v>2632</v>
      </c>
      <c r="C995" t="s">
        <v>31</v>
      </c>
      <c r="D995" t="s">
        <v>86</v>
      </c>
      <c r="E995" t="s">
        <v>2633</v>
      </c>
      <c r="F995" t="s">
        <v>2634</v>
      </c>
      <c r="G995" t="s">
        <v>2635</v>
      </c>
      <c r="H995" s="3">
        <v>2380.96</v>
      </c>
      <c r="J995">
        <v>0</v>
      </c>
      <c r="L995" s="4">
        <v>0.55417365102544403</v>
      </c>
      <c r="M995" s="4">
        <v>0.44582634897455597</v>
      </c>
      <c r="N995">
        <v>0</v>
      </c>
    </row>
    <row r="996" spans="1:14" x14ac:dyDescent="0.25">
      <c r="A996" s="2">
        <v>24046445</v>
      </c>
      <c r="B996" t="s">
        <v>2636</v>
      </c>
      <c r="C996" t="s">
        <v>31</v>
      </c>
      <c r="D996" t="s">
        <v>525</v>
      </c>
      <c r="E996" t="s">
        <v>2357</v>
      </c>
      <c r="F996" t="s">
        <v>2358</v>
      </c>
      <c r="G996" t="s">
        <v>2637</v>
      </c>
      <c r="H996" s="3">
        <v>2400</v>
      </c>
      <c r="I996">
        <v>281</v>
      </c>
      <c r="J996">
        <v>0</v>
      </c>
      <c r="K996">
        <v>23</v>
      </c>
      <c r="L996" s="4">
        <v>0.13793396266069799</v>
      </c>
      <c r="M996" s="4">
        <v>0.86206603733930198</v>
      </c>
      <c r="N996">
        <v>0</v>
      </c>
    </row>
    <row r="997" spans="1:14" x14ac:dyDescent="0.25">
      <c r="A997" s="2"/>
      <c r="B997" t="s">
        <v>2638</v>
      </c>
      <c r="C997" t="s">
        <v>16</v>
      </c>
      <c r="D997" t="s">
        <v>525</v>
      </c>
      <c r="E997" t="s">
        <v>2357</v>
      </c>
      <c r="F997" t="s">
        <v>2358</v>
      </c>
      <c r="G997" t="s">
        <v>2639</v>
      </c>
      <c r="H997" s="3">
        <v>1620</v>
      </c>
      <c r="J997">
        <v>0</v>
      </c>
      <c r="K997">
        <v>27</v>
      </c>
      <c r="L997" s="4">
        <v>0.43003022851603001</v>
      </c>
      <c r="M997" s="4">
        <v>0.56996977148396999</v>
      </c>
      <c r="N997">
        <v>0</v>
      </c>
    </row>
    <row r="998" spans="1:14" x14ac:dyDescent="0.25">
      <c r="A998" s="2"/>
      <c r="B998" t="s">
        <v>2640</v>
      </c>
      <c r="C998" t="s">
        <v>16</v>
      </c>
      <c r="D998" t="s">
        <v>525</v>
      </c>
      <c r="E998" t="s">
        <v>2357</v>
      </c>
      <c r="F998" t="s">
        <v>2358</v>
      </c>
      <c r="G998" t="s">
        <v>2641</v>
      </c>
      <c r="H998" s="3">
        <v>1620</v>
      </c>
      <c r="I998">
        <v>186</v>
      </c>
      <c r="J998">
        <v>0</v>
      </c>
      <c r="L998" s="4">
        <v>2.47795944301815E-2</v>
      </c>
      <c r="M998" s="4">
        <v>0.97522040556981904</v>
      </c>
      <c r="N998">
        <v>0</v>
      </c>
    </row>
    <row r="999" spans="1:14" x14ac:dyDescent="0.25">
      <c r="A999" s="2"/>
      <c r="B999" t="s">
        <v>2642</v>
      </c>
      <c r="C999" t="s">
        <v>16</v>
      </c>
      <c r="D999" t="s">
        <v>525</v>
      </c>
      <c r="E999" t="s">
        <v>2357</v>
      </c>
      <c r="F999" t="s">
        <v>2358</v>
      </c>
      <c r="G999" t="s">
        <v>2643</v>
      </c>
      <c r="H999" s="3">
        <v>1620</v>
      </c>
      <c r="I999">
        <v>461</v>
      </c>
      <c r="J999">
        <v>1</v>
      </c>
      <c r="K999">
        <v>14</v>
      </c>
      <c r="L999" s="4">
        <v>0.70187598762104098</v>
      </c>
      <c r="M999" s="4">
        <v>0.29812401237895902</v>
      </c>
      <c r="N999">
        <v>0</v>
      </c>
    </row>
    <row r="1000" spans="1:14" x14ac:dyDescent="0.25">
      <c r="A1000" s="2"/>
      <c r="B1000" t="s">
        <v>2644</v>
      </c>
      <c r="C1000" t="s">
        <v>16</v>
      </c>
      <c r="D1000" t="s">
        <v>525</v>
      </c>
      <c r="E1000" t="s">
        <v>2357</v>
      </c>
      <c r="F1000" t="s">
        <v>2358</v>
      </c>
      <c r="G1000" t="s">
        <v>2645</v>
      </c>
      <c r="H1000" s="3">
        <v>2400</v>
      </c>
      <c r="I1000">
        <v>430</v>
      </c>
      <c r="J1000">
        <v>1</v>
      </c>
      <c r="K1000">
        <v>45</v>
      </c>
      <c r="L1000" s="4">
        <v>0.110403086365295</v>
      </c>
      <c r="M1000" s="4">
        <v>0.88959691363470506</v>
      </c>
      <c r="N1000">
        <v>0</v>
      </c>
    </row>
    <row r="1001" spans="1:14" x14ac:dyDescent="0.25">
      <c r="A1001" s="2"/>
      <c r="C1001" t="s">
        <v>28</v>
      </c>
      <c r="D1001" t="s">
        <v>525</v>
      </c>
      <c r="E1001" t="s">
        <v>2357</v>
      </c>
      <c r="F1001" t="s">
        <v>2358</v>
      </c>
      <c r="G1001" t="s">
        <v>2646</v>
      </c>
      <c r="H1001" s="3">
        <v>2400</v>
      </c>
      <c r="J1001">
        <v>0</v>
      </c>
      <c r="K1001">
        <v>24</v>
      </c>
      <c r="L1001" s="4">
        <v>0.283733380730606</v>
      </c>
      <c r="M1001" s="4">
        <v>0.71626661926939394</v>
      </c>
      <c r="N1001">
        <v>0</v>
      </c>
    </row>
    <row r="1002" spans="1:14" x14ac:dyDescent="0.25">
      <c r="A1002" s="2">
        <v>23606739</v>
      </c>
      <c r="C1002" t="s">
        <v>0</v>
      </c>
      <c r="D1002" t="s">
        <v>525</v>
      </c>
      <c r="E1002" t="s">
        <v>2357</v>
      </c>
      <c r="F1002" t="s">
        <v>2358</v>
      </c>
      <c r="G1002" t="s">
        <v>2647</v>
      </c>
      <c r="H1002" s="3">
        <v>2000</v>
      </c>
      <c r="I1002">
        <v>923</v>
      </c>
      <c r="J1002">
        <v>0</v>
      </c>
      <c r="K1002">
        <v>45</v>
      </c>
      <c r="L1002" s="4">
        <v>0.132276174114492</v>
      </c>
      <c r="M1002" s="4">
        <v>0.867723825885508</v>
      </c>
      <c r="N1002">
        <v>0</v>
      </c>
    </row>
    <row r="1003" spans="1:14" x14ac:dyDescent="0.25">
      <c r="A1003" s="2"/>
      <c r="B1003" t="s">
        <v>2648</v>
      </c>
      <c r="C1003" t="s">
        <v>16</v>
      </c>
      <c r="D1003" t="s">
        <v>525</v>
      </c>
      <c r="E1003" t="s">
        <v>2357</v>
      </c>
      <c r="F1003" t="s">
        <v>2358</v>
      </c>
      <c r="G1003" t="s">
        <v>2649</v>
      </c>
      <c r="H1003" s="3">
        <v>2400</v>
      </c>
      <c r="I1003">
        <v>478</v>
      </c>
      <c r="J1003">
        <v>0</v>
      </c>
      <c r="K1003">
        <v>10</v>
      </c>
      <c r="L1003" s="4">
        <v>0.97758795716240199</v>
      </c>
      <c r="M1003" s="4">
        <v>2.2412042837598099E-2</v>
      </c>
      <c r="N1003">
        <v>0</v>
      </c>
    </row>
    <row r="1004" spans="1:14" x14ac:dyDescent="0.25">
      <c r="A1004" s="2"/>
      <c r="C1004" t="s">
        <v>28</v>
      </c>
      <c r="D1004" t="s">
        <v>86</v>
      </c>
      <c r="E1004" t="s">
        <v>2650</v>
      </c>
      <c r="F1004" t="s">
        <v>2651</v>
      </c>
      <c r="G1004" t="s">
        <v>2652</v>
      </c>
      <c r="H1004" s="3">
        <v>1971.87</v>
      </c>
      <c r="I1004">
        <v>544</v>
      </c>
      <c r="J1004">
        <v>0</v>
      </c>
      <c r="K1004">
        <v>38</v>
      </c>
      <c r="L1004" s="4">
        <v>7.7816077241901302E-2</v>
      </c>
      <c r="M1004" s="4">
        <v>0.92218392275809902</v>
      </c>
      <c r="N1004">
        <v>0</v>
      </c>
    </row>
    <row r="1005" spans="1:14" x14ac:dyDescent="0.25">
      <c r="A1005" s="2"/>
      <c r="B1005" t="s">
        <v>2653</v>
      </c>
      <c r="C1005" t="s">
        <v>16</v>
      </c>
      <c r="D1005" t="s">
        <v>607</v>
      </c>
      <c r="E1005" t="s">
        <v>2654</v>
      </c>
      <c r="F1005" t="s">
        <v>2655</v>
      </c>
      <c r="G1005" t="s">
        <v>2656</v>
      </c>
      <c r="H1005" s="3">
        <v>1920</v>
      </c>
      <c r="I1005">
        <v>982</v>
      </c>
      <c r="J1005">
        <v>0</v>
      </c>
      <c r="K1005">
        <v>1</v>
      </c>
      <c r="L1005" s="4">
        <v>0.62004724965788505</v>
      </c>
      <c r="M1005" s="4">
        <v>0.37995275034211501</v>
      </c>
      <c r="N1005">
        <v>0</v>
      </c>
    </row>
    <row r="1006" spans="1:14" x14ac:dyDescent="0.25">
      <c r="A1006" s="2"/>
      <c r="B1006" t="s">
        <v>2657</v>
      </c>
      <c r="C1006" t="s">
        <v>16</v>
      </c>
      <c r="D1006" t="s">
        <v>607</v>
      </c>
      <c r="E1006" t="s">
        <v>2654</v>
      </c>
      <c r="F1006" t="s">
        <v>2655</v>
      </c>
      <c r="G1006" t="s">
        <v>2658</v>
      </c>
      <c r="H1006" s="3">
        <v>2040</v>
      </c>
      <c r="I1006">
        <v>279</v>
      </c>
      <c r="J1006">
        <v>0</v>
      </c>
      <c r="K1006">
        <v>20</v>
      </c>
      <c r="L1006" s="4">
        <v>0.21378531650083399</v>
      </c>
      <c r="M1006" s="4">
        <v>0.78621468349916601</v>
      </c>
      <c r="N1006">
        <v>0</v>
      </c>
    </row>
    <row r="1007" spans="1:14" x14ac:dyDescent="0.25">
      <c r="A1007" s="2"/>
      <c r="B1007" t="s">
        <v>2659</v>
      </c>
      <c r="C1007" t="s">
        <v>16</v>
      </c>
      <c r="D1007" t="s">
        <v>22</v>
      </c>
      <c r="E1007" t="s">
        <v>2660</v>
      </c>
      <c r="F1007" t="s">
        <v>2661</v>
      </c>
      <c r="G1007" t="s">
        <v>2662</v>
      </c>
      <c r="H1007" s="3">
        <v>1329.69</v>
      </c>
      <c r="I1007">
        <v>904</v>
      </c>
      <c r="J1007">
        <v>1</v>
      </c>
      <c r="K1007">
        <v>22</v>
      </c>
      <c r="L1007" s="4">
        <v>0.202143312347494</v>
      </c>
      <c r="M1007" s="4">
        <v>0.79785668765250595</v>
      </c>
      <c r="N1007">
        <v>0</v>
      </c>
    </row>
    <row r="1008" spans="1:14" x14ac:dyDescent="0.25">
      <c r="A1008" s="2"/>
      <c r="B1008" t="s">
        <v>2663</v>
      </c>
      <c r="C1008" t="s">
        <v>16</v>
      </c>
      <c r="D1008" t="s">
        <v>148</v>
      </c>
      <c r="E1008" t="s">
        <v>2664</v>
      </c>
      <c r="F1008" t="s">
        <v>2427</v>
      </c>
      <c r="G1008" t="s">
        <v>2665</v>
      </c>
      <c r="H1008" s="3">
        <v>882.12</v>
      </c>
      <c r="I1008">
        <v>529</v>
      </c>
      <c r="J1008">
        <v>0</v>
      </c>
      <c r="K1008">
        <v>43</v>
      </c>
      <c r="L1008" s="4">
        <v>0.86529475599897998</v>
      </c>
      <c r="M1008" s="4">
        <v>0.13470524400101999</v>
      </c>
      <c r="N1008">
        <v>0</v>
      </c>
    </row>
    <row r="1009" spans="1:14" x14ac:dyDescent="0.25">
      <c r="A1009" s="2"/>
      <c r="B1009" t="s">
        <v>2666</v>
      </c>
      <c r="C1009" t="s">
        <v>16</v>
      </c>
      <c r="D1009" t="s">
        <v>86</v>
      </c>
      <c r="E1009" t="s">
        <v>2667</v>
      </c>
      <c r="F1009" t="s">
        <v>2668</v>
      </c>
      <c r="G1009" t="s">
        <v>2669</v>
      </c>
      <c r="H1009" s="3">
        <v>2222.2199999999998</v>
      </c>
      <c r="I1009">
        <v>124</v>
      </c>
      <c r="J1009">
        <v>0</v>
      </c>
      <c r="K1009">
        <v>27</v>
      </c>
      <c r="L1009" s="4">
        <v>7.2396874687864696E-2</v>
      </c>
      <c r="M1009" s="4">
        <v>0.92760312531213496</v>
      </c>
      <c r="N1009">
        <v>0</v>
      </c>
    </row>
    <row r="1010" spans="1:14" x14ac:dyDescent="0.25">
      <c r="A1010" s="2"/>
      <c r="B1010" t="s">
        <v>2670</v>
      </c>
      <c r="C1010" t="s">
        <v>16</v>
      </c>
      <c r="D1010" t="s">
        <v>86</v>
      </c>
      <c r="E1010" t="s">
        <v>2667</v>
      </c>
      <c r="F1010" t="s">
        <v>2668</v>
      </c>
      <c r="G1010" t="s">
        <v>2671</v>
      </c>
      <c r="H1010" s="3">
        <v>1872.14</v>
      </c>
      <c r="I1010">
        <v>56</v>
      </c>
      <c r="J1010">
        <v>0</v>
      </c>
      <c r="K1010">
        <v>1</v>
      </c>
      <c r="L1010" s="4">
        <v>3.6676045582850099E-2</v>
      </c>
      <c r="M1010" s="4">
        <v>0.96332395441715002</v>
      </c>
      <c r="N1010">
        <v>0</v>
      </c>
    </row>
    <row r="1011" spans="1:14" x14ac:dyDescent="0.25">
      <c r="A1011" s="2">
        <v>23082797</v>
      </c>
      <c r="B1011" t="s">
        <v>2672</v>
      </c>
      <c r="C1011" t="s">
        <v>31</v>
      </c>
      <c r="D1011" t="s">
        <v>86</v>
      </c>
      <c r="E1011" t="s">
        <v>2667</v>
      </c>
      <c r="F1011" t="s">
        <v>2668</v>
      </c>
      <c r="G1011" t="s">
        <v>2673</v>
      </c>
      <c r="H1011" s="3">
        <v>2232</v>
      </c>
      <c r="I1011">
        <v>299</v>
      </c>
      <c r="J1011">
        <v>1</v>
      </c>
      <c r="L1011" s="4">
        <v>7.0444061358512902E-2</v>
      </c>
      <c r="M1011" s="4">
        <v>0.929555938641487</v>
      </c>
      <c r="N1011">
        <v>0</v>
      </c>
    </row>
    <row r="1012" spans="1:14" x14ac:dyDescent="0.25">
      <c r="A1012" s="2"/>
      <c r="B1012" t="s">
        <v>2674</v>
      </c>
      <c r="C1012" t="s">
        <v>16</v>
      </c>
      <c r="D1012" t="s">
        <v>1508</v>
      </c>
      <c r="E1012" t="s">
        <v>2429</v>
      </c>
      <c r="F1012" t="s">
        <v>2430</v>
      </c>
      <c r="G1012" t="s">
        <v>2675</v>
      </c>
      <c r="H1012" s="3">
        <v>1970.57</v>
      </c>
      <c r="I1012">
        <v>964</v>
      </c>
      <c r="J1012">
        <v>1</v>
      </c>
      <c r="K1012">
        <v>29</v>
      </c>
      <c r="L1012" s="4">
        <v>0.71582007162072203</v>
      </c>
      <c r="M1012" s="4">
        <v>0.28417992837927802</v>
      </c>
      <c r="N1012">
        <v>0</v>
      </c>
    </row>
    <row r="1013" spans="1:14" x14ac:dyDescent="0.25">
      <c r="A1013" s="2"/>
      <c r="B1013" t="s">
        <v>2676</v>
      </c>
      <c r="C1013" t="s">
        <v>16</v>
      </c>
      <c r="D1013" t="s">
        <v>2677</v>
      </c>
      <c r="E1013" t="s">
        <v>2429</v>
      </c>
      <c r="F1013" t="s">
        <v>2678</v>
      </c>
      <c r="G1013" t="s">
        <v>2679</v>
      </c>
      <c r="H1013" s="3">
        <v>2310.83</v>
      </c>
      <c r="I1013">
        <v>122</v>
      </c>
      <c r="J1013">
        <v>1</v>
      </c>
      <c r="K1013">
        <v>41</v>
      </c>
      <c r="L1013" s="4">
        <v>0.99796246095903196</v>
      </c>
      <c r="M1013" s="4">
        <v>2.03753904096782E-3</v>
      </c>
      <c r="N1013">
        <v>0</v>
      </c>
    </row>
    <row r="1014" spans="1:14" x14ac:dyDescent="0.25">
      <c r="A1014" s="2"/>
      <c r="B1014" t="s">
        <v>2680</v>
      </c>
      <c r="C1014" t="s">
        <v>16</v>
      </c>
      <c r="D1014" t="s">
        <v>1508</v>
      </c>
      <c r="E1014" t="s">
        <v>2429</v>
      </c>
      <c r="F1014" t="s">
        <v>2678</v>
      </c>
      <c r="G1014" t="s">
        <v>2681</v>
      </c>
      <c r="H1014" s="3">
        <v>1995.43</v>
      </c>
      <c r="I1014">
        <v>606</v>
      </c>
      <c r="J1014">
        <v>0</v>
      </c>
      <c r="K1014">
        <v>22</v>
      </c>
      <c r="L1014" s="4">
        <v>0.107472801596943</v>
      </c>
      <c r="M1014" s="4">
        <v>0.89252719840305705</v>
      </c>
      <c r="N1014">
        <v>0</v>
      </c>
    </row>
    <row r="1015" spans="1:14" x14ac:dyDescent="0.25">
      <c r="A1015" s="2"/>
      <c r="B1015" t="s">
        <v>2682</v>
      </c>
      <c r="C1015" t="s">
        <v>16</v>
      </c>
      <c r="D1015" t="s">
        <v>1508</v>
      </c>
      <c r="E1015" t="s">
        <v>2429</v>
      </c>
      <c r="F1015" t="s">
        <v>2678</v>
      </c>
      <c r="G1015" t="s">
        <v>2683</v>
      </c>
      <c r="H1015" s="3">
        <v>2224.52</v>
      </c>
      <c r="J1015">
        <v>1</v>
      </c>
      <c r="K1015">
        <v>19</v>
      </c>
      <c r="L1015" s="4">
        <v>0.64203044958400801</v>
      </c>
      <c r="M1015" s="4">
        <v>0.35796955041599199</v>
      </c>
      <c r="N1015">
        <v>0</v>
      </c>
    </row>
    <row r="1016" spans="1:14" x14ac:dyDescent="0.25">
      <c r="A1016" s="2"/>
      <c r="B1016" t="s">
        <v>2684</v>
      </c>
      <c r="C1016" t="s">
        <v>16</v>
      </c>
      <c r="D1016" t="s">
        <v>1508</v>
      </c>
      <c r="E1016" t="s">
        <v>2429</v>
      </c>
      <c r="F1016" t="s">
        <v>2678</v>
      </c>
      <c r="G1016" t="s">
        <v>2685</v>
      </c>
      <c r="H1016" s="3">
        <v>2355.52</v>
      </c>
      <c r="I1016">
        <v>519</v>
      </c>
      <c r="J1016">
        <v>0</v>
      </c>
      <c r="L1016" s="4">
        <v>0.79476410945505205</v>
      </c>
      <c r="M1016" s="4">
        <v>0.20523589054494801</v>
      </c>
      <c r="N1016">
        <v>0</v>
      </c>
    </row>
    <row r="1017" spans="1:14" x14ac:dyDescent="0.25">
      <c r="A1017" s="2">
        <v>23337727</v>
      </c>
      <c r="B1017" t="s">
        <v>2686</v>
      </c>
      <c r="C1017" t="s">
        <v>31</v>
      </c>
      <c r="D1017" t="s">
        <v>1508</v>
      </c>
      <c r="E1017" t="s">
        <v>2429</v>
      </c>
      <c r="F1017" t="s">
        <v>2678</v>
      </c>
      <c r="G1017" t="s">
        <v>2687</v>
      </c>
      <c r="H1017" s="3">
        <v>1909</v>
      </c>
      <c r="I1017">
        <v>115</v>
      </c>
      <c r="J1017">
        <v>1</v>
      </c>
      <c r="K1017">
        <v>49</v>
      </c>
      <c r="L1017" s="4">
        <v>0.99086966223373296</v>
      </c>
      <c r="M1017" s="4">
        <v>9.1303377662665906E-3</v>
      </c>
      <c r="N1017">
        <v>0</v>
      </c>
    </row>
    <row r="1018" spans="1:14" x14ac:dyDescent="0.25">
      <c r="A1018" s="2">
        <v>23846817</v>
      </c>
      <c r="B1018" t="s">
        <v>2688</v>
      </c>
      <c r="C1018" t="s">
        <v>31</v>
      </c>
      <c r="D1018" t="s">
        <v>1508</v>
      </c>
      <c r="E1018" t="s">
        <v>2429</v>
      </c>
      <c r="F1018" t="s">
        <v>2678</v>
      </c>
      <c r="G1018" t="s">
        <v>2689</v>
      </c>
      <c r="H1018" s="3">
        <v>1969.56</v>
      </c>
      <c r="I1018">
        <v>696</v>
      </c>
      <c r="J1018">
        <v>1</v>
      </c>
      <c r="K1018">
        <v>47</v>
      </c>
      <c r="L1018" s="4">
        <v>0.90236878063204595</v>
      </c>
      <c r="M1018" s="4">
        <v>9.76312193679542E-2</v>
      </c>
      <c r="N1018">
        <v>0</v>
      </c>
    </row>
    <row r="1019" spans="1:14" x14ac:dyDescent="0.25">
      <c r="A1019" s="2">
        <v>23783094</v>
      </c>
      <c r="B1019" t="s">
        <v>2690</v>
      </c>
      <c r="C1019" t="s">
        <v>31</v>
      </c>
      <c r="D1019" t="s">
        <v>1508</v>
      </c>
      <c r="E1019" t="s">
        <v>2429</v>
      </c>
      <c r="F1019" t="s">
        <v>2678</v>
      </c>
      <c r="G1019" t="s">
        <v>2691</v>
      </c>
      <c r="H1019" s="3">
        <v>2320</v>
      </c>
      <c r="I1019">
        <v>791</v>
      </c>
      <c r="J1019">
        <v>1</v>
      </c>
      <c r="L1019" s="4">
        <v>0.93993515922800097</v>
      </c>
      <c r="M1019" s="4">
        <v>6.0064840771998598E-2</v>
      </c>
      <c r="N1019">
        <v>0</v>
      </c>
    </row>
    <row r="1020" spans="1:14" x14ac:dyDescent="0.25">
      <c r="A1020" s="2">
        <v>23365120</v>
      </c>
      <c r="B1020" t="s">
        <v>2692</v>
      </c>
      <c r="C1020" t="s">
        <v>31</v>
      </c>
      <c r="D1020" t="s">
        <v>1508</v>
      </c>
      <c r="E1020" t="s">
        <v>2429</v>
      </c>
      <c r="F1020" t="s">
        <v>2678</v>
      </c>
      <c r="G1020" t="s">
        <v>2693</v>
      </c>
      <c r="H1020" s="3">
        <v>2347.87</v>
      </c>
      <c r="I1020">
        <v>550</v>
      </c>
      <c r="J1020">
        <v>0</v>
      </c>
      <c r="K1020">
        <v>42</v>
      </c>
      <c r="L1020" s="4">
        <v>0.394867530300957</v>
      </c>
      <c r="M1020" s="4">
        <v>0.605132469699043</v>
      </c>
      <c r="N1020">
        <v>0</v>
      </c>
    </row>
    <row r="1021" spans="1:14" x14ac:dyDescent="0.25">
      <c r="A1021" s="2"/>
      <c r="C1021" t="s">
        <v>28</v>
      </c>
      <c r="D1021" t="s">
        <v>17</v>
      </c>
      <c r="E1021" t="s">
        <v>2694</v>
      </c>
      <c r="F1021" t="s">
        <v>2430</v>
      </c>
      <c r="G1021" t="s">
        <v>2695</v>
      </c>
      <c r="H1021" s="3">
        <v>1955.21</v>
      </c>
      <c r="I1021">
        <v>921</v>
      </c>
      <c r="J1021">
        <v>0</v>
      </c>
      <c r="K1021">
        <v>23</v>
      </c>
      <c r="L1021" s="4">
        <v>0.32631305915804698</v>
      </c>
      <c r="M1021" s="4">
        <v>0.67368694084195302</v>
      </c>
      <c r="N1021">
        <v>0</v>
      </c>
    </row>
    <row r="1022" spans="1:14" x14ac:dyDescent="0.25">
      <c r="A1022" s="2"/>
      <c r="B1022" t="s">
        <v>2696</v>
      </c>
      <c r="C1022" t="s">
        <v>16</v>
      </c>
      <c r="D1022" t="s">
        <v>328</v>
      </c>
      <c r="E1022" t="s">
        <v>2361</v>
      </c>
      <c r="F1022" t="s">
        <v>2362</v>
      </c>
      <c r="G1022" t="s">
        <v>2697</v>
      </c>
      <c r="H1022" s="3">
        <v>1289.32</v>
      </c>
      <c r="I1022">
        <v>664</v>
      </c>
      <c r="J1022">
        <v>0</v>
      </c>
      <c r="K1022">
        <v>7</v>
      </c>
      <c r="L1022" s="4">
        <v>0.46396442992145798</v>
      </c>
      <c r="M1022" s="4">
        <v>0.53603557007854197</v>
      </c>
      <c r="N1022">
        <v>0</v>
      </c>
    </row>
    <row r="1023" spans="1:14" x14ac:dyDescent="0.25">
      <c r="A1023" s="2"/>
      <c r="B1023" t="s">
        <v>2698</v>
      </c>
      <c r="C1023" t="s">
        <v>16</v>
      </c>
      <c r="D1023" t="s">
        <v>333</v>
      </c>
      <c r="E1023" t="s">
        <v>2361</v>
      </c>
      <c r="F1023" t="s">
        <v>2362</v>
      </c>
      <c r="G1023" t="s">
        <v>2699</v>
      </c>
      <c r="H1023" s="3">
        <v>1503.47</v>
      </c>
      <c r="I1023">
        <v>69</v>
      </c>
      <c r="L1023" s="4">
        <v>0.38915527871384498</v>
      </c>
      <c r="M1023" s="4">
        <v>0.61084472128615497</v>
      </c>
      <c r="N1023">
        <v>0</v>
      </c>
    </row>
    <row r="1024" spans="1:14" x14ac:dyDescent="0.25">
      <c r="A1024" s="2"/>
      <c r="B1024" t="s">
        <v>2700</v>
      </c>
      <c r="C1024" t="s">
        <v>16</v>
      </c>
      <c r="D1024" t="s">
        <v>352</v>
      </c>
      <c r="E1024" t="s">
        <v>2701</v>
      </c>
      <c r="F1024" t="s">
        <v>2634</v>
      </c>
      <c r="G1024" t="s">
        <v>2702</v>
      </c>
      <c r="H1024" s="3">
        <v>2340</v>
      </c>
      <c r="I1024">
        <v>598</v>
      </c>
      <c r="J1024">
        <v>1</v>
      </c>
      <c r="K1024">
        <v>17</v>
      </c>
      <c r="L1024" s="4">
        <v>0.33798380150872798</v>
      </c>
      <c r="M1024" s="4">
        <v>0.66201619849127202</v>
      </c>
      <c r="N1024">
        <v>0</v>
      </c>
    </row>
    <row r="1025" spans="1:14" x14ac:dyDescent="0.25">
      <c r="A1025" s="2"/>
      <c r="B1025" t="s">
        <v>2703</v>
      </c>
      <c r="C1025" t="s">
        <v>16</v>
      </c>
      <c r="D1025" t="s">
        <v>17</v>
      </c>
      <c r="E1025" t="s">
        <v>2704</v>
      </c>
      <c r="F1025" t="s">
        <v>2705</v>
      </c>
      <c r="G1025" t="s">
        <v>2706</v>
      </c>
      <c r="H1025" s="3">
        <v>2486.13</v>
      </c>
      <c r="K1025">
        <v>43</v>
      </c>
      <c r="L1025" s="4">
        <v>0.152185210935909</v>
      </c>
      <c r="M1025" s="4">
        <v>0.84781478906409102</v>
      </c>
      <c r="N1025">
        <v>0</v>
      </c>
    </row>
    <row r="1026" spans="1:14" x14ac:dyDescent="0.25">
      <c r="A1026" s="2"/>
      <c r="B1026" t="s">
        <v>2707</v>
      </c>
      <c r="C1026" t="s">
        <v>16</v>
      </c>
      <c r="D1026" t="s">
        <v>2708</v>
      </c>
      <c r="E1026" t="s">
        <v>2709</v>
      </c>
      <c r="F1026" t="s">
        <v>2710</v>
      </c>
      <c r="G1026" t="s">
        <v>2711</v>
      </c>
      <c r="H1026" s="3">
        <v>808.85</v>
      </c>
      <c r="J1026">
        <v>1</v>
      </c>
      <c r="K1026">
        <v>16</v>
      </c>
      <c r="L1026" s="4">
        <v>0.936206604764941</v>
      </c>
      <c r="M1026" s="4">
        <v>6.37933952350586E-2</v>
      </c>
      <c r="N1026">
        <v>0</v>
      </c>
    </row>
    <row r="1027" spans="1:14" x14ac:dyDescent="0.25">
      <c r="A1027" s="2">
        <v>23386329</v>
      </c>
      <c r="C1027" t="s">
        <v>0</v>
      </c>
      <c r="D1027" t="s">
        <v>86</v>
      </c>
      <c r="E1027" t="s">
        <v>2712</v>
      </c>
      <c r="F1027" t="s">
        <v>2710</v>
      </c>
      <c r="G1027" t="s">
        <v>2713</v>
      </c>
      <c r="H1027" s="3">
        <v>1909.73</v>
      </c>
      <c r="I1027">
        <v>735</v>
      </c>
      <c r="J1027">
        <v>1</v>
      </c>
      <c r="K1027">
        <v>14</v>
      </c>
      <c r="L1027" s="4">
        <v>0.39534078444530102</v>
      </c>
      <c r="M1027" s="4">
        <v>0.60465921555469904</v>
      </c>
      <c r="N1027">
        <v>0</v>
      </c>
    </row>
    <row r="1028" spans="1:14" x14ac:dyDescent="0.25">
      <c r="A1028" s="2"/>
      <c r="B1028" t="s">
        <v>2714</v>
      </c>
      <c r="C1028" t="s">
        <v>16</v>
      </c>
      <c r="D1028" t="s">
        <v>69</v>
      </c>
      <c r="E1028" t="s">
        <v>2715</v>
      </c>
      <c r="F1028" t="s">
        <v>2710</v>
      </c>
      <c r="G1028" t="s">
        <v>2716</v>
      </c>
      <c r="H1028" s="3">
        <v>2241.4299999999998</v>
      </c>
      <c r="I1028">
        <v>629</v>
      </c>
      <c r="J1028">
        <v>0</v>
      </c>
      <c r="K1028">
        <v>38</v>
      </c>
      <c r="L1028" s="4">
        <v>0.93189167132995998</v>
      </c>
      <c r="M1028" s="4">
        <v>6.8108328670039894E-2</v>
      </c>
      <c r="N1028">
        <v>0</v>
      </c>
    </row>
    <row r="1029" spans="1:14" x14ac:dyDescent="0.25">
      <c r="A1029" s="2"/>
      <c r="B1029" t="s">
        <v>2717</v>
      </c>
      <c r="C1029" t="s">
        <v>16</v>
      </c>
      <c r="D1029" t="s">
        <v>406</v>
      </c>
      <c r="E1029" t="s">
        <v>2718</v>
      </c>
      <c r="F1029" t="s">
        <v>2719</v>
      </c>
      <c r="G1029" t="s">
        <v>2720</v>
      </c>
      <c r="H1029" s="3">
        <v>3037.86</v>
      </c>
      <c r="I1029">
        <v>891</v>
      </c>
      <c r="J1029">
        <v>0</v>
      </c>
      <c r="K1029">
        <v>14</v>
      </c>
      <c r="L1029" s="4">
        <v>0.95364921252784896</v>
      </c>
      <c r="M1029" s="4">
        <v>4.6350787472150899E-2</v>
      </c>
      <c r="N1029">
        <v>0</v>
      </c>
    </row>
    <row r="1030" spans="1:14" x14ac:dyDescent="0.25">
      <c r="A1030" s="2"/>
      <c r="B1030" t="s">
        <v>2721</v>
      </c>
      <c r="C1030" t="s">
        <v>16</v>
      </c>
      <c r="D1030" t="s">
        <v>133</v>
      </c>
      <c r="E1030" t="s">
        <v>2722</v>
      </c>
      <c r="F1030" t="s">
        <v>2430</v>
      </c>
      <c r="G1030" t="s">
        <v>2723</v>
      </c>
      <c r="H1030" s="3">
        <v>2145.6</v>
      </c>
      <c r="I1030">
        <v>970</v>
      </c>
      <c r="J1030">
        <v>0</v>
      </c>
      <c r="K1030">
        <v>36</v>
      </c>
      <c r="L1030" s="4">
        <v>0.108795556977478</v>
      </c>
      <c r="M1030" s="4">
        <v>0.891204443022522</v>
      </c>
      <c r="N1030">
        <v>0</v>
      </c>
    </row>
    <row r="1031" spans="1:14" x14ac:dyDescent="0.25">
      <c r="A1031" s="2">
        <v>23642644</v>
      </c>
      <c r="B1031" t="s">
        <v>2724</v>
      </c>
      <c r="C1031" t="s">
        <v>31</v>
      </c>
      <c r="D1031" t="s">
        <v>17</v>
      </c>
      <c r="E1031" t="s">
        <v>2725</v>
      </c>
      <c r="F1031" t="s">
        <v>2726</v>
      </c>
      <c r="G1031" t="s">
        <v>2727</v>
      </c>
      <c r="H1031" s="3">
        <v>2396.85</v>
      </c>
      <c r="I1031">
        <v>713</v>
      </c>
      <c r="J1031">
        <v>1</v>
      </c>
      <c r="K1031">
        <v>36</v>
      </c>
      <c r="L1031" s="4">
        <v>0.878792328704042</v>
      </c>
      <c r="M1031" s="4">
        <v>0.121207671295958</v>
      </c>
      <c r="N1031">
        <v>0</v>
      </c>
    </row>
    <row r="1032" spans="1:14" x14ac:dyDescent="0.25">
      <c r="A1032" s="2"/>
      <c r="B1032" t="s">
        <v>2728</v>
      </c>
      <c r="C1032" t="s">
        <v>16</v>
      </c>
      <c r="D1032" t="s">
        <v>86</v>
      </c>
      <c r="E1032" t="s">
        <v>2729</v>
      </c>
      <c r="F1032" t="s">
        <v>2730</v>
      </c>
      <c r="G1032" t="s">
        <v>2731</v>
      </c>
      <c r="H1032" s="3">
        <v>2321.38</v>
      </c>
      <c r="I1032">
        <v>839</v>
      </c>
      <c r="J1032">
        <v>1</v>
      </c>
      <c r="K1032">
        <v>1</v>
      </c>
      <c r="L1032" s="4">
        <v>0.43135346642828598</v>
      </c>
      <c r="M1032" s="4">
        <v>0.56864653357171402</v>
      </c>
      <c r="N1032">
        <v>0</v>
      </c>
    </row>
    <row r="1033" spans="1:14" x14ac:dyDescent="0.25">
      <c r="A1033" s="2"/>
      <c r="B1033" t="s">
        <v>2732</v>
      </c>
      <c r="C1033" t="s">
        <v>16</v>
      </c>
      <c r="D1033" t="s">
        <v>86</v>
      </c>
      <c r="E1033" t="s">
        <v>2729</v>
      </c>
      <c r="F1033" t="s">
        <v>2730</v>
      </c>
      <c r="G1033" t="s">
        <v>2733</v>
      </c>
      <c r="H1033" s="3">
        <v>2321.38</v>
      </c>
      <c r="I1033">
        <v>423</v>
      </c>
      <c r="J1033">
        <v>0</v>
      </c>
      <c r="K1033">
        <v>43</v>
      </c>
      <c r="L1033" s="4">
        <v>0.86367419551359903</v>
      </c>
      <c r="M1033" s="4">
        <v>0.136325804486401</v>
      </c>
      <c r="N1033">
        <v>0</v>
      </c>
    </row>
    <row r="1034" spans="1:14" x14ac:dyDescent="0.25">
      <c r="A1034" s="2"/>
      <c r="B1034" t="s">
        <v>2734</v>
      </c>
      <c r="C1034" t="s">
        <v>16</v>
      </c>
      <c r="D1034" t="s">
        <v>1593</v>
      </c>
      <c r="E1034" t="s">
        <v>2735</v>
      </c>
      <c r="F1034" t="s">
        <v>2736</v>
      </c>
      <c r="G1034" t="s">
        <v>2737</v>
      </c>
      <c r="H1034" s="3">
        <v>1200</v>
      </c>
      <c r="I1034">
        <v>869</v>
      </c>
      <c r="J1034">
        <v>0</v>
      </c>
      <c r="K1034">
        <v>31</v>
      </c>
      <c r="L1034" s="4">
        <v>0.24134964824609201</v>
      </c>
      <c r="M1034" s="4">
        <v>0.75865035175390805</v>
      </c>
      <c r="N1034">
        <v>0</v>
      </c>
    </row>
    <row r="1035" spans="1:14" x14ac:dyDescent="0.25">
      <c r="A1035" s="2"/>
      <c r="B1035" t="s">
        <v>2738</v>
      </c>
      <c r="C1035" t="s">
        <v>16</v>
      </c>
      <c r="D1035" t="s">
        <v>352</v>
      </c>
      <c r="E1035" t="s">
        <v>2739</v>
      </c>
      <c r="F1035" t="s">
        <v>2740</v>
      </c>
      <c r="G1035" t="s">
        <v>2741</v>
      </c>
      <c r="H1035" s="3">
        <v>2040</v>
      </c>
      <c r="I1035">
        <v>300</v>
      </c>
      <c r="J1035">
        <v>0</v>
      </c>
      <c r="K1035">
        <v>27</v>
      </c>
      <c r="L1035" s="4">
        <v>0.34996264520482001</v>
      </c>
      <c r="M1035" s="4">
        <v>0.65003735479517999</v>
      </c>
      <c r="N1035">
        <v>0</v>
      </c>
    </row>
    <row r="1036" spans="1:14" x14ac:dyDescent="0.25">
      <c r="A1036" s="2"/>
      <c r="C1036" t="s">
        <v>28</v>
      </c>
      <c r="D1036" t="s">
        <v>352</v>
      </c>
      <c r="E1036" t="s">
        <v>2739</v>
      </c>
      <c r="F1036" t="s">
        <v>2740</v>
      </c>
      <c r="G1036" t="s">
        <v>2742</v>
      </c>
      <c r="H1036" s="3">
        <v>1989</v>
      </c>
      <c r="I1036">
        <v>578</v>
      </c>
      <c r="J1036">
        <v>1</v>
      </c>
      <c r="K1036">
        <v>40</v>
      </c>
      <c r="L1036" s="4">
        <v>0.86279142099356898</v>
      </c>
      <c r="M1036" s="4">
        <v>0.13720857900643099</v>
      </c>
      <c r="N1036">
        <v>0</v>
      </c>
    </row>
    <row r="1037" spans="1:14" x14ac:dyDescent="0.25">
      <c r="A1037" s="2">
        <v>23761410</v>
      </c>
      <c r="B1037" t="s">
        <v>2743</v>
      </c>
      <c r="C1037" t="s">
        <v>31</v>
      </c>
      <c r="D1037" t="s">
        <v>352</v>
      </c>
      <c r="E1037" t="s">
        <v>2739</v>
      </c>
      <c r="F1037" t="s">
        <v>2740</v>
      </c>
      <c r="G1037" t="s">
        <v>2744</v>
      </c>
      <c r="H1037" s="3">
        <v>1755</v>
      </c>
      <c r="J1037">
        <v>0</v>
      </c>
      <c r="K1037">
        <v>19</v>
      </c>
      <c r="L1037" s="4">
        <v>0.26615500973773298</v>
      </c>
      <c r="M1037" s="4">
        <v>0.73384499026226702</v>
      </c>
      <c r="N1037">
        <v>0</v>
      </c>
    </row>
    <row r="1038" spans="1:14" x14ac:dyDescent="0.25">
      <c r="A1038" s="2">
        <v>22360292</v>
      </c>
      <c r="C1038" t="s">
        <v>0</v>
      </c>
      <c r="D1038" t="s">
        <v>86</v>
      </c>
      <c r="E1038" t="s">
        <v>2745</v>
      </c>
      <c r="F1038" t="s">
        <v>2746</v>
      </c>
      <c r="G1038" t="s">
        <v>2747</v>
      </c>
      <c r="H1038" s="3">
        <v>2275.02</v>
      </c>
      <c r="I1038">
        <v>327</v>
      </c>
      <c r="J1038">
        <v>1</v>
      </c>
      <c r="K1038">
        <v>49</v>
      </c>
      <c r="L1038" s="4">
        <v>0.58092946334288298</v>
      </c>
      <c r="M1038" s="4">
        <v>0.41907053665711702</v>
      </c>
      <c r="N1038">
        <v>0</v>
      </c>
    </row>
    <row r="1039" spans="1:14" x14ac:dyDescent="0.25">
      <c r="A1039" s="2"/>
      <c r="B1039" t="s">
        <v>2748</v>
      </c>
      <c r="C1039" t="s">
        <v>16</v>
      </c>
      <c r="D1039" t="s">
        <v>86</v>
      </c>
      <c r="E1039" t="s">
        <v>2745</v>
      </c>
      <c r="F1039" t="s">
        <v>2746</v>
      </c>
      <c r="G1039" t="s">
        <v>2749</v>
      </c>
      <c r="H1039" s="3">
        <v>2328.04</v>
      </c>
      <c r="I1039">
        <v>666</v>
      </c>
      <c r="J1039">
        <v>1</v>
      </c>
      <c r="K1039">
        <v>6</v>
      </c>
      <c r="L1039" s="4">
        <v>0.137953026464147</v>
      </c>
      <c r="M1039" s="4">
        <v>0.86204697353585402</v>
      </c>
      <c r="N1039">
        <v>0</v>
      </c>
    </row>
    <row r="1040" spans="1:14" x14ac:dyDescent="0.25">
      <c r="A1040" s="2"/>
      <c r="B1040" t="s">
        <v>2750</v>
      </c>
      <c r="C1040" t="s">
        <v>16</v>
      </c>
      <c r="D1040" t="s">
        <v>86</v>
      </c>
      <c r="E1040" t="s">
        <v>2751</v>
      </c>
      <c r="F1040" t="s">
        <v>2752</v>
      </c>
      <c r="G1040" t="s">
        <v>2753</v>
      </c>
      <c r="H1040" s="3">
        <v>2365.54</v>
      </c>
      <c r="I1040">
        <v>194</v>
      </c>
      <c r="J1040">
        <v>1</v>
      </c>
      <c r="K1040">
        <v>18</v>
      </c>
      <c r="L1040" s="4">
        <v>0.83522094743804998</v>
      </c>
      <c r="M1040" s="4">
        <v>0.16477905256195</v>
      </c>
      <c r="N1040">
        <v>0</v>
      </c>
    </row>
    <row r="1041" spans="1:14" x14ac:dyDescent="0.25">
      <c r="A1041" s="2"/>
      <c r="B1041" t="s">
        <v>2754</v>
      </c>
      <c r="C1041" t="s">
        <v>16</v>
      </c>
      <c r="D1041" t="s">
        <v>133</v>
      </c>
      <c r="E1041" t="s">
        <v>2755</v>
      </c>
      <c r="F1041" t="s">
        <v>2756</v>
      </c>
      <c r="G1041" t="s">
        <v>2757</v>
      </c>
      <c r="H1041" s="3">
        <v>2474.16</v>
      </c>
      <c r="I1041">
        <v>600</v>
      </c>
      <c r="J1041">
        <v>1</v>
      </c>
      <c r="K1041">
        <v>46</v>
      </c>
      <c r="L1041" s="4">
        <v>0.78225527485433699</v>
      </c>
      <c r="M1041" s="4">
        <v>0.21774472514566301</v>
      </c>
      <c r="N1041">
        <v>0</v>
      </c>
    </row>
    <row r="1042" spans="1:14" x14ac:dyDescent="0.25">
      <c r="A1042" s="2">
        <v>23668184</v>
      </c>
      <c r="C1042" t="s">
        <v>0</v>
      </c>
      <c r="D1042" t="s">
        <v>406</v>
      </c>
      <c r="E1042" t="s">
        <v>2758</v>
      </c>
      <c r="F1042" t="s">
        <v>2759</v>
      </c>
      <c r="G1042" t="s">
        <v>2760</v>
      </c>
      <c r="H1042" s="3">
        <v>3144.24</v>
      </c>
      <c r="I1042">
        <v>199</v>
      </c>
      <c r="J1042">
        <v>1</v>
      </c>
      <c r="K1042">
        <v>6</v>
      </c>
      <c r="L1042" s="4">
        <v>0.101797693613773</v>
      </c>
      <c r="M1042" s="4">
        <v>0.898202306386227</v>
      </c>
      <c r="N1042">
        <v>0</v>
      </c>
    </row>
    <row r="1043" spans="1:14" x14ac:dyDescent="0.25">
      <c r="A1043" s="2"/>
      <c r="B1043" t="s">
        <v>2761</v>
      </c>
      <c r="C1043" t="s">
        <v>16</v>
      </c>
      <c r="D1043" t="s">
        <v>406</v>
      </c>
      <c r="E1043" t="s">
        <v>2762</v>
      </c>
      <c r="F1043" t="s">
        <v>2763</v>
      </c>
      <c r="G1043" t="s">
        <v>2764</v>
      </c>
      <c r="H1043" s="3">
        <v>2659.32</v>
      </c>
      <c r="I1043">
        <v>126</v>
      </c>
      <c r="J1043">
        <v>0</v>
      </c>
      <c r="K1043">
        <v>16</v>
      </c>
      <c r="L1043" s="4">
        <v>0.74173522618585397</v>
      </c>
      <c r="M1043" s="4">
        <v>0.25826477381414598</v>
      </c>
      <c r="N1043">
        <v>0</v>
      </c>
    </row>
    <row r="1044" spans="1:14" x14ac:dyDescent="0.25">
      <c r="A1044" s="2"/>
      <c r="B1044" t="s">
        <v>2765</v>
      </c>
      <c r="C1044" t="s">
        <v>16</v>
      </c>
      <c r="D1044" t="s">
        <v>406</v>
      </c>
      <c r="E1044" t="s">
        <v>2762</v>
      </c>
      <c r="F1044" t="s">
        <v>2763</v>
      </c>
      <c r="G1044" t="s">
        <v>2766</v>
      </c>
      <c r="H1044" s="3">
        <v>2561.4</v>
      </c>
      <c r="I1044">
        <v>529</v>
      </c>
      <c r="J1044">
        <v>0</v>
      </c>
      <c r="K1044">
        <v>48</v>
      </c>
      <c r="L1044" s="4">
        <v>0.93981774856645695</v>
      </c>
      <c r="M1044" s="4">
        <v>6.0182251433543402E-2</v>
      </c>
      <c r="N1044">
        <v>0</v>
      </c>
    </row>
    <row r="1045" spans="1:14" x14ac:dyDescent="0.25">
      <c r="A1045" s="2">
        <v>23421830</v>
      </c>
      <c r="B1045" t="s">
        <v>2767</v>
      </c>
      <c r="C1045" t="s">
        <v>31</v>
      </c>
      <c r="D1045" t="s">
        <v>406</v>
      </c>
      <c r="E1045" t="s">
        <v>2768</v>
      </c>
      <c r="F1045" t="s">
        <v>2769</v>
      </c>
      <c r="G1045" t="s">
        <v>2770</v>
      </c>
      <c r="H1045" s="3">
        <v>3092.18</v>
      </c>
      <c r="I1045">
        <v>250</v>
      </c>
      <c r="J1045">
        <v>1</v>
      </c>
      <c r="K1045">
        <v>19</v>
      </c>
      <c r="L1045" s="4">
        <v>0.79503784055897697</v>
      </c>
      <c r="M1045" s="4">
        <v>0.204962159441023</v>
      </c>
      <c r="N1045">
        <v>0</v>
      </c>
    </row>
    <row r="1046" spans="1:14" x14ac:dyDescent="0.25">
      <c r="A1046" s="2">
        <v>23761407</v>
      </c>
      <c r="B1046" t="s">
        <v>2771</v>
      </c>
      <c r="C1046" t="s">
        <v>31</v>
      </c>
      <c r="D1046" t="s">
        <v>2772</v>
      </c>
      <c r="E1046" t="s">
        <v>2773</v>
      </c>
      <c r="F1046" t="s">
        <v>2774</v>
      </c>
      <c r="G1046" t="s">
        <v>2775</v>
      </c>
      <c r="H1046" s="3">
        <v>1575</v>
      </c>
      <c r="I1046">
        <v>239</v>
      </c>
      <c r="J1046">
        <v>1</v>
      </c>
      <c r="K1046">
        <v>48</v>
      </c>
      <c r="L1046" s="4">
        <v>0.14213255007779901</v>
      </c>
      <c r="M1046" s="4">
        <v>0.85786744992220099</v>
      </c>
      <c r="N1046">
        <v>0</v>
      </c>
    </row>
    <row r="1047" spans="1:14" x14ac:dyDescent="0.25">
      <c r="A1047" s="2"/>
      <c r="B1047" t="s">
        <v>2776</v>
      </c>
      <c r="C1047" t="s">
        <v>16</v>
      </c>
      <c r="D1047" t="s">
        <v>2772</v>
      </c>
      <c r="E1047" t="s">
        <v>2773</v>
      </c>
      <c r="F1047" t="s">
        <v>2774</v>
      </c>
      <c r="G1047" t="s">
        <v>2777</v>
      </c>
      <c r="H1047" s="3">
        <v>1750</v>
      </c>
      <c r="I1047">
        <v>914</v>
      </c>
      <c r="J1047">
        <v>0</v>
      </c>
      <c r="K1047">
        <v>37</v>
      </c>
      <c r="L1047" s="4">
        <v>0.66555890858358102</v>
      </c>
      <c r="M1047" s="4">
        <v>0.33444109141641898</v>
      </c>
      <c r="N1047">
        <v>0</v>
      </c>
    </row>
    <row r="1048" spans="1:14" x14ac:dyDescent="0.25">
      <c r="A1048" s="2">
        <v>23288427</v>
      </c>
      <c r="B1048" t="s">
        <v>2778</v>
      </c>
      <c r="C1048" t="s">
        <v>31</v>
      </c>
      <c r="D1048" t="s">
        <v>2772</v>
      </c>
      <c r="E1048" t="s">
        <v>2773</v>
      </c>
      <c r="F1048" t="s">
        <v>2774</v>
      </c>
      <c r="G1048" t="s">
        <v>2779</v>
      </c>
      <c r="H1048" s="3">
        <v>2100</v>
      </c>
      <c r="I1048">
        <v>911</v>
      </c>
      <c r="J1048">
        <v>1</v>
      </c>
      <c r="K1048">
        <v>47</v>
      </c>
      <c r="L1048" s="4">
        <v>0.62628837091752099</v>
      </c>
      <c r="M1048" s="4">
        <v>0.37371162908248001</v>
      </c>
      <c r="N1048">
        <v>0</v>
      </c>
    </row>
    <row r="1049" spans="1:14" x14ac:dyDescent="0.25">
      <c r="A1049" s="2">
        <v>23515023</v>
      </c>
      <c r="B1049" t="s">
        <v>2780</v>
      </c>
      <c r="C1049" t="s">
        <v>31</v>
      </c>
      <c r="D1049" t="s">
        <v>2772</v>
      </c>
      <c r="E1049" t="s">
        <v>2773</v>
      </c>
      <c r="F1049" t="s">
        <v>2774</v>
      </c>
      <c r="G1049" t="s">
        <v>2781</v>
      </c>
      <c r="H1049" s="3">
        <v>2100</v>
      </c>
      <c r="I1049">
        <v>322</v>
      </c>
      <c r="J1049">
        <v>0</v>
      </c>
      <c r="K1049">
        <v>50</v>
      </c>
      <c r="L1049" s="4">
        <v>0.276048182899433</v>
      </c>
      <c r="M1049" s="4">
        <v>0.723951817100567</v>
      </c>
      <c r="N1049">
        <v>0</v>
      </c>
    </row>
    <row r="1050" spans="1:14" x14ac:dyDescent="0.25">
      <c r="A1050" s="2">
        <v>22622330</v>
      </c>
      <c r="B1050" t="s">
        <v>2782</v>
      </c>
      <c r="C1050" t="s">
        <v>31</v>
      </c>
      <c r="D1050" t="s">
        <v>2772</v>
      </c>
      <c r="E1050" t="s">
        <v>2773</v>
      </c>
      <c r="F1050" t="s">
        <v>2774</v>
      </c>
      <c r="G1050" t="s">
        <v>2783</v>
      </c>
      <c r="H1050" s="3">
        <v>2100</v>
      </c>
      <c r="J1050">
        <v>1</v>
      </c>
      <c r="K1050">
        <v>25</v>
      </c>
      <c r="L1050" s="4">
        <v>0.11918730223981799</v>
      </c>
      <c r="M1050" s="4">
        <v>0.88081269776018201</v>
      </c>
      <c r="N1050">
        <v>0</v>
      </c>
    </row>
    <row r="1051" spans="1:14" x14ac:dyDescent="0.25">
      <c r="A1051" s="2"/>
      <c r="B1051" t="s">
        <v>2784</v>
      </c>
      <c r="C1051" t="s">
        <v>16</v>
      </c>
      <c r="D1051" t="s">
        <v>2772</v>
      </c>
      <c r="E1051" t="s">
        <v>2773</v>
      </c>
      <c r="F1051" t="s">
        <v>2774</v>
      </c>
      <c r="G1051" t="s">
        <v>2785</v>
      </c>
      <c r="H1051" s="3">
        <v>2100</v>
      </c>
      <c r="I1051">
        <v>871</v>
      </c>
      <c r="J1051">
        <v>1</v>
      </c>
      <c r="K1051">
        <v>40</v>
      </c>
      <c r="L1051" s="4">
        <v>0.65075668846873602</v>
      </c>
      <c r="M1051" s="4">
        <v>0.34924331153126398</v>
      </c>
      <c r="N1051">
        <v>0</v>
      </c>
    </row>
    <row r="1052" spans="1:14" x14ac:dyDescent="0.25">
      <c r="A1052" s="2">
        <v>23324467</v>
      </c>
      <c r="B1052" t="s">
        <v>2786</v>
      </c>
      <c r="C1052" t="s">
        <v>31</v>
      </c>
      <c r="D1052" t="s">
        <v>2772</v>
      </c>
      <c r="E1052" t="s">
        <v>2773</v>
      </c>
      <c r="F1052" t="s">
        <v>2774</v>
      </c>
      <c r="G1052" t="s">
        <v>2787</v>
      </c>
      <c r="H1052" s="3">
        <v>2100</v>
      </c>
      <c r="I1052">
        <v>359</v>
      </c>
      <c r="J1052">
        <v>1</v>
      </c>
      <c r="K1052">
        <v>50</v>
      </c>
      <c r="L1052" s="4">
        <v>0.59494486893103304</v>
      </c>
      <c r="M1052" s="4">
        <v>0.40505513106896701</v>
      </c>
      <c r="N1052">
        <v>0</v>
      </c>
    </row>
    <row r="1053" spans="1:14" x14ac:dyDescent="0.25">
      <c r="A1053" s="2">
        <v>23407423</v>
      </c>
      <c r="C1053" t="s">
        <v>0</v>
      </c>
      <c r="D1053" t="s">
        <v>2772</v>
      </c>
      <c r="E1053" t="s">
        <v>2773</v>
      </c>
      <c r="F1053" t="s">
        <v>2774</v>
      </c>
      <c r="G1053" t="s">
        <v>2788</v>
      </c>
      <c r="H1053" s="3">
        <v>2100</v>
      </c>
      <c r="I1053">
        <v>365</v>
      </c>
      <c r="J1053">
        <v>0</v>
      </c>
      <c r="K1053">
        <v>34</v>
      </c>
      <c r="L1053" s="4">
        <v>0.67441181773244496</v>
      </c>
      <c r="M1053" s="4">
        <v>0.32558818226755498</v>
      </c>
      <c r="N1053">
        <v>0</v>
      </c>
    </row>
    <row r="1054" spans="1:14" x14ac:dyDescent="0.25">
      <c r="A1054" s="2">
        <v>22513389</v>
      </c>
      <c r="B1054" t="s">
        <v>2789</v>
      </c>
      <c r="C1054" t="s">
        <v>31</v>
      </c>
      <c r="D1054" t="s">
        <v>2772</v>
      </c>
      <c r="E1054" t="s">
        <v>2773</v>
      </c>
      <c r="F1054" t="s">
        <v>2774</v>
      </c>
      <c r="G1054" t="s">
        <v>2790</v>
      </c>
      <c r="H1054" s="3">
        <v>2100</v>
      </c>
      <c r="I1054">
        <v>173</v>
      </c>
      <c r="J1054">
        <v>1</v>
      </c>
      <c r="L1054" s="4">
        <v>0.63942012011507698</v>
      </c>
      <c r="M1054" s="4">
        <v>0.36057987988492302</v>
      </c>
      <c r="N1054">
        <v>0</v>
      </c>
    </row>
    <row r="1055" spans="1:14" x14ac:dyDescent="0.25">
      <c r="A1055" s="2">
        <v>23255627</v>
      </c>
      <c r="B1055" t="s">
        <v>2791</v>
      </c>
      <c r="C1055" t="s">
        <v>31</v>
      </c>
      <c r="D1055" t="s">
        <v>2772</v>
      </c>
      <c r="E1055" t="s">
        <v>2773</v>
      </c>
      <c r="F1055" t="s">
        <v>2774</v>
      </c>
      <c r="G1055" t="s">
        <v>2792</v>
      </c>
      <c r="H1055" s="3">
        <v>2100</v>
      </c>
      <c r="I1055">
        <v>660</v>
      </c>
      <c r="J1055">
        <v>0</v>
      </c>
      <c r="K1055">
        <v>41</v>
      </c>
      <c r="L1055" s="4">
        <v>0.45688549758156199</v>
      </c>
      <c r="M1055" s="4">
        <v>0.54311450241843895</v>
      </c>
      <c r="N1055">
        <v>0</v>
      </c>
    </row>
    <row r="1056" spans="1:14" x14ac:dyDescent="0.25">
      <c r="A1056" s="2"/>
      <c r="B1056" t="s">
        <v>2793</v>
      </c>
      <c r="C1056" t="s">
        <v>16</v>
      </c>
      <c r="D1056" t="s">
        <v>2772</v>
      </c>
      <c r="E1056" t="s">
        <v>2773</v>
      </c>
      <c r="F1056" t="s">
        <v>2774</v>
      </c>
      <c r="G1056" t="s">
        <v>2794</v>
      </c>
      <c r="H1056" s="3">
        <v>1750</v>
      </c>
      <c r="J1056">
        <v>0</v>
      </c>
      <c r="K1056">
        <v>25</v>
      </c>
      <c r="L1056" s="4">
        <v>0.57811947374514605</v>
      </c>
      <c r="M1056" s="4">
        <v>0.421880526254854</v>
      </c>
      <c r="N1056">
        <v>0</v>
      </c>
    </row>
    <row r="1057" spans="1:14" x14ac:dyDescent="0.25">
      <c r="A1057" s="2"/>
      <c r="B1057" t="s">
        <v>2795</v>
      </c>
      <c r="C1057" t="s">
        <v>16</v>
      </c>
      <c r="D1057" t="s">
        <v>110</v>
      </c>
      <c r="E1057" t="s">
        <v>2796</v>
      </c>
      <c r="F1057" t="s">
        <v>2797</v>
      </c>
      <c r="G1057" t="s">
        <v>2798</v>
      </c>
      <c r="H1057" s="3">
        <v>2040</v>
      </c>
      <c r="I1057">
        <v>729</v>
      </c>
      <c r="J1057">
        <v>1</v>
      </c>
      <c r="K1057">
        <v>31</v>
      </c>
      <c r="L1057" s="4">
        <v>0.80873168565994702</v>
      </c>
      <c r="M1057" s="4">
        <v>0.19126831434005301</v>
      </c>
      <c r="N1057">
        <v>0</v>
      </c>
    </row>
    <row r="1058" spans="1:14" x14ac:dyDescent="0.25">
      <c r="A1058" s="2"/>
      <c r="B1058" t="s">
        <v>2799</v>
      </c>
      <c r="C1058" t="s">
        <v>16</v>
      </c>
      <c r="D1058" t="s">
        <v>17</v>
      </c>
      <c r="E1058" t="s">
        <v>2800</v>
      </c>
      <c r="F1058" t="s">
        <v>2801</v>
      </c>
      <c r="G1058" t="s">
        <v>2802</v>
      </c>
      <c r="H1058" s="3">
        <v>2328.2399999999998</v>
      </c>
      <c r="I1058">
        <v>237</v>
      </c>
      <c r="J1058">
        <v>1</v>
      </c>
      <c r="K1058">
        <v>4</v>
      </c>
      <c r="L1058" s="4">
        <v>0.79039151225019899</v>
      </c>
      <c r="M1058" s="4">
        <v>0.20960848774980101</v>
      </c>
      <c r="N1058">
        <v>0</v>
      </c>
    </row>
    <row r="1059" spans="1:14" x14ac:dyDescent="0.25">
      <c r="A1059" s="2"/>
      <c r="B1059" t="s">
        <v>2803</v>
      </c>
      <c r="C1059" t="s">
        <v>16</v>
      </c>
      <c r="D1059" t="s">
        <v>17</v>
      </c>
      <c r="E1059" t="s">
        <v>2800</v>
      </c>
      <c r="F1059" t="s">
        <v>2801</v>
      </c>
      <c r="G1059" t="s">
        <v>2804</v>
      </c>
      <c r="H1059" s="3">
        <v>2366.5700000000002</v>
      </c>
      <c r="I1059">
        <v>402</v>
      </c>
      <c r="J1059">
        <v>1</v>
      </c>
      <c r="K1059">
        <v>28</v>
      </c>
      <c r="L1059" s="4">
        <v>0.25342743879940299</v>
      </c>
      <c r="M1059" s="4">
        <v>0.74657256120059801</v>
      </c>
      <c r="N1059">
        <v>0</v>
      </c>
    </row>
    <row r="1060" spans="1:14" x14ac:dyDescent="0.25">
      <c r="A1060" s="2"/>
      <c r="B1060" t="s">
        <v>2805</v>
      </c>
      <c r="C1060" t="s">
        <v>16</v>
      </c>
      <c r="D1060" t="s">
        <v>1163</v>
      </c>
      <c r="E1060" t="s">
        <v>2806</v>
      </c>
      <c r="F1060" t="s">
        <v>2807</v>
      </c>
      <c r="G1060" t="s">
        <v>2808</v>
      </c>
      <c r="H1060" s="3">
        <v>1893.34</v>
      </c>
      <c r="I1060">
        <v>187</v>
      </c>
      <c r="J1060">
        <v>0</v>
      </c>
      <c r="K1060">
        <v>50</v>
      </c>
      <c r="L1060" s="4">
        <v>0.351662828391963</v>
      </c>
      <c r="M1060" s="4">
        <v>0.64833717160803706</v>
      </c>
      <c r="N1060">
        <v>0</v>
      </c>
    </row>
    <row r="1061" spans="1:14" x14ac:dyDescent="0.25">
      <c r="A1061" s="2"/>
      <c r="C1061" t="s">
        <v>28</v>
      </c>
      <c r="D1061" t="s">
        <v>17</v>
      </c>
      <c r="E1061" t="s">
        <v>2809</v>
      </c>
      <c r="F1061" t="s">
        <v>2810</v>
      </c>
      <c r="G1061" t="s">
        <v>2811</v>
      </c>
      <c r="H1061" s="3">
        <v>596.46</v>
      </c>
      <c r="I1061">
        <v>480</v>
      </c>
      <c r="J1061">
        <v>1</v>
      </c>
      <c r="K1061">
        <v>49</v>
      </c>
      <c r="L1061" s="4">
        <v>0.671336445914129</v>
      </c>
      <c r="M1061" s="4">
        <v>0.328663554085871</v>
      </c>
      <c r="N1061">
        <v>0</v>
      </c>
    </row>
    <row r="1062" spans="1:14" x14ac:dyDescent="0.25">
      <c r="A1062" s="2"/>
      <c r="B1062" t="s">
        <v>2812</v>
      </c>
      <c r="C1062" t="s">
        <v>16</v>
      </c>
      <c r="D1062" t="s">
        <v>17</v>
      </c>
      <c r="E1062" t="s">
        <v>2813</v>
      </c>
      <c r="F1062" t="s">
        <v>2814</v>
      </c>
      <c r="G1062" t="s">
        <v>2815</v>
      </c>
      <c r="H1062" s="3">
        <v>2293.37</v>
      </c>
      <c r="I1062">
        <v>444</v>
      </c>
      <c r="J1062">
        <v>0</v>
      </c>
      <c r="K1062">
        <v>26</v>
      </c>
      <c r="L1062" s="4">
        <v>0.59547849227013105</v>
      </c>
      <c r="M1062" s="4">
        <v>0.404521507729869</v>
      </c>
      <c r="N1062">
        <v>0</v>
      </c>
    </row>
    <row r="1063" spans="1:14" x14ac:dyDescent="0.25">
      <c r="A1063" s="2"/>
      <c r="B1063" t="s">
        <v>2816</v>
      </c>
      <c r="C1063" t="s">
        <v>16</v>
      </c>
      <c r="D1063" t="s">
        <v>2817</v>
      </c>
      <c r="E1063" t="s">
        <v>2365</v>
      </c>
      <c r="F1063" t="s">
        <v>2818</v>
      </c>
      <c r="G1063" t="s">
        <v>2819</v>
      </c>
      <c r="H1063" s="3">
        <v>2035</v>
      </c>
      <c r="I1063">
        <v>294</v>
      </c>
      <c r="J1063">
        <v>0</v>
      </c>
      <c r="K1063">
        <v>33</v>
      </c>
      <c r="L1063" s="4">
        <v>9.8187109630924696E-2</v>
      </c>
      <c r="M1063" s="4">
        <v>0.90181289036907497</v>
      </c>
      <c r="N1063">
        <v>0</v>
      </c>
    </row>
    <row r="1064" spans="1:14" x14ac:dyDescent="0.25">
      <c r="A1064" s="2">
        <v>23455506</v>
      </c>
      <c r="B1064" t="s">
        <v>2820</v>
      </c>
      <c r="C1064" t="s">
        <v>31</v>
      </c>
      <c r="D1064" t="s">
        <v>2817</v>
      </c>
      <c r="E1064" t="s">
        <v>2365</v>
      </c>
      <c r="F1064" t="s">
        <v>2818</v>
      </c>
      <c r="G1064" t="s">
        <v>2821</v>
      </c>
      <c r="H1064" s="3">
        <v>3108.08</v>
      </c>
      <c r="I1064">
        <v>783</v>
      </c>
      <c r="J1064">
        <v>1</v>
      </c>
      <c r="K1064">
        <v>10</v>
      </c>
      <c r="L1064" s="4">
        <v>0.721106202835882</v>
      </c>
      <c r="M1064" s="4">
        <v>0.278893797164118</v>
      </c>
      <c r="N1064">
        <v>0</v>
      </c>
    </row>
    <row r="1065" spans="1:14" x14ac:dyDescent="0.25">
      <c r="A1065" s="2">
        <v>23475217</v>
      </c>
      <c r="B1065" t="s">
        <v>2822</v>
      </c>
      <c r="C1065" t="s">
        <v>31</v>
      </c>
      <c r="D1065" t="s">
        <v>191</v>
      </c>
      <c r="E1065" t="s">
        <v>2365</v>
      </c>
      <c r="F1065" t="s">
        <v>2818</v>
      </c>
      <c r="G1065" t="s">
        <v>2823</v>
      </c>
      <c r="H1065" s="3">
        <v>1932.69</v>
      </c>
      <c r="I1065">
        <v>405</v>
      </c>
      <c r="J1065">
        <v>0</v>
      </c>
      <c r="L1065" s="4">
        <v>0.41101086442267898</v>
      </c>
      <c r="M1065" s="4">
        <v>0.58898913557732202</v>
      </c>
      <c r="N1065">
        <v>0</v>
      </c>
    </row>
    <row r="1066" spans="1:14" x14ac:dyDescent="0.25">
      <c r="A1066" s="2">
        <v>23046967</v>
      </c>
      <c r="B1066" t="s">
        <v>2824</v>
      </c>
      <c r="C1066" t="s">
        <v>31</v>
      </c>
      <c r="D1066" t="s">
        <v>17</v>
      </c>
      <c r="E1066" t="s">
        <v>2825</v>
      </c>
      <c r="F1066" t="s">
        <v>2818</v>
      </c>
      <c r="G1066" t="s">
        <v>2826</v>
      </c>
      <c r="H1066" s="3">
        <v>2286.09</v>
      </c>
      <c r="I1066">
        <v>704</v>
      </c>
      <c r="J1066">
        <v>1</v>
      </c>
      <c r="K1066">
        <v>14</v>
      </c>
      <c r="L1066" s="4">
        <v>0.306125443027286</v>
      </c>
      <c r="M1066" s="4">
        <v>0.69387455697271405</v>
      </c>
      <c r="N1066">
        <v>0</v>
      </c>
    </row>
    <row r="1067" spans="1:14" x14ac:dyDescent="0.25">
      <c r="A1067" s="2">
        <v>23493728</v>
      </c>
      <c r="B1067" t="s">
        <v>2827</v>
      </c>
      <c r="C1067" t="s">
        <v>31</v>
      </c>
      <c r="D1067" t="s">
        <v>110</v>
      </c>
      <c r="E1067" t="s">
        <v>2371</v>
      </c>
      <c r="F1067" t="s">
        <v>2372</v>
      </c>
      <c r="G1067" t="s">
        <v>2828</v>
      </c>
      <c r="H1067" s="3">
        <v>2250</v>
      </c>
      <c r="I1067">
        <v>363</v>
      </c>
      <c r="J1067">
        <v>1</v>
      </c>
      <c r="K1067">
        <v>28</v>
      </c>
      <c r="L1067" s="4">
        <v>0.29463569077106</v>
      </c>
      <c r="M1067" s="4">
        <v>0.70536430922894</v>
      </c>
      <c r="N1067">
        <v>0</v>
      </c>
    </row>
    <row r="1068" spans="1:14" x14ac:dyDescent="0.25">
      <c r="A1068" s="2"/>
      <c r="C1068" t="s">
        <v>28</v>
      </c>
      <c r="D1068" t="s">
        <v>110</v>
      </c>
      <c r="E1068" t="s">
        <v>2371</v>
      </c>
      <c r="F1068" t="s">
        <v>2372</v>
      </c>
      <c r="G1068" t="s">
        <v>2829</v>
      </c>
      <c r="H1068" s="3">
        <v>2625.6</v>
      </c>
      <c r="I1068">
        <v>955</v>
      </c>
      <c r="J1068">
        <v>1</v>
      </c>
      <c r="K1068">
        <v>27</v>
      </c>
      <c r="L1068" s="4">
        <v>0.99311765984959899</v>
      </c>
      <c r="M1068" s="4">
        <v>6.8823401504011202E-3</v>
      </c>
      <c r="N1068">
        <v>0</v>
      </c>
    </row>
    <row r="1069" spans="1:14" x14ac:dyDescent="0.25">
      <c r="A1069" s="2">
        <v>23945372</v>
      </c>
      <c r="C1069" t="s">
        <v>0</v>
      </c>
      <c r="D1069" t="s">
        <v>110</v>
      </c>
      <c r="E1069" t="s">
        <v>2371</v>
      </c>
      <c r="F1069" t="s">
        <v>2372</v>
      </c>
      <c r="G1069" t="s">
        <v>2830</v>
      </c>
      <c r="H1069" s="3">
        <v>2625.6</v>
      </c>
      <c r="J1069">
        <v>0</v>
      </c>
      <c r="K1069">
        <v>29</v>
      </c>
      <c r="L1069" s="4">
        <v>0.58969900193756197</v>
      </c>
      <c r="M1069" s="4">
        <v>0.41030099806243803</v>
      </c>
      <c r="N1069">
        <v>0</v>
      </c>
    </row>
    <row r="1070" spans="1:14" x14ac:dyDescent="0.25">
      <c r="A1070" s="2">
        <v>22301630</v>
      </c>
      <c r="B1070" t="s">
        <v>2831</v>
      </c>
      <c r="C1070" t="s">
        <v>31</v>
      </c>
      <c r="D1070" t="s">
        <v>110</v>
      </c>
      <c r="E1070" t="s">
        <v>2371</v>
      </c>
      <c r="F1070" t="s">
        <v>2372</v>
      </c>
      <c r="G1070" t="s">
        <v>2832</v>
      </c>
      <c r="H1070" s="3">
        <v>2040</v>
      </c>
      <c r="I1070">
        <v>884</v>
      </c>
      <c r="J1070">
        <v>1</v>
      </c>
      <c r="K1070">
        <v>14</v>
      </c>
      <c r="L1070" s="4">
        <v>0.13301192440336801</v>
      </c>
      <c r="M1070" s="4">
        <v>0.86698807559663205</v>
      </c>
      <c r="N1070">
        <v>0</v>
      </c>
    </row>
    <row r="1071" spans="1:14" x14ac:dyDescent="0.25">
      <c r="A1071" s="2">
        <v>24048963</v>
      </c>
      <c r="C1071" t="s">
        <v>0</v>
      </c>
      <c r="D1071" t="s">
        <v>110</v>
      </c>
      <c r="E1071" t="s">
        <v>2371</v>
      </c>
      <c r="F1071" t="s">
        <v>2372</v>
      </c>
      <c r="G1071" t="s">
        <v>2833</v>
      </c>
      <c r="H1071" s="3">
        <v>2841.6</v>
      </c>
      <c r="I1071">
        <v>625</v>
      </c>
      <c r="J1071">
        <v>0</v>
      </c>
      <c r="K1071">
        <v>24</v>
      </c>
      <c r="L1071" s="4">
        <v>0.339670060518865</v>
      </c>
      <c r="M1071" s="4">
        <v>0.66032993948113505</v>
      </c>
      <c r="N1071">
        <v>0</v>
      </c>
    </row>
    <row r="1072" spans="1:14" x14ac:dyDescent="0.25">
      <c r="A1072" s="2"/>
      <c r="B1072" t="s">
        <v>2834</v>
      </c>
      <c r="C1072" t="s">
        <v>16</v>
      </c>
      <c r="D1072" t="s">
        <v>110</v>
      </c>
      <c r="E1072" t="s">
        <v>2371</v>
      </c>
      <c r="F1072" t="s">
        <v>2372</v>
      </c>
      <c r="G1072" t="s">
        <v>2835</v>
      </c>
      <c r="H1072" s="3">
        <v>2625.6</v>
      </c>
      <c r="I1072">
        <v>87</v>
      </c>
      <c r="J1072">
        <v>0</v>
      </c>
      <c r="K1072">
        <v>31</v>
      </c>
      <c r="L1072" s="4">
        <v>0.87851626272910999</v>
      </c>
      <c r="M1072" s="4">
        <v>0.12148373727089</v>
      </c>
      <c r="N1072">
        <v>0</v>
      </c>
    </row>
    <row r="1073" spans="1:14" x14ac:dyDescent="0.25">
      <c r="A1073" s="2"/>
      <c r="B1073" t="s">
        <v>2836</v>
      </c>
      <c r="C1073" t="s">
        <v>16</v>
      </c>
      <c r="D1073" t="s">
        <v>110</v>
      </c>
      <c r="E1073" t="s">
        <v>2371</v>
      </c>
      <c r="F1073" t="s">
        <v>2372</v>
      </c>
      <c r="G1073" t="s">
        <v>2837</v>
      </c>
      <c r="H1073" s="3">
        <v>2040</v>
      </c>
      <c r="I1073">
        <v>969</v>
      </c>
      <c r="J1073">
        <v>1</v>
      </c>
      <c r="K1073">
        <v>21</v>
      </c>
      <c r="L1073" s="4">
        <v>0.17887430828853801</v>
      </c>
      <c r="M1073" s="4">
        <v>0.82112569171146199</v>
      </c>
      <c r="N1073">
        <v>0</v>
      </c>
    </row>
    <row r="1074" spans="1:14" x14ac:dyDescent="0.25">
      <c r="A1074" s="2"/>
      <c r="B1074" t="s">
        <v>2838</v>
      </c>
      <c r="C1074" t="s">
        <v>16</v>
      </c>
      <c r="D1074" t="s">
        <v>69</v>
      </c>
      <c r="E1074" t="s">
        <v>2839</v>
      </c>
      <c r="F1074" t="s">
        <v>2840</v>
      </c>
      <c r="G1074" t="s">
        <v>2841</v>
      </c>
      <c r="H1074" s="3">
        <v>2127.6799999999998</v>
      </c>
      <c r="I1074">
        <v>451</v>
      </c>
      <c r="J1074">
        <v>1</v>
      </c>
      <c r="K1074">
        <v>8</v>
      </c>
      <c r="L1074" s="4">
        <v>0.889077888742277</v>
      </c>
      <c r="M1074" s="4">
        <v>0.110922111257723</v>
      </c>
      <c r="N1074">
        <v>0</v>
      </c>
    </row>
    <row r="1075" spans="1:14" x14ac:dyDescent="0.25">
      <c r="A1075" s="2"/>
      <c r="B1075" t="s">
        <v>2842</v>
      </c>
      <c r="C1075" t="s">
        <v>16</v>
      </c>
      <c r="D1075" t="s">
        <v>86</v>
      </c>
      <c r="E1075" t="s">
        <v>2843</v>
      </c>
      <c r="F1075" t="s">
        <v>2840</v>
      </c>
      <c r="G1075" t="s">
        <v>2844</v>
      </c>
      <c r="H1075" s="3">
        <v>1873.87</v>
      </c>
      <c r="I1075">
        <v>3</v>
      </c>
      <c r="J1075">
        <v>1</v>
      </c>
      <c r="K1075">
        <v>16</v>
      </c>
      <c r="L1075" s="4">
        <v>8.0307500438971599E-2</v>
      </c>
      <c r="M1075" s="4">
        <v>0.91969249956102805</v>
      </c>
      <c r="N1075">
        <v>0</v>
      </c>
    </row>
    <row r="1076" spans="1:14" x14ac:dyDescent="0.25">
      <c r="A1076" s="2"/>
      <c r="B1076" t="s">
        <v>2845</v>
      </c>
      <c r="C1076" t="s">
        <v>16</v>
      </c>
      <c r="D1076" t="s">
        <v>607</v>
      </c>
      <c r="E1076" t="s">
        <v>2846</v>
      </c>
      <c r="F1076" t="s">
        <v>2372</v>
      </c>
      <c r="G1076" t="s">
        <v>2847</v>
      </c>
      <c r="H1076" s="3">
        <v>2520</v>
      </c>
      <c r="J1076">
        <v>1</v>
      </c>
      <c r="K1076">
        <v>38</v>
      </c>
      <c r="L1076" s="4">
        <v>0.26517084559674597</v>
      </c>
      <c r="M1076" s="4">
        <v>0.73482915440325403</v>
      </c>
      <c r="N1076">
        <v>0</v>
      </c>
    </row>
    <row r="1077" spans="1:14" x14ac:dyDescent="0.25">
      <c r="A1077" s="2">
        <v>23743648</v>
      </c>
      <c r="C1077" t="s">
        <v>0</v>
      </c>
      <c r="D1077" t="s">
        <v>607</v>
      </c>
      <c r="E1077" t="s">
        <v>2846</v>
      </c>
      <c r="F1077" t="s">
        <v>2372</v>
      </c>
      <c r="G1077" t="s">
        <v>2848</v>
      </c>
      <c r="H1077" s="3">
        <v>2520</v>
      </c>
      <c r="I1077">
        <v>479</v>
      </c>
      <c r="J1077">
        <v>0</v>
      </c>
      <c r="K1077">
        <v>18</v>
      </c>
      <c r="L1077" s="4">
        <v>0.71323384074230201</v>
      </c>
      <c r="M1077" s="4">
        <v>0.28676615925769799</v>
      </c>
      <c r="N1077">
        <v>0</v>
      </c>
    </row>
    <row r="1078" spans="1:14" x14ac:dyDescent="0.25">
      <c r="A1078" s="2">
        <v>23962810</v>
      </c>
      <c r="C1078" t="s">
        <v>0</v>
      </c>
      <c r="D1078" t="s">
        <v>607</v>
      </c>
      <c r="E1078" t="s">
        <v>2846</v>
      </c>
      <c r="F1078" t="s">
        <v>2372</v>
      </c>
      <c r="G1078" t="s">
        <v>2849</v>
      </c>
      <c r="H1078" s="3">
        <v>2520</v>
      </c>
      <c r="I1078">
        <v>319</v>
      </c>
      <c r="J1078">
        <v>1</v>
      </c>
      <c r="K1078">
        <v>28</v>
      </c>
      <c r="L1078" s="4">
        <v>0.35699387846788999</v>
      </c>
      <c r="M1078" s="4">
        <v>0.64300612153211001</v>
      </c>
      <c r="N1078">
        <v>0</v>
      </c>
    </row>
    <row r="1079" spans="1:14" x14ac:dyDescent="0.25">
      <c r="A1079" s="2"/>
      <c r="B1079" t="s">
        <v>2850</v>
      </c>
      <c r="C1079" t="s">
        <v>16</v>
      </c>
      <c r="D1079" t="s">
        <v>607</v>
      </c>
      <c r="E1079" t="s">
        <v>2846</v>
      </c>
      <c r="F1079" t="s">
        <v>2372</v>
      </c>
      <c r="G1079" t="s">
        <v>2851</v>
      </c>
      <c r="H1079" s="3">
        <v>2520</v>
      </c>
      <c r="I1079">
        <v>879</v>
      </c>
      <c r="J1079">
        <v>1</v>
      </c>
      <c r="K1079">
        <v>46</v>
      </c>
      <c r="L1079" s="4">
        <v>0.847545455756333</v>
      </c>
      <c r="M1079" s="4">
        <v>0.152454544243667</v>
      </c>
      <c r="N1079">
        <v>0</v>
      </c>
    </row>
    <row r="1080" spans="1:14" x14ac:dyDescent="0.25">
      <c r="A1080" s="2"/>
      <c r="B1080" t="s">
        <v>2852</v>
      </c>
      <c r="C1080" t="s">
        <v>16</v>
      </c>
      <c r="D1080" t="s">
        <v>1722</v>
      </c>
      <c r="E1080" t="s">
        <v>2853</v>
      </c>
      <c r="F1080" t="s">
        <v>2854</v>
      </c>
      <c r="G1080" t="s">
        <v>2855</v>
      </c>
      <c r="H1080" s="3">
        <v>1626.36</v>
      </c>
      <c r="I1080">
        <v>962</v>
      </c>
      <c r="J1080">
        <v>0</v>
      </c>
      <c r="K1080">
        <v>15</v>
      </c>
      <c r="L1080" s="4">
        <v>0.52030298511330297</v>
      </c>
      <c r="M1080" s="4">
        <v>0.47969701488669703</v>
      </c>
      <c r="N1080">
        <v>0</v>
      </c>
    </row>
    <row r="1081" spans="1:14" x14ac:dyDescent="0.25">
      <c r="A1081" s="2">
        <v>23192429</v>
      </c>
      <c r="C1081" t="s">
        <v>0</v>
      </c>
      <c r="D1081" t="s">
        <v>2856</v>
      </c>
      <c r="E1081" t="s">
        <v>2853</v>
      </c>
      <c r="F1081" t="s">
        <v>2854</v>
      </c>
      <c r="G1081" t="s">
        <v>2857</v>
      </c>
      <c r="H1081" s="3">
        <v>1956</v>
      </c>
      <c r="I1081">
        <v>190</v>
      </c>
      <c r="K1081">
        <v>31</v>
      </c>
      <c r="L1081" s="4">
        <v>0.30293407259378702</v>
      </c>
      <c r="M1081" s="4">
        <v>0.69706592740621298</v>
      </c>
      <c r="N1081">
        <v>0</v>
      </c>
    </row>
    <row r="1082" spans="1:14" x14ac:dyDescent="0.25">
      <c r="A1082" s="2">
        <v>21531876</v>
      </c>
      <c r="B1082" t="s">
        <v>2858</v>
      </c>
      <c r="C1082" t="s">
        <v>31</v>
      </c>
      <c r="D1082" t="s">
        <v>2856</v>
      </c>
      <c r="E1082" t="s">
        <v>2853</v>
      </c>
      <c r="F1082" t="s">
        <v>2854</v>
      </c>
      <c r="G1082" t="s">
        <v>2859</v>
      </c>
      <c r="H1082" s="3">
        <v>1598.38</v>
      </c>
      <c r="I1082">
        <v>699</v>
      </c>
      <c r="J1082">
        <v>0</v>
      </c>
      <c r="K1082">
        <v>26</v>
      </c>
      <c r="L1082" s="4">
        <v>0.77766311512529696</v>
      </c>
      <c r="M1082" s="4">
        <v>0.22233688487470299</v>
      </c>
      <c r="N1082">
        <v>0</v>
      </c>
    </row>
    <row r="1083" spans="1:14" x14ac:dyDescent="0.25">
      <c r="A1083" s="2"/>
      <c r="B1083" t="s">
        <v>2860</v>
      </c>
      <c r="C1083" t="s">
        <v>16</v>
      </c>
      <c r="D1083" t="s">
        <v>17</v>
      </c>
      <c r="E1083" t="s">
        <v>2861</v>
      </c>
      <c r="F1083" t="s">
        <v>2862</v>
      </c>
      <c r="G1083" t="s">
        <v>2863</v>
      </c>
      <c r="H1083" s="3">
        <v>2696.34</v>
      </c>
      <c r="I1083">
        <v>292</v>
      </c>
      <c r="J1083">
        <v>0</v>
      </c>
      <c r="K1083">
        <v>26</v>
      </c>
      <c r="L1083" s="4">
        <v>0.48504848416165502</v>
      </c>
      <c r="M1083" s="4">
        <v>0.51495151583834498</v>
      </c>
      <c r="N1083">
        <v>0</v>
      </c>
    </row>
    <row r="1084" spans="1:14" x14ac:dyDescent="0.25">
      <c r="A1084" s="2"/>
      <c r="C1084" t="s">
        <v>28</v>
      </c>
      <c r="D1084" t="s">
        <v>352</v>
      </c>
      <c r="E1084" t="s">
        <v>2864</v>
      </c>
      <c r="F1084" t="s">
        <v>2865</v>
      </c>
      <c r="G1084" t="s">
        <v>2866</v>
      </c>
      <c r="H1084" s="3">
        <v>2040</v>
      </c>
      <c r="I1084">
        <v>928</v>
      </c>
      <c r="J1084">
        <v>1</v>
      </c>
      <c r="K1084">
        <v>1</v>
      </c>
      <c r="L1084" s="4">
        <v>0.21810648969662499</v>
      </c>
      <c r="M1084" s="4">
        <v>0.78189351030337595</v>
      </c>
      <c r="N1084">
        <v>0</v>
      </c>
    </row>
    <row r="1085" spans="1:14" x14ac:dyDescent="0.25">
      <c r="A1085" s="2"/>
      <c r="B1085" t="s">
        <v>2867</v>
      </c>
      <c r="C1085" t="s">
        <v>16</v>
      </c>
      <c r="D1085" t="s">
        <v>352</v>
      </c>
      <c r="E1085" t="s">
        <v>2864</v>
      </c>
      <c r="F1085" t="s">
        <v>2865</v>
      </c>
      <c r="G1085" t="s">
        <v>2868</v>
      </c>
      <c r="H1085" s="3">
        <v>2040</v>
      </c>
      <c r="I1085">
        <v>416</v>
      </c>
      <c r="J1085">
        <v>0</v>
      </c>
      <c r="K1085">
        <v>29</v>
      </c>
      <c r="L1085" s="4">
        <v>0.90514865950795098</v>
      </c>
      <c r="M1085" s="4">
        <v>9.4851340492049199E-2</v>
      </c>
      <c r="N1085">
        <v>0</v>
      </c>
    </row>
    <row r="1086" spans="1:14" x14ac:dyDescent="0.25">
      <c r="A1086" s="2"/>
      <c r="C1086" t="s">
        <v>28</v>
      </c>
      <c r="D1086" t="s">
        <v>352</v>
      </c>
      <c r="E1086" t="s">
        <v>2869</v>
      </c>
      <c r="F1086" t="s">
        <v>2870</v>
      </c>
      <c r="G1086" t="s">
        <v>2871</v>
      </c>
      <c r="H1086" s="3">
        <v>1989</v>
      </c>
      <c r="I1086">
        <v>426</v>
      </c>
      <c r="J1086">
        <v>0</v>
      </c>
      <c r="K1086">
        <v>5</v>
      </c>
      <c r="L1086" s="4">
        <v>0.29789255703343898</v>
      </c>
      <c r="M1086" s="4">
        <v>0.70210744296656102</v>
      </c>
      <c r="N1086">
        <v>0</v>
      </c>
    </row>
    <row r="1087" spans="1:14" x14ac:dyDescent="0.25">
      <c r="A1087" s="2"/>
      <c r="B1087" t="s">
        <v>2872</v>
      </c>
      <c r="C1087" t="s">
        <v>16</v>
      </c>
      <c r="D1087" t="s">
        <v>352</v>
      </c>
      <c r="E1087" t="s">
        <v>2869</v>
      </c>
      <c r="F1087" t="s">
        <v>2870</v>
      </c>
      <c r="G1087" t="s">
        <v>2873</v>
      </c>
      <c r="H1087" s="3">
        <v>2340</v>
      </c>
      <c r="I1087">
        <v>150</v>
      </c>
      <c r="J1087">
        <v>0</v>
      </c>
      <c r="K1087">
        <v>8</v>
      </c>
      <c r="L1087" s="4">
        <v>0.74034236739541104</v>
      </c>
      <c r="M1087" s="4">
        <v>0.25965763260458902</v>
      </c>
      <c r="N1087">
        <v>0</v>
      </c>
    </row>
    <row r="1088" spans="1:14" x14ac:dyDescent="0.25">
      <c r="A1088" s="2"/>
      <c r="C1088" t="s">
        <v>28</v>
      </c>
      <c r="D1088" t="s">
        <v>86</v>
      </c>
      <c r="E1088" t="s">
        <v>2874</v>
      </c>
      <c r="F1088" t="s">
        <v>2875</v>
      </c>
      <c r="G1088" t="s">
        <v>2876</v>
      </c>
      <c r="H1088" s="3">
        <v>612.59</v>
      </c>
      <c r="I1088">
        <v>20</v>
      </c>
      <c r="J1088">
        <v>1</v>
      </c>
      <c r="K1088">
        <v>24</v>
      </c>
      <c r="L1088" s="4">
        <v>0.38829270352622502</v>
      </c>
      <c r="M1088" s="4">
        <v>0.61170729647377498</v>
      </c>
      <c r="N1088">
        <v>0</v>
      </c>
    </row>
    <row r="1089" spans="1:14" x14ac:dyDescent="0.25">
      <c r="A1089" s="2">
        <v>23983183</v>
      </c>
      <c r="B1089" t="s">
        <v>2877</v>
      </c>
      <c r="C1089" t="s">
        <v>31</v>
      </c>
      <c r="D1089" t="s">
        <v>86</v>
      </c>
      <c r="E1089" t="s">
        <v>2874</v>
      </c>
      <c r="F1089" t="s">
        <v>2875</v>
      </c>
      <c r="G1089" t="s">
        <v>2878</v>
      </c>
      <c r="H1089" s="3">
        <v>1834.77</v>
      </c>
      <c r="I1089">
        <v>429</v>
      </c>
      <c r="J1089">
        <v>0</v>
      </c>
      <c r="K1089">
        <v>24</v>
      </c>
      <c r="L1089" s="4">
        <v>1.7996543701257299E-2</v>
      </c>
      <c r="M1089" s="4">
        <v>0.98200345629874297</v>
      </c>
      <c r="N1089">
        <v>0</v>
      </c>
    </row>
    <row r="1090" spans="1:14" x14ac:dyDescent="0.25">
      <c r="A1090" s="2"/>
      <c r="B1090" t="s">
        <v>2879</v>
      </c>
      <c r="C1090" t="s">
        <v>16</v>
      </c>
      <c r="D1090" t="s">
        <v>22</v>
      </c>
      <c r="E1090" t="s">
        <v>2375</v>
      </c>
      <c r="F1090" t="s">
        <v>2376</v>
      </c>
      <c r="G1090" t="s">
        <v>2880</v>
      </c>
      <c r="H1090" s="3">
        <v>2392.1999999999998</v>
      </c>
      <c r="I1090">
        <v>303</v>
      </c>
      <c r="J1090">
        <v>0</v>
      </c>
      <c r="K1090">
        <v>20</v>
      </c>
      <c r="L1090" s="4">
        <v>0.540974167935238</v>
      </c>
      <c r="M1090" s="4">
        <v>0.459025832064762</v>
      </c>
      <c r="N1090">
        <v>1898</v>
      </c>
    </row>
    <row r="1091" spans="1:14" x14ac:dyDescent="0.25">
      <c r="A1091" s="2"/>
      <c r="B1091" t="s">
        <v>2881</v>
      </c>
      <c r="C1091" t="s">
        <v>16</v>
      </c>
      <c r="D1091" t="s">
        <v>22</v>
      </c>
      <c r="E1091" t="s">
        <v>2375</v>
      </c>
      <c r="F1091" t="s">
        <v>2376</v>
      </c>
      <c r="G1091" t="s">
        <v>2882</v>
      </c>
      <c r="H1091" s="3">
        <v>1287.2</v>
      </c>
      <c r="I1091">
        <v>15</v>
      </c>
      <c r="J1091">
        <v>1</v>
      </c>
      <c r="K1091">
        <v>38</v>
      </c>
      <c r="L1091" s="4">
        <v>0.99698725141968303</v>
      </c>
      <c r="M1091" s="4">
        <v>3.01274858031742E-3</v>
      </c>
      <c r="N1091">
        <v>0</v>
      </c>
    </row>
    <row r="1092" spans="1:14" x14ac:dyDescent="0.25">
      <c r="A1092" s="2"/>
      <c r="B1092" t="s">
        <v>2883</v>
      </c>
      <c r="C1092" t="s">
        <v>16</v>
      </c>
      <c r="D1092" t="s">
        <v>22</v>
      </c>
      <c r="E1092" t="s">
        <v>2375</v>
      </c>
      <c r="F1092" t="s">
        <v>2376</v>
      </c>
      <c r="G1092" t="s">
        <v>2884</v>
      </c>
      <c r="H1092" s="3">
        <v>1324.66</v>
      </c>
      <c r="I1092">
        <v>990</v>
      </c>
      <c r="K1092">
        <v>18</v>
      </c>
      <c r="L1092" s="4">
        <v>0.61382654002969195</v>
      </c>
      <c r="M1092" s="4">
        <v>0.386173459970308</v>
      </c>
      <c r="N1092">
        <v>0</v>
      </c>
    </row>
    <row r="1093" spans="1:14" x14ac:dyDescent="0.25">
      <c r="A1093" s="2"/>
      <c r="B1093" t="s">
        <v>2885</v>
      </c>
      <c r="C1093" t="s">
        <v>16</v>
      </c>
      <c r="D1093" t="s">
        <v>22</v>
      </c>
      <c r="E1093" t="s">
        <v>2375</v>
      </c>
      <c r="F1093" t="s">
        <v>2376</v>
      </c>
      <c r="G1093" t="s">
        <v>2886</v>
      </c>
      <c r="H1093" s="3">
        <v>1006.72</v>
      </c>
      <c r="I1093">
        <v>14</v>
      </c>
      <c r="J1093">
        <v>0</v>
      </c>
      <c r="K1093">
        <v>37</v>
      </c>
      <c r="L1093" s="4">
        <v>0.59514974031699897</v>
      </c>
      <c r="M1093" s="4">
        <v>0.40485025968300098</v>
      </c>
      <c r="N1093">
        <v>0</v>
      </c>
    </row>
    <row r="1094" spans="1:14" x14ac:dyDescent="0.25">
      <c r="A1094" s="2">
        <v>20146481</v>
      </c>
      <c r="C1094" t="s">
        <v>0</v>
      </c>
      <c r="D1094" t="s">
        <v>22</v>
      </c>
      <c r="E1094" t="s">
        <v>2375</v>
      </c>
      <c r="F1094" t="s">
        <v>2376</v>
      </c>
      <c r="G1094" t="s">
        <v>2887</v>
      </c>
      <c r="H1094" s="3">
        <v>572.74</v>
      </c>
      <c r="I1094">
        <v>96</v>
      </c>
      <c r="J1094">
        <v>0</v>
      </c>
      <c r="L1094" s="4">
        <v>0.90229235841688404</v>
      </c>
      <c r="M1094" s="4">
        <v>9.7707641583115595E-2</v>
      </c>
      <c r="N1094">
        <v>0</v>
      </c>
    </row>
    <row r="1095" spans="1:14" x14ac:dyDescent="0.25">
      <c r="A1095" s="2"/>
      <c r="B1095" t="s">
        <v>2888</v>
      </c>
      <c r="C1095" t="s">
        <v>16</v>
      </c>
      <c r="D1095" t="s">
        <v>22</v>
      </c>
      <c r="E1095" t="s">
        <v>2375</v>
      </c>
      <c r="F1095" t="s">
        <v>2376</v>
      </c>
      <c r="G1095" t="s">
        <v>2889</v>
      </c>
      <c r="H1095" s="3">
        <v>750.66</v>
      </c>
      <c r="I1095">
        <v>989</v>
      </c>
      <c r="J1095">
        <v>0</v>
      </c>
      <c r="K1095">
        <v>38</v>
      </c>
      <c r="L1095" s="4">
        <v>0.22329338610886701</v>
      </c>
      <c r="M1095" s="4">
        <v>0.77670661389113305</v>
      </c>
      <c r="N1095">
        <v>0</v>
      </c>
    </row>
    <row r="1096" spans="1:14" x14ac:dyDescent="0.25">
      <c r="A1096" s="2">
        <v>23281892</v>
      </c>
      <c r="B1096" t="s">
        <v>2890</v>
      </c>
      <c r="C1096" t="s">
        <v>31</v>
      </c>
      <c r="D1096" t="s">
        <v>22</v>
      </c>
      <c r="E1096" t="s">
        <v>2375</v>
      </c>
      <c r="F1096" t="s">
        <v>2376</v>
      </c>
      <c r="G1096" t="s">
        <v>2891</v>
      </c>
      <c r="H1096" s="3">
        <v>321.12</v>
      </c>
      <c r="I1096">
        <v>75</v>
      </c>
      <c r="J1096">
        <v>0</v>
      </c>
      <c r="K1096">
        <v>24</v>
      </c>
      <c r="L1096" s="4">
        <v>0.589902481395155</v>
      </c>
      <c r="M1096" s="4">
        <v>0.410097518604845</v>
      </c>
      <c r="N1096">
        <v>0</v>
      </c>
    </row>
    <row r="1097" spans="1:14" x14ac:dyDescent="0.25">
      <c r="A1097" s="2">
        <v>23412844</v>
      </c>
      <c r="B1097" t="s">
        <v>2892</v>
      </c>
      <c r="C1097" t="s">
        <v>31</v>
      </c>
      <c r="D1097" t="s">
        <v>2772</v>
      </c>
      <c r="E1097" t="s">
        <v>2893</v>
      </c>
      <c r="F1097" t="s">
        <v>2894</v>
      </c>
      <c r="G1097" t="s">
        <v>2895</v>
      </c>
      <c r="H1097" s="3">
        <v>2100</v>
      </c>
      <c r="I1097">
        <v>900</v>
      </c>
      <c r="J1097">
        <v>0</v>
      </c>
      <c r="K1097">
        <v>1</v>
      </c>
      <c r="L1097" s="4">
        <v>0.66230280865054703</v>
      </c>
      <c r="M1097" s="4">
        <v>0.33769719134945297</v>
      </c>
      <c r="N1097">
        <v>0</v>
      </c>
    </row>
    <row r="1098" spans="1:14" x14ac:dyDescent="0.25">
      <c r="A1098" s="2"/>
      <c r="B1098" t="s">
        <v>2896</v>
      </c>
      <c r="C1098" t="s">
        <v>16</v>
      </c>
      <c r="D1098" t="s">
        <v>86</v>
      </c>
      <c r="E1098" t="s">
        <v>2897</v>
      </c>
      <c r="F1098" t="s">
        <v>2894</v>
      </c>
      <c r="G1098" t="s">
        <v>2898</v>
      </c>
      <c r="H1098" s="3">
        <v>2400</v>
      </c>
      <c r="I1098">
        <v>50</v>
      </c>
      <c r="J1098">
        <v>0</v>
      </c>
      <c r="K1098">
        <v>47</v>
      </c>
      <c r="L1098" s="4">
        <v>0.92670688027853498</v>
      </c>
      <c r="M1098" s="4">
        <v>7.3293119721464794E-2</v>
      </c>
      <c r="N1098">
        <v>0</v>
      </c>
    </row>
    <row r="1099" spans="1:14" x14ac:dyDescent="0.25">
      <c r="A1099" s="2"/>
      <c r="B1099" t="s">
        <v>2899</v>
      </c>
      <c r="C1099" t="s">
        <v>16</v>
      </c>
      <c r="D1099" t="s">
        <v>17</v>
      </c>
      <c r="E1099" t="s">
        <v>2395</v>
      </c>
      <c r="F1099" t="s">
        <v>2900</v>
      </c>
      <c r="G1099" t="s">
        <v>2901</v>
      </c>
      <c r="H1099" s="3">
        <v>2192.89</v>
      </c>
      <c r="I1099">
        <v>236</v>
      </c>
      <c r="J1099">
        <v>1</v>
      </c>
      <c r="K1099">
        <v>16</v>
      </c>
      <c r="L1099" s="4">
        <v>0.47566755560970497</v>
      </c>
      <c r="M1099" s="4">
        <v>0.52433244439029503</v>
      </c>
      <c r="N1099">
        <v>0</v>
      </c>
    </row>
    <row r="1100" spans="1:14" x14ac:dyDescent="0.25">
      <c r="A1100" s="2">
        <v>23318955</v>
      </c>
      <c r="B1100" t="s">
        <v>2902</v>
      </c>
      <c r="C1100" t="s">
        <v>31</v>
      </c>
      <c r="D1100" t="s">
        <v>17</v>
      </c>
      <c r="E1100" t="s">
        <v>2395</v>
      </c>
      <c r="F1100" t="s">
        <v>2900</v>
      </c>
      <c r="G1100" t="s">
        <v>2903</v>
      </c>
      <c r="H1100" s="3">
        <v>2372.0100000000002</v>
      </c>
      <c r="I1100">
        <v>715</v>
      </c>
      <c r="J1100">
        <v>0</v>
      </c>
      <c r="K1100">
        <v>14</v>
      </c>
      <c r="L1100" s="4">
        <v>0.70798295067249895</v>
      </c>
      <c r="M1100" s="4">
        <v>0.292017049327501</v>
      </c>
      <c r="N1100">
        <v>0</v>
      </c>
    </row>
    <row r="1101" spans="1:14" x14ac:dyDescent="0.25">
      <c r="A1101" s="2"/>
      <c r="B1101" t="s">
        <v>2904</v>
      </c>
      <c r="C1101" t="s">
        <v>16</v>
      </c>
      <c r="D1101" t="s">
        <v>17</v>
      </c>
      <c r="E1101" t="s">
        <v>2395</v>
      </c>
      <c r="F1101" t="s">
        <v>2900</v>
      </c>
      <c r="G1101" t="s">
        <v>2905</v>
      </c>
      <c r="H1101" s="3">
        <v>2455.8200000000002</v>
      </c>
      <c r="I1101">
        <v>367</v>
      </c>
      <c r="J1101">
        <v>0</v>
      </c>
      <c r="L1101" s="4">
        <v>0.61027678165942301</v>
      </c>
      <c r="M1101" s="4">
        <v>0.38972321834057699</v>
      </c>
      <c r="N1101">
        <v>0</v>
      </c>
    </row>
    <row r="1102" spans="1:14" x14ac:dyDescent="0.25">
      <c r="A1102" s="2">
        <v>20097205</v>
      </c>
      <c r="C1102" t="s">
        <v>0</v>
      </c>
      <c r="D1102" t="s">
        <v>17</v>
      </c>
      <c r="E1102" t="s">
        <v>2395</v>
      </c>
      <c r="F1102" t="s">
        <v>2900</v>
      </c>
      <c r="G1102" t="s">
        <v>2906</v>
      </c>
      <c r="H1102" s="3">
        <v>2459.3200000000002</v>
      </c>
      <c r="I1102">
        <v>866</v>
      </c>
      <c r="J1102">
        <v>1</v>
      </c>
      <c r="K1102">
        <v>2</v>
      </c>
      <c r="L1102" s="4">
        <v>0.87862305792503803</v>
      </c>
      <c r="M1102" s="4">
        <v>0.121376942074962</v>
      </c>
      <c r="N1102">
        <v>0</v>
      </c>
    </row>
    <row r="1103" spans="1:14" x14ac:dyDescent="0.25">
      <c r="A1103" s="2"/>
      <c r="B1103" t="s">
        <v>2907</v>
      </c>
      <c r="C1103" t="s">
        <v>16</v>
      </c>
      <c r="D1103" t="s">
        <v>1593</v>
      </c>
      <c r="E1103" t="s">
        <v>2908</v>
      </c>
      <c r="F1103" t="s">
        <v>2865</v>
      </c>
      <c r="G1103" t="s">
        <v>2909</v>
      </c>
      <c r="H1103" s="3">
        <v>1200</v>
      </c>
      <c r="J1103">
        <v>1</v>
      </c>
      <c r="K1103">
        <v>8</v>
      </c>
      <c r="L1103" s="4">
        <v>0.742216395844843</v>
      </c>
      <c r="M1103" s="4">
        <v>0.257783604155157</v>
      </c>
      <c r="N1103">
        <v>0</v>
      </c>
    </row>
    <row r="1104" spans="1:14" x14ac:dyDescent="0.25">
      <c r="A1104" s="2">
        <v>23132913</v>
      </c>
      <c r="B1104" t="s">
        <v>2910</v>
      </c>
      <c r="C1104" t="s">
        <v>31</v>
      </c>
      <c r="D1104" t="s">
        <v>1593</v>
      </c>
      <c r="E1104" t="s">
        <v>2908</v>
      </c>
      <c r="F1104" t="s">
        <v>2865</v>
      </c>
      <c r="G1104" t="s">
        <v>2911</v>
      </c>
      <c r="H1104" s="3">
        <v>2400</v>
      </c>
      <c r="I1104">
        <v>767</v>
      </c>
      <c r="J1104">
        <v>1</v>
      </c>
      <c r="K1104">
        <v>20</v>
      </c>
      <c r="L1104" s="4">
        <v>0.528473864394439</v>
      </c>
      <c r="M1104" s="4">
        <v>0.471526135605561</v>
      </c>
      <c r="N1104">
        <v>0</v>
      </c>
    </row>
    <row r="1105" spans="1:14" x14ac:dyDescent="0.25">
      <c r="A1105" s="2"/>
      <c r="B1105" t="s">
        <v>2912</v>
      </c>
      <c r="C1105" t="s">
        <v>16</v>
      </c>
      <c r="D1105" t="s">
        <v>69</v>
      </c>
      <c r="E1105" t="s">
        <v>2913</v>
      </c>
      <c r="F1105" t="s">
        <v>2914</v>
      </c>
      <c r="G1105" t="s">
        <v>2915</v>
      </c>
      <c r="H1105" s="3">
        <v>2262.59</v>
      </c>
      <c r="I1105">
        <v>943</v>
      </c>
      <c r="J1105">
        <v>0</v>
      </c>
      <c r="L1105" s="4">
        <v>0.69255835754404305</v>
      </c>
      <c r="M1105" s="4">
        <v>0.30744164245595701</v>
      </c>
      <c r="N1105">
        <v>0</v>
      </c>
    </row>
    <row r="1106" spans="1:14" x14ac:dyDescent="0.25">
      <c r="A1106" s="2"/>
      <c r="C1106" t="s">
        <v>28</v>
      </c>
      <c r="D1106" t="s">
        <v>69</v>
      </c>
      <c r="E1106" t="s">
        <v>2916</v>
      </c>
      <c r="F1106" t="s">
        <v>2917</v>
      </c>
      <c r="G1106" t="s">
        <v>2918</v>
      </c>
      <c r="H1106" s="3">
        <v>1896.98</v>
      </c>
      <c r="I1106">
        <v>779</v>
      </c>
      <c r="J1106">
        <v>1</v>
      </c>
      <c r="K1106">
        <v>16</v>
      </c>
      <c r="L1106" s="4">
        <v>0.26029904707886098</v>
      </c>
      <c r="M1106" s="4">
        <v>0.73970095292113902</v>
      </c>
      <c r="N1106">
        <v>0</v>
      </c>
    </row>
    <row r="1107" spans="1:14" x14ac:dyDescent="0.25">
      <c r="A1107" s="2">
        <v>23474851</v>
      </c>
      <c r="B1107" t="s">
        <v>2919</v>
      </c>
      <c r="C1107" t="s">
        <v>31</v>
      </c>
      <c r="D1107" t="s">
        <v>69</v>
      </c>
      <c r="E1107" t="s">
        <v>2920</v>
      </c>
      <c r="F1107" t="s">
        <v>2921</v>
      </c>
      <c r="G1107" t="s">
        <v>2922</v>
      </c>
      <c r="H1107" s="3">
        <v>2289.17</v>
      </c>
      <c r="I1107">
        <v>890</v>
      </c>
      <c r="J1107">
        <v>1</v>
      </c>
      <c r="K1107">
        <v>11</v>
      </c>
      <c r="L1107" s="4">
        <v>0.86519393749877005</v>
      </c>
      <c r="M1107" s="4">
        <v>0.13480606250123001</v>
      </c>
      <c r="N1107">
        <v>0</v>
      </c>
    </row>
    <row r="1108" spans="1:14" x14ac:dyDescent="0.25">
      <c r="A1108" s="2"/>
      <c r="B1108" t="s">
        <v>2923</v>
      </c>
      <c r="C1108" t="s">
        <v>16</v>
      </c>
      <c r="D1108" t="s">
        <v>86</v>
      </c>
      <c r="E1108" t="s">
        <v>2924</v>
      </c>
      <c r="F1108" t="s">
        <v>2925</v>
      </c>
      <c r="G1108" t="s">
        <v>2926</v>
      </c>
      <c r="H1108" s="3">
        <v>1860.57</v>
      </c>
      <c r="I1108">
        <v>102</v>
      </c>
      <c r="J1108">
        <v>0</v>
      </c>
      <c r="K1108">
        <v>39</v>
      </c>
      <c r="L1108" s="4">
        <v>0.58030356957621199</v>
      </c>
      <c r="M1108" s="4">
        <v>0.41969643042378801</v>
      </c>
      <c r="N1108">
        <v>0</v>
      </c>
    </row>
    <row r="1109" spans="1:14" x14ac:dyDescent="0.25">
      <c r="A1109" s="2"/>
      <c r="B1109" t="s">
        <v>2927</v>
      </c>
      <c r="C1109" t="s">
        <v>16</v>
      </c>
      <c r="D1109" t="s">
        <v>86</v>
      </c>
      <c r="E1109" t="s">
        <v>2924</v>
      </c>
      <c r="F1109" t="s">
        <v>2925</v>
      </c>
      <c r="G1109" t="s">
        <v>2928</v>
      </c>
      <c r="H1109" s="3">
        <v>2184.2199999999998</v>
      </c>
      <c r="I1109">
        <v>192</v>
      </c>
      <c r="J1109">
        <v>1</v>
      </c>
      <c r="K1109">
        <v>11</v>
      </c>
      <c r="L1109" s="4">
        <v>0.79762791054517701</v>
      </c>
      <c r="M1109" s="4">
        <v>0.20237208945482299</v>
      </c>
      <c r="N1109">
        <v>0</v>
      </c>
    </row>
    <row r="1110" spans="1:14" x14ac:dyDescent="0.25">
      <c r="A1110" s="2"/>
      <c r="B1110" t="s">
        <v>2929</v>
      </c>
      <c r="C1110" t="s">
        <v>16</v>
      </c>
      <c r="D1110" t="s">
        <v>86</v>
      </c>
      <c r="E1110" t="s">
        <v>2924</v>
      </c>
      <c r="F1110" t="s">
        <v>2925</v>
      </c>
      <c r="G1110" t="s">
        <v>2930</v>
      </c>
      <c r="H1110" s="3">
        <v>2184.2199999999998</v>
      </c>
      <c r="J1110">
        <v>1</v>
      </c>
      <c r="K1110">
        <v>48</v>
      </c>
      <c r="L1110" s="4">
        <v>0.18998852596835999</v>
      </c>
      <c r="M1110" s="4">
        <v>0.81001147403164098</v>
      </c>
      <c r="N1110">
        <v>0</v>
      </c>
    </row>
    <row r="1111" spans="1:14" x14ac:dyDescent="0.25">
      <c r="A1111" s="2"/>
      <c r="B1111" t="s">
        <v>2931</v>
      </c>
      <c r="C1111" t="s">
        <v>16</v>
      </c>
      <c r="D1111" t="s">
        <v>86</v>
      </c>
      <c r="E1111" t="s">
        <v>2924</v>
      </c>
      <c r="F1111" t="s">
        <v>2925</v>
      </c>
      <c r="G1111" t="s">
        <v>2932</v>
      </c>
      <c r="H1111" s="3">
        <v>2270.34</v>
      </c>
      <c r="I1111">
        <v>202</v>
      </c>
      <c r="J1111">
        <v>0</v>
      </c>
      <c r="K1111">
        <v>15</v>
      </c>
      <c r="L1111" s="4">
        <v>0.43135451931559399</v>
      </c>
      <c r="M1111" s="4">
        <v>0.56864548068440601</v>
      </c>
      <c r="N1111">
        <v>0</v>
      </c>
    </row>
    <row r="1112" spans="1:14" x14ac:dyDescent="0.25">
      <c r="A1112" s="2"/>
      <c r="B1112" t="s">
        <v>2933</v>
      </c>
      <c r="C1112" t="s">
        <v>16</v>
      </c>
      <c r="D1112" t="s">
        <v>86</v>
      </c>
      <c r="E1112" t="s">
        <v>2924</v>
      </c>
      <c r="F1112" t="s">
        <v>2925</v>
      </c>
      <c r="G1112" t="s">
        <v>2934</v>
      </c>
      <c r="H1112" s="3">
        <v>2010.24</v>
      </c>
      <c r="I1112">
        <v>209</v>
      </c>
      <c r="J1112">
        <v>0</v>
      </c>
      <c r="K1112">
        <v>33</v>
      </c>
      <c r="L1112" s="4">
        <v>0.965770658108979</v>
      </c>
      <c r="M1112" s="4">
        <v>3.4229341891021503E-2</v>
      </c>
      <c r="N1112">
        <v>0</v>
      </c>
    </row>
    <row r="1113" spans="1:14" x14ac:dyDescent="0.25">
      <c r="A1113" s="2"/>
      <c r="B1113" t="s">
        <v>2935</v>
      </c>
      <c r="C1113" t="s">
        <v>16</v>
      </c>
      <c r="D1113" t="s">
        <v>86</v>
      </c>
      <c r="E1113" t="s">
        <v>2936</v>
      </c>
      <c r="F1113" t="s">
        <v>2925</v>
      </c>
      <c r="G1113" t="s">
        <v>2937</v>
      </c>
      <c r="H1113" s="3">
        <v>2302.9299999999998</v>
      </c>
      <c r="I1113">
        <v>663</v>
      </c>
      <c r="J1113">
        <v>1</v>
      </c>
      <c r="K1113">
        <v>28</v>
      </c>
      <c r="L1113" s="4">
        <v>0.22297719809312699</v>
      </c>
      <c r="M1113" s="4">
        <v>0.77702280190687301</v>
      </c>
      <c r="N1113">
        <v>0</v>
      </c>
    </row>
    <row r="1114" spans="1:14" x14ac:dyDescent="0.25">
      <c r="A1114" s="2"/>
      <c r="B1114" t="s">
        <v>2938</v>
      </c>
      <c r="C1114" t="s">
        <v>16</v>
      </c>
      <c r="D1114" t="s">
        <v>148</v>
      </c>
      <c r="E1114" t="s">
        <v>2939</v>
      </c>
      <c r="F1114" t="s">
        <v>2925</v>
      </c>
      <c r="G1114" t="s">
        <v>2940</v>
      </c>
      <c r="H1114" s="3">
        <v>1295.4000000000001</v>
      </c>
      <c r="I1114">
        <v>290</v>
      </c>
      <c r="J1114">
        <v>1</v>
      </c>
      <c r="K1114">
        <v>19</v>
      </c>
      <c r="L1114" s="4">
        <v>6.4234141135537798E-2</v>
      </c>
      <c r="M1114" s="4">
        <v>0.93576585886446195</v>
      </c>
      <c r="N1114">
        <v>0</v>
      </c>
    </row>
    <row r="1115" spans="1:14" x14ac:dyDescent="0.25">
      <c r="A1115" s="2"/>
      <c r="C1115" t="s">
        <v>28</v>
      </c>
      <c r="D1115" t="s">
        <v>69</v>
      </c>
      <c r="E1115" t="s">
        <v>2941</v>
      </c>
      <c r="F1115" t="s">
        <v>2925</v>
      </c>
      <c r="G1115" t="s">
        <v>2942</v>
      </c>
      <c r="H1115" s="3">
        <v>1851.29</v>
      </c>
      <c r="I1115">
        <v>317</v>
      </c>
      <c r="J1115">
        <v>0</v>
      </c>
      <c r="K1115">
        <v>18</v>
      </c>
      <c r="L1115" s="4">
        <v>0.83801247641270404</v>
      </c>
      <c r="M1115" s="4">
        <v>0.16198752358729601</v>
      </c>
      <c r="N1115">
        <v>0</v>
      </c>
    </row>
    <row r="1116" spans="1:14" x14ac:dyDescent="0.25">
      <c r="A1116" s="2"/>
      <c r="B1116" t="s">
        <v>2943</v>
      </c>
      <c r="C1116" t="s">
        <v>16</v>
      </c>
      <c r="D1116" t="s">
        <v>69</v>
      </c>
      <c r="E1116" t="s">
        <v>2941</v>
      </c>
      <c r="F1116" t="s">
        <v>2925</v>
      </c>
      <c r="G1116" t="s">
        <v>2944</v>
      </c>
      <c r="H1116" s="3">
        <v>1902.46</v>
      </c>
      <c r="I1116">
        <v>720</v>
      </c>
      <c r="J1116">
        <v>1</v>
      </c>
      <c r="K1116">
        <v>19</v>
      </c>
      <c r="L1116" s="4">
        <v>0.42284024333928899</v>
      </c>
      <c r="M1116" s="4">
        <v>0.57715975666071095</v>
      </c>
      <c r="N1116">
        <v>0</v>
      </c>
    </row>
    <row r="1117" spans="1:14" x14ac:dyDescent="0.25">
      <c r="A1117" s="2">
        <v>24150688</v>
      </c>
      <c r="C1117" t="s">
        <v>0</v>
      </c>
      <c r="D1117" t="s">
        <v>69</v>
      </c>
      <c r="E1117" t="s">
        <v>2941</v>
      </c>
      <c r="F1117" t="s">
        <v>2925</v>
      </c>
      <c r="G1117" t="s">
        <v>2945</v>
      </c>
      <c r="H1117" s="3">
        <v>2209.7600000000002</v>
      </c>
      <c r="I1117">
        <v>966</v>
      </c>
      <c r="J1117">
        <v>1</v>
      </c>
      <c r="K1117">
        <v>21</v>
      </c>
      <c r="L1117" s="4">
        <v>0.99634934373835304</v>
      </c>
      <c r="M1117" s="4">
        <v>3.65065626164751E-3</v>
      </c>
      <c r="N1117">
        <v>0</v>
      </c>
    </row>
    <row r="1118" spans="1:14" x14ac:dyDescent="0.25">
      <c r="A1118" s="2"/>
      <c r="B1118" t="s">
        <v>2946</v>
      </c>
      <c r="C1118" t="s">
        <v>16</v>
      </c>
      <c r="D1118" t="s">
        <v>69</v>
      </c>
      <c r="E1118" t="s">
        <v>2941</v>
      </c>
      <c r="F1118" t="s">
        <v>2925</v>
      </c>
      <c r="G1118" t="s">
        <v>2947</v>
      </c>
      <c r="H1118" s="3">
        <v>2387.4899999999998</v>
      </c>
      <c r="J1118">
        <v>0</v>
      </c>
      <c r="K1118">
        <v>50</v>
      </c>
      <c r="L1118" s="4">
        <v>0.46714300770066303</v>
      </c>
      <c r="M1118" s="4">
        <v>0.53285699229933703</v>
      </c>
      <c r="N1118">
        <v>0</v>
      </c>
    </row>
    <row r="1119" spans="1:14" x14ac:dyDescent="0.25">
      <c r="A1119" s="2"/>
      <c r="C1119" t="s">
        <v>28</v>
      </c>
      <c r="D1119" t="s">
        <v>2948</v>
      </c>
      <c r="E1119" t="s">
        <v>2949</v>
      </c>
      <c r="F1119" t="s">
        <v>2950</v>
      </c>
      <c r="G1119" t="s">
        <v>2951</v>
      </c>
      <c r="H1119" s="3">
        <v>159.91</v>
      </c>
      <c r="I1119">
        <v>95</v>
      </c>
      <c r="J1119">
        <v>0</v>
      </c>
      <c r="K1119">
        <v>9</v>
      </c>
      <c r="L1119" s="4">
        <v>0.88569155808895705</v>
      </c>
      <c r="M1119" s="4">
        <v>0.114308441911043</v>
      </c>
      <c r="N1119">
        <v>0</v>
      </c>
    </row>
    <row r="1120" spans="1:14" x14ac:dyDescent="0.25">
      <c r="A1120" s="2"/>
      <c r="C1120" t="s">
        <v>28</v>
      </c>
      <c r="D1120" t="s">
        <v>352</v>
      </c>
      <c r="E1120" t="s">
        <v>2952</v>
      </c>
      <c r="F1120" t="s">
        <v>2953</v>
      </c>
      <c r="G1120" t="s">
        <v>2954</v>
      </c>
      <c r="H1120" s="3">
        <v>2040</v>
      </c>
      <c r="I1120">
        <v>209</v>
      </c>
      <c r="J1120">
        <v>0</v>
      </c>
      <c r="K1120">
        <v>24</v>
      </c>
      <c r="L1120" s="4">
        <v>0.88905087222254398</v>
      </c>
      <c r="M1120" s="4">
        <v>0.110949127777456</v>
      </c>
      <c r="N1120">
        <v>0</v>
      </c>
    </row>
    <row r="1121" spans="1:14" x14ac:dyDescent="0.25">
      <c r="A1121" s="2"/>
      <c r="B1121" t="s">
        <v>2955</v>
      </c>
      <c r="C1121" t="s">
        <v>16</v>
      </c>
      <c r="D1121" t="s">
        <v>352</v>
      </c>
      <c r="E1121" t="s">
        <v>2952</v>
      </c>
      <c r="F1121" t="s">
        <v>2953</v>
      </c>
      <c r="G1121" t="s">
        <v>2956</v>
      </c>
      <c r="H1121" s="3">
        <v>2040</v>
      </c>
      <c r="I1121">
        <v>214</v>
      </c>
      <c r="J1121">
        <v>0</v>
      </c>
      <c r="K1121">
        <v>4</v>
      </c>
      <c r="L1121" s="4">
        <v>0.401507047302049</v>
      </c>
      <c r="M1121" s="4">
        <v>0.598492952697951</v>
      </c>
      <c r="N1121">
        <v>0</v>
      </c>
    </row>
    <row r="1122" spans="1:14" x14ac:dyDescent="0.25">
      <c r="A1122" s="2"/>
      <c r="B1122" t="s">
        <v>2957</v>
      </c>
      <c r="C1122" t="s">
        <v>16</v>
      </c>
      <c r="D1122" t="s">
        <v>352</v>
      </c>
      <c r="E1122" t="s">
        <v>2952</v>
      </c>
      <c r="F1122" t="s">
        <v>2953</v>
      </c>
      <c r="G1122" t="s">
        <v>2958</v>
      </c>
      <c r="H1122" s="3">
        <v>2040</v>
      </c>
      <c r="I1122">
        <v>632</v>
      </c>
      <c r="J1122">
        <v>0</v>
      </c>
      <c r="K1122">
        <v>49</v>
      </c>
      <c r="L1122" s="4">
        <v>0.17082469234957501</v>
      </c>
      <c r="M1122" s="4">
        <v>0.82917530765042502</v>
      </c>
      <c r="N1122">
        <v>0</v>
      </c>
    </row>
    <row r="1123" spans="1:14" x14ac:dyDescent="0.25">
      <c r="A1123" s="2"/>
      <c r="B1123" t="s">
        <v>2959</v>
      </c>
      <c r="C1123" t="s">
        <v>16</v>
      </c>
      <c r="D1123" t="s">
        <v>352</v>
      </c>
      <c r="E1123" t="s">
        <v>2952</v>
      </c>
      <c r="F1123" t="s">
        <v>2953</v>
      </c>
      <c r="G1123" t="s">
        <v>2960</v>
      </c>
      <c r="H1123" s="3">
        <v>2040</v>
      </c>
      <c r="I1123">
        <v>631</v>
      </c>
      <c r="J1123">
        <v>1</v>
      </c>
      <c r="K1123">
        <v>28</v>
      </c>
      <c r="L1123" s="4">
        <v>0.92014504029208699</v>
      </c>
      <c r="M1123" s="4">
        <v>7.9854959707913106E-2</v>
      </c>
      <c r="N1123">
        <v>0</v>
      </c>
    </row>
    <row r="1124" spans="1:14" x14ac:dyDescent="0.25">
      <c r="A1124" s="2"/>
      <c r="B1124" t="s">
        <v>2961</v>
      </c>
      <c r="C1124" t="s">
        <v>16</v>
      </c>
      <c r="D1124" t="s">
        <v>352</v>
      </c>
      <c r="E1124" t="s">
        <v>2952</v>
      </c>
      <c r="F1124" t="s">
        <v>2953</v>
      </c>
      <c r="G1124" t="s">
        <v>2962</v>
      </c>
      <c r="H1124" s="3">
        <v>2040</v>
      </c>
      <c r="I1124">
        <v>588</v>
      </c>
      <c r="J1124">
        <v>1</v>
      </c>
      <c r="L1124" s="4">
        <v>0.87278510825649303</v>
      </c>
      <c r="M1124" s="4">
        <v>0.127214891743508</v>
      </c>
      <c r="N1124">
        <v>0</v>
      </c>
    </row>
    <row r="1125" spans="1:14" x14ac:dyDescent="0.25">
      <c r="A1125" s="2"/>
      <c r="B1125" t="s">
        <v>2963</v>
      </c>
      <c r="C1125" t="s">
        <v>16</v>
      </c>
      <c r="D1125" t="s">
        <v>352</v>
      </c>
      <c r="E1125" t="s">
        <v>2952</v>
      </c>
      <c r="F1125" t="s">
        <v>2953</v>
      </c>
      <c r="G1125" t="s">
        <v>2964</v>
      </c>
      <c r="H1125" s="3">
        <v>2040</v>
      </c>
      <c r="I1125">
        <v>381</v>
      </c>
      <c r="J1125">
        <v>1</v>
      </c>
      <c r="L1125" s="4">
        <v>0.66970311242962499</v>
      </c>
      <c r="M1125" s="4">
        <v>0.33029688757037501</v>
      </c>
      <c r="N1125">
        <v>0</v>
      </c>
    </row>
    <row r="1126" spans="1:14" x14ac:dyDescent="0.25">
      <c r="A1126" s="2"/>
      <c r="B1126" t="s">
        <v>2965</v>
      </c>
      <c r="C1126" t="s">
        <v>16</v>
      </c>
      <c r="D1126" t="s">
        <v>2483</v>
      </c>
      <c r="E1126" t="s">
        <v>2966</v>
      </c>
      <c r="F1126" t="s">
        <v>2925</v>
      </c>
      <c r="G1126" t="s">
        <v>2967</v>
      </c>
      <c r="H1126" s="3">
        <v>1276.08</v>
      </c>
      <c r="J1126">
        <v>1</v>
      </c>
      <c r="K1126">
        <v>25</v>
      </c>
      <c r="L1126" s="4">
        <v>0.94475286631532895</v>
      </c>
      <c r="M1126" s="4">
        <v>5.5247133684671497E-2</v>
      </c>
      <c r="N1126">
        <v>0</v>
      </c>
    </row>
    <row r="1127" spans="1:14" x14ac:dyDescent="0.25">
      <c r="A1127" s="2"/>
      <c r="B1127" t="s">
        <v>2968</v>
      </c>
      <c r="C1127" t="s">
        <v>16</v>
      </c>
      <c r="D1127" t="s">
        <v>2483</v>
      </c>
      <c r="E1127" t="s">
        <v>2966</v>
      </c>
      <c r="F1127" t="s">
        <v>2925</v>
      </c>
      <c r="G1127" t="s">
        <v>2969</v>
      </c>
      <c r="H1127" s="3">
        <v>1291.02</v>
      </c>
      <c r="I1127">
        <v>209</v>
      </c>
      <c r="J1127">
        <v>0</v>
      </c>
      <c r="K1127">
        <v>2</v>
      </c>
      <c r="L1127" s="4">
        <v>0.42757366465834401</v>
      </c>
      <c r="M1127" s="4">
        <v>0.57242633534165599</v>
      </c>
      <c r="N1127">
        <v>0</v>
      </c>
    </row>
    <row r="1128" spans="1:14" x14ac:dyDescent="0.25">
      <c r="A1128" s="2"/>
      <c r="B1128" t="s">
        <v>2970</v>
      </c>
      <c r="C1128" t="s">
        <v>16</v>
      </c>
      <c r="D1128" t="s">
        <v>2483</v>
      </c>
      <c r="E1128" t="s">
        <v>2966</v>
      </c>
      <c r="F1128" t="s">
        <v>2925</v>
      </c>
      <c r="G1128" t="s">
        <v>2971</v>
      </c>
      <c r="H1128" s="3">
        <v>1319.17</v>
      </c>
      <c r="I1128">
        <v>923</v>
      </c>
      <c r="J1128">
        <v>1</v>
      </c>
      <c r="K1128">
        <v>13</v>
      </c>
      <c r="L1128" s="4">
        <v>0.34568965156178399</v>
      </c>
      <c r="M1128" s="4">
        <v>0.65431034843821601</v>
      </c>
      <c r="N1128">
        <v>0</v>
      </c>
    </row>
    <row r="1129" spans="1:14" x14ac:dyDescent="0.25">
      <c r="A1129" s="2"/>
      <c r="B1129" t="s">
        <v>2972</v>
      </c>
      <c r="C1129" t="s">
        <v>16</v>
      </c>
      <c r="D1129" t="s">
        <v>2483</v>
      </c>
      <c r="E1129" t="s">
        <v>2966</v>
      </c>
      <c r="F1129" t="s">
        <v>2925</v>
      </c>
      <c r="G1129" t="s">
        <v>2973</v>
      </c>
      <c r="H1129" s="3">
        <v>1514.35</v>
      </c>
      <c r="I1129">
        <v>39</v>
      </c>
      <c r="J1129">
        <v>0</v>
      </c>
      <c r="K1129">
        <v>1</v>
      </c>
      <c r="L1129" s="4">
        <v>0.86816478046358403</v>
      </c>
      <c r="M1129" s="4">
        <v>0.131835219536416</v>
      </c>
      <c r="N1129">
        <v>0</v>
      </c>
    </row>
    <row r="1130" spans="1:14" x14ac:dyDescent="0.25">
      <c r="A1130" s="2"/>
      <c r="B1130" t="s">
        <v>2974</v>
      </c>
      <c r="C1130" t="s">
        <v>16</v>
      </c>
      <c r="D1130" t="s">
        <v>2483</v>
      </c>
      <c r="E1130" t="s">
        <v>2966</v>
      </c>
      <c r="F1130" t="s">
        <v>2925</v>
      </c>
      <c r="G1130" t="s">
        <v>2975</v>
      </c>
      <c r="H1130" s="3">
        <v>1551.61</v>
      </c>
      <c r="I1130">
        <v>455</v>
      </c>
      <c r="J1130">
        <v>0</v>
      </c>
      <c r="K1130">
        <v>22</v>
      </c>
      <c r="L1130" s="4">
        <v>0.140835682801072</v>
      </c>
      <c r="M1130" s="4">
        <v>0.85916431719892805</v>
      </c>
      <c r="N1130">
        <v>0</v>
      </c>
    </row>
    <row r="1131" spans="1:14" x14ac:dyDescent="0.25">
      <c r="A1131" s="2">
        <v>22972952</v>
      </c>
      <c r="B1131" t="s">
        <v>2976</v>
      </c>
      <c r="C1131" t="s">
        <v>31</v>
      </c>
      <c r="D1131" t="s">
        <v>328</v>
      </c>
      <c r="E1131" t="s">
        <v>2966</v>
      </c>
      <c r="F1131" t="s">
        <v>2925</v>
      </c>
      <c r="G1131" t="s">
        <v>2977</v>
      </c>
      <c r="H1131" s="3">
        <v>1565.06</v>
      </c>
      <c r="J1131">
        <v>0</v>
      </c>
      <c r="K1131">
        <v>8</v>
      </c>
      <c r="L1131" s="4">
        <v>0.52703112668604701</v>
      </c>
      <c r="M1131" s="4">
        <v>0.47296887331395299</v>
      </c>
      <c r="N1131">
        <v>0</v>
      </c>
    </row>
    <row r="1132" spans="1:14" x14ac:dyDescent="0.25">
      <c r="A1132" s="2">
        <v>23554485</v>
      </c>
      <c r="B1132" t="s">
        <v>2978</v>
      </c>
      <c r="C1132" t="s">
        <v>31</v>
      </c>
      <c r="D1132" t="s">
        <v>328</v>
      </c>
      <c r="E1132" t="s">
        <v>2979</v>
      </c>
      <c r="F1132" t="s">
        <v>2925</v>
      </c>
      <c r="G1132" t="s">
        <v>2980</v>
      </c>
      <c r="H1132" s="3">
        <v>1283</v>
      </c>
      <c r="I1132">
        <v>336</v>
      </c>
      <c r="J1132">
        <v>1</v>
      </c>
      <c r="K1132">
        <v>34</v>
      </c>
      <c r="L1132" s="4">
        <v>1.5517662332225899E-2</v>
      </c>
      <c r="M1132" s="4">
        <v>0.98448233766777404</v>
      </c>
      <c r="N1132">
        <v>0</v>
      </c>
    </row>
    <row r="1133" spans="1:14" x14ac:dyDescent="0.25">
      <c r="A1133" s="2"/>
      <c r="C1133" t="s">
        <v>28</v>
      </c>
      <c r="D1133" t="s">
        <v>2981</v>
      </c>
      <c r="E1133" t="s">
        <v>2979</v>
      </c>
      <c r="F1133" t="s">
        <v>2925</v>
      </c>
      <c r="G1133" t="s">
        <v>2982</v>
      </c>
      <c r="H1133" s="3">
        <v>885.52</v>
      </c>
      <c r="I1133">
        <v>822</v>
      </c>
      <c r="J1133">
        <v>1</v>
      </c>
      <c r="K1133">
        <v>42</v>
      </c>
      <c r="L1133" s="4">
        <v>0.76313138315226103</v>
      </c>
      <c r="M1133" s="4">
        <v>0.23686861684773999</v>
      </c>
      <c r="N1133">
        <v>0</v>
      </c>
    </row>
    <row r="1134" spans="1:14" x14ac:dyDescent="0.25">
      <c r="A1134" s="2">
        <v>23447590</v>
      </c>
      <c r="B1134" t="s">
        <v>2983</v>
      </c>
      <c r="C1134" t="s">
        <v>31</v>
      </c>
      <c r="D1134" t="s">
        <v>2981</v>
      </c>
      <c r="E1134" t="s">
        <v>2979</v>
      </c>
      <c r="F1134" t="s">
        <v>2925</v>
      </c>
      <c r="G1134" t="s">
        <v>2984</v>
      </c>
      <c r="H1134" s="3">
        <v>1730.99</v>
      </c>
      <c r="I1134">
        <v>741</v>
      </c>
      <c r="J1134">
        <v>0</v>
      </c>
      <c r="L1134" s="4">
        <v>0.60900700095851401</v>
      </c>
      <c r="M1134" s="4">
        <v>0.39099299904148599</v>
      </c>
      <c r="N1134">
        <v>0</v>
      </c>
    </row>
    <row r="1135" spans="1:14" x14ac:dyDescent="0.25">
      <c r="A1135" s="2"/>
      <c r="B1135" t="s">
        <v>2985</v>
      </c>
      <c r="C1135" t="s">
        <v>16</v>
      </c>
      <c r="D1135" t="s">
        <v>2981</v>
      </c>
      <c r="E1135" t="s">
        <v>2979</v>
      </c>
      <c r="F1135" t="s">
        <v>2925</v>
      </c>
      <c r="G1135" t="s">
        <v>2986</v>
      </c>
      <c r="H1135" s="3">
        <v>1761.28</v>
      </c>
      <c r="I1135">
        <v>681</v>
      </c>
      <c r="J1135">
        <v>1</v>
      </c>
      <c r="K1135">
        <v>13</v>
      </c>
      <c r="L1135" s="4">
        <v>0.41237727527087098</v>
      </c>
      <c r="M1135" s="4">
        <v>0.58762272472912902</v>
      </c>
      <c r="N1135">
        <v>0</v>
      </c>
    </row>
    <row r="1136" spans="1:14" x14ac:dyDescent="0.25">
      <c r="A1136" s="2">
        <v>23426678</v>
      </c>
      <c r="B1136" t="s">
        <v>2987</v>
      </c>
      <c r="C1136" t="s">
        <v>31</v>
      </c>
      <c r="D1136" t="s">
        <v>2981</v>
      </c>
      <c r="E1136" t="s">
        <v>2979</v>
      </c>
      <c r="F1136" t="s">
        <v>2925</v>
      </c>
      <c r="G1136" t="s">
        <v>2988</v>
      </c>
      <c r="H1136" s="3">
        <v>1915.92</v>
      </c>
      <c r="I1136">
        <v>50</v>
      </c>
      <c r="J1136">
        <v>0</v>
      </c>
      <c r="K1136">
        <v>25</v>
      </c>
      <c r="L1136" s="4">
        <v>0.60535941225789403</v>
      </c>
      <c r="M1136" s="4">
        <v>0.39464058774210597</v>
      </c>
      <c r="N1136">
        <v>0</v>
      </c>
    </row>
    <row r="1137" spans="1:14" x14ac:dyDescent="0.25">
      <c r="A1137" s="2"/>
      <c r="C1137" t="s">
        <v>28</v>
      </c>
      <c r="D1137" t="s">
        <v>2981</v>
      </c>
      <c r="E1137" t="s">
        <v>2979</v>
      </c>
      <c r="F1137" t="s">
        <v>2925</v>
      </c>
      <c r="G1137" t="s">
        <v>2989</v>
      </c>
      <c r="H1137" s="3">
        <v>2029.47</v>
      </c>
      <c r="I1137">
        <v>7</v>
      </c>
      <c r="J1137">
        <v>1</v>
      </c>
      <c r="K1137">
        <v>10</v>
      </c>
      <c r="L1137" s="4">
        <v>0.83402051369170305</v>
      </c>
      <c r="M1137" s="4">
        <v>0.16597948630829701</v>
      </c>
      <c r="N1137">
        <v>0</v>
      </c>
    </row>
    <row r="1138" spans="1:14" x14ac:dyDescent="0.25">
      <c r="A1138" s="2"/>
      <c r="B1138" t="s">
        <v>2990</v>
      </c>
      <c r="C1138" t="s">
        <v>16</v>
      </c>
      <c r="D1138" t="s">
        <v>2981</v>
      </c>
      <c r="E1138" t="s">
        <v>2979</v>
      </c>
      <c r="F1138" t="s">
        <v>2925</v>
      </c>
      <c r="G1138" t="s">
        <v>2991</v>
      </c>
      <c r="H1138" s="3">
        <v>2069.75</v>
      </c>
      <c r="I1138">
        <v>776</v>
      </c>
      <c r="J1138">
        <v>0</v>
      </c>
      <c r="L1138" s="4">
        <v>0.22413259283207501</v>
      </c>
      <c r="M1138" s="4">
        <v>0.77586740716792502</v>
      </c>
      <c r="N1138">
        <v>0</v>
      </c>
    </row>
    <row r="1139" spans="1:14" x14ac:dyDescent="0.25">
      <c r="A1139" s="2">
        <v>23739958</v>
      </c>
      <c r="C1139" t="s">
        <v>0</v>
      </c>
      <c r="D1139" t="s">
        <v>2981</v>
      </c>
      <c r="E1139" t="s">
        <v>2979</v>
      </c>
      <c r="F1139" t="s">
        <v>2925</v>
      </c>
      <c r="G1139" t="s">
        <v>2992</v>
      </c>
      <c r="H1139" s="3">
        <v>2077.27</v>
      </c>
      <c r="I1139">
        <v>998</v>
      </c>
      <c r="J1139">
        <v>1</v>
      </c>
      <c r="K1139">
        <v>44</v>
      </c>
      <c r="L1139" s="4">
        <v>0.77372725015400601</v>
      </c>
      <c r="M1139" s="4">
        <v>0.22627274984599399</v>
      </c>
      <c r="N1139">
        <v>0</v>
      </c>
    </row>
    <row r="1140" spans="1:14" x14ac:dyDescent="0.25">
      <c r="A1140" s="2"/>
      <c r="B1140" t="s">
        <v>2993</v>
      </c>
      <c r="C1140" t="s">
        <v>16</v>
      </c>
      <c r="D1140" t="s">
        <v>2981</v>
      </c>
      <c r="E1140" t="s">
        <v>2979</v>
      </c>
      <c r="F1140" t="s">
        <v>2925</v>
      </c>
      <c r="G1140" t="s">
        <v>2994</v>
      </c>
      <c r="H1140" s="3">
        <v>2104.2199999999998</v>
      </c>
      <c r="I1140">
        <v>73</v>
      </c>
      <c r="K1140">
        <v>28</v>
      </c>
      <c r="L1140" s="4">
        <v>0.57086094816086097</v>
      </c>
      <c r="M1140" s="4">
        <v>0.42913905183913997</v>
      </c>
      <c r="N1140">
        <v>0</v>
      </c>
    </row>
    <row r="1141" spans="1:14" x14ac:dyDescent="0.25">
      <c r="A1141" s="2"/>
      <c r="C1141" t="s">
        <v>28</v>
      </c>
      <c r="D1141" t="s">
        <v>2981</v>
      </c>
      <c r="E1141" t="s">
        <v>2979</v>
      </c>
      <c r="F1141" t="s">
        <v>2925</v>
      </c>
      <c r="G1141" t="s">
        <v>2995</v>
      </c>
      <c r="H1141" s="3">
        <v>2214.66</v>
      </c>
      <c r="I1141">
        <v>233</v>
      </c>
      <c r="J1141">
        <v>0</v>
      </c>
      <c r="K1141">
        <v>12</v>
      </c>
      <c r="L1141" s="4">
        <v>0.30609209851188901</v>
      </c>
      <c r="M1141" s="4">
        <v>0.69390790148811099</v>
      </c>
      <c r="N1141">
        <v>0</v>
      </c>
    </row>
    <row r="1142" spans="1:14" x14ac:dyDescent="0.25">
      <c r="A1142" s="2"/>
      <c r="B1142" t="s">
        <v>2996</v>
      </c>
      <c r="C1142" t="s">
        <v>16</v>
      </c>
      <c r="D1142" t="s">
        <v>2981</v>
      </c>
      <c r="E1142" t="s">
        <v>2979</v>
      </c>
      <c r="F1142" t="s">
        <v>2925</v>
      </c>
      <c r="G1142" t="s">
        <v>2997</v>
      </c>
      <c r="H1142" s="3">
        <v>614.73</v>
      </c>
      <c r="I1142">
        <v>490</v>
      </c>
      <c r="J1142">
        <v>0</v>
      </c>
      <c r="K1142">
        <v>16</v>
      </c>
      <c r="L1142" s="4">
        <v>0.97586920926722498</v>
      </c>
      <c r="M1142" s="4">
        <v>2.41307907327751E-2</v>
      </c>
      <c r="N1142">
        <v>0</v>
      </c>
    </row>
    <row r="1143" spans="1:14" x14ac:dyDescent="0.25">
      <c r="A1143" s="2">
        <v>24285889</v>
      </c>
      <c r="C1143" t="s">
        <v>0</v>
      </c>
      <c r="D1143" t="s">
        <v>2981</v>
      </c>
      <c r="E1143" t="s">
        <v>2979</v>
      </c>
      <c r="F1143" t="s">
        <v>2925</v>
      </c>
      <c r="G1143" t="s">
        <v>2998</v>
      </c>
      <c r="H1143" s="3">
        <v>2346.1799999999998</v>
      </c>
      <c r="I1143">
        <v>280</v>
      </c>
      <c r="J1143">
        <v>0</v>
      </c>
      <c r="K1143">
        <v>39</v>
      </c>
      <c r="L1143" s="4">
        <v>0.50259139525858698</v>
      </c>
      <c r="M1143" s="4">
        <v>0.49740860474141302</v>
      </c>
      <c r="N1143">
        <v>0</v>
      </c>
    </row>
    <row r="1144" spans="1:14" x14ac:dyDescent="0.25">
      <c r="A1144" s="2"/>
      <c r="B1144" t="s">
        <v>2999</v>
      </c>
      <c r="C1144" t="s">
        <v>16</v>
      </c>
      <c r="D1144" t="s">
        <v>2981</v>
      </c>
      <c r="E1144" t="s">
        <v>2979</v>
      </c>
      <c r="F1144" t="s">
        <v>2925</v>
      </c>
      <c r="G1144" t="s">
        <v>3000</v>
      </c>
      <c r="H1144" s="3">
        <v>2950.25</v>
      </c>
      <c r="I1144">
        <v>901</v>
      </c>
      <c r="J1144">
        <v>0</v>
      </c>
      <c r="L1144" s="4">
        <v>0.62396949355021503</v>
      </c>
      <c r="M1144" s="4">
        <v>0.37603050644978497</v>
      </c>
      <c r="N1144">
        <v>0</v>
      </c>
    </row>
    <row r="1145" spans="1:14" x14ac:dyDescent="0.25">
      <c r="A1145" s="2"/>
      <c r="B1145" t="s">
        <v>3001</v>
      </c>
      <c r="C1145" t="s">
        <v>16</v>
      </c>
      <c r="D1145" t="s">
        <v>17</v>
      </c>
      <c r="E1145" t="s">
        <v>3002</v>
      </c>
      <c r="F1145" t="s">
        <v>3003</v>
      </c>
      <c r="G1145" t="s">
        <v>3004</v>
      </c>
      <c r="H1145" s="3">
        <v>1442.48</v>
      </c>
      <c r="I1145">
        <v>516</v>
      </c>
      <c r="J1145">
        <v>0</v>
      </c>
      <c r="L1145" s="4">
        <v>0.306166926122526</v>
      </c>
      <c r="M1145" s="4">
        <v>0.69383307387747395</v>
      </c>
      <c r="N1145">
        <v>0</v>
      </c>
    </row>
    <row r="1146" spans="1:14" x14ac:dyDescent="0.25">
      <c r="A1146" s="2"/>
      <c r="B1146" t="s">
        <v>3005</v>
      </c>
      <c r="C1146" t="s">
        <v>16</v>
      </c>
      <c r="D1146" t="s">
        <v>17</v>
      </c>
      <c r="E1146" t="s">
        <v>3002</v>
      </c>
      <c r="F1146" t="s">
        <v>3003</v>
      </c>
      <c r="G1146" t="s">
        <v>3006</v>
      </c>
      <c r="H1146" s="3">
        <v>2420.16</v>
      </c>
      <c r="J1146">
        <v>0</v>
      </c>
      <c r="K1146">
        <v>46</v>
      </c>
      <c r="L1146" s="4">
        <v>0.62543280861402395</v>
      </c>
      <c r="M1146" s="4">
        <v>0.37456719138597599</v>
      </c>
      <c r="N1146">
        <v>0</v>
      </c>
    </row>
    <row r="1147" spans="1:14" x14ac:dyDescent="0.25">
      <c r="A1147" s="2"/>
      <c r="B1147" t="s">
        <v>3007</v>
      </c>
      <c r="C1147" t="s">
        <v>16</v>
      </c>
      <c r="D1147" t="s">
        <v>191</v>
      </c>
      <c r="E1147" t="s">
        <v>3008</v>
      </c>
      <c r="F1147" t="s">
        <v>2925</v>
      </c>
      <c r="G1147" t="s">
        <v>3009</v>
      </c>
      <c r="H1147" s="3">
        <v>2594.13</v>
      </c>
      <c r="I1147">
        <v>991</v>
      </c>
      <c r="J1147">
        <v>1</v>
      </c>
      <c r="K1147">
        <v>17</v>
      </c>
      <c r="L1147" s="4">
        <v>0.88637934905100102</v>
      </c>
      <c r="M1147" s="4">
        <v>0.11362065094899899</v>
      </c>
      <c r="N1147">
        <v>0</v>
      </c>
    </row>
    <row r="1148" spans="1:14" x14ac:dyDescent="0.25">
      <c r="A1148" s="2"/>
      <c r="B1148" t="s">
        <v>3010</v>
      </c>
      <c r="C1148" t="s">
        <v>16</v>
      </c>
      <c r="D1148" t="s">
        <v>17</v>
      </c>
      <c r="E1148" t="s">
        <v>3011</v>
      </c>
      <c r="F1148" t="s">
        <v>3012</v>
      </c>
      <c r="G1148" t="s">
        <v>3013</v>
      </c>
      <c r="H1148" s="3">
        <v>2321.23</v>
      </c>
      <c r="I1148">
        <v>376</v>
      </c>
      <c r="J1148">
        <v>1</v>
      </c>
      <c r="K1148">
        <v>38</v>
      </c>
      <c r="L1148" s="4">
        <v>2.3090583639654699E-2</v>
      </c>
      <c r="M1148" s="4">
        <v>0.97690941636034501</v>
      </c>
      <c r="N1148">
        <v>0</v>
      </c>
    </row>
    <row r="1149" spans="1:14" x14ac:dyDescent="0.25">
      <c r="A1149" s="2"/>
      <c r="B1149" t="s">
        <v>3014</v>
      </c>
      <c r="C1149" t="s">
        <v>16</v>
      </c>
      <c r="D1149" t="s">
        <v>86</v>
      </c>
      <c r="E1149" t="s">
        <v>3015</v>
      </c>
      <c r="F1149" t="s">
        <v>3016</v>
      </c>
      <c r="G1149" t="s">
        <v>3017</v>
      </c>
      <c r="H1149" s="3">
        <v>2374.52</v>
      </c>
      <c r="I1149">
        <v>327</v>
      </c>
      <c r="J1149">
        <v>0</v>
      </c>
      <c r="K1149">
        <v>20</v>
      </c>
      <c r="L1149" s="4">
        <v>0.38852245125997198</v>
      </c>
      <c r="M1149" s="4">
        <v>0.61147754874002802</v>
      </c>
      <c r="N1149">
        <v>0</v>
      </c>
    </row>
    <row r="1150" spans="1:14" x14ac:dyDescent="0.25">
      <c r="A1150" s="2"/>
      <c r="C1150" t="s">
        <v>28</v>
      </c>
      <c r="D1150" t="s">
        <v>17</v>
      </c>
      <c r="E1150" t="s">
        <v>3018</v>
      </c>
      <c r="F1150" t="s">
        <v>3019</v>
      </c>
      <c r="G1150" t="s">
        <v>3020</v>
      </c>
      <c r="H1150" s="3">
        <v>2444.75</v>
      </c>
      <c r="I1150">
        <v>288</v>
      </c>
      <c r="J1150">
        <v>0</v>
      </c>
      <c r="K1150">
        <v>28</v>
      </c>
      <c r="L1150" s="4">
        <v>0.65114482117993</v>
      </c>
      <c r="M1150" s="4">
        <v>0.34885517882007</v>
      </c>
      <c r="N1150">
        <v>0</v>
      </c>
    </row>
    <row r="1151" spans="1:14" x14ac:dyDescent="0.25">
      <c r="A1151" s="2">
        <v>23476740</v>
      </c>
      <c r="C1151" t="s">
        <v>0</v>
      </c>
      <c r="D1151" t="s">
        <v>2317</v>
      </c>
      <c r="E1151" t="s">
        <v>3021</v>
      </c>
      <c r="F1151" t="s">
        <v>3022</v>
      </c>
      <c r="G1151" t="s">
        <v>3023</v>
      </c>
      <c r="H1151" s="3">
        <v>623.95399999999995</v>
      </c>
      <c r="I1151">
        <v>763</v>
      </c>
      <c r="J1151">
        <v>0</v>
      </c>
      <c r="K1151">
        <v>17</v>
      </c>
      <c r="L1151" s="4">
        <v>0.97699380372772204</v>
      </c>
      <c r="M1151" s="4">
        <v>2.30061962722782E-2</v>
      </c>
      <c r="N1151">
        <v>0</v>
      </c>
    </row>
    <row r="1152" spans="1:14" x14ac:dyDescent="0.25">
      <c r="A1152" s="2"/>
      <c r="B1152" t="s">
        <v>3024</v>
      </c>
      <c r="C1152" t="s">
        <v>16</v>
      </c>
      <c r="D1152" t="s">
        <v>86</v>
      </c>
      <c r="E1152" t="s">
        <v>3025</v>
      </c>
      <c r="F1152" t="s">
        <v>3026</v>
      </c>
      <c r="G1152" t="s">
        <v>3027</v>
      </c>
      <c r="H1152" s="3">
        <v>2276.5300000000002</v>
      </c>
      <c r="I1152">
        <v>750</v>
      </c>
      <c r="J1152">
        <v>1</v>
      </c>
      <c r="K1152">
        <v>5</v>
      </c>
      <c r="L1152" s="4">
        <v>0.209686568313974</v>
      </c>
      <c r="M1152" s="4">
        <v>0.79031343168602597</v>
      </c>
      <c r="N1152">
        <v>0</v>
      </c>
    </row>
    <row r="1153" spans="1:14" x14ac:dyDescent="0.25">
      <c r="A1153" s="2"/>
      <c r="C1153" t="s">
        <v>28</v>
      </c>
      <c r="D1153" t="s">
        <v>86</v>
      </c>
      <c r="E1153" t="s">
        <v>3025</v>
      </c>
      <c r="F1153" t="s">
        <v>3026</v>
      </c>
      <c r="G1153" t="s">
        <v>3028</v>
      </c>
      <c r="H1153" s="3">
        <v>1500</v>
      </c>
      <c r="I1153">
        <v>395</v>
      </c>
      <c r="J1153">
        <v>0</v>
      </c>
      <c r="K1153">
        <v>48</v>
      </c>
      <c r="L1153" s="4">
        <v>0.33835070852003402</v>
      </c>
      <c r="M1153" s="4">
        <v>0.66164929147996598</v>
      </c>
      <c r="N1153">
        <v>0</v>
      </c>
    </row>
    <row r="1154" spans="1:14" x14ac:dyDescent="0.25">
      <c r="A1154" s="2"/>
      <c r="B1154" t="s">
        <v>3029</v>
      </c>
      <c r="C1154" t="s">
        <v>16</v>
      </c>
      <c r="D1154" t="s">
        <v>86</v>
      </c>
      <c r="E1154" t="s">
        <v>3025</v>
      </c>
      <c r="F1154" t="s">
        <v>3026</v>
      </c>
      <c r="G1154" t="s">
        <v>3030</v>
      </c>
      <c r="H1154" s="3">
        <v>1897.33</v>
      </c>
      <c r="I1154">
        <v>235</v>
      </c>
      <c r="J1154">
        <v>0</v>
      </c>
      <c r="K1154">
        <v>35</v>
      </c>
      <c r="L1154" s="4">
        <v>0.35254004778089698</v>
      </c>
      <c r="M1154" s="4">
        <v>0.64745995221910302</v>
      </c>
      <c r="N1154">
        <v>0</v>
      </c>
    </row>
    <row r="1155" spans="1:14" x14ac:dyDescent="0.25">
      <c r="A1155" s="2"/>
      <c r="B1155" t="s">
        <v>3031</v>
      </c>
      <c r="C1155" t="s">
        <v>16</v>
      </c>
      <c r="D1155" t="s">
        <v>2483</v>
      </c>
      <c r="E1155" t="s">
        <v>3032</v>
      </c>
      <c r="F1155" t="s">
        <v>3026</v>
      </c>
      <c r="G1155" t="s">
        <v>3033</v>
      </c>
      <c r="H1155" s="3">
        <v>1314.58</v>
      </c>
      <c r="I1155">
        <v>38</v>
      </c>
      <c r="J1155">
        <v>1</v>
      </c>
      <c r="K1155">
        <v>13</v>
      </c>
      <c r="L1155" s="4">
        <v>0.18392446204870699</v>
      </c>
      <c r="M1155" s="4">
        <v>0.81607553795129295</v>
      </c>
      <c r="N1155">
        <v>0</v>
      </c>
    </row>
    <row r="1156" spans="1:14" x14ac:dyDescent="0.25">
      <c r="A1156" s="2">
        <v>22547635</v>
      </c>
      <c r="C1156" t="s">
        <v>0</v>
      </c>
      <c r="D1156" t="s">
        <v>86</v>
      </c>
      <c r="E1156" t="s">
        <v>3032</v>
      </c>
      <c r="F1156" t="s">
        <v>3026</v>
      </c>
      <c r="G1156" t="s">
        <v>3034</v>
      </c>
      <c r="H1156" s="3">
        <v>1872.72</v>
      </c>
      <c r="I1156">
        <v>487</v>
      </c>
      <c r="J1156">
        <v>0</v>
      </c>
      <c r="K1156">
        <v>50</v>
      </c>
      <c r="L1156" s="4">
        <v>0.54576735818729505</v>
      </c>
      <c r="M1156" s="4">
        <v>0.45423264181270501</v>
      </c>
      <c r="N1156">
        <v>0</v>
      </c>
    </row>
    <row r="1157" spans="1:14" x14ac:dyDescent="0.25">
      <c r="A1157" s="2"/>
      <c r="B1157" t="s">
        <v>3035</v>
      </c>
      <c r="C1157" t="s">
        <v>16</v>
      </c>
      <c r="D1157" t="s">
        <v>86</v>
      </c>
      <c r="E1157" t="s">
        <v>3032</v>
      </c>
      <c r="F1157" t="s">
        <v>3026</v>
      </c>
      <c r="G1157" t="s">
        <v>3036</v>
      </c>
      <c r="H1157" s="3">
        <v>1869.62</v>
      </c>
      <c r="I1157">
        <v>909</v>
      </c>
      <c r="J1157">
        <v>0</v>
      </c>
      <c r="K1157">
        <v>25</v>
      </c>
      <c r="L1157" s="4">
        <v>0.89393806357321604</v>
      </c>
      <c r="M1157" s="4">
        <v>0.10606193642678401</v>
      </c>
      <c r="N1157">
        <v>0</v>
      </c>
    </row>
    <row r="1158" spans="1:14" x14ac:dyDescent="0.25">
      <c r="A1158" s="2"/>
      <c r="B1158" t="s">
        <v>3037</v>
      </c>
      <c r="C1158" t="s">
        <v>16</v>
      </c>
      <c r="D1158" t="s">
        <v>86</v>
      </c>
      <c r="E1158" t="s">
        <v>3032</v>
      </c>
      <c r="F1158" t="s">
        <v>3026</v>
      </c>
      <c r="G1158" t="s">
        <v>3038</v>
      </c>
      <c r="H1158" s="3">
        <v>2352.94</v>
      </c>
      <c r="I1158">
        <v>649</v>
      </c>
      <c r="J1158">
        <v>1</v>
      </c>
      <c r="K1158">
        <v>37</v>
      </c>
      <c r="L1158" s="4">
        <v>0.36317960620485201</v>
      </c>
      <c r="M1158" s="4">
        <v>0.63682039379514799</v>
      </c>
      <c r="N1158">
        <v>0</v>
      </c>
    </row>
    <row r="1159" spans="1:14" x14ac:dyDescent="0.25">
      <c r="A1159" s="2"/>
      <c r="B1159" t="s">
        <v>3039</v>
      </c>
      <c r="C1159" t="s">
        <v>16</v>
      </c>
      <c r="D1159" t="s">
        <v>86</v>
      </c>
      <c r="E1159" t="s">
        <v>3032</v>
      </c>
      <c r="F1159" t="s">
        <v>3026</v>
      </c>
      <c r="G1159" t="s">
        <v>3040</v>
      </c>
      <c r="H1159" s="3">
        <v>2400</v>
      </c>
      <c r="I1159">
        <v>58</v>
      </c>
      <c r="J1159">
        <v>1</v>
      </c>
      <c r="K1159">
        <v>47</v>
      </c>
      <c r="L1159" s="4">
        <v>0.86449298350396397</v>
      </c>
      <c r="M1159" s="4">
        <v>0.135507016496036</v>
      </c>
      <c r="N1159">
        <v>0</v>
      </c>
    </row>
    <row r="1160" spans="1:14" x14ac:dyDescent="0.25">
      <c r="A1160" s="2"/>
      <c r="C1160" t="s">
        <v>28</v>
      </c>
      <c r="D1160" t="s">
        <v>86</v>
      </c>
      <c r="E1160" t="s">
        <v>3032</v>
      </c>
      <c r="F1160" t="s">
        <v>3026</v>
      </c>
      <c r="G1160" t="s">
        <v>3041</v>
      </c>
      <c r="H1160" s="3">
        <v>2292.34</v>
      </c>
      <c r="I1160">
        <v>514</v>
      </c>
      <c r="J1160">
        <v>1</v>
      </c>
      <c r="K1160">
        <v>21</v>
      </c>
      <c r="L1160" s="4">
        <v>0.82457107778386796</v>
      </c>
      <c r="M1160" s="4">
        <v>0.17542892221613299</v>
      </c>
      <c r="N1160">
        <v>0</v>
      </c>
    </row>
    <row r="1161" spans="1:14" x14ac:dyDescent="0.25">
      <c r="A1161" s="2"/>
      <c r="B1161" t="s">
        <v>3042</v>
      </c>
      <c r="C1161" t="s">
        <v>16</v>
      </c>
      <c r="D1161" t="s">
        <v>86</v>
      </c>
      <c r="E1161" t="s">
        <v>3032</v>
      </c>
      <c r="F1161" t="s">
        <v>3026</v>
      </c>
      <c r="G1161" t="s">
        <v>3043</v>
      </c>
      <c r="H1161" s="3">
        <v>2013.83</v>
      </c>
      <c r="J1161">
        <v>1</v>
      </c>
      <c r="K1161">
        <v>35</v>
      </c>
      <c r="L1161" s="4">
        <v>0.467108186310428</v>
      </c>
      <c r="M1161" s="4">
        <v>0.53289181368957195</v>
      </c>
      <c r="N1161">
        <v>0</v>
      </c>
    </row>
    <row r="1162" spans="1:14" x14ac:dyDescent="0.25">
      <c r="A1162" s="2"/>
      <c r="B1162" t="s">
        <v>3044</v>
      </c>
      <c r="C1162" t="s">
        <v>16</v>
      </c>
      <c r="D1162" t="s">
        <v>86</v>
      </c>
      <c r="E1162" t="s">
        <v>3032</v>
      </c>
      <c r="F1162" t="s">
        <v>3026</v>
      </c>
      <c r="G1162" t="s">
        <v>3045</v>
      </c>
      <c r="H1162" s="3">
        <v>2023.54</v>
      </c>
      <c r="I1162">
        <v>241</v>
      </c>
      <c r="J1162">
        <v>1</v>
      </c>
      <c r="K1162">
        <v>18</v>
      </c>
      <c r="L1162" s="4">
        <v>0.45562458236739301</v>
      </c>
      <c r="M1162" s="4">
        <v>0.54437541763260699</v>
      </c>
      <c r="N1162">
        <v>0</v>
      </c>
    </row>
    <row r="1163" spans="1:14" x14ac:dyDescent="0.25">
      <c r="A1163" s="2"/>
      <c r="C1163" t="s">
        <v>28</v>
      </c>
      <c r="D1163" t="s">
        <v>3046</v>
      </c>
      <c r="E1163" t="s">
        <v>3047</v>
      </c>
      <c r="F1163" t="s">
        <v>3048</v>
      </c>
      <c r="G1163" t="s">
        <v>3049</v>
      </c>
      <c r="H1163" s="3">
        <v>1800</v>
      </c>
      <c r="I1163">
        <v>849</v>
      </c>
      <c r="J1163">
        <v>1</v>
      </c>
      <c r="K1163">
        <v>45</v>
      </c>
      <c r="L1163" s="4">
        <v>0.48238293591290099</v>
      </c>
      <c r="M1163" s="4">
        <v>0.51761706408709895</v>
      </c>
      <c r="N1163">
        <v>0</v>
      </c>
    </row>
    <row r="1164" spans="1:14" x14ac:dyDescent="0.25">
      <c r="A1164" s="2"/>
      <c r="B1164" t="s">
        <v>3050</v>
      </c>
      <c r="C1164" t="s">
        <v>16</v>
      </c>
      <c r="D1164" t="s">
        <v>22</v>
      </c>
      <c r="E1164" t="s">
        <v>3051</v>
      </c>
      <c r="F1164" t="s">
        <v>3022</v>
      </c>
      <c r="G1164" t="s">
        <v>3052</v>
      </c>
      <c r="H1164" s="3">
        <v>2367.9499999999998</v>
      </c>
      <c r="I1164">
        <v>493</v>
      </c>
      <c r="J1164">
        <v>0</v>
      </c>
      <c r="K1164">
        <v>15</v>
      </c>
      <c r="L1164" s="4">
        <v>0.54272411760241501</v>
      </c>
      <c r="M1164" s="4">
        <v>0.45727588239758599</v>
      </c>
      <c r="N1164">
        <v>0</v>
      </c>
    </row>
    <row r="1165" spans="1:14" x14ac:dyDescent="0.25">
      <c r="A1165" s="2"/>
      <c r="B1165" t="s">
        <v>3053</v>
      </c>
      <c r="C1165" t="s">
        <v>16</v>
      </c>
      <c r="D1165" t="s">
        <v>22</v>
      </c>
      <c r="E1165" t="s">
        <v>3051</v>
      </c>
      <c r="F1165" t="s">
        <v>3022</v>
      </c>
      <c r="G1165" t="s">
        <v>3054</v>
      </c>
      <c r="H1165" s="3">
        <v>1321.88</v>
      </c>
      <c r="I1165">
        <v>513</v>
      </c>
      <c r="J1165">
        <v>1</v>
      </c>
      <c r="K1165">
        <v>33</v>
      </c>
      <c r="L1165" s="4">
        <v>0.87491867541647705</v>
      </c>
      <c r="M1165" s="4">
        <v>0.125081324583523</v>
      </c>
      <c r="N1165">
        <v>0</v>
      </c>
    </row>
    <row r="1166" spans="1:14" x14ac:dyDescent="0.25">
      <c r="A1166" s="2"/>
      <c r="B1166" t="s">
        <v>3055</v>
      </c>
      <c r="C1166" t="s">
        <v>16</v>
      </c>
      <c r="D1166" t="s">
        <v>17</v>
      </c>
      <c r="E1166" t="s">
        <v>3056</v>
      </c>
      <c r="F1166" t="s">
        <v>3026</v>
      </c>
      <c r="G1166" t="s">
        <v>3057</v>
      </c>
      <c r="H1166" s="3">
        <v>2471.41</v>
      </c>
      <c r="I1166">
        <v>19</v>
      </c>
      <c r="K1166">
        <v>32</v>
      </c>
      <c r="L1166" s="4">
        <v>0.31811789407137397</v>
      </c>
      <c r="M1166" s="4">
        <v>0.68188210592862597</v>
      </c>
      <c r="N1166">
        <v>0</v>
      </c>
    </row>
    <row r="1167" spans="1:14" x14ac:dyDescent="0.25">
      <c r="A1167" s="2"/>
      <c r="B1167" t="s">
        <v>3058</v>
      </c>
      <c r="C1167" t="s">
        <v>16</v>
      </c>
      <c r="D1167" t="s">
        <v>17</v>
      </c>
      <c r="E1167" t="s">
        <v>3056</v>
      </c>
      <c r="F1167" t="s">
        <v>3026</v>
      </c>
      <c r="G1167" t="s">
        <v>3059</v>
      </c>
      <c r="H1167" s="3">
        <v>2980.3560000000002</v>
      </c>
      <c r="I1167">
        <v>665</v>
      </c>
      <c r="J1167">
        <v>1</v>
      </c>
      <c r="K1167">
        <v>12</v>
      </c>
      <c r="L1167" s="4">
        <v>0.71733735711631097</v>
      </c>
      <c r="M1167" s="4">
        <v>0.28266264288368897</v>
      </c>
      <c r="N1167">
        <v>0</v>
      </c>
    </row>
    <row r="1168" spans="1:14" x14ac:dyDescent="0.25">
      <c r="A1168" s="2">
        <v>26988110</v>
      </c>
      <c r="C1168" t="s">
        <v>0</v>
      </c>
      <c r="D1168" t="s">
        <v>1163</v>
      </c>
      <c r="E1168" t="s">
        <v>3060</v>
      </c>
      <c r="F1168" t="s">
        <v>3026</v>
      </c>
      <c r="G1168" t="s">
        <v>3061</v>
      </c>
      <c r="H1168" s="3">
        <v>1920</v>
      </c>
      <c r="I1168">
        <v>877</v>
      </c>
      <c r="J1168">
        <v>0</v>
      </c>
      <c r="K1168">
        <v>19</v>
      </c>
      <c r="L1168" s="4">
        <v>0.42172280212430002</v>
      </c>
      <c r="M1168" s="4">
        <v>0.57827719787569998</v>
      </c>
      <c r="N1168">
        <v>0</v>
      </c>
    </row>
    <row r="1169" spans="1:14" x14ac:dyDescent="0.25">
      <c r="A1169" s="2">
        <v>23620542</v>
      </c>
      <c r="C1169" t="s">
        <v>0</v>
      </c>
      <c r="D1169" t="s">
        <v>110</v>
      </c>
      <c r="E1169" t="s">
        <v>3062</v>
      </c>
      <c r="F1169" t="s">
        <v>3063</v>
      </c>
      <c r="G1169" t="s">
        <v>3064</v>
      </c>
      <c r="H1169" s="3">
        <v>1800</v>
      </c>
      <c r="I1169">
        <v>753</v>
      </c>
      <c r="K1169">
        <v>14</v>
      </c>
      <c r="L1169" s="4">
        <v>0.29305733959806002</v>
      </c>
      <c r="M1169" s="4">
        <v>0.70694266040193998</v>
      </c>
      <c r="N1169">
        <v>0</v>
      </c>
    </row>
    <row r="1170" spans="1:14" x14ac:dyDescent="0.25">
      <c r="A1170" s="2"/>
      <c r="B1170" t="s">
        <v>3065</v>
      </c>
      <c r="C1170" t="s">
        <v>16</v>
      </c>
      <c r="D1170" t="s">
        <v>86</v>
      </c>
      <c r="E1170" t="s">
        <v>3066</v>
      </c>
      <c r="F1170" t="s">
        <v>2406</v>
      </c>
      <c r="G1170" t="s">
        <v>3067</v>
      </c>
      <c r="H1170" s="3">
        <v>2368.42</v>
      </c>
      <c r="I1170">
        <v>11</v>
      </c>
      <c r="L1170" s="4">
        <v>0.308648224041563</v>
      </c>
      <c r="M1170" s="4">
        <v>0.691351775958437</v>
      </c>
      <c r="N1170">
        <v>0</v>
      </c>
    </row>
    <row r="1171" spans="1:14" x14ac:dyDescent="0.25">
      <c r="A1171" s="2"/>
      <c r="B1171" t="s">
        <v>3068</v>
      </c>
      <c r="C1171" t="s">
        <v>16</v>
      </c>
      <c r="D1171" t="s">
        <v>86</v>
      </c>
      <c r="E1171" t="s">
        <v>3069</v>
      </c>
      <c r="F1171" t="s">
        <v>3070</v>
      </c>
      <c r="G1171" t="s">
        <v>3071</v>
      </c>
      <c r="H1171" s="3">
        <v>2400</v>
      </c>
      <c r="I1171">
        <v>818</v>
      </c>
      <c r="J1171">
        <v>1</v>
      </c>
      <c r="K1171">
        <v>2</v>
      </c>
      <c r="L1171" s="4">
        <v>0.240921371830428</v>
      </c>
      <c r="M1171" s="4">
        <v>0.75907862816957195</v>
      </c>
      <c r="N1171">
        <v>0</v>
      </c>
    </row>
    <row r="1172" spans="1:14" x14ac:dyDescent="0.25">
      <c r="A1172" s="2"/>
      <c r="B1172" t="s">
        <v>3072</v>
      </c>
      <c r="C1172" t="s">
        <v>16</v>
      </c>
      <c r="D1172" t="s">
        <v>17</v>
      </c>
      <c r="E1172" t="s">
        <v>3073</v>
      </c>
      <c r="F1172" t="s">
        <v>3074</v>
      </c>
      <c r="G1172" t="s">
        <v>3075</v>
      </c>
      <c r="H1172" s="3">
        <v>1939.95</v>
      </c>
      <c r="I1172">
        <v>687</v>
      </c>
      <c r="J1172">
        <v>0</v>
      </c>
      <c r="K1172">
        <v>29</v>
      </c>
      <c r="L1172" s="4">
        <v>0.451298047718308</v>
      </c>
      <c r="M1172" s="4">
        <v>0.54870195228169305</v>
      </c>
      <c r="N1172">
        <v>0</v>
      </c>
    </row>
    <row r="1173" spans="1:14" x14ac:dyDescent="0.25">
      <c r="A1173" s="2"/>
      <c r="B1173" t="s">
        <v>3076</v>
      </c>
      <c r="C1173" t="s">
        <v>16</v>
      </c>
      <c r="D1173" t="s">
        <v>17</v>
      </c>
      <c r="E1173" t="s">
        <v>3073</v>
      </c>
      <c r="F1173" t="s">
        <v>3074</v>
      </c>
      <c r="G1173" t="s">
        <v>3077</v>
      </c>
      <c r="H1173" s="3">
        <v>1939.95</v>
      </c>
      <c r="I1173">
        <v>859</v>
      </c>
      <c r="K1173">
        <v>34</v>
      </c>
      <c r="L1173" s="4">
        <v>0.25779788219753902</v>
      </c>
      <c r="M1173" s="4">
        <v>0.74220211780246104</v>
      </c>
      <c r="N1173">
        <v>0</v>
      </c>
    </row>
    <row r="1174" spans="1:14" x14ac:dyDescent="0.25">
      <c r="A1174" s="2"/>
      <c r="B1174" t="s">
        <v>3078</v>
      </c>
      <c r="C1174" t="s">
        <v>16</v>
      </c>
      <c r="D1174" t="s">
        <v>17</v>
      </c>
      <c r="E1174" t="s">
        <v>3073</v>
      </c>
      <c r="F1174" t="s">
        <v>3074</v>
      </c>
      <c r="G1174" t="s">
        <v>3079</v>
      </c>
      <c r="H1174" s="3">
        <v>1939.95</v>
      </c>
      <c r="I1174">
        <v>219</v>
      </c>
      <c r="J1174">
        <v>0</v>
      </c>
      <c r="L1174" s="4">
        <v>0.95026081767164094</v>
      </c>
      <c r="M1174" s="4">
        <v>4.9739182328359499E-2</v>
      </c>
      <c r="N1174">
        <v>0</v>
      </c>
    </row>
    <row r="1175" spans="1:14" x14ac:dyDescent="0.25">
      <c r="A1175" s="2"/>
      <c r="B1175" t="s">
        <v>3080</v>
      </c>
      <c r="C1175" t="s">
        <v>16</v>
      </c>
      <c r="D1175" t="s">
        <v>17</v>
      </c>
      <c r="E1175" t="s">
        <v>3073</v>
      </c>
      <c r="F1175" t="s">
        <v>3074</v>
      </c>
      <c r="G1175" t="s">
        <v>3081</v>
      </c>
      <c r="H1175" s="3">
        <v>1939.95</v>
      </c>
      <c r="I1175">
        <v>499</v>
      </c>
      <c r="J1175">
        <v>1</v>
      </c>
      <c r="K1175">
        <v>40</v>
      </c>
      <c r="L1175" s="4">
        <v>0.29591771772958497</v>
      </c>
      <c r="M1175" s="4">
        <v>0.70408228227041503</v>
      </c>
      <c r="N1175">
        <v>0</v>
      </c>
    </row>
    <row r="1176" spans="1:14" x14ac:dyDescent="0.25">
      <c r="A1176" s="2"/>
      <c r="B1176" t="s">
        <v>3082</v>
      </c>
      <c r="C1176" t="s">
        <v>16</v>
      </c>
      <c r="D1176" t="s">
        <v>17</v>
      </c>
      <c r="E1176" t="s">
        <v>3073</v>
      </c>
      <c r="F1176" t="s">
        <v>3074</v>
      </c>
      <c r="G1176" t="s">
        <v>3083</v>
      </c>
      <c r="H1176" s="3">
        <v>1939.95</v>
      </c>
      <c r="I1176">
        <v>726</v>
      </c>
      <c r="J1176">
        <v>0</v>
      </c>
      <c r="K1176">
        <v>7</v>
      </c>
      <c r="L1176" s="4">
        <v>0.94285028332613297</v>
      </c>
      <c r="M1176" s="4">
        <v>5.7149716673866702E-2</v>
      </c>
      <c r="N1176">
        <v>0</v>
      </c>
    </row>
    <row r="1177" spans="1:14" x14ac:dyDescent="0.25">
      <c r="A1177" s="2"/>
      <c r="B1177" t="s">
        <v>3084</v>
      </c>
      <c r="C1177" t="s">
        <v>16</v>
      </c>
      <c r="D1177" t="s">
        <v>17</v>
      </c>
      <c r="E1177" t="s">
        <v>3073</v>
      </c>
      <c r="F1177" t="s">
        <v>3074</v>
      </c>
      <c r="G1177" t="s">
        <v>3085</v>
      </c>
      <c r="H1177" s="3">
        <v>1939.95</v>
      </c>
      <c r="J1177">
        <v>0</v>
      </c>
      <c r="K1177">
        <v>17</v>
      </c>
      <c r="L1177" s="4">
        <v>0.62510915212167795</v>
      </c>
      <c r="M1177" s="4">
        <v>0.374890847878322</v>
      </c>
      <c r="N1177">
        <v>0</v>
      </c>
    </row>
    <row r="1178" spans="1:14" x14ac:dyDescent="0.25">
      <c r="A1178" s="2"/>
      <c r="B1178" t="s">
        <v>3086</v>
      </c>
      <c r="C1178" t="s">
        <v>16</v>
      </c>
      <c r="D1178" t="s">
        <v>17</v>
      </c>
      <c r="E1178" t="s">
        <v>3073</v>
      </c>
      <c r="F1178" t="s">
        <v>3074</v>
      </c>
      <c r="G1178" t="s">
        <v>3087</v>
      </c>
      <c r="H1178" s="3">
        <v>2284.19</v>
      </c>
      <c r="I1178">
        <v>463</v>
      </c>
      <c r="J1178">
        <v>0</v>
      </c>
      <c r="K1178">
        <v>45</v>
      </c>
      <c r="L1178" s="4">
        <v>0.87857760243885297</v>
      </c>
      <c r="M1178" s="4">
        <v>0.12142239756114701</v>
      </c>
      <c r="N1178">
        <v>0</v>
      </c>
    </row>
    <row r="1179" spans="1:14" x14ac:dyDescent="0.25">
      <c r="A1179" s="2"/>
      <c r="B1179" t="s">
        <v>3088</v>
      </c>
      <c r="C1179" t="s">
        <v>16</v>
      </c>
      <c r="D1179" t="s">
        <v>17</v>
      </c>
      <c r="E1179" t="s">
        <v>3073</v>
      </c>
      <c r="F1179" t="s">
        <v>3074</v>
      </c>
      <c r="G1179" t="s">
        <v>3089</v>
      </c>
      <c r="H1179" s="3">
        <v>2328.4299999999998</v>
      </c>
      <c r="I1179">
        <v>510</v>
      </c>
      <c r="J1179">
        <v>0</v>
      </c>
      <c r="K1179">
        <v>26</v>
      </c>
      <c r="L1179" s="4">
        <v>0.80300902269929098</v>
      </c>
      <c r="M1179" s="4">
        <v>0.196990977300709</v>
      </c>
      <c r="N1179">
        <v>0</v>
      </c>
    </row>
    <row r="1180" spans="1:14" x14ac:dyDescent="0.25">
      <c r="A1180" s="2"/>
      <c r="B1180" t="s">
        <v>3090</v>
      </c>
      <c r="C1180" t="s">
        <v>16</v>
      </c>
      <c r="D1180" t="s">
        <v>17</v>
      </c>
      <c r="E1180" t="s">
        <v>3091</v>
      </c>
      <c r="F1180" t="s">
        <v>3092</v>
      </c>
      <c r="G1180" t="s">
        <v>3093</v>
      </c>
      <c r="H1180" s="3">
        <v>2409.8000000000002</v>
      </c>
      <c r="I1180">
        <v>810</v>
      </c>
      <c r="J1180">
        <v>1</v>
      </c>
      <c r="L1180" s="4">
        <v>0.60152779854883698</v>
      </c>
      <c r="M1180" s="4">
        <v>0.39847220145116302</v>
      </c>
      <c r="N1180">
        <v>0</v>
      </c>
    </row>
    <row r="1181" spans="1:14" x14ac:dyDescent="0.25">
      <c r="A1181" s="2"/>
      <c r="B1181" t="s">
        <v>3094</v>
      </c>
      <c r="C1181" t="s">
        <v>16</v>
      </c>
      <c r="D1181" t="s">
        <v>22</v>
      </c>
      <c r="E1181" t="s">
        <v>3095</v>
      </c>
      <c r="F1181" t="s">
        <v>3096</v>
      </c>
      <c r="G1181" t="s">
        <v>3097</v>
      </c>
      <c r="H1181" s="3">
        <v>1626.14</v>
      </c>
      <c r="I1181">
        <v>348</v>
      </c>
      <c r="J1181">
        <v>1</v>
      </c>
      <c r="L1181" s="4">
        <v>0.39424285733222802</v>
      </c>
      <c r="M1181" s="4">
        <v>0.60575714266777203</v>
      </c>
      <c r="N1181">
        <v>0</v>
      </c>
    </row>
    <row r="1182" spans="1:14" x14ac:dyDescent="0.25">
      <c r="A1182" s="2"/>
      <c r="B1182" t="s">
        <v>3098</v>
      </c>
      <c r="C1182" t="s">
        <v>16</v>
      </c>
      <c r="D1182" t="s">
        <v>17</v>
      </c>
      <c r="E1182" t="s">
        <v>3099</v>
      </c>
      <c r="F1182" t="s">
        <v>3100</v>
      </c>
      <c r="G1182" t="s">
        <v>3101</v>
      </c>
      <c r="H1182" s="3">
        <v>1528.17</v>
      </c>
      <c r="I1182">
        <v>772</v>
      </c>
      <c r="J1182">
        <v>0</v>
      </c>
      <c r="K1182">
        <v>19</v>
      </c>
      <c r="L1182" s="4">
        <v>0.87645860950043297</v>
      </c>
      <c r="M1182" s="4">
        <v>0.123541390499567</v>
      </c>
      <c r="N1182">
        <v>0</v>
      </c>
    </row>
    <row r="1183" spans="1:14" x14ac:dyDescent="0.25">
      <c r="A1183" s="2">
        <v>23400772</v>
      </c>
      <c r="B1183" t="s">
        <v>3102</v>
      </c>
      <c r="C1183" t="s">
        <v>31</v>
      </c>
      <c r="D1183" t="s">
        <v>69</v>
      </c>
      <c r="E1183" t="s">
        <v>3103</v>
      </c>
      <c r="F1183" t="s">
        <v>3104</v>
      </c>
      <c r="G1183" t="s">
        <v>3105</v>
      </c>
      <c r="H1183" s="3">
        <v>2081.0700000000002</v>
      </c>
      <c r="I1183">
        <v>132</v>
      </c>
      <c r="J1183">
        <v>1</v>
      </c>
      <c r="K1183">
        <v>30</v>
      </c>
      <c r="L1183" s="4">
        <v>8.5580977514516002E-2</v>
      </c>
      <c r="M1183" s="4">
        <v>0.91441902248548401</v>
      </c>
      <c r="N1183">
        <v>0</v>
      </c>
    </row>
    <row r="1184" spans="1:14" x14ac:dyDescent="0.25">
      <c r="A1184" s="2"/>
      <c r="B1184" t="s">
        <v>3106</v>
      </c>
      <c r="C1184" t="s">
        <v>16</v>
      </c>
      <c r="D1184" t="s">
        <v>69</v>
      </c>
      <c r="E1184" t="s">
        <v>3107</v>
      </c>
      <c r="F1184" t="s">
        <v>3108</v>
      </c>
      <c r="G1184" t="s">
        <v>3109</v>
      </c>
      <c r="H1184" s="3">
        <v>2049.7800000000002</v>
      </c>
      <c r="I1184">
        <v>1</v>
      </c>
      <c r="J1184">
        <v>0</v>
      </c>
      <c r="K1184">
        <v>43</v>
      </c>
      <c r="L1184" s="4">
        <v>0.55322788326557704</v>
      </c>
      <c r="M1184" s="4">
        <v>0.44677211673442302</v>
      </c>
      <c r="N1184">
        <v>0</v>
      </c>
    </row>
    <row r="1185" spans="1:14" x14ac:dyDescent="0.25">
      <c r="A1185" s="2"/>
      <c r="B1185" t="s">
        <v>3110</v>
      </c>
      <c r="C1185" t="s">
        <v>16</v>
      </c>
      <c r="D1185" t="s">
        <v>86</v>
      </c>
      <c r="E1185" t="s">
        <v>3111</v>
      </c>
      <c r="F1185" t="s">
        <v>3112</v>
      </c>
      <c r="G1185" t="s">
        <v>3113</v>
      </c>
      <c r="H1185" s="3">
        <v>2296.94</v>
      </c>
      <c r="I1185">
        <v>710</v>
      </c>
      <c r="J1185">
        <v>0</v>
      </c>
      <c r="K1185">
        <v>19</v>
      </c>
      <c r="L1185" s="4">
        <v>0.82888521155996397</v>
      </c>
      <c r="M1185" s="4">
        <v>0.171114788440036</v>
      </c>
      <c r="N1185">
        <v>0</v>
      </c>
    </row>
    <row r="1186" spans="1:14" x14ac:dyDescent="0.25">
      <c r="A1186" s="2"/>
      <c r="C1186" t="s">
        <v>28</v>
      </c>
      <c r="D1186" t="s">
        <v>113</v>
      </c>
      <c r="E1186" t="s">
        <v>3114</v>
      </c>
      <c r="F1186" t="s">
        <v>3115</v>
      </c>
      <c r="G1186" t="s">
        <v>3116</v>
      </c>
      <c r="H1186" s="3">
        <v>2034</v>
      </c>
      <c r="I1186">
        <v>174</v>
      </c>
      <c r="J1186">
        <v>0</v>
      </c>
      <c r="K1186">
        <v>13</v>
      </c>
      <c r="L1186" s="4">
        <v>0.64672211982161398</v>
      </c>
      <c r="M1186" s="4">
        <v>0.35327788017838602</v>
      </c>
      <c r="N1186">
        <v>0</v>
      </c>
    </row>
    <row r="1187" spans="1:14" x14ac:dyDescent="0.25">
      <c r="A1187" s="2"/>
      <c r="C1187" t="s">
        <v>28</v>
      </c>
      <c r="D1187" t="s">
        <v>113</v>
      </c>
      <c r="E1187" t="s">
        <v>3114</v>
      </c>
      <c r="F1187" t="s">
        <v>3115</v>
      </c>
      <c r="G1187" t="s">
        <v>3117</v>
      </c>
      <c r="H1187" s="3">
        <v>2034</v>
      </c>
      <c r="I1187">
        <v>33</v>
      </c>
      <c r="J1187">
        <v>0</v>
      </c>
      <c r="K1187">
        <v>22</v>
      </c>
      <c r="L1187" s="4">
        <v>6.5806194915774302E-2</v>
      </c>
      <c r="M1187" s="4">
        <v>0.934193805084226</v>
      </c>
      <c r="N1187">
        <v>0</v>
      </c>
    </row>
    <row r="1188" spans="1:14" x14ac:dyDescent="0.25">
      <c r="A1188" s="2"/>
      <c r="C1188" t="s">
        <v>28</v>
      </c>
      <c r="D1188" t="s">
        <v>113</v>
      </c>
      <c r="E1188" t="s">
        <v>3114</v>
      </c>
      <c r="F1188" t="s">
        <v>3115</v>
      </c>
      <c r="G1188" t="s">
        <v>3118</v>
      </c>
      <c r="H1188" s="3">
        <v>2034</v>
      </c>
      <c r="I1188">
        <v>784</v>
      </c>
      <c r="J1188">
        <v>0</v>
      </c>
      <c r="K1188">
        <v>40</v>
      </c>
      <c r="L1188" s="4">
        <v>0.32993714119544498</v>
      </c>
      <c r="M1188" s="4">
        <v>0.67006285880455496</v>
      </c>
      <c r="N1188">
        <v>0</v>
      </c>
    </row>
    <row r="1189" spans="1:14" x14ac:dyDescent="0.25">
      <c r="A1189" s="2"/>
      <c r="B1189" t="s">
        <v>3119</v>
      </c>
      <c r="C1189" t="s">
        <v>16</v>
      </c>
      <c r="D1189" t="s">
        <v>3120</v>
      </c>
      <c r="E1189" t="s">
        <v>3121</v>
      </c>
      <c r="F1189" t="s">
        <v>3122</v>
      </c>
      <c r="G1189" t="s">
        <v>3123</v>
      </c>
      <c r="H1189" s="3">
        <v>1370.63</v>
      </c>
      <c r="I1189">
        <v>291</v>
      </c>
      <c r="J1189">
        <v>0</v>
      </c>
      <c r="K1189">
        <v>49</v>
      </c>
      <c r="L1189" s="4">
        <v>0.24680947062386299</v>
      </c>
      <c r="M1189" s="4">
        <v>0.75319052937613695</v>
      </c>
      <c r="N1189">
        <v>0</v>
      </c>
    </row>
    <row r="1190" spans="1:14" x14ac:dyDescent="0.25">
      <c r="A1190" s="2"/>
      <c r="B1190" t="s">
        <v>3124</v>
      </c>
      <c r="C1190" t="s">
        <v>16</v>
      </c>
      <c r="D1190" t="s">
        <v>3125</v>
      </c>
      <c r="E1190" t="s">
        <v>3121</v>
      </c>
      <c r="F1190" t="s">
        <v>3122</v>
      </c>
      <c r="G1190" t="s">
        <v>3126</v>
      </c>
      <c r="H1190" s="3">
        <v>1430.84</v>
      </c>
      <c r="I1190">
        <v>605</v>
      </c>
      <c r="J1190">
        <v>0</v>
      </c>
      <c r="K1190">
        <v>30</v>
      </c>
      <c r="L1190" s="4">
        <v>0.450624065506747</v>
      </c>
      <c r="M1190" s="4">
        <v>0.54937593449325295</v>
      </c>
      <c r="N1190">
        <v>0</v>
      </c>
    </row>
    <row r="1191" spans="1:14" x14ac:dyDescent="0.25">
      <c r="A1191" s="2"/>
      <c r="B1191" t="s">
        <v>3127</v>
      </c>
      <c r="C1191" t="s">
        <v>16</v>
      </c>
      <c r="D1191" t="s">
        <v>3125</v>
      </c>
      <c r="E1191" t="s">
        <v>3121</v>
      </c>
      <c r="F1191" t="s">
        <v>3122</v>
      </c>
      <c r="G1191" t="s">
        <v>3128</v>
      </c>
      <c r="H1191" s="3">
        <v>1663.29</v>
      </c>
      <c r="J1191">
        <v>1</v>
      </c>
      <c r="K1191">
        <v>40</v>
      </c>
      <c r="L1191" s="4">
        <v>0.89021738848929799</v>
      </c>
      <c r="M1191" s="4">
        <v>0.109782611510702</v>
      </c>
      <c r="N1191">
        <v>0</v>
      </c>
    </row>
    <row r="1192" spans="1:14" x14ac:dyDescent="0.25">
      <c r="A1192" s="2"/>
      <c r="B1192" t="s">
        <v>3129</v>
      </c>
      <c r="C1192" t="s">
        <v>16</v>
      </c>
      <c r="D1192" t="s">
        <v>3130</v>
      </c>
      <c r="E1192" t="s">
        <v>3121</v>
      </c>
      <c r="F1192" t="s">
        <v>3122</v>
      </c>
      <c r="G1192" t="s">
        <v>3131</v>
      </c>
      <c r="H1192" s="3">
        <v>1451.6</v>
      </c>
      <c r="I1192">
        <v>511</v>
      </c>
      <c r="K1192">
        <v>13</v>
      </c>
      <c r="L1192" s="4">
        <v>0.14126449798521801</v>
      </c>
      <c r="M1192" s="4">
        <v>0.85873550201478199</v>
      </c>
      <c r="N1192">
        <v>0</v>
      </c>
    </row>
    <row r="1193" spans="1:14" x14ac:dyDescent="0.25">
      <c r="A1193" s="2"/>
      <c r="B1193" t="s">
        <v>3132</v>
      </c>
      <c r="C1193" t="s">
        <v>16</v>
      </c>
      <c r="D1193" t="s">
        <v>110</v>
      </c>
      <c r="E1193" t="s">
        <v>3133</v>
      </c>
      <c r="F1193" t="s">
        <v>3134</v>
      </c>
      <c r="G1193" t="s">
        <v>3135</v>
      </c>
      <c r="H1193" s="3">
        <v>2040</v>
      </c>
      <c r="I1193">
        <v>876</v>
      </c>
      <c r="J1193">
        <v>1</v>
      </c>
      <c r="K1193">
        <v>44</v>
      </c>
      <c r="L1193" s="4">
        <v>0.41489975683182201</v>
      </c>
      <c r="M1193" s="4">
        <v>0.58510024316817799</v>
      </c>
      <c r="N1193">
        <v>0</v>
      </c>
    </row>
    <row r="1194" spans="1:14" x14ac:dyDescent="0.25">
      <c r="A1194" s="2"/>
      <c r="B1194" t="s">
        <v>3136</v>
      </c>
      <c r="C1194" t="s">
        <v>16</v>
      </c>
      <c r="D1194" t="s">
        <v>110</v>
      </c>
      <c r="E1194" t="s">
        <v>3133</v>
      </c>
      <c r="F1194" t="s">
        <v>3134</v>
      </c>
      <c r="G1194" t="s">
        <v>3137</v>
      </c>
      <c r="H1194" s="3">
        <v>2040</v>
      </c>
      <c r="I1194">
        <v>854</v>
      </c>
      <c r="J1194">
        <v>0</v>
      </c>
      <c r="K1194">
        <v>7</v>
      </c>
      <c r="L1194" s="4">
        <v>0.72264273871328399</v>
      </c>
      <c r="M1194" s="4">
        <v>0.27735726128671601</v>
      </c>
      <c r="N1194">
        <v>0</v>
      </c>
    </row>
    <row r="1195" spans="1:14" x14ac:dyDescent="0.25">
      <c r="A1195" s="2"/>
      <c r="B1195" t="s">
        <v>3138</v>
      </c>
      <c r="C1195" t="s">
        <v>16</v>
      </c>
      <c r="D1195" t="s">
        <v>17</v>
      </c>
      <c r="E1195" t="s">
        <v>3139</v>
      </c>
      <c r="F1195" t="s">
        <v>3140</v>
      </c>
      <c r="G1195" t="s">
        <v>3141</v>
      </c>
      <c r="H1195" s="3">
        <v>2404.27</v>
      </c>
      <c r="J1195">
        <v>0</v>
      </c>
      <c r="K1195">
        <v>7</v>
      </c>
      <c r="L1195" s="4">
        <v>0.23754631826289899</v>
      </c>
      <c r="M1195" s="4">
        <v>0.76245368173710104</v>
      </c>
      <c r="N1195">
        <v>0</v>
      </c>
    </row>
    <row r="1196" spans="1:14" x14ac:dyDescent="0.25">
      <c r="A1196" s="2"/>
      <c r="B1196" t="s">
        <v>3142</v>
      </c>
      <c r="C1196" t="s">
        <v>16</v>
      </c>
      <c r="D1196" t="s">
        <v>552</v>
      </c>
      <c r="E1196" t="s">
        <v>2238</v>
      </c>
      <c r="F1196" t="s">
        <v>3143</v>
      </c>
      <c r="G1196" t="s">
        <v>3144</v>
      </c>
      <c r="H1196" s="3">
        <v>1260</v>
      </c>
      <c r="I1196">
        <v>266</v>
      </c>
      <c r="J1196">
        <v>1</v>
      </c>
      <c r="L1196" s="4">
        <v>0.58993614100804603</v>
      </c>
      <c r="M1196" s="4">
        <v>0.41006385899195402</v>
      </c>
      <c r="N1196">
        <v>0</v>
      </c>
    </row>
    <row r="1197" spans="1:14" x14ac:dyDescent="0.25">
      <c r="A1197" s="2"/>
      <c r="B1197" t="s">
        <v>3145</v>
      </c>
      <c r="C1197" t="s">
        <v>16</v>
      </c>
      <c r="D1197" t="s">
        <v>552</v>
      </c>
      <c r="E1197" t="s">
        <v>2238</v>
      </c>
      <c r="F1197" t="s">
        <v>3143</v>
      </c>
      <c r="G1197" t="s">
        <v>3146</v>
      </c>
      <c r="H1197" s="3">
        <v>1260</v>
      </c>
      <c r="I1197">
        <v>936</v>
      </c>
      <c r="J1197">
        <v>0</v>
      </c>
      <c r="K1197">
        <v>22</v>
      </c>
      <c r="L1197" s="4">
        <v>9.7247037906322796E-3</v>
      </c>
      <c r="M1197" s="4">
        <v>0.99027529620936805</v>
      </c>
      <c r="N1197">
        <v>0</v>
      </c>
    </row>
    <row r="1198" spans="1:14" x14ac:dyDescent="0.25">
      <c r="A1198" s="2"/>
      <c r="B1198" t="s">
        <v>3147</v>
      </c>
      <c r="C1198" t="s">
        <v>16</v>
      </c>
      <c r="D1198" t="s">
        <v>552</v>
      </c>
      <c r="E1198" t="s">
        <v>2238</v>
      </c>
      <c r="F1198" t="s">
        <v>3143</v>
      </c>
      <c r="G1198" t="s">
        <v>3148</v>
      </c>
      <c r="H1198" s="3">
        <v>1680</v>
      </c>
      <c r="I1198">
        <v>946</v>
      </c>
      <c r="J1198">
        <v>0</v>
      </c>
      <c r="K1198">
        <v>32</v>
      </c>
      <c r="L1198" s="4">
        <v>0.242093263656568</v>
      </c>
      <c r="M1198" s="4">
        <v>0.75790673634343197</v>
      </c>
      <c r="N1198">
        <v>0</v>
      </c>
    </row>
    <row r="1199" spans="1:14" x14ac:dyDescent="0.25">
      <c r="A1199" s="2"/>
      <c r="C1199" t="s">
        <v>28</v>
      </c>
      <c r="D1199" t="s">
        <v>552</v>
      </c>
      <c r="E1199" t="s">
        <v>2238</v>
      </c>
      <c r="F1199" t="s">
        <v>3143</v>
      </c>
      <c r="G1199" t="s">
        <v>3149</v>
      </c>
      <c r="H1199" s="3">
        <v>1680</v>
      </c>
      <c r="I1199">
        <v>835</v>
      </c>
      <c r="J1199">
        <v>1</v>
      </c>
      <c r="K1199">
        <v>7</v>
      </c>
      <c r="L1199" s="4">
        <v>0.90290504469396604</v>
      </c>
      <c r="M1199" s="4">
        <v>9.7094955306034E-2</v>
      </c>
      <c r="N1199">
        <v>0</v>
      </c>
    </row>
    <row r="1200" spans="1:14" x14ac:dyDescent="0.25">
      <c r="A1200" s="2"/>
      <c r="C1200" t="s">
        <v>28</v>
      </c>
      <c r="D1200" t="s">
        <v>552</v>
      </c>
      <c r="E1200" t="s">
        <v>2238</v>
      </c>
      <c r="F1200" t="s">
        <v>3143</v>
      </c>
      <c r="G1200" t="s">
        <v>3150</v>
      </c>
      <c r="H1200" s="3">
        <v>1680</v>
      </c>
      <c r="I1200">
        <v>582</v>
      </c>
      <c r="J1200">
        <v>0</v>
      </c>
      <c r="K1200">
        <v>32</v>
      </c>
      <c r="L1200" s="4">
        <v>0.64025199595835303</v>
      </c>
      <c r="M1200" s="4">
        <v>0.35974800404164697</v>
      </c>
      <c r="N1200">
        <v>0</v>
      </c>
    </row>
    <row r="1201" spans="1:14" x14ac:dyDescent="0.25">
      <c r="A1201" s="2">
        <v>23782536</v>
      </c>
      <c r="C1201" t="s">
        <v>0</v>
      </c>
      <c r="D1201" t="s">
        <v>552</v>
      </c>
      <c r="E1201" t="s">
        <v>2238</v>
      </c>
      <c r="F1201" t="s">
        <v>3143</v>
      </c>
      <c r="G1201" t="s">
        <v>3151</v>
      </c>
      <c r="H1201" s="3">
        <v>2057.7800000000002</v>
      </c>
      <c r="I1201">
        <v>134</v>
      </c>
      <c r="J1201">
        <v>1</v>
      </c>
      <c r="K1201">
        <v>31</v>
      </c>
      <c r="L1201" s="4">
        <v>0.78040941944303699</v>
      </c>
      <c r="M1201" s="4">
        <v>0.21959058055696301</v>
      </c>
      <c r="N1201">
        <v>0</v>
      </c>
    </row>
    <row r="1202" spans="1:14" x14ac:dyDescent="0.25">
      <c r="A1202" s="2"/>
      <c r="B1202" t="s">
        <v>3152</v>
      </c>
      <c r="C1202" t="s">
        <v>16</v>
      </c>
      <c r="D1202" t="s">
        <v>1163</v>
      </c>
      <c r="E1202" t="s">
        <v>3153</v>
      </c>
      <c r="F1202" t="s">
        <v>3154</v>
      </c>
      <c r="G1202" t="s">
        <v>3155</v>
      </c>
      <c r="H1202" s="3">
        <v>420</v>
      </c>
      <c r="I1202">
        <v>913</v>
      </c>
      <c r="J1202">
        <v>0</v>
      </c>
      <c r="K1202">
        <v>50</v>
      </c>
      <c r="L1202" s="4">
        <v>0.19909155894942401</v>
      </c>
      <c r="M1202" s="4">
        <v>0.80090844105057601</v>
      </c>
      <c r="N1202">
        <v>0</v>
      </c>
    </row>
    <row r="1203" spans="1:14" x14ac:dyDescent="0.25">
      <c r="A1203" s="2"/>
      <c r="B1203" t="s">
        <v>3156</v>
      </c>
      <c r="C1203" t="s">
        <v>16</v>
      </c>
      <c r="D1203" t="s">
        <v>1163</v>
      </c>
      <c r="E1203" t="s">
        <v>3153</v>
      </c>
      <c r="F1203" t="s">
        <v>3154</v>
      </c>
      <c r="G1203" t="s">
        <v>3157</v>
      </c>
      <c r="H1203" s="3">
        <v>1500</v>
      </c>
      <c r="J1203">
        <v>1</v>
      </c>
      <c r="K1203">
        <v>5</v>
      </c>
      <c r="L1203" s="4">
        <v>0.92563391875301904</v>
      </c>
      <c r="M1203" s="4">
        <v>7.4366081246980895E-2</v>
      </c>
      <c r="N1203">
        <v>0</v>
      </c>
    </row>
    <row r="1204" spans="1:14" x14ac:dyDescent="0.25">
      <c r="A1204" s="2"/>
      <c r="B1204" t="s">
        <v>3158</v>
      </c>
      <c r="C1204" t="s">
        <v>16</v>
      </c>
      <c r="D1204" t="s">
        <v>552</v>
      </c>
      <c r="E1204" t="s">
        <v>2238</v>
      </c>
      <c r="F1204" t="s">
        <v>3143</v>
      </c>
      <c r="G1204" t="s">
        <v>3159</v>
      </c>
      <c r="H1204" s="3">
        <v>1260</v>
      </c>
      <c r="I1204">
        <v>730</v>
      </c>
      <c r="J1204">
        <v>0</v>
      </c>
      <c r="L1204" s="4">
        <v>0.71823534011456402</v>
      </c>
      <c r="M1204" s="4">
        <v>0.28176465988543598</v>
      </c>
      <c r="N1204">
        <v>0</v>
      </c>
    </row>
    <row r="1205" spans="1:14" x14ac:dyDescent="0.25">
      <c r="A1205" s="2"/>
      <c r="B1205" t="s">
        <v>3160</v>
      </c>
      <c r="C1205" t="s">
        <v>16</v>
      </c>
      <c r="D1205" t="s">
        <v>86</v>
      </c>
      <c r="E1205" t="s">
        <v>3161</v>
      </c>
      <c r="F1205" t="s">
        <v>3162</v>
      </c>
      <c r="G1205" t="s">
        <v>3163</v>
      </c>
      <c r="H1205" s="3">
        <v>2363.7600000000002</v>
      </c>
      <c r="I1205">
        <v>758</v>
      </c>
      <c r="J1205">
        <v>1</v>
      </c>
      <c r="K1205">
        <v>45</v>
      </c>
      <c r="L1205" s="4">
        <v>0.13085637262465699</v>
      </c>
      <c r="M1205" s="4">
        <v>0.86914362737534301</v>
      </c>
      <c r="N1205">
        <v>0</v>
      </c>
    </row>
    <row r="1206" spans="1:14" x14ac:dyDescent="0.25">
      <c r="A1206" s="2"/>
      <c r="C1206" t="s">
        <v>28</v>
      </c>
      <c r="D1206" t="s">
        <v>17</v>
      </c>
      <c r="E1206" t="s">
        <v>3164</v>
      </c>
      <c r="F1206" t="s">
        <v>3165</v>
      </c>
      <c r="G1206" t="s">
        <v>3166</v>
      </c>
      <c r="H1206" s="3">
        <v>1188.83</v>
      </c>
      <c r="I1206">
        <v>430</v>
      </c>
      <c r="J1206">
        <v>0</v>
      </c>
      <c r="K1206">
        <v>28</v>
      </c>
      <c r="L1206" s="4">
        <v>0.86250516597026805</v>
      </c>
      <c r="M1206" s="4">
        <v>0.137494834029732</v>
      </c>
      <c r="N1206">
        <v>0</v>
      </c>
    </row>
    <row r="1207" spans="1:14" x14ac:dyDescent="0.25">
      <c r="A1207" s="2"/>
      <c r="C1207" t="s">
        <v>28</v>
      </c>
      <c r="D1207" t="s">
        <v>86</v>
      </c>
      <c r="E1207" t="s">
        <v>3167</v>
      </c>
      <c r="F1207" t="s">
        <v>3168</v>
      </c>
      <c r="G1207" t="s">
        <v>3169</v>
      </c>
      <c r="H1207" s="3">
        <v>2350.4899999999998</v>
      </c>
      <c r="I1207">
        <v>736</v>
      </c>
      <c r="J1207">
        <v>1</v>
      </c>
      <c r="K1207">
        <v>45</v>
      </c>
      <c r="L1207" s="4">
        <v>0.89357575448755699</v>
      </c>
      <c r="M1207" s="4">
        <v>0.10642424551244301</v>
      </c>
      <c r="N1207">
        <v>0</v>
      </c>
    </row>
    <row r="1208" spans="1:14" x14ac:dyDescent="0.25">
      <c r="A1208" s="2">
        <v>23785211</v>
      </c>
      <c r="B1208" t="s">
        <v>3170</v>
      </c>
      <c r="C1208" t="s">
        <v>31</v>
      </c>
      <c r="D1208" t="s">
        <v>333</v>
      </c>
      <c r="E1208" t="s">
        <v>3171</v>
      </c>
      <c r="G1208" t="s">
        <v>3172</v>
      </c>
      <c r="H1208" s="3">
        <v>1604.82</v>
      </c>
      <c r="I1208">
        <v>800</v>
      </c>
      <c r="J1208">
        <v>0</v>
      </c>
      <c r="K1208">
        <v>12</v>
      </c>
      <c r="L1208" s="4">
        <v>0.51757577287034195</v>
      </c>
      <c r="M1208" s="4">
        <v>0.48242422712965799</v>
      </c>
      <c r="N1208">
        <v>0</v>
      </c>
    </row>
    <row r="1209" spans="1:14" x14ac:dyDescent="0.25">
      <c r="A1209" s="2"/>
      <c r="B1209" t="s">
        <v>3173</v>
      </c>
      <c r="C1209" t="s">
        <v>16</v>
      </c>
      <c r="D1209" t="s">
        <v>17</v>
      </c>
      <c r="E1209" t="s">
        <v>3174</v>
      </c>
      <c r="F1209" t="s">
        <v>3175</v>
      </c>
      <c r="G1209" t="s">
        <v>3176</v>
      </c>
      <c r="H1209" s="3">
        <v>2165.92</v>
      </c>
      <c r="I1209">
        <v>97</v>
      </c>
      <c r="J1209">
        <v>1</v>
      </c>
      <c r="L1209" s="4">
        <v>0.34733413587339101</v>
      </c>
      <c r="M1209" s="4">
        <v>0.65266586412660899</v>
      </c>
      <c r="N1209">
        <v>0</v>
      </c>
    </row>
    <row r="1210" spans="1:14" x14ac:dyDescent="0.25">
      <c r="A1210" s="2"/>
      <c r="C1210" t="s">
        <v>28</v>
      </c>
      <c r="D1210" t="s">
        <v>333</v>
      </c>
      <c r="E1210" t="s">
        <v>3171</v>
      </c>
      <c r="F1210" t="s">
        <v>3177</v>
      </c>
      <c r="G1210" t="s">
        <v>3178</v>
      </c>
      <c r="H1210" s="3">
        <v>1312.59</v>
      </c>
      <c r="I1210">
        <v>545</v>
      </c>
      <c r="J1210">
        <v>0</v>
      </c>
      <c r="K1210">
        <v>14</v>
      </c>
      <c r="L1210" s="4">
        <v>0.409360997284475</v>
      </c>
      <c r="M1210" s="4">
        <v>0.59063900271552505</v>
      </c>
      <c r="N1210">
        <v>0</v>
      </c>
    </row>
    <row r="1211" spans="1:14" x14ac:dyDescent="0.25">
      <c r="A1211" s="2">
        <v>23152534</v>
      </c>
      <c r="B1211" t="s">
        <v>3179</v>
      </c>
      <c r="C1211" t="s">
        <v>31</v>
      </c>
      <c r="D1211" t="s">
        <v>333</v>
      </c>
      <c r="E1211" t="s">
        <v>3171</v>
      </c>
      <c r="F1211" t="s">
        <v>3177</v>
      </c>
      <c r="G1211" t="s">
        <v>3180</v>
      </c>
      <c r="H1211" s="3">
        <v>1549.44</v>
      </c>
      <c r="I1211">
        <v>527</v>
      </c>
      <c r="J1211">
        <v>0</v>
      </c>
      <c r="L1211" s="4">
        <v>0.91625772802953498</v>
      </c>
      <c r="M1211" s="4">
        <v>8.3742271970464799E-2</v>
      </c>
      <c r="N1211">
        <v>0</v>
      </c>
    </row>
    <row r="1212" spans="1:14" x14ac:dyDescent="0.25">
      <c r="A1212" s="2"/>
      <c r="B1212" t="s">
        <v>3181</v>
      </c>
      <c r="C1212" t="s">
        <v>16</v>
      </c>
      <c r="D1212" t="s">
        <v>333</v>
      </c>
      <c r="E1212" t="s">
        <v>3171</v>
      </c>
      <c r="F1212" t="s">
        <v>3177</v>
      </c>
      <c r="G1212" t="s">
        <v>3182</v>
      </c>
      <c r="H1212" s="3">
        <v>1585.64</v>
      </c>
      <c r="I1212">
        <v>977</v>
      </c>
      <c r="J1212">
        <v>1</v>
      </c>
      <c r="K1212">
        <v>19</v>
      </c>
      <c r="L1212" s="4">
        <v>0.44920794116222801</v>
      </c>
      <c r="M1212" s="4">
        <v>0.55079205883777205</v>
      </c>
      <c r="N1212">
        <v>0</v>
      </c>
    </row>
    <row r="1213" spans="1:14" x14ac:dyDescent="0.25">
      <c r="A1213" s="2">
        <v>22875964</v>
      </c>
      <c r="B1213" t="s">
        <v>3183</v>
      </c>
      <c r="C1213" t="s">
        <v>31</v>
      </c>
      <c r="D1213" t="s">
        <v>333</v>
      </c>
      <c r="E1213" t="s">
        <v>3171</v>
      </c>
      <c r="F1213" t="s">
        <v>3177</v>
      </c>
      <c r="G1213" t="s">
        <v>3184</v>
      </c>
      <c r="H1213" s="3">
        <v>1247.4100000000001</v>
      </c>
      <c r="I1213">
        <v>99</v>
      </c>
      <c r="J1213">
        <v>1</v>
      </c>
      <c r="K1213">
        <v>24</v>
      </c>
      <c r="L1213" s="4">
        <v>0.78180476156564205</v>
      </c>
      <c r="M1213" s="4">
        <v>0.21819523843435801</v>
      </c>
      <c r="N1213">
        <v>0</v>
      </c>
    </row>
    <row r="1214" spans="1:14" x14ac:dyDescent="0.25">
      <c r="A1214" s="2"/>
      <c r="B1214" t="s">
        <v>3185</v>
      </c>
      <c r="C1214" t="s">
        <v>16</v>
      </c>
      <c r="D1214" t="s">
        <v>333</v>
      </c>
      <c r="E1214" t="s">
        <v>3171</v>
      </c>
      <c r="F1214" t="s">
        <v>3177</v>
      </c>
      <c r="G1214" t="s">
        <v>3186</v>
      </c>
      <c r="H1214" s="3">
        <v>2019.89</v>
      </c>
      <c r="I1214">
        <v>121</v>
      </c>
      <c r="J1214">
        <v>0</v>
      </c>
      <c r="K1214">
        <v>32</v>
      </c>
      <c r="L1214" s="4">
        <v>0.38161478915589703</v>
      </c>
      <c r="M1214" s="4">
        <v>0.61838521084410303</v>
      </c>
      <c r="N1214">
        <v>0</v>
      </c>
    </row>
    <row r="1215" spans="1:14" x14ac:dyDescent="0.25">
      <c r="A1215" s="2"/>
      <c r="B1215" t="s">
        <v>3187</v>
      </c>
      <c r="C1215" t="s">
        <v>16</v>
      </c>
      <c r="D1215" t="s">
        <v>333</v>
      </c>
      <c r="E1215" t="s">
        <v>3171</v>
      </c>
      <c r="F1215" t="s">
        <v>3177</v>
      </c>
      <c r="G1215" t="s">
        <v>3188</v>
      </c>
      <c r="H1215" s="3">
        <v>1901.79</v>
      </c>
      <c r="I1215">
        <v>292</v>
      </c>
      <c r="J1215">
        <v>0</v>
      </c>
      <c r="K1215">
        <v>24</v>
      </c>
      <c r="L1215" s="4">
        <v>0.60597403835553498</v>
      </c>
      <c r="M1215" s="4">
        <v>0.39402596164446502</v>
      </c>
      <c r="N1215">
        <v>0</v>
      </c>
    </row>
    <row r="1216" spans="1:14" x14ac:dyDescent="0.25">
      <c r="A1216" s="2">
        <v>23903843</v>
      </c>
      <c r="B1216" t="s">
        <v>3189</v>
      </c>
      <c r="C1216" t="s">
        <v>31</v>
      </c>
      <c r="D1216" t="s">
        <v>17</v>
      </c>
      <c r="E1216" t="s">
        <v>3171</v>
      </c>
      <c r="F1216" t="s">
        <v>3177</v>
      </c>
      <c r="G1216" t="s">
        <v>3190</v>
      </c>
      <c r="H1216" s="3">
        <v>1577.9</v>
      </c>
      <c r="J1216">
        <v>1</v>
      </c>
      <c r="K1216">
        <v>42</v>
      </c>
      <c r="L1216" s="4">
        <v>1.4919451948901E-2</v>
      </c>
      <c r="M1216" s="4">
        <v>0.98508054805109901</v>
      </c>
      <c r="N1216">
        <v>0</v>
      </c>
    </row>
    <row r="1217" spans="1:14" x14ac:dyDescent="0.25">
      <c r="A1217" s="2">
        <v>23903840</v>
      </c>
      <c r="B1217" t="s">
        <v>3191</v>
      </c>
      <c r="C1217" t="s">
        <v>31</v>
      </c>
      <c r="D1217" t="s">
        <v>17</v>
      </c>
      <c r="E1217" t="s">
        <v>3171</v>
      </c>
      <c r="F1217" t="s">
        <v>3177</v>
      </c>
      <c r="G1217" t="s">
        <v>3192</v>
      </c>
      <c r="H1217" s="3">
        <v>1577.91</v>
      </c>
      <c r="I1217">
        <v>235</v>
      </c>
      <c r="J1217">
        <v>1</v>
      </c>
      <c r="K1217">
        <v>42</v>
      </c>
      <c r="L1217" s="4">
        <v>0.77367584762410901</v>
      </c>
      <c r="M1217" s="4">
        <v>0.22632415237589101</v>
      </c>
      <c r="N1217">
        <v>0</v>
      </c>
    </row>
    <row r="1218" spans="1:14" x14ac:dyDescent="0.25">
      <c r="A1218" s="2"/>
      <c r="B1218" t="s">
        <v>3193</v>
      </c>
      <c r="C1218" t="s">
        <v>16</v>
      </c>
      <c r="D1218" t="s">
        <v>333</v>
      </c>
      <c r="E1218" t="s">
        <v>3171</v>
      </c>
      <c r="F1218" t="s">
        <v>3177</v>
      </c>
      <c r="G1218" t="s">
        <v>3194</v>
      </c>
      <c r="H1218" s="3">
        <v>1871.85</v>
      </c>
      <c r="I1218">
        <v>672</v>
      </c>
      <c r="J1218">
        <v>1</v>
      </c>
      <c r="K1218">
        <v>36</v>
      </c>
      <c r="L1218" s="4">
        <v>3.7312805086896499E-3</v>
      </c>
      <c r="M1218" s="4">
        <v>0.99626871949131002</v>
      </c>
      <c r="N1218">
        <v>1153</v>
      </c>
    </row>
    <row r="1219" spans="1:14" x14ac:dyDescent="0.25">
      <c r="A1219" s="2"/>
      <c r="B1219" t="s">
        <v>3195</v>
      </c>
      <c r="C1219" t="s">
        <v>16</v>
      </c>
      <c r="D1219" t="s">
        <v>3196</v>
      </c>
      <c r="E1219" t="s">
        <v>3197</v>
      </c>
      <c r="F1219" t="s">
        <v>3177</v>
      </c>
      <c r="G1219" t="s">
        <v>3198</v>
      </c>
      <c r="H1219" s="3">
        <v>1157.8800000000001</v>
      </c>
      <c r="I1219">
        <v>82</v>
      </c>
      <c r="J1219">
        <v>1</v>
      </c>
      <c r="K1219">
        <v>35</v>
      </c>
      <c r="L1219" s="4">
        <v>0.91013091438032501</v>
      </c>
      <c r="M1219" s="4">
        <v>8.9869085619674702E-2</v>
      </c>
      <c r="N1219">
        <v>0</v>
      </c>
    </row>
    <row r="1220" spans="1:14" x14ac:dyDescent="0.25">
      <c r="A1220" s="2">
        <v>23567253</v>
      </c>
      <c r="B1220" t="s">
        <v>3199</v>
      </c>
      <c r="C1220" t="s">
        <v>31</v>
      </c>
      <c r="D1220" t="s">
        <v>3200</v>
      </c>
      <c r="E1220" t="s">
        <v>3200</v>
      </c>
      <c r="F1220" t="s">
        <v>3201</v>
      </c>
      <c r="G1220" t="s">
        <v>3202</v>
      </c>
      <c r="H1220" s="3">
        <v>517.5</v>
      </c>
      <c r="I1220">
        <v>216</v>
      </c>
      <c r="J1220">
        <v>1</v>
      </c>
      <c r="K1220">
        <v>13</v>
      </c>
      <c r="L1220" s="4">
        <v>0.22294260512522601</v>
      </c>
      <c r="M1220" s="4">
        <v>0.77705739487477399</v>
      </c>
      <c r="N1220">
        <v>0</v>
      </c>
    </row>
    <row r="1221" spans="1:14" x14ac:dyDescent="0.25">
      <c r="A1221" s="2"/>
      <c r="C1221" t="s">
        <v>28</v>
      </c>
      <c r="D1221" t="s">
        <v>3200</v>
      </c>
      <c r="E1221" t="s">
        <v>3200</v>
      </c>
      <c r="F1221" t="s">
        <v>3201</v>
      </c>
      <c r="G1221" t="s">
        <v>3203</v>
      </c>
      <c r="H1221" s="3">
        <v>3238.25</v>
      </c>
      <c r="I1221">
        <v>503</v>
      </c>
      <c r="J1221">
        <v>1</v>
      </c>
      <c r="K1221">
        <v>3</v>
      </c>
      <c r="L1221" s="4">
        <v>3.1319057477174797E-2</v>
      </c>
      <c r="M1221" s="4">
        <v>0.96868094252282499</v>
      </c>
      <c r="N1221">
        <v>0</v>
      </c>
    </row>
    <row r="1222" spans="1:14" x14ac:dyDescent="0.25">
      <c r="A1222" s="2"/>
      <c r="C1222" t="s">
        <v>28</v>
      </c>
      <c r="D1222" t="s">
        <v>3200</v>
      </c>
      <c r="E1222" t="s">
        <v>3200</v>
      </c>
      <c r="F1222" t="s">
        <v>3201</v>
      </c>
      <c r="G1222" t="s">
        <v>3204</v>
      </c>
      <c r="H1222" s="3">
        <v>2693.21</v>
      </c>
      <c r="I1222">
        <v>210</v>
      </c>
      <c r="J1222">
        <v>1</v>
      </c>
      <c r="K1222">
        <v>28</v>
      </c>
      <c r="L1222" s="4">
        <v>0.81027307509771895</v>
      </c>
      <c r="M1222" s="4">
        <v>0.18972692490228199</v>
      </c>
      <c r="N1222">
        <v>0</v>
      </c>
    </row>
    <row r="1223" spans="1:14" x14ac:dyDescent="0.25">
      <c r="A1223" s="2"/>
      <c r="C1223" t="s">
        <v>28</v>
      </c>
      <c r="D1223" t="s">
        <v>3200</v>
      </c>
      <c r="E1223" t="s">
        <v>3200</v>
      </c>
      <c r="F1223" t="s">
        <v>3201</v>
      </c>
      <c r="G1223" t="s">
        <v>3205</v>
      </c>
      <c r="H1223" s="3">
        <v>3284.88</v>
      </c>
      <c r="I1223">
        <v>966</v>
      </c>
      <c r="J1223">
        <v>1</v>
      </c>
      <c r="K1223">
        <v>21</v>
      </c>
      <c r="L1223" s="4">
        <v>0.55505396879369795</v>
      </c>
      <c r="M1223" s="4">
        <v>0.44494603120630299</v>
      </c>
      <c r="N1223">
        <v>0</v>
      </c>
    </row>
    <row r="1224" spans="1:14" x14ac:dyDescent="0.25">
      <c r="A1224" s="2"/>
      <c r="B1224" t="s">
        <v>3206</v>
      </c>
      <c r="C1224" t="s">
        <v>16</v>
      </c>
      <c r="D1224" t="s">
        <v>3200</v>
      </c>
      <c r="E1224" t="s">
        <v>3200</v>
      </c>
      <c r="F1224" t="s">
        <v>3201</v>
      </c>
      <c r="G1224" t="s">
        <v>3207</v>
      </c>
      <c r="H1224" s="3">
        <v>2671.48</v>
      </c>
      <c r="I1224">
        <v>683</v>
      </c>
      <c r="J1224">
        <v>1</v>
      </c>
      <c r="K1224">
        <v>18</v>
      </c>
      <c r="L1224" s="4">
        <v>0.164657120853268</v>
      </c>
      <c r="M1224" s="4">
        <v>0.835342879146732</v>
      </c>
      <c r="N1224">
        <v>0</v>
      </c>
    </row>
    <row r="1225" spans="1:14" x14ac:dyDescent="0.25">
      <c r="A1225" s="2"/>
      <c r="C1225" t="s">
        <v>28</v>
      </c>
      <c r="D1225" t="s">
        <v>3200</v>
      </c>
      <c r="E1225" t="s">
        <v>3200</v>
      </c>
      <c r="F1225" t="s">
        <v>3201</v>
      </c>
      <c r="G1225" t="s">
        <v>3208</v>
      </c>
      <c r="H1225" s="3">
        <v>2711.19</v>
      </c>
      <c r="I1225">
        <v>607</v>
      </c>
      <c r="J1225">
        <v>0</v>
      </c>
      <c r="K1225">
        <v>13</v>
      </c>
      <c r="L1225" s="4">
        <v>0.33498218053390999</v>
      </c>
      <c r="M1225" s="4">
        <v>0.66501781946608995</v>
      </c>
      <c r="N1225">
        <v>0</v>
      </c>
    </row>
    <row r="1226" spans="1:14" x14ac:dyDescent="0.25">
      <c r="A1226" s="2"/>
      <c r="C1226" t="s">
        <v>28</v>
      </c>
      <c r="D1226" t="s">
        <v>3200</v>
      </c>
      <c r="E1226" t="s">
        <v>3200</v>
      </c>
      <c r="F1226" t="s">
        <v>3209</v>
      </c>
      <c r="G1226" t="s">
        <v>3210</v>
      </c>
      <c r="H1226" s="3">
        <v>2713.14</v>
      </c>
      <c r="I1226">
        <v>820</v>
      </c>
      <c r="J1226">
        <v>0</v>
      </c>
      <c r="K1226">
        <v>2</v>
      </c>
      <c r="L1226" s="4">
        <v>0.29576927859777302</v>
      </c>
      <c r="M1226" s="4">
        <v>0.70423072140222698</v>
      </c>
      <c r="N1226">
        <v>0</v>
      </c>
    </row>
    <row r="1227" spans="1:14" x14ac:dyDescent="0.25">
      <c r="A1227" s="2"/>
      <c r="B1227" t="s">
        <v>3211</v>
      </c>
      <c r="C1227" t="s">
        <v>16</v>
      </c>
      <c r="D1227" t="s">
        <v>607</v>
      </c>
      <c r="E1227" t="s">
        <v>3212</v>
      </c>
      <c r="F1227" t="s">
        <v>3213</v>
      </c>
      <c r="G1227" t="s">
        <v>3214</v>
      </c>
      <c r="H1227" s="3">
        <v>2400</v>
      </c>
      <c r="I1227">
        <v>175</v>
      </c>
      <c r="J1227">
        <v>1</v>
      </c>
      <c r="K1227">
        <v>27</v>
      </c>
      <c r="L1227" s="4">
        <v>0.46940055460521102</v>
      </c>
      <c r="M1227" s="4">
        <v>0.53059944539478898</v>
      </c>
      <c r="N1227">
        <v>0</v>
      </c>
    </row>
    <row r="1228" spans="1:14" x14ac:dyDescent="0.25">
      <c r="A1228" s="2"/>
      <c r="B1228" t="s">
        <v>3215</v>
      </c>
      <c r="C1228" t="s">
        <v>16</v>
      </c>
      <c r="D1228" t="s">
        <v>607</v>
      </c>
      <c r="E1228" t="s">
        <v>3212</v>
      </c>
      <c r="F1228" t="s">
        <v>3213</v>
      </c>
      <c r="G1228" t="s">
        <v>3216</v>
      </c>
      <c r="H1228" s="3">
        <v>2400</v>
      </c>
      <c r="I1228">
        <v>301</v>
      </c>
      <c r="J1228">
        <v>0</v>
      </c>
      <c r="K1228">
        <v>14</v>
      </c>
      <c r="L1228" s="4">
        <v>0.57608171395584395</v>
      </c>
      <c r="M1228" s="4">
        <v>0.42391828604415599</v>
      </c>
      <c r="N1228">
        <v>0</v>
      </c>
    </row>
    <row r="1229" spans="1:14" x14ac:dyDescent="0.25">
      <c r="A1229" s="2"/>
      <c r="C1229" t="s">
        <v>28</v>
      </c>
      <c r="D1229" t="s">
        <v>17</v>
      </c>
      <c r="E1229" t="s">
        <v>3217</v>
      </c>
      <c r="F1229" t="s">
        <v>3218</v>
      </c>
      <c r="G1229" t="s">
        <v>3219</v>
      </c>
      <c r="H1229" s="3">
        <v>4800</v>
      </c>
      <c r="I1229">
        <v>861</v>
      </c>
      <c r="J1229">
        <v>0</v>
      </c>
      <c r="L1229" s="4">
        <v>0.892030480741559</v>
      </c>
      <c r="M1229" s="4">
        <v>0.107969519258441</v>
      </c>
      <c r="N1229">
        <v>0</v>
      </c>
    </row>
    <row r="1230" spans="1:14" x14ac:dyDescent="0.25">
      <c r="A1230" s="2"/>
      <c r="B1230" t="s">
        <v>3220</v>
      </c>
      <c r="C1230" t="s">
        <v>16</v>
      </c>
      <c r="D1230" t="s">
        <v>17</v>
      </c>
      <c r="E1230" t="s">
        <v>3217</v>
      </c>
      <c r="F1230" t="s">
        <v>3218</v>
      </c>
      <c r="G1230" t="s">
        <v>3221</v>
      </c>
      <c r="H1230" s="3">
        <v>838.35</v>
      </c>
      <c r="I1230">
        <v>655</v>
      </c>
      <c r="J1230">
        <v>1</v>
      </c>
      <c r="K1230">
        <v>36</v>
      </c>
      <c r="L1230" s="4">
        <v>0.35320610631507898</v>
      </c>
      <c r="M1230" s="4">
        <v>0.64679389368492102</v>
      </c>
      <c r="N1230">
        <v>0</v>
      </c>
    </row>
    <row r="1231" spans="1:14" x14ac:dyDescent="0.25">
      <c r="A1231" s="2">
        <v>23545320</v>
      </c>
      <c r="C1231" t="s">
        <v>0</v>
      </c>
      <c r="D1231" t="s">
        <v>17</v>
      </c>
      <c r="E1231" t="s">
        <v>3222</v>
      </c>
      <c r="F1231" t="s">
        <v>3223</v>
      </c>
      <c r="G1231" t="s">
        <v>3224</v>
      </c>
      <c r="H1231" s="3">
        <v>3678.78</v>
      </c>
      <c r="I1231">
        <v>328</v>
      </c>
      <c r="J1231">
        <v>1</v>
      </c>
      <c r="L1231" s="4">
        <v>0.57564530597021002</v>
      </c>
      <c r="M1231" s="4">
        <v>0.42435469402978998</v>
      </c>
      <c r="N1231">
        <v>0</v>
      </c>
    </row>
    <row r="1232" spans="1:14" x14ac:dyDescent="0.25">
      <c r="A1232" s="2"/>
      <c r="B1232" t="s">
        <v>3225</v>
      </c>
      <c r="C1232" t="s">
        <v>16</v>
      </c>
      <c r="D1232" t="s">
        <v>17</v>
      </c>
      <c r="E1232" t="s">
        <v>3226</v>
      </c>
      <c r="F1232" t="s">
        <v>3227</v>
      </c>
      <c r="G1232" t="s">
        <v>3228</v>
      </c>
      <c r="H1232" s="3">
        <v>3600</v>
      </c>
      <c r="I1232">
        <v>34</v>
      </c>
      <c r="J1232">
        <v>0</v>
      </c>
      <c r="K1232">
        <v>20</v>
      </c>
      <c r="L1232" s="4">
        <v>0.72570586313011898</v>
      </c>
      <c r="M1232" s="4">
        <v>0.27429413686988102</v>
      </c>
      <c r="N1232">
        <v>0</v>
      </c>
    </row>
    <row r="1233" spans="1:14" x14ac:dyDescent="0.25">
      <c r="A1233" s="2"/>
      <c r="B1233" t="s">
        <v>3229</v>
      </c>
      <c r="C1233" t="s">
        <v>16</v>
      </c>
      <c r="D1233" t="s">
        <v>17</v>
      </c>
      <c r="E1233" t="s">
        <v>3230</v>
      </c>
      <c r="F1233" t="s">
        <v>3231</v>
      </c>
      <c r="G1233" t="s">
        <v>3232</v>
      </c>
      <c r="H1233" s="3">
        <v>2302.9299999999998</v>
      </c>
      <c r="I1233">
        <v>407</v>
      </c>
      <c r="J1233">
        <v>1</v>
      </c>
      <c r="K1233">
        <v>18</v>
      </c>
      <c r="L1233" s="4">
        <v>0.39024813306938</v>
      </c>
      <c r="M1233" s="4">
        <v>0.60975186693062</v>
      </c>
      <c r="N1233">
        <v>0</v>
      </c>
    </row>
    <row r="1234" spans="1:14" x14ac:dyDescent="0.25">
      <c r="A1234" s="2"/>
      <c r="B1234" t="s">
        <v>3233</v>
      </c>
      <c r="C1234" t="s">
        <v>16</v>
      </c>
      <c r="D1234" t="s">
        <v>1951</v>
      </c>
      <c r="E1234" t="s">
        <v>3234</v>
      </c>
      <c r="F1234" t="s">
        <v>3235</v>
      </c>
      <c r="G1234" t="s">
        <v>3236</v>
      </c>
      <c r="H1234" s="3">
        <v>1519.71</v>
      </c>
      <c r="J1234">
        <v>0</v>
      </c>
      <c r="K1234">
        <v>45</v>
      </c>
      <c r="L1234" s="4">
        <v>0.65356654605676601</v>
      </c>
      <c r="M1234" s="4">
        <v>0.34643345394323399</v>
      </c>
      <c r="N1234">
        <v>0</v>
      </c>
    </row>
    <row r="1235" spans="1:14" x14ac:dyDescent="0.25">
      <c r="A1235" s="2"/>
      <c r="B1235" t="s">
        <v>3237</v>
      </c>
      <c r="C1235" t="s">
        <v>16</v>
      </c>
      <c r="D1235" t="s">
        <v>1951</v>
      </c>
      <c r="E1235" t="s">
        <v>3234</v>
      </c>
      <c r="F1235" t="s">
        <v>3235</v>
      </c>
      <c r="G1235" t="s">
        <v>3238</v>
      </c>
      <c r="H1235" s="3">
        <v>1314.81</v>
      </c>
      <c r="J1235">
        <v>1</v>
      </c>
      <c r="K1235">
        <v>16</v>
      </c>
      <c r="L1235" s="4">
        <v>0.288174142519531</v>
      </c>
      <c r="M1235" s="4">
        <v>0.711825857480469</v>
      </c>
      <c r="N1235">
        <v>0</v>
      </c>
    </row>
    <row r="1236" spans="1:14" x14ac:dyDescent="0.25">
      <c r="A1236" s="2"/>
      <c r="B1236" t="s">
        <v>3239</v>
      </c>
      <c r="C1236" t="s">
        <v>16</v>
      </c>
      <c r="D1236" t="s">
        <v>607</v>
      </c>
      <c r="E1236" t="s">
        <v>3240</v>
      </c>
      <c r="F1236" t="s">
        <v>3241</v>
      </c>
      <c r="G1236" t="s">
        <v>3242</v>
      </c>
      <c r="H1236" s="3">
        <v>3000</v>
      </c>
      <c r="I1236">
        <v>896</v>
      </c>
      <c r="J1236">
        <v>1</v>
      </c>
      <c r="K1236">
        <v>32</v>
      </c>
      <c r="L1236" s="4">
        <v>0.102556562174586</v>
      </c>
      <c r="M1236" s="4">
        <v>0.89744343782541403</v>
      </c>
      <c r="N1236">
        <v>0</v>
      </c>
    </row>
    <row r="1237" spans="1:14" x14ac:dyDescent="0.25">
      <c r="A1237" s="2">
        <v>23302769</v>
      </c>
      <c r="B1237" t="s">
        <v>3243</v>
      </c>
      <c r="C1237" t="s">
        <v>31</v>
      </c>
      <c r="D1237" t="s">
        <v>607</v>
      </c>
      <c r="E1237" t="s">
        <v>3240</v>
      </c>
      <c r="F1237" t="s">
        <v>3241</v>
      </c>
      <c r="G1237" t="s">
        <v>3244</v>
      </c>
      <c r="H1237" s="3">
        <v>3480</v>
      </c>
      <c r="I1237">
        <v>115</v>
      </c>
      <c r="J1237">
        <v>0</v>
      </c>
      <c r="K1237">
        <v>29</v>
      </c>
      <c r="L1237" s="4">
        <v>0.144714800712126</v>
      </c>
      <c r="M1237" s="4">
        <v>0.85528519928787405</v>
      </c>
      <c r="N1237">
        <v>0</v>
      </c>
    </row>
    <row r="1238" spans="1:14" x14ac:dyDescent="0.25">
      <c r="A1238" s="2"/>
      <c r="B1238" t="s">
        <v>3245</v>
      </c>
      <c r="C1238" t="s">
        <v>16</v>
      </c>
      <c r="D1238" t="s">
        <v>148</v>
      </c>
      <c r="E1238" t="s">
        <v>3246</v>
      </c>
      <c r="F1238" t="s">
        <v>3247</v>
      </c>
      <c r="G1238" t="s">
        <v>3248</v>
      </c>
      <c r="H1238" s="3">
        <v>1156.5</v>
      </c>
      <c r="I1238">
        <v>394</v>
      </c>
      <c r="J1238">
        <v>1</v>
      </c>
      <c r="K1238">
        <v>49</v>
      </c>
      <c r="L1238" s="4">
        <v>0.73365978749849903</v>
      </c>
      <c r="M1238" s="4">
        <v>0.26634021250150097</v>
      </c>
      <c r="N1238">
        <v>0</v>
      </c>
    </row>
    <row r="1239" spans="1:14" x14ac:dyDescent="0.25">
      <c r="A1239" s="2"/>
      <c r="B1239" t="s">
        <v>3249</v>
      </c>
      <c r="C1239" t="s">
        <v>16</v>
      </c>
      <c r="D1239" t="s">
        <v>86</v>
      </c>
      <c r="E1239" t="s">
        <v>3250</v>
      </c>
      <c r="F1239" t="s">
        <v>3251</v>
      </c>
      <c r="G1239" t="s">
        <v>3252</v>
      </c>
      <c r="H1239" s="3">
        <v>2374.5100000000002</v>
      </c>
      <c r="J1239">
        <v>1</v>
      </c>
      <c r="K1239">
        <v>48</v>
      </c>
      <c r="L1239" s="4">
        <v>0.37275281296297502</v>
      </c>
      <c r="M1239" s="4">
        <v>0.62724718703702498</v>
      </c>
      <c r="N1239">
        <v>0</v>
      </c>
    </row>
    <row r="1240" spans="1:14" x14ac:dyDescent="0.25">
      <c r="A1240" s="2"/>
      <c r="C1240" t="s">
        <v>28</v>
      </c>
      <c r="D1240" t="s">
        <v>86</v>
      </c>
      <c r="E1240" t="s">
        <v>3250</v>
      </c>
      <c r="F1240" t="s">
        <v>3251</v>
      </c>
      <c r="G1240" t="s">
        <v>3253</v>
      </c>
      <c r="H1240" s="3">
        <v>2010.24</v>
      </c>
      <c r="I1240">
        <v>395</v>
      </c>
      <c r="J1240">
        <v>1</v>
      </c>
      <c r="K1240">
        <v>15</v>
      </c>
      <c r="L1240" s="4">
        <v>0.40606295101916701</v>
      </c>
      <c r="M1240" s="4">
        <v>0.59393704898083299</v>
      </c>
      <c r="N1240">
        <v>0</v>
      </c>
    </row>
    <row r="1241" spans="1:14" x14ac:dyDescent="0.25">
      <c r="A1241" s="2"/>
      <c r="B1241" t="s">
        <v>3254</v>
      </c>
      <c r="C1241" t="s">
        <v>16</v>
      </c>
      <c r="D1241" t="s">
        <v>148</v>
      </c>
      <c r="E1241" t="s">
        <v>3255</v>
      </c>
      <c r="F1241" t="s">
        <v>3256</v>
      </c>
      <c r="G1241" t="s">
        <v>3257</v>
      </c>
      <c r="H1241" s="3">
        <v>1268.7</v>
      </c>
      <c r="I1241">
        <v>336</v>
      </c>
      <c r="J1241">
        <v>0</v>
      </c>
      <c r="K1241">
        <v>14</v>
      </c>
      <c r="L1241" s="4">
        <v>0.80745656519822595</v>
      </c>
      <c r="M1241" s="4">
        <v>0.19254343480177399</v>
      </c>
      <c r="N1241">
        <v>0</v>
      </c>
    </row>
    <row r="1242" spans="1:14" x14ac:dyDescent="0.25">
      <c r="A1242" s="2"/>
      <c r="B1242" t="s">
        <v>3258</v>
      </c>
      <c r="C1242" t="s">
        <v>16</v>
      </c>
      <c r="D1242" t="s">
        <v>148</v>
      </c>
      <c r="E1242" t="s">
        <v>3255</v>
      </c>
      <c r="F1242" t="s">
        <v>3256</v>
      </c>
      <c r="G1242" t="s">
        <v>3259</v>
      </c>
      <c r="H1242" s="3">
        <v>1309.5</v>
      </c>
      <c r="I1242">
        <v>229</v>
      </c>
      <c r="J1242">
        <v>1</v>
      </c>
      <c r="K1242">
        <v>9</v>
      </c>
      <c r="L1242" s="4">
        <v>7.9737133165506402E-2</v>
      </c>
      <c r="M1242" s="4">
        <v>0.92026286683449399</v>
      </c>
      <c r="N1242">
        <v>0</v>
      </c>
    </row>
    <row r="1243" spans="1:14" x14ac:dyDescent="0.25">
      <c r="A1243" s="2"/>
      <c r="B1243" t="s">
        <v>3260</v>
      </c>
      <c r="C1243" t="s">
        <v>16</v>
      </c>
      <c r="D1243" t="s">
        <v>148</v>
      </c>
      <c r="E1243" t="s">
        <v>3255</v>
      </c>
      <c r="F1243" t="s">
        <v>3256</v>
      </c>
      <c r="G1243" t="s">
        <v>3261</v>
      </c>
      <c r="H1243" s="3">
        <v>1632</v>
      </c>
      <c r="I1243">
        <v>784</v>
      </c>
      <c r="J1243">
        <v>0</v>
      </c>
      <c r="K1243">
        <v>16</v>
      </c>
      <c r="L1243" s="4">
        <v>0.92346306930834199</v>
      </c>
      <c r="M1243" s="4">
        <v>7.6536930691657595E-2</v>
      </c>
      <c r="N1243">
        <v>0</v>
      </c>
    </row>
    <row r="1244" spans="1:14" x14ac:dyDescent="0.25">
      <c r="A1244" s="2"/>
      <c r="B1244" t="s">
        <v>3262</v>
      </c>
      <c r="C1244" t="s">
        <v>16</v>
      </c>
      <c r="D1244" t="s">
        <v>148</v>
      </c>
      <c r="E1244" t="s">
        <v>3255</v>
      </c>
      <c r="F1244" t="s">
        <v>3256</v>
      </c>
      <c r="G1244" t="s">
        <v>3263</v>
      </c>
      <c r="H1244" s="3">
        <v>1113.5</v>
      </c>
      <c r="J1244">
        <v>0</v>
      </c>
      <c r="K1244">
        <v>44</v>
      </c>
      <c r="L1244" s="4">
        <v>0.56113873875779796</v>
      </c>
      <c r="M1244" s="4">
        <v>0.43886126124220198</v>
      </c>
      <c r="N1244">
        <v>0</v>
      </c>
    </row>
    <row r="1245" spans="1:14" x14ac:dyDescent="0.25">
      <c r="A1245" s="2"/>
      <c r="B1245" t="s">
        <v>3264</v>
      </c>
      <c r="C1245" t="s">
        <v>16</v>
      </c>
      <c r="D1245" t="s">
        <v>148</v>
      </c>
      <c r="E1245" t="s">
        <v>3255</v>
      </c>
      <c r="F1245" t="s">
        <v>3256</v>
      </c>
      <c r="G1245" t="s">
        <v>3265</v>
      </c>
      <c r="H1245" s="3">
        <v>1236</v>
      </c>
      <c r="I1245">
        <v>726</v>
      </c>
      <c r="J1245">
        <v>0</v>
      </c>
      <c r="K1245">
        <v>33</v>
      </c>
      <c r="L1245" s="4">
        <v>0.73235653658126598</v>
      </c>
      <c r="M1245" s="4">
        <v>0.26764346341873402</v>
      </c>
      <c r="N1245">
        <v>0</v>
      </c>
    </row>
    <row r="1246" spans="1:14" x14ac:dyDescent="0.25">
      <c r="A1246" s="2"/>
      <c r="B1246" t="s">
        <v>3266</v>
      </c>
      <c r="C1246" t="s">
        <v>16</v>
      </c>
      <c r="D1246" t="s">
        <v>148</v>
      </c>
      <c r="E1246" t="s">
        <v>3255</v>
      </c>
      <c r="F1246" t="s">
        <v>3256</v>
      </c>
      <c r="G1246" t="s">
        <v>3267</v>
      </c>
      <c r="H1246" s="3">
        <v>1268.7</v>
      </c>
      <c r="I1246">
        <v>462</v>
      </c>
      <c r="J1246">
        <v>0</v>
      </c>
      <c r="K1246">
        <v>18</v>
      </c>
      <c r="L1246" s="4">
        <v>0.87416903723332495</v>
      </c>
      <c r="M1246" s="4">
        <v>0.12583096276667499</v>
      </c>
      <c r="N1246">
        <v>0</v>
      </c>
    </row>
    <row r="1247" spans="1:14" x14ac:dyDescent="0.25">
      <c r="A1247" s="2"/>
      <c r="B1247" t="s">
        <v>3268</v>
      </c>
      <c r="C1247" t="s">
        <v>16</v>
      </c>
      <c r="D1247" t="s">
        <v>148</v>
      </c>
      <c r="E1247" t="s">
        <v>3255</v>
      </c>
      <c r="F1247" t="s">
        <v>3256</v>
      </c>
      <c r="G1247" t="s">
        <v>3269</v>
      </c>
      <c r="H1247" s="3">
        <v>1396.2</v>
      </c>
      <c r="I1247">
        <v>819</v>
      </c>
      <c r="J1247">
        <v>0</v>
      </c>
      <c r="K1247">
        <v>30</v>
      </c>
      <c r="L1247" s="4">
        <v>0.82094134046888201</v>
      </c>
      <c r="M1247" s="4">
        <v>0.17905865953111799</v>
      </c>
      <c r="N1247">
        <v>0</v>
      </c>
    </row>
    <row r="1248" spans="1:14" x14ac:dyDescent="0.25">
      <c r="A1248" s="2"/>
      <c r="B1248" t="s">
        <v>3270</v>
      </c>
      <c r="C1248" t="s">
        <v>16</v>
      </c>
      <c r="D1248" t="s">
        <v>3271</v>
      </c>
      <c r="E1248" t="s">
        <v>3255</v>
      </c>
      <c r="F1248" t="s">
        <v>3256</v>
      </c>
      <c r="G1248" t="s">
        <v>3272</v>
      </c>
      <c r="H1248" s="3">
        <v>1530</v>
      </c>
      <c r="I1248">
        <v>191</v>
      </c>
      <c r="J1248">
        <v>0</v>
      </c>
      <c r="K1248">
        <v>39</v>
      </c>
      <c r="L1248" s="4">
        <v>0.64420941380602403</v>
      </c>
      <c r="M1248" s="4">
        <v>0.35579058619397602</v>
      </c>
      <c r="N1248">
        <v>0</v>
      </c>
    </row>
    <row r="1249" spans="1:14" x14ac:dyDescent="0.25">
      <c r="A1249" s="2"/>
      <c r="B1249" t="s">
        <v>3273</v>
      </c>
      <c r="C1249" t="s">
        <v>16</v>
      </c>
      <c r="D1249" t="s">
        <v>148</v>
      </c>
      <c r="E1249" t="s">
        <v>3255</v>
      </c>
      <c r="F1249" t="s">
        <v>3256</v>
      </c>
      <c r="G1249" t="s">
        <v>3274</v>
      </c>
      <c r="H1249" s="3">
        <v>1235</v>
      </c>
      <c r="I1249">
        <v>958</v>
      </c>
      <c r="J1249">
        <v>0</v>
      </c>
      <c r="K1249">
        <v>48</v>
      </c>
      <c r="L1249" s="4">
        <v>0.95030881081238805</v>
      </c>
      <c r="M1249" s="4">
        <v>4.9691189187612103E-2</v>
      </c>
      <c r="N1249">
        <v>0</v>
      </c>
    </row>
    <row r="1250" spans="1:14" x14ac:dyDescent="0.25">
      <c r="A1250" s="2"/>
      <c r="B1250" t="s">
        <v>3275</v>
      </c>
      <c r="C1250" t="s">
        <v>16</v>
      </c>
      <c r="D1250" t="s">
        <v>148</v>
      </c>
      <c r="E1250" t="s">
        <v>3255</v>
      </c>
      <c r="F1250" t="s">
        <v>3256</v>
      </c>
      <c r="G1250" t="s">
        <v>3276</v>
      </c>
      <c r="H1250" s="3">
        <v>1235</v>
      </c>
      <c r="I1250">
        <v>341</v>
      </c>
      <c r="J1250">
        <v>0</v>
      </c>
      <c r="K1250">
        <v>42</v>
      </c>
      <c r="L1250" s="4">
        <v>0.77261739501186999</v>
      </c>
      <c r="M1250" s="4">
        <v>0.22738260498813101</v>
      </c>
      <c r="N1250">
        <v>0</v>
      </c>
    </row>
    <row r="1251" spans="1:14" x14ac:dyDescent="0.25">
      <c r="A1251" s="2"/>
      <c r="B1251" t="s">
        <v>3277</v>
      </c>
      <c r="C1251" t="s">
        <v>16</v>
      </c>
      <c r="D1251" t="s">
        <v>69</v>
      </c>
      <c r="E1251" t="s">
        <v>3278</v>
      </c>
      <c r="F1251" t="s">
        <v>3279</v>
      </c>
      <c r="G1251" t="s">
        <v>3280</v>
      </c>
      <c r="H1251" s="3">
        <v>2295.13</v>
      </c>
      <c r="I1251">
        <v>496</v>
      </c>
      <c r="J1251">
        <v>0</v>
      </c>
      <c r="K1251">
        <v>37</v>
      </c>
      <c r="L1251" s="4">
        <v>0.41226052374472</v>
      </c>
      <c r="M1251" s="4">
        <v>0.58773947625528</v>
      </c>
      <c r="N1251">
        <v>0</v>
      </c>
    </row>
    <row r="1252" spans="1:14" x14ac:dyDescent="0.25">
      <c r="A1252" s="2">
        <v>22716184</v>
      </c>
      <c r="B1252" t="s">
        <v>3281</v>
      </c>
      <c r="C1252" t="s">
        <v>31</v>
      </c>
      <c r="D1252" t="s">
        <v>86</v>
      </c>
      <c r="E1252" t="s">
        <v>3282</v>
      </c>
      <c r="F1252" t="s">
        <v>3283</v>
      </c>
      <c r="G1252" t="s">
        <v>3284</v>
      </c>
      <c r="H1252" s="3">
        <v>1863</v>
      </c>
      <c r="I1252">
        <v>988</v>
      </c>
      <c r="J1252">
        <v>0</v>
      </c>
      <c r="K1252">
        <v>8</v>
      </c>
      <c r="L1252" s="4">
        <v>0.37568235210091999</v>
      </c>
      <c r="M1252" s="4">
        <v>0.62431764789908095</v>
      </c>
      <c r="N1252">
        <v>0</v>
      </c>
    </row>
    <row r="1253" spans="1:14" x14ac:dyDescent="0.25">
      <c r="A1253" s="2">
        <v>23819872</v>
      </c>
      <c r="C1253" t="s">
        <v>0</v>
      </c>
      <c r="D1253" t="s">
        <v>86</v>
      </c>
      <c r="E1253" t="s">
        <v>3282</v>
      </c>
      <c r="F1253" t="s">
        <v>3285</v>
      </c>
      <c r="G1253" t="s">
        <v>3286</v>
      </c>
      <c r="H1253" s="3">
        <v>1800</v>
      </c>
      <c r="I1253">
        <v>732</v>
      </c>
      <c r="J1253">
        <v>0</v>
      </c>
      <c r="K1253">
        <v>50</v>
      </c>
      <c r="L1253" s="4">
        <v>0.118841846479889</v>
      </c>
      <c r="M1253" s="4">
        <v>0.88115815352011195</v>
      </c>
      <c r="N1253">
        <v>0</v>
      </c>
    </row>
    <row r="1254" spans="1:14" x14ac:dyDescent="0.25">
      <c r="A1254" s="2"/>
      <c r="B1254" t="s">
        <v>3287</v>
      </c>
      <c r="C1254" t="s">
        <v>16</v>
      </c>
      <c r="D1254" t="s">
        <v>17</v>
      </c>
      <c r="E1254" t="s">
        <v>3288</v>
      </c>
      <c r="F1254" t="s">
        <v>3289</v>
      </c>
      <c r="G1254" t="s">
        <v>3290</v>
      </c>
      <c r="H1254" s="3">
        <v>1834.77</v>
      </c>
      <c r="I1254">
        <v>388</v>
      </c>
      <c r="J1254">
        <v>1</v>
      </c>
      <c r="K1254">
        <v>35</v>
      </c>
      <c r="L1254" s="4">
        <v>0.157976254384873</v>
      </c>
      <c r="M1254" s="4">
        <v>0.84202374561512705</v>
      </c>
      <c r="N1254">
        <v>0</v>
      </c>
    </row>
    <row r="1255" spans="1:14" x14ac:dyDescent="0.25">
      <c r="A1255" s="2"/>
      <c r="B1255" t="s">
        <v>3291</v>
      </c>
      <c r="C1255" t="s">
        <v>16</v>
      </c>
      <c r="D1255" t="s">
        <v>17</v>
      </c>
      <c r="E1255" t="s">
        <v>3292</v>
      </c>
      <c r="F1255" t="s">
        <v>3289</v>
      </c>
      <c r="G1255" t="s">
        <v>3293</v>
      </c>
      <c r="H1255" s="3">
        <v>2272.0100000000002</v>
      </c>
      <c r="I1255">
        <v>624</v>
      </c>
      <c r="J1255">
        <v>1</v>
      </c>
      <c r="K1255">
        <v>22</v>
      </c>
      <c r="L1255" s="4">
        <v>0.96606485369975104</v>
      </c>
      <c r="M1255" s="4">
        <v>3.3935146300249498E-2</v>
      </c>
      <c r="N1255">
        <v>0</v>
      </c>
    </row>
    <row r="1256" spans="1:14" x14ac:dyDescent="0.25">
      <c r="A1256" s="2"/>
      <c r="B1256" t="s">
        <v>3294</v>
      </c>
      <c r="C1256" t="s">
        <v>16</v>
      </c>
      <c r="D1256" t="s">
        <v>17</v>
      </c>
      <c r="E1256" t="s">
        <v>3292</v>
      </c>
      <c r="F1256" t="s">
        <v>3289</v>
      </c>
      <c r="G1256" t="s">
        <v>3295</v>
      </c>
      <c r="H1256" s="3">
        <v>2272.0100000000002</v>
      </c>
      <c r="I1256">
        <v>460</v>
      </c>
      <c r="J1256">
        <v>0</v>
      </c>
      <c r="L1256" s="4">
        <v>0.61574569532510504</v>
      </c>
      <c r="M1256" s="4">
        <v>0.38425430467489502</v>
      </c>
      <c r="N1256">
        <v>0</v>
      </c>
    </row>
    <row r="1257" spans="1:14" x14ac:dyDescent="0.25">
      <c r="A1257" s="2"/>
      <c r="C1257" t="s">
        <v>28</v>
      </c>
      <c r="D1257" t="s">
        <v>17</v>
      </c>
      <c r="E1257" t="s">
        <v>3292</v>
      </c>
      <c r="F1257" t="s">
        <v>3289</v>
      </c>
      <c r="G1257" t="s">
        <v>3296</v>
      </c>
      <c r="H1257" s="3">
        <v>2272.0100000000002</v>
      </c>
      <c r="I1257">
        <v>601</v>
      </c>
      <c r="J1257">
        <v>0</v>
      </c>
      <c r="K1257">
        <v>23</v>
      </c>
      <c r="L1257" s="4">
        <v>0.72988594541858098</v>
      </c>
      <c r="M1257" s="4">
        <v>0.27011405458141902</v>
      </c>
      <c r="N1257">
        <v>0</v>
      </c>
    </row>
    <row r="1258" spans="1:14" x14ac:dyDescent="0.25">
      <c r="A1258" s="2"/>
      <c r="C1258" t="s">
        <v>28</v>
      </c>
      <c r="D1258" t="s">
        <v>17</v>
      </c>
      <c r="E1258" t="s">
        <v>3297</v>
      </c>
      <c r="F1258" t="s">
        <v>3298</v>
      </c>
      <c r="G1258" t="s">
        <v>3299</v>
      </c>
      <c r="H1258" s="3">
        <v>2320.35</v>
      </c>
      <c r="J1258">
        <v>0</v>
      </c>
      <c r="K1258">
        <v>23</v>
      </c>
      <c r="L1258" s="4">
        <v>0.83260175012793103</v>
      </c>
      <c r="M1258" s="4">
        <v>0.167398249872069</v>
      </c>
      <c r="N1258">
        <v>0</v>
      </c>
    </row>
    <row r="1259" spans="1:14" x14ac:dyDescent="0.25">
      <c r="A1259" s="2"/>
      <c r="B1259" t="s">
        <v>3300</v>
      </c>
      <c r="C1259" t="s">
        <v>16</v>
      </c>
      <c r="D1259" t="s">
        <v>333</v>
      </c>
      <c r="E1259" t="s">
        <v>3301</v>
      </c>
      <c r="F1259" t="s">
        <v>3302</v>
      </c>
      <c r="G1259" t="s">
        <v>3303</v>
      </c>
      <c r="H1259" s="3">
        <v>1586.75</v>
      </c>
      <c r="I1259">
        <v>18</v>
      </c>
      <c r="J1259">
        <v>0</v>
      </c>
      <c r="K1259">
        <v>19</v>
      </c>
      <c r="L1259" s="4">
        <v>0.16501531685523099</v>
      </c>
      <c r="M1259" s="4">
        <v>0.83498468314476904</v>
      </c>
      <c r="N1259">
        <v>0</v>
      </c>
    </row>
    <row r="1260" spans="1:14" x14ac:dyDescent="0.25">
      <c r="A1260" s="2">
        <v>23232717</v>
      </c>
      <c r="B1260" t="s">
        <v>3304</v>
      </c>
      <c r="C1260" t="s">
        <v>31</v>
      </c>
      <c r="D1260" t="s">
        <v>328</v>
      </c>
      <c r="E1260" t="s">
        <v>3301</v>
      </c>
      <c r="F1260" t="s">
        <v>3302</v>
      </c>
      <c r="G1260" t="s">
        <v>3305</v>
      </c>
      <c r="H1260" s="3">
        <v>1355.13</v>
      </c>
      <c r="I1260">
        <v>125</v>
      </c>
      <c r="J1260">
        <v>1</v>
      </c>
      <c r="K1260">
        <v>4</v>
      </c>
      <c r="L1260" s="4">
        <v>0.41919595204445098</v>
      </c>
      <c r="M1260" s="4">
        <v>0.58080404795554896</v>
      </c>
      <c r="N1260">
        <v>0</v>
      </c>
    </row>
    <row r="1261" spans="1:14" x14ac:dyDescent="0.25">
      <c r="A1261" s="2"/>
      <c r="B1261" t="s">
        <v>3306</v>
      </c>
      <c r="C1261" t="s">
        <v>16</v>
      </c>
      <c r="D1261" t="s">
        <v>530</v>
      </c>
      <c r="E1261" t="s">
        <v>3307</v>
      </c>
      <c r="F1261" t="s">
        <v>3308</v>
      </c>
      <c r="G1261" t="s">
        <v>3309</v>
      </c>
      <c r="H1261" s="3">
        <v>1294.01</v>
      </c>
      <c r="I1261">
        <v>151</v>
      </c>
      <c r="K1261">
        <v>22</v>
      </c>
      <c r="L1261" s="4">
        <v>0.71219786951024799</v>
      </c>
      <c r="M1261" s="4">
        <v>0.28780213048975201</v>
      </c>
      <c r="N1261">
        <v>0</v>
      </c>
    </row>
    <row r="1262" spans="1:14" x14ac:dyDescent="0.25">
      <c r="A1262" s="2"/>
      <c r="B1262" t="s">
        <v>3310</v>
      </c>
      <c r="C1262" t="s">
        <v>16</v>
      </c>
      <c r="D1262" t="s">
        <v>17</v>
      </c>
      <c r="E1262" t="s">
        <v>2861</v>
      </c>
      <c r="F1262" t="s">
        <v>3311</v>
      </c>
      <c r="G1262" t="s">
        <v>3312</v>
      </c>
      <c r="H1262" s="3">
        <v>1758.59</v>
      </c>
      <c r="I1262">
        <v>569</v>
      </c>
      <c r="J1262">
        <v>1</v>
      </c>
      <c r="K1262">
        <v>38</v>
      </c>
      <c r="L1262" s="4">
        <v>0.817222064393204</v>
      </c>
      <c r="M1262" s="4">
        <v>0.182777935606796</v>
      </c>
      <c r="N1262">
        <v>0</v>
      </c>
    </row>
    <row r="1263" spans="1:14" x14ac:dyDescent="0.25">
      <c r="A1263" s="2"/>
      <c r="B1263" t="s">
        <v>3313</v>
      </c>
      <c r="C1263" t="s">
        <v>16</v>
      </c>
      <c r="D1263" t="s">
        <v>17</v>
      </c>
      <c r="E1263" t="s">
        <v>2861</v>
      </c>
      <c r="F1263" t="s">
        <v>3311</v>
      </c>
      <c r="G1263" t="s">
        <v>3314</v>
      </c>
      <c r="H1263" s="3">
        <v>1769.78</v>
      </c>
      <c r="I1263">
        <v>527</v>
      </c>
      <c r="J1263">
        <v>1</v>
      </c>
      <c r="K1263">
        <v>3</v>
      </c>
      <c r="L1263" s="4">
        <v>5.3188968206601898E-2</v>
      </c>
      <c r="M1263" s="4">
        <v>0.94681103179339798</v>
      </c>
      <c r="N1263">
        <v>0</v>
      </c>
    </row>
    <row r="1264" spans="1:14" x14ac:dyDescent="0.25">
      <c r="A1264" s="2"/>
      <c r="C1264" t="s">
        <v>28</v>
      </c>
      <c r="D1264" t="s">
        <v>133</v>
      </c>
      <c r="E1264" t="s">
        <v>3315</v>
      </c>
      <c r="F1264" t="s">
        <v>3316</v>
      </c>
      <c r="G1264" t="s">
        <v>3317</v>
      </c>
      <c r="H1264" s="3">
        <v>2145.6</v>
      </c>
      <c r="I1264">
        <v>828</v>
      </c>
      <c r="J1264">
        <v>1</v>
      </c>
      <c r="L1264" s="4">
        <v>0.21210168706320601</v>
      </c>
      <c r="M1264" s="4">
        <v>0.78789831293679402</v>
      </c>
      <c r="N1264">
        <v>0</v>
      </c>
    </row>
    <row r="1265" spans="1:14" x14ac:dyDescent="0.25">
      <c r="A1265" s="2">
        <v>24069883</v>
      </c>
      <c r="C1265" t="s">
        <v>0</v>
      </c>
      <c r="D1265" t="s">
        <v>113</v>
      </c>
      <c r="E1265" t="s">
        <v>3318</v>
      </c>
      <c r="F1265" t="s">
        <v>3319</v>
      </c>
      <c r="G1265" t="s">
        <v>3320</v>
      </c>
      <c r="H1265" s="3">
        <v>1020</v>
      </c>
      <c r="I1265">
        <v>813</v>
      </c>
      <c r="J1265">
        <v>1</v>
      </c>
      <c r="K1265">
        <v>45</v>
      </c>
      <c r="L1265" s="4">
        <v>0.89670955852388601</v>
      </c>
      <c r="M1265" s="4">
        <v>0.10329044147611401</v>
      </c>
      <c r="N1265">
        <v>0</v>
      </c>
    </row>
    <row r="1266" spans="1:14" x14ac:dyDescent="0.25">
      <c r="A1266" s="2">
        <v>24069886</v>
      </c>
      <c r="C1266" t="s">
        <v>0</v>
      </c>
      <c r="D1266" t="s">
        <v>113</v>
      </c>
      <c r="E1266" t="s">
        <v>3318</v>
      </c>
      <c r="F1266" t="s">
        <v>3319</v>
      </c>
      <c r="G1266" t="s">
        <v>3321</v>
      </c>
      <c r="H1266" s="3">
        <v>1020</v>
      </c>
      <c r="I1266">
        <v>274</v>
      </c>
      <c r="J1266">
        <v>1</v>
      </c>
      <c r="L1266" s="4">
        <v>0.19380939822647</v>
      </c>
      <c r="M1266" s="4">
        <v>0.80619060177352997</v>
      </c>
      <c r="N1266">
        <v>0</v>
      </c>
    </row>
    <row r="1267" spans="1:14" x14ac:dyDescent="0.25">
      <c r="A1267" s="2">
        <v>24069913</v>
      </c>
      <c r="C1267" t="s">
        <v>0</v>
      </c>
      <c r="D1267" t="s">
        <v>113</v>
      </c>
      <c r="E1267" t="s">
        <v>3318</v>
      </c>
      <c r="F1267" t="s">
        <v>3319</v>
      </c>
      <c r="G1267" t="s">
        <v>3322</v>
      </c>
      <c r="H1267" s="3">
        <v>2034</v>
      </c>
      <c r="I1267">
        <v>159</v>
      </c>
      <c r="J1267">
        <v>0</v>
      </c>
      <c r="K1267">
        <v>46</v>
      </c>
      <c r="L1267" s="4">
        <v>0.44084112150647298</v>
      </c>
      <c r="M1267" s="4">
        <v>0.55915887849352697</v>
      </c>
      <c r="N1267">
        <v>0</v>
      </c>
    </row>
    <row r="1268" spans="1:14" x14ac:dyDescent="0.25">
      <c r="A1268" s="2"/>
      <c r="B1268" t="s">
        <v>3323</v>
      </c>
      <c r="C1268" t="s">
        <v>16</v>
      </c>
      <c r="D1268" t="s">
        <v>113</v>
      </c>
      <c r="E1268" t="s">
        <v>3318</v>
      </c>
      <c r="F1268" t="s">
        <v>3319</v>
      </c>
      <c r="G1268" t="s">
        <v>3324</v>
      </c>
      <c r="H1268" s="3">
        <v>510</v>
      </c>
      <c r="I1268">
        <v>119</v>
      </c>
      <c r="J1268">
        <v>1</v>
      </c>
      <c r="K1268">
        <v>36</v>
      </c>
      <c r="L1268" s="4">
        <v>8.7830810515879904E-2</v>
      </c>
      <c r="M1268" s="4">
        <v>0.91216918948411996</v>
      </c>
      <c r="N1268">
        <v>0</v>
      </c>
    </row>
    <row r="1269" spans="1:14" x14ac:dyDescent="0.25">
      <c r="A1269" s="2"/>
      <c r="B1269" t="s">
        <v>3325</v>
      </c>
      <c r="C1269" t="s">
        <v>16</v>
      </c>
      <c r="D1269" t="s">
        <v>113</v>
      </c>
      <c r="E1269" t="s">
        <v>3318</v>
      </c>
      <c r="F1269" t="s">
        <v>3319</v>
      </c>
      <c r="G1269" t="s">
        <v>3326</v>
      </c>
      <c r="H1269" s="3">
        <v>510</v>
      </c>
      <c r="I1269">
        <v>726</v>
      </c>
      <c r="J1269">
        <v>1</v>
      </c>
      <c r="K1269">
        <v>25</v>
      </c>
      <c r="L1269" s="4">
        <v>0.75612501218038797</v>
      </c>
      <c r="M1269" s="4">
        <v>0.243874987819612</v>
      </c>
      <c r="N1269">
        <v>0</v>
      </c>
    </row>
    <row r="1270" spans="1:14" x14ac:dyDescent="0.25">
      <c r="A1270" s="2"/>
      <c r="C1270" t="s">
        <v>28</v>
      </c>
      <c r="D1270" t="s">
        <v>352</v>
      </c>
      <c r="E1270" t="s">
        <v>3327</v>
      </c>
      <c r="F1270" t="s">
        <v>3319</v>
      </c>
      <c r="G1270" t="s">
        <v>3328</v>
      </c>
      <c r="H1270" s="3">
        <v>2340</v>
      </c>
      <c r="I1270">
        <v>993</v>
      </c>
      <c r="J1270">
        <v>0</v>
      </c>
      <c r="K1270">
        <v>41</v>
      </c>
      <c r="L1270" s="4">
        <v>0.79638163069599599</v>
      </c>
      <c r="M1270" s="4">
        <v>0.20361836930400401</v>
      </c>
      <c r="N1270">
        <v>0</v>
      </c>
    </row>
    <row r="1271" spans="1:14" x14ac:dyDescent="0.25">
      <c r="A1271" s="2"/>
      <c r="B1271" t="s">
        <v>3329</v>
      </c>
      <c r="C1271" t="s">
        <v>16</v>
      </c>
      <c r="D1271" t="s">
        <v>110</v>
      </c>
      <c r="E1271" t="s">
        <v>3330</v>
      </c>
      <c r="F1271" t="s">
        <v>3331</v>
      </c>
      <c r="G1271" t="s">
        <v>3332</v>
      </c>
      <c r="H1271" s="3">
        <v>2100</v>
      </c>
      <c r="J1271">
        <v>0</v>
      </c>
      <c r="K1271">
        <v>14</v>
      </c>
      <c r="L1271" s="4">
        <v>0.74811245568666396</v>
      </c>
      <c r="M1271" s="4">
        <v>0.25188754431333599</v>
      </c>
      <c r="N1271">
        <v>0</v>
      </c>
    </row>
    <row r="1272" spans="1:14" x14ac:dyDescent="0.25">
      <c r="A1272" s="2"/>
      <c r="B1272" t="s">
        <v>3333</v>
      </c>
      <c r="C1272" t="s">
        <v>16</v>
      </c>
      <c r="D1272" t="s">
        <v>110</v>
      </c>
      <c r="E1272" t="s">
        <v>3330</v>
      </c>
      <c r="F1272" t="s">
        <v>3331</v>
      </c>
      <c r="G1272" t="s">
        <v>3334</v>
      </c>
      <c r="H1272" s="3">
        <v>2040</v>
      </c>
      <c r="I1272">
        <v>87</v>
      </c>
      <c r="J1272">
        <v>0</v>
      </c>
      <c r="K1272">
        <v>19</v>
      </c>
      <c r="L1272" s="4">
        <v>0.52402023227622696</v>
      </c>
      <c r="M1272" s="4">
        <v>0.47597976772377298</v>
      </c>
      <c r="N1272">
        <v>0</v>
      </c>
    </row>
    <row r="1273" spans="1:14" x14ac:dyDescent="0.25">
      <c r="A1273" s="2"/>
      <c r="B1273" t="s">
        <v>3335</v>
      </c>
      <c r="C1273" t="s">
        <v>16</v>
      </c>
      <c r="D1273" t="s">
        <v>69</v>
      </c>
      <c r="E1273" t="s">
        <v>3336</v>
      </c>
      <c r="F1273" t="s">
        <v>3337</v>
      </c>
      <c r="G1273" t="s">
        <v>3338</v>
      </c>
      <c r="H1273" s="3">
        <v>1916.98</v>
      </c>
      <c r="I1273">
        <v>47</v>
      </c>
      <c r="J1273">
        <v>0</v>
      </c>
      <c r="K1273">
        <v>10</v>
      </c>
      <c r="L1273" s="4">
        <v>0.41933632001691501</v>
      </c>
      <c r="M1273" s="4">
        <v>0.58066367998308499</v>
      </c>
      <c r="N1273">
        <v>0</v>
      </c>
    </row>
    <row r="1274" spans="1:14" x14ac:dyDescent="0.25">
      <c r="A1274" s="2">
        <v>23494299</v>
      </c>
      <c r="C1274" t="s">
        <v>0</v>
      </c>
      <c r="D1274" t="s">
        <v>69</v>
      </c>
      <c r="E1274" t="s">
        <v>3339</v>
      </c>
      <c r="F1274" t="s">
        <v>3340</v>
      </c>
      <c r="G1274" t="s">
        <v>3341</v>
      </c>
      <c r="H1274" s="3">
        <v>2230.5</v>
      </c>
      <c r="I1274">
        <v>802</v>
      </c>
      <c r="J1274">
        <v>0</v>
      </c>
      <c r="K1274">
        <v>42</v>
      </c>
      <c r="L1274" s="4">
        <v>0.68416833748487305</v>
      </c>
      <c r="M1274" s="4">
        <v>0.31583166251512701</v>
      </c>
      <c r="N1274">
        <v>1810</v>
      </c>
    </row>
    <row r="1275" spans="1:14" x14ac:dyDescent="0.25">
      <c r="A1275" s="2">
        <v>23518266</v>
      </c>
      <c r="B1275" t="s">
        <v>3342</v>
      </c>
      <c r="C1275" t="s">
        <v>31</v>
      </c>
      <c r="D1275" t="s">
        <v>17</v>
      </c>
      <c r="E1275" t="s">
        <v>3343</v>
      </c>
      <c r="F1275" t="s">
        <v>3344</v>
      </c>
      <c r="G1275" t="s">
        <v>3345</v>
      </c>
      <c r="H1275" s="3">
        <v>2863.73</v>
      </c>
      <c r="I1275">
        <v>436</v>
      </c>
      <c r="J1275">
        <v>0</v>
      </c>
      <c r="K1275">
        <v>33</v>
      </c>
      <c r="L1275" s="4">
        <v>0.73636680339181904</v>
      </c>
      <c r="M1275" s="4">
        <v>0.26363319660818102</v>
      </c>
      <c r="N1275">
        <v>0</v>
      </c>
    </row>
    <row r="1276" spans="1:14" x14ac:dyDescent="0.25">
      <c r="A1276" s="2"/>
      <c r="B1276" t="s">
        <v>3346</v>
      </c>
      <c r="C1276" t="s">
        <v>16</v>
      </c>
      <c r="D1276" t="s">
        <v>17</v>
      </c>
      <c r="E1276" t="s">
        <v>3343</v>
      </c>
      <c r="G1276" t="s">
        <v>3347</v>
      </c>
      <c r="H1276" s="3">
        <v>2283</v>
      </c>
      <c r="I1276">
        <v>507</v>
      </c>
      <c r="J1276">
        <v>0</v>
      </c>
      <c r="K1276">
        <v>1</v>
      </c>
      <c r="L1276" s="4">
        <v>0.92710615461815404</v>
      </c>
      <c r="M1276" s="4">
        <v>7.28938453818464E-2</v>
      </c>
      <c r="N1276">
        <v>0</v>
      </c>
    </row>
    <row r="1277" spans="1:14" x14ac:dyDescent="0.25">
      <c r="A1277" s="2">
        <v>24014666</v>
      </c>
      <c r="B1277" t="s">
        <v>3348</v>
      </c>
      <c r="C1277" t="s">
        <v>31</v>
      </c>
      <c r="D1277" t="s">
        <v>2772</v>
      </c>
      <c r="E1277" t="s">
        <v>3349</v>
      </c>
      <c r="F1277" t="s">
        <v>3350</v>
      </c>
      <c r="G1277" t="s">
        <v>3351</v>
      </c>
      <c r="H1277" s="3">
        <v>2100</v>
      </c>
      <c r="I1277">
        <v>79</v>
      </c>
      <c r="J1277">
        <v>0</v>
      </c>
      <c r="K1277">
        <v>39</v>
      </c>
      <c r="L1277" s="4">
        <v>0.762708972105545</v>
      </c>
      <c r="M1277" s="4">
        <v>0.237291027894455</v>
      </c>
      <c r="N1277">
        <v>0</v>
      </c>
    </row>
    <row r="1278" spans="1:14" x14ac:dyDescent="0.25">
      <c r="A1278" s="2"/>
      <c r="B1278" t="s">
        <v>3352</v>
      </c>
      <c r="C1278" t="s">
        <v>16</v>
      </c>
      <c r="D1278" t="s">
        <v>2772</v>
      </c>
      <c r="E1278" t="s">
        <v>3349</v>
      </c>
      <c r="F1278" t="s">
        <v>3350</v>
      </c>
      <c r="G1278" t="s">
        <v>3353</v>
      </c>
      <c r="H1278" s="3">
        <v>2100</v>
      </c>
      <c r="I1278">
        <v>37</v>
      </c>
      <c r="J1278">
        <v>0</v>
      </c>
      <c r="K1278">
        <v>35</v>
      </c>
      <c r="L1278" s="4">
        <v>0.48496045215522698</v>
      </c>
      <c r="M1278" s="4">
        <v>0.51503954784477401</v>
      </c>
      <c r="N1278">
        <v>0</v>
      </c>
    </row>
    <row r="1279" spans="1:14" x14ac:dyDescent="0.25">
      <c r="A1279" s="2"/>
      <c r="B1279" t="s">
        <v>3354</v>
      </c>
      <c r="C1279" t="s">
        <v>16</v>
      </c>
      <c r="D1279" t="s">
        <v>2772</v>
      </c>
      <c r="E1279" t="s">
        <v>3349</v>
      </c>
      <c r="F1279" t="s">
        <v>3350</v>
      </c>
      <c r="G1279" t="s">
        <v>3355</v>
      </c>
      <c r="H1279" s="3">
        <v>1750</v>
      </c>
      <c r="K1279">
        <v>30</v>
      </c>
      <c r="L1279" s="4">
        <v>0.73960095677644799</v>
      </c>
      <c r="M1279" s="4">
        <v>0.26039904322355201</v>
      </c>
      <c r="N1279">
        <v>0</v>
      </c>
    </row>
    <row r="1280" spans="1:14" x14ac:dyDescent="0.25">
      <c r="A1280" s="2">
        <v>22906508</v>
      </c>
      <c r="C1280" t="s">
        <v>0</v>
      </c>
      <c r="D1280" t="s">
        <v>17</v>
      </c>
      <c r="E1280" t="s">
        <v>3356</v>
      </c>
      <c r="F1280" t="s">
        <v>3357</v>
      </c>
      <c r="G1280" t="s">
        <v>3358</v>
      </c>
      <c r="H1280" s="3">
        <v>2215</v>
      </c>
      <c r="J1280">
        <v>0</v>
      </c>
      <c r="L1280" s="4">
        <v>0.46709265262639899</v>
      </c>
      <c r="M1280" s="4">
        <v>0.53290734737360101</v>
      </c>
      <c r="N1280">
        <v>0</v>
      </c>
    </row>
    <row r="1281" spans="1:14" x14ac:dyDescent="0.25">
      <c r="A1281" s="2">
        <v>22735079</v>
      </c>
      <c r="C1281" t="s">
        <v>0</v>
      </c>
      <c r="D1281" t="s">
        <v>110</v>
      </c>
      <c r="E1281" t="s">
        <v>3359</v>
      </c>
      <c r="F1281" t="s">
        <v>3360</v>
      </c>
      <c r="G1281" t="s">
        <v>3361</v>
      </c>
      <c r="H1281" s="3">
        <v>2040</v>
      </c>
      <c r="I1281">
        <v>805</v>
      </c>
      <c r="J1281">
        <v>1</v>
      </c>
      <c r="K1281">
        <v>50</v>
      </c>
      <c r="L1281" s="4">
        <v>0.80566692977458298</v>
      </c>
      <c r="M1281" s="4">
        <v>0.19433307022541699</v>
      </c>
      <c r="N1281">
        <v>0</v>
      </c>
    </row>
    <row r="1282" spans="1:14" x14ac:dyDescent="0.25">
      <c r="A1282" s="2">
        <v>23057412</v>
      </c>
      <c r="B1282" t="s">
        <v>3362</v>
      </c>
      <c r="C1282" t="s">
        <v>31</v>
      </c>
      <c r="D1282" t="s">
        <v>22</v>
      </c>
      <c r="E1282" t="s">
        <v>3363</v>
      </c>
      <c r="F1282" t="s">
        <v>3364</v>
      </c>
      <c r="G1282" t="s">
        <v>3365</v>
      </c>
      <c r="H1282" s="3">
        <v>649.33000000000004</v>
      </c>
      <c r="I1282">
        <v>480</v>
      </c>
      <c r="J1282">
        <v>0</v>
      </c>
      <c r="K1282">
        <v>43</v>
      </c>
      <c r="L1282" s="4">
        <v>0.96435670195027201</v>
      </c>
      <c r="M1282" s="4">
        <v>3.5643298049728503E-2</v>
      </c>
      <c r="N1282">
        <v>0</v>
      </c>
    </row>
    <row r="1283" spans="1:14" x14ac:dyDescent="0.25">
      <c r="A1283" s="2">
        <v>23291342</v>
      </c>
      <c r="B1283" t="s">
        <v>3366</v>
      </c>
      <c r="C1283" t="s">
        <v>31</v>
      </c>
      <c r="D1283" t="s">
        <v>17</v>
      </c>
      <c r="E1283" t="s">
        <v>3367</v>
      </c>
      <c r="F1283" t="s">
        <v>3368</v>
      </c>
      <c r="G1283" t="s">
        <v>3369</v>
      </c>
      <c r="H1283" s="3">
        <v>2288.9699999999998</v>
      </c>
      <c r="I1283">
        <v>718</v>
      </c>
      <c r="J1283">
        <v>1</v>
      </c>
      <c r="L1283" s="4">
        <v>0.33536632289181301</v>
      </c>
      <c r="M1283" s="4">
        <v>0.66463367710818699</v>
      </c>
      <c r="N1283">
        <v>0</v>
      </c>
    </row>
    <row r="1284" spans="1:14" x14ac:dyDescent="0.25">
      <c r="A1284" s="2"/>
      <c r="B1284" t="s">
        <v>3370</v>
      </c>
      <c r="C1284" t="s">
        <v>16</v>
      </c>
      <c r="D1284" t="s">
        <v>17</v>
      </c>
      <c r="E1284" t="s">
        <v>3371</v>
      </c>
      <c r="F1284" t="s">
        <v>3372</v>
      </c>
      <c r="G1284" t="s">
        <v>3373</v>
      </c>
      <c r="H1284" s="3">
        <v>1737.96</v>
      </c>
      <c r="I1284">
        <v>732</v>
      </c>
      <c r="J1284">
        <v>0</v>
      </c>
      <c r="K1284">
        <v>43</v>
      </c>
      <c r="L1284" s="4">
        <v>0.82618436358609404</v>
      </c>
      <c r="M1284" s="4">
        <v>0.17381563641390599</v>
      </c>
      <c r="N1284">
        <v>0</v>
      </c>
    </row>
    <row r="1285" spans="1:14" x14ac:dyDescent="0.25">
      <c r="A1285" s="2"/>
      <c r="B1285" t="s">
        <v>3374</v>
      </c>
      <c r="C1285" t="s">
        <v>16</v>
      </c>
      <c r="D1285" t="s">
        <v>17</v>
      </c>
      <c r="E1285" t="s">
        <v>3371</v>
      </c>
      <c r="F1285" t="s">
        <v>3372</v>
      </c>
      <c r="G1285" t="s">
        <v>3375</v>
      </c>
      <c r="H1285" s="3">
        <v>2233.2600000000002</v>
      </c>
      <c r="J1285">
        <v>0</v>
      </c>
      <c r="K1285">
        <v>30</v>
      </c>
      <c r="L1285" s="4">
        <v>0.53045124635962404</v>
      </c>
      <c r="M1285" s="4">
        <v>0.46954875364037602</v>
      </c>
      <c r="N1285">
        <v>0</v>
      </c>
    </row>
    <row r="1286" spans="1:14" x14ac:dyDescent="0.25">
      <c r="A1286" s="2"/>
      <c r="B1286" t="s">
        <v>3376</v>
      </c>
      <c r="C1286" t="s">
        <v>16</v>
      </c>
      <c r="D1286" t="s">
        <v>530</v>
      </c>
      <c r="E1286" t="s">
        <v>3307</v>
      </c>
      <c r="F1286" t="s">
        <v>3377</v>
      </c>
      <c r="G1286" t="s">
        <v>3378</v>
      </c>
      <c r="H1286" s="3">
        <v>951.76</v>
      </c>
      <c r="I1286">
        <v>610</v>
      </c>
      <c r="J1286">
        <v>0</v>
      </c>
      <c r="K1286">
        <v>17</v>
      </c>
      <c r="L1286" s="4">
        <v>0.72253703909739297</v>
      </c>
      <c r="M1286" s="4">
        <v>0.27746296090260703</v>
      </c>
      <c r="N1286">
        <v>0</v>
      </c>
    </row>
    <row r="1287" spans="1:14" x14ac:dyDescent="0.25">
      <c r="A1287" s="2"/>
      <c r="B1287" t="s">
        <v>3379</v>
      </c>
      <c r="C1287" t="s">
        <v>16</v>
      </c>
      <c r="D1287" t="s">
        <v>69</v>
      </c>
      <c r="E1287" t="s">
        <v>3380</v>
      </c>
      <c r="F1287" t="s">
        <v>3381</v>
      </c>
      <c r="G1287" t="s">
        <v>3382</v>
      </c>
      <c r="H1287" s="3">
        <v>1860.37</v>
      </c>
      <c r="I1287">
        <v>357</v>
      </c>
      <c r="J1287">
        <v>1</v>
      </c>
      <c r="L1287" s="4">
        <v>0.81494747203516005</v>
      </c>
      <c r="M1287" s="4">
        <v>0.18505252796484001</v>
      </c>
      <c r="N1287">
        <v>0</v>
      </c>
    </row>
    <row r="1288" spans="1:14" x14ac:dyDescent="0.25">
      <c r="A1288" s="2"/>
      <c r="B1288" t="s">
        <v>3383</v>
      </c>
      <c r="C1288" t="s">
        <v>16</v>
      </c>
      <c r="D1288" t="s">
        <v>333</v>
      </c>
      <c r="E1288" t="s">
        <v>3384</v>
      </c>
      <c r="F1288" t="s">
        <v>3381</v>
      </c>
      <c r="G1288" t="s">
        <v>3385</v>
      </c>
      <c r="H1288" s="3">
        <v>2363.4499999999998</v>
      </c>
      <c r="I1288">
        <v>350</v>
      </c>
      <c r="J1288">
        <v>0</v>
      </c>
      <c r="K1288">
        <v>25</v>
      </c>
      <c r="L1288" s="4">
        <v>0.81394984765262002</v>
      </c>
      <c r="M1288" s="4">
        <v>0.18605015234738001</v>
      </c>
      <c r="N1288">
        <v>0</v>
      </c>
    </row>
    <row r="1289" spans="1:14" x14ac:dyDescent="0.25">
      <c r="A1289" s="2">
        <v>23769710</v>
      </c>
      <c r="B1289" t="s">
        <v>3386</v>
      </c>
      <c r="C1289" t="s">
        <v>31</v>
      </c>
      <c r="D1289" t="s">
        <v>17</v>
      </c>
      <c r="E1289" t="s">
        <v>3367</v>
      </c>
      <c r="F1289" t="s">
        <v>3368</v>
      </c>
      <c r="G1289" t="s">
        <v>3387</v>
      </c>
      <c r="H1289" s="3">
        <v>1750.81</v>
      </c>
      <c r="I1289">
        <v>645</v>
      </c>
      <c r="J1289">
        <v>0</v>
      </c>
      <c r="K1289">
        <v>45</v>
      </c>
      <c r="L1289" s="4">
        <v>0.18620176530896301</v>
      </c>
      <c r="M1289" s="4">
        <v>0.81379823469103696</v>
      </c>
      <c r="N1289">
        <v>0</v>
      </c>
    </row>
    <row r="1290" spans="1:14" x14ac:dyDescent="0.25">
      <c r="A1290" s="2"/>
      <c r="B1290" t="s">
        <v>3388</v>
      </c>
      <c r="C1290" t="s">
        <v>16</v>
      </c>
      <c r="D1290" t="s">
        <v>17</v>
      </c>
      <c r="E1290" t="s">
        <v>3367</v>
      </c>
      <c r="F1290" t="s">
        <v>3368</v>
      </c>
      <c r="G1290" t="s">
        <v>3389</v>
      </c>
      <c r="H1290" s="3">
        <v>2253.66</v>
      </c>
      <c r="I1290">
        <v>881</v>
      </c>
      <c r="J1290">
        <v>1</v>
      </c>
      <c r="K1290">
        <v>29</v>
      </c>
      <c r="L1290" s="4">
        <v>0.91653871910904805</v>
      </c>
      <c r="M1290" s="4">
        <v>8.3461280890952505E-2</v>
      </c>
      <c r="N1290">
        <v>0</v>
      </c>
    </row>
    <row r="1291" spans="1:14" x14ac:dyDescent="0.25">
      <c r="A1291" s="2"/>
      <c r="B1291" t="s">
        <v>3390</v>
      </c>
      <c r="C1291" t="s">
        <v>16</v>
      </c>
      <c r="D1291" t="s">
        <v>17</v>
      </c>
      <c r="E1291" t="s">
        <v>3367</v>
      </c>
      <c r="F1291" t="s">
        <v>3368</v>
      </c>
      <c r="G1291" t="s">
        <v>3391</v>
      </c>
      <c r="H1291" s="3">
        <v>2433.48</v>
      </c>
      <c r="I1291">
        <v>721</v>
      </c>
      <c r="J1291">
        <v>0</v>
      </c>
      <c r="K1291">
        <v>49</v>
      </c>
      <c r="L1291" s="4">
        <v>0.31583701602974301</v>
      </c>
      <c r="M1291" s="4">
        <v>0.68416298397025699</v>
      </c>
      <c r="N1291">
        <v>0</v>
      </c>
    </row>
    <row r="1292" spans="1:14" x14ac:dyDescent="0.25">
      <c r="A1292" s="2"/>
      <c r="B1292" t="s">
        <v>3392</v>
      </c>
      <c r="C1292" t="s">
        <v>16</v>
      </c>
      <c r="D1292" t="s">
        <v>530</v>
      </c>
      <c r="E1292" t="s">
        <v>3307</v>
      </c>
      <c r="F1292" t="s">
        <v>3377</v>
      </c>
      <c r="G1292" t="s">
        <v>3393</v>
      </c>
      <c r="H1292" s="3">
        <v>1545.7</v>
      </c>
      <c r="I1292">
        <v>480</v>
      </c>
      <c r="J1292">
        <v>1</v>
      </c>
      <c r="K1292">
        <v>47</v>
      </c>
      <c r="L1292" s="4">
        <v>0.72532194749125201</v>
      </c>
      <c r="M1292" s="4">
        <v>0.27467805250874799</v>
      </c>
      <c r="N1292">
        <v>0</v>
      </c>
    </row>
    <row r="1293" spans="1:14" x14ac:dyDescent="0.25">
      <c r="A1293" s="2"/>
      <c r="B1293" t="s">
        <v>3394</v>
      </c>
      <c r="C1293" t="s">
        <v>16</v>
      </c>
      <c r="D1293" t="s">
        <v>17</v>
      </c>
      <c r="E1293" t="s">
        <v>3356</v>
      </c>
      <c r="G1293" t="s">
        <v>3395</v>
      </c>
      <c r="H1293" s="3">
        <v>2331.54</v>
      </c>
      <c r="I1293">
        <v>986</v>
      </c>
      <c r="J1293">
        <v>0</v>
      </c>
      <c r="K1293">
        <v>15</v>
      </c>
      <c r="L1293" s="4">
        <v>0.56280620575735896</v>
      </c>
      <c r="M1293" s="4">
        <v>0.43719379424264099</v>
      </c>
      <c r="N1293">
        <v>0</v>
      </c>
    </row>
    <row r="1294" spans="1:14" x14ac:dyDescent="0.25">
      <c r="A1294" s="2"/>
      <c r="B1294" t="s">
        <v>3396</v>
      </c>
      <c r="C1294" t="s">
        <v>16</v>
      </c>
      <c r="D1294" t="s">
        <v>86</v>
      </c>
      <c r="E1294" t="s">
        <v>3356</v>
      </c>
      <c r="G1294" t="s">
        <v>3397</v>
      </c>
      <c r="H1294" s="3">
        <v>2293.56</v>
      </c>
      <c r="I1294">
        <v>185</v>
      </c>
      <c r="J1294">
        <v>1</v>
      </c>
      <c r="K1294">
        <v>11</v>
      </c>
      <c r="L1294" s="4">
        <v>0.53607339903196105</v>
      </c>
      <c r="M1294" s="4">
        <v>0.463926600968039</v>
      </c>
      <c r="N1294">
        <v>0</v>
      </c>
    </row>
    <row r="1295" spans="1:14" x14ac:dyDescent="0.25">
      <c r="A1295" s="2">
        <v>22735079</v>
      </c>
      <c r="C1295" t="s">
        <v>0</v>
      </c>
      <c r="D1295" t="s">
        <v>110</v>
      </c>
      <c r="E1295" t="s">
        <v>3359</v>
      </c>
      <c r="F1295" t="s">
        <v>3360</v>
      </c>
      <c r="G1295" t="s">
        <v>3398</v>
      </c>
      <c r="H1295" s="3">
        <v>920</v>
      </c>
      <c r="J1295">
        <v>0</v>
      </c>
      <c r="K1295">
        <v>39</v>
      </c>
      <c r="L1295" s="4">
        <v>0.42639886794432103</v>
      </c>
      <c r="M1295" s="4">
        <v>0.57360113205567897</v>
      </c>
      <c r="N1295">
        <v>0</v>
      </c>
    </row>
    <row r="1296" spans="1:14" x14ac:dyDescent="0.25">
      <c r="A1296" s="2"/>
      <c r="B1296" t="s">
        <v>3399</v>
      </c>
      <c r="C1296" t="s">
        <v>16</v>
      </c>
      <c r="D1296" t="s">
        <v>110</v>
      </c>
      <c r="E1296" t="s">
        <v>3359</v>
      </c>
      <c r="F1296" t="s">
        <v>3360</v>
      </c>
      <c r="G1296" t="s">
        <v>3400</v>
      </c>
      <c r="H1296" s="3">
        <v>1450</v>
      </c>
      <c r="I1296">
        <v>806</v>
      </c>
      <c r="J1296">
        <v>1</v>
      </c>
      <c r="K1296">
        <v>42</v>
      </c>
      <c r="L1296" s="4">
        <v>0.85259057001452099</v>
      </c>
      <c r="M1296" s="4">
        <v>0.14740942998547901</v>
      </c>
      <c r="N1296">
        <v>0</v>
      </c>
    </row>
    <row r="1297" spans="1:14" x14ac:dyDescent="0.25">
      <c r="A1297" s="2"/>
      <c r="B1297" t="s">
        <v>3401</v>
      </c>
      <c r="C1297" t="s">
        <v>16</v>
      </c>
      <c r="D1297" t="s">
        <v>148</v>
      </c>
      <c r="E1297" t="s">
        <v>3402</v>
      </c>
      <c r="F1297" t="s">
        <v>3357</v>
      </c>
      <c r="G1297" t="s">
        <v>3403</v>
      </c>
      <c r="H1297" s="3">
        <v>1162.8</v>
      </c>
      <c r="I1297">
        <v>595</v>
      </c>
      <c r="J1297">
        <v>0</v>
      </c>
      <c r="K1297">
        <v>11</v>
      </c>
      <c r="L1297" s="4">
        <v>0.65092344398018798</v>
      </c>
      <c r="M1297" s="4">
        <v>0.34907655601981202</v>
      </c>
      <c r="N1297">
        <v>0</v>
      </c>
    </row>
    <row r="1298" spans="1:14" x14ac:dyDescent="0.25">
      <c r="A1298" s="2"/>
      <c r="B1298" t="s">
        <v>3404</v>
      </c>
      <c r="C1298" t="s">
        <v>16</v>
      </c>
      <c r="D1298" t="s">
        <v>148</v>
      </c>
      <c r="E1298" t="s">
        <v>3402</v>
      </c>
      <c r="F1298" t="s">
        <v>3357</v>
      </c>
      <c r="G1298" t="s">
        <v>3405</v>
      </c>
      <c r="H1298" s="3">
        <v>1428</v>
      </c>
      <c r="I1298">
        <v>519</v>
      </c>
      <c r="J1298">
        <v>1</v>
      </c>
      <c r="L1298" s="4">
        <v>0.61968365085875998</v>
      </c>
      <c r="M1298" s="4">
        <v>0.38031634914124002</v>
      </c>
      <c r="N1298">
        <v>0</v>
      </c>
    </row>
    <row r="1299" spans="1:14" x14ac:dyDescent="0.25">
      <c r="A1299" s="2">
        <v>23769672</v>
      </c>
      <c r="C1299" t="s">
        <v>0</v>
      </c>
      <c r="D1299" t="s">
        <v>378</v>
      </c>
      <c r="E1299" t="s">
        <v>3406</v>
      </c>
      <c r="G1299" t="s">
        <v>3407</v>
      </c>
      <c r="H1299" s="3">
        <v>3906.43</v>
      </c>
      <c r="I1299">
        <v>794</v>
      </c>
      <c r="J1299">
        <v>0</v>
      </c>
      <c r="K1299">
        <v>3</v>
      </c>
      <c r="L1299" s="4">
        <v>0.39075766455538002</v>
      </c>
      <c r="M1299" s="4">
        <v>0.60924233544462003</v>
      </c>
      <c r="N1299">
        <v>0</v>
      </c>
    </row>
    <row r="1300" spans="1:14" x14ac:dyDescent="0.25">
      <c r="A1300" s="2"/>
      <c r="B1300" t="s">
        <v>3408</v>
      </c>
      <c r="C1300" t="s">
        <v>16</v>
      </c>
      <c r="D1300" t="s">
        <v>17</v>
      </c>
      <c r="E1300" t="s">
        <v>3406</v>
      </c>
      <c r="G1300" t="s">
        <v>3409</v>
      </c>
      <c r="H1300" s="3">
        <v>3722.39</v>
      </c>
      <c r="I1300">
        <v>288</v>
      </c>
      <c r="J1300">
        <v>0</v>
      </c>
      <c r="L1300" s="4">
        <v>0.22933802517525101</v>
      </c>
      <c r="M1300" s="4">
        <v>0.77066197482474896</v>
      </c>
      <c r="N1300">
        <v>0</v>
      </c>
    </row>
    <row r="1301" spans="1:14" x14ac:dyDescent="0.25">
      <c r="A1301" s="2"/>
      <c r="B1301" t="s">
        <v>3410</v>
      </c>
      <c r="C1301" t="s">
        <v>16</v>
      </c>
      <c r="D1301" t="s">
        <v>17</v>
      </c>
      <c r="E1301" t="s">
        <v>3406</v>
      </c>
      <c r="G1301" t="s">
        <v>3411</v>
      </c>
      <c r="H1301" s="3">
        <v>3883.86</v>
      </c>
      <c r="I1301">
        <v>558</v>
      </c>
      <c r="J1301">
        <v>1</v>
      </c>
      <c r="K1301">
        <v>40</v>
      </c>
      <c r="L1301" s="4">
        <v>0.74474868910595204</v>
      </c>
      <c r="M1301" s="4">
        <v>0.25525131089404801</v>
      </c>
      <c r="N1301">
        <v>0</v>
      </c>
    </row>
    <row r="1302" spans="1:14" x14ac:dyDescent="0.25">
      <c r="A1302" s="2"/>
      <c r="B1302" t="s">
        <v>3412</v>
      </c>
      <c r="C1302" t="s">
        <v>16</v>
      </c>
      <c r="D1302" t="s">
        <v>17</v>
      </c>
      <c r="E1302" t="s">
        <v>3406</v>
      </c>
      <c r="G1302" t="s">
        <v>3413</v>
      </c>
      <c r="H1302" s="3">
        <v>4069.18</v>
      </c>
      <c r="I1302">
        <v>907</v>
      </c>
      <c r="J1302">
        <v>1</v>
      </c>
      <c r="K1302">
        <v>31</v>
      </c>
      <c r="L1302" s="4">
        <v>0.41217912281202002</v>
      </c>
      <c r="M1302" s="4">
        <v>0.58782087718798004</v>
      </c>
      <c r="N1302">
        <v>0</v>
      </c>
    </row>
    <row r="1303" spans="1:14" x14ac:dyDescent="0.25">
      <c r="A1303" s="2"/>
      <c r="B1303" t="s">
        <v>3414</v>
      </c>
      <c r="C1303" t="s">
        <v>16</v>
      </c>
      <c r="D1303" t="s">
        <v>17</v>
      </c>
      <c r="E1303" t="s">
        <v>3406</v>
      </c>
      <c r="G1303" t="s">
        <v>3415</v>
      </c>
      <c r="H1303" s="3">
        <v>4148.3900000000003</v>
      </c>
      <c r="I1303">
        <v>613</v>
      </c>
      <c r="J1303">
        <v>0</v>
      </c>
      <c r="K1303">
        <v>10</v>
      </c>
      <c r="L1303" s="4">
        <v>0.27122881181088199</v>
      </c>
      <c r="M1303" s="4">
        <v>0.72877118818911801</v>
      </c>
      <c r="N1303">
        <v>0</v>
      </c>
    </row>
    <row r="1304" spans="1:14" x14ac:dyDescent="0.25">
      <c r="A1304" s="2"/>
      <c r="B1304" t="s">
        <v>3416</v>
      </c>
      <c r="C1304" t="s">
        <v>16</v>
      </c>
      <c r="D1304" t="s">
        <v>1508</v>
      </c>
      <c r="E1304" t="s">
        <v>3417</v>
      </c>
      <c r="F1304" t="s">
        <v>3418</v>
      </c>
      <c r="G1304" t="s">
        <v>3419</v>
      </c>
      <c r="H1304" s="3">
        <v>2380.73</v>
      </c>
      <c r="I1304">
        <v>333</v>
      </c>
      <c r="J1304">
        <v>0</v>
      </c>
      <c r="K1304">
        <v>30</v>
      </c>
      <c r="L1304" s="4">
        <v>0.92273024886349497</v>
      </c>
      <c r="M1304" s="4">
        <v>7.7269751136504694E-2</v>
      </c>
      <c r="N1304">
        <v>0</v>
      </c>
    </row>
    <row r="1305" spans="1:14" x14ac:dyDescent="0.25">
      <c r="A1305" s="2">
        <v>23686113</v>
      </c>
      <c r="C1305" t="s">
        <v>0</v>
      </c>
      <c r="D1305" t="s">
        <v>1503</v>
      </c>
      <c r="E1305" t="s">
        <v>3417</v>
      </c>
      <c r="F1305" t="s">
        <v>3418</v>
      </c>
      <c r="G1305" t="s">
        <v>3420</v>
      </c>
      <c r="H1305" s="3">
        <v>1999.08</v>
      </c>
      <c r="I1305">
        <v>101</v>
      </c>
      <c r="J1305">
        <v>1</v>
      </c>
      <c r="K1305">
        <v>31</v>
      </c>
      <c r="L1305" s="4">
        <v>7.4473426907065293E-2</v>
      </c>
      <c r="M1305" s="4">
        <v>0.92552657309293496</v>
      </c>
      <c r="N1305">
        <v>0</v>
      </c>
    </row>
    <row r="1306" spans="1:14" x14ac:dyDescent="0.25">
      <c r="A1306" s="2"/>
      <c r="C1306" t="s">
        <v>28</v>
      </c>
      <c r="D1306" t="s">
        <v>86</v>
      </c>
      <c r="E1306" t="s">
        <v>3421</v>
      </c>
      <c r="F1306" t="s">
        <v>3422</v>
      </c>
      <c r="G1306" t="s">
        <v>3423</v>
      </c>
      <c r="H1306" s="3">
        <v>780</v>
      </c>
      <c r="I1306">
        <v>123</v>
      </c>
      <c r="J1306">
        <v>0</v>
      </c>
      <c r="K1306">
        <v>15</v>
      </c>
      <c r="L1306" s="4">
        <v>0.58412332337360096</v>
      </c>
      <c r="M1306" s="4">
        <v>0.41587667662639899</v>
      </c>
      <c r="N1306">
        <v>0</v>
      </c>
    </row>
    <row r="1307" spans="1:14" x14ac:dyDescent="0.25">
      <c r="A1307" s="2"/>
      <c r="B1307" t="s">
        <v>3424</v>
      </c>
      <c r="C1307" t="s">
        <v>16</v>
      </c>
      <c r="D1307" t="s">
        <v>17</v>
      </c>
      <c r="E1307" t="s">
        <v>3425</v>
      </c>
      <c r="F1307" t="s">
        <v>3426</v>
      </c>
      <c r="G1307" t="s">
        <v>3427</v>
      </c>
      <c r="H1307" s="3">
        <v>1766.37</v>
      </c>
      <c r="I1307">
        <v>455</v>
      </c>
      <c r="J1307">
        <v>0</v>
      </c>
      <c r="K1307">
        <v>34</v>
      </c>
      <c r="L1307" s="4">
        <v>0.73981436399537603</v>
      </c>
      <c r="M1307" s="4">
        <v>0.26018563600462402</v>
      </c>
      <c r="N1307">
        <v>0</v>
      </c>
    </row>
    <row r="1308" spans="1:14" x14ac:dyDescent="0.25">
      <c r="A1308" s="2">
        <v>23182425</v>
      </c>
      <c r="C1308" t="s">
        <v>0</v>
      </c>
      <c r="D1308" t="s">
        <v>17</v>
      </c>
      <c r="E1308" t="s">
        <v>3428</v>
      </c>
      <c r="F1308" t="s">
        <v>3429</v>
      </c>
      <c r="G1308" t="s">
        <v>3430</v>
      </c>
      <c r="H1308" s="3">
        <v>2282.7600000000002</v>
      </c>
      <c r="I1308">
        <v>758</v>
      </c>
      <c r="J1308">
        <v>1</v>
      </c>
      <c r="K1308">
        <v>49</v>
      </c>
      <c r="L1308" s="4">
        <v>0.51877242559048098</v>
      </c>
      <c r="M1308" s="4">
        <v>0.48122757440951902</v>
      </c>
      <c r="N1308">
        <v>0</v>
      </c>
    </row>
    <row r="1309" spans="1:14" x14ac:dyDescent="0.25">
      <c r="A1309" s="2">
        <v>23200636</v>
      </c>
      <c r="C1309" t="s">
        <v>0</v>
      </c>
      <c r="D1309" t="s">
        <v>17</v>
      </c>
      <c r="E1309" t="s">
        <v>3428</v>
      </c>
      <c r="F1309" t="s">
        <v>3429</v>
      </c>
      <c r="G1309" t="s">
        <v>3431</v>
      </c>
      <c r="H1309" s="3">
        <v>2302.13</v>
      </c>
      <c r="I1309">
        <v>140</v>
      </c>
      <c r="J1309">
        <v>0</v>
      </c>
      <c r="L1309" s="4">
        <v>0.85343566652480296</v>
      </c>
      <c r="M1309" s="4">
        <v>0.14656433347519701</v>
      </c>
      <c r="N1309">
        <v>0</v>
      </c>
    </row>
    <row r="1310" spans="1:14" x14ac:dyDescent="0.25">
      <c r="A1310" s="2">
        <v>23140835</v>
      </c>
      <c r="B1310" t="s">
        <v>3432</v>
      </c>
      <c r="C1310" t="s">
        <v>31</v>
      </c>
      <c r="D1310" t="s">
        <v>17</v>
      </c>
      <c r="E1310" t="s">
        <v>3428</v>
      </c>
      <c r="F1310" t="s">
        <v>3429</v>
      </c>
      <c r="G1310" t="s">
        <v>3433</v>
      </c>
      <c r="H1310" s="3">
        <v>2307.23</v>
      </c>
      <c r="I1310">
        <v>491</v>
      </c>
      <c r="J1310">
        <v>0</v>
      </c>
      <c r="K1310">
        <v>47</v>
      </c>
      <c r="L1310" s="4">
        <v>0.90924587765585696</v>
      </c>
      <c r="M1310" s="4">
        <v>9.0754122344143207E-2</v>
      </c>
      <c r="N1310">
        <v>0</v>
      </c>
    </row>
    <row r="1311" spans="1:14" x14ac:dyDescent="0.25">
      <c r="A1311" s="2">
        <v>23256604</v>
      </c>
      <c r="B1311" t="s">
        <v>3434</v>
      </c>
      <c r="C1311" t="s">
        <v>31</v>
      </c>
      <c r="D1311" t="s">
        <v>1714</v>
      </c>
      <c r="E1311" t="s">
        <v>3435</v>
      </c>
      <c r="F1311" t="s">
        <v>3357</v>
      </c>
      <c r="G1311" t="s">
        <v>3436</v>
      </c>
      <c r="H1311" s="3">
        <v>2907.42</v>
      </c>
      <c r="I1311">
        <v>76</v>
      </c>
      <c r="J1311">
        <v>1</v>
      </c>
      <c r="L1311" s="4">
        <v>0.45995213146158798</v>
      </c>
      <c r="M1311" s="4">
        <v>0.54004786853841202</v>
      </c>
      <c r="N1311">
        <v>0</v>
      </c>
    </row>
    <row r="1312" spans="1:14" x14ac:dyDescent="0.25">
      <c r="A1312" s="2">
        <v>23710762</v>
      </c>
      <c r="C1312" t="s">
        <v>0</v>
      </c>
      <c r="D1312" t="s">
        <v>86</v>
      </c>
      <c r="E1312" t="s">
        <v>3437</v>
      </c>
      <c r="F1312" t="s">
        <v>3438</v>
      </c>
      <c r="G1312" t="s">
        <v>3439</v>
      </c>
      <c r="H1312" s="3">
        <v>2457.8000000000002</v>
      </c>
      <c r="I1312">
        <v>953</v>
      </c>
      <c r="J1312">
        <v>1</v>
      </c>
      <c r="K1312">
        <v>26</v>
      </c>
      <c r="L1312" s="4">
        <v>0.34847787979496198</v>
      </c>
      <c r="M1312" s="4">
        <v>0.65152212020503797</v>
      </c>
      <c r="N1312">
        <v>0</v>
      </c>
    </row>
    <row r="1313" spans="1:14" x14ac:dyDescent="0.25">
      <c r="A1313" s="2"/>
      <c r="C1313" t="s">
        <v>28</v>
      </c>
      <c r="D1313" t="s">
        <v>86</v>
      </c>
      <c r="E1313" t="s">
        <v>3437</v>
      </c>
      <c r="F1313" t="s">
        <v>3438</v>
      </c>
      <c r="G1313" t="s">
        <v>3440</v>
      </c>
      <c r="H1313" s="3">
        <v>1913.51</v>
      </c>
      <c r="I1313">
        <v>357</v>
      </c>
      <c r="J1313">
        <v>0</v>
      </c>
      <c r="K1313">
        <v>7</v>
      </c>
      <c r="L1313" s="4">
        <v>0.11457026843423</v>
      </c>
      <c r="M1313" s="4">
        <v>0.88542973156576998</v>
      </c>
      <c r="N1313">
        <v>0</v>
      </c>
    </row>
    <row r="1314" spans="1:14" x14ac:dyDescent="0.25">
      <c r="A1314" s="2">
        <v>24125554</v>
      </c>
      <c r="C1314" t="s">
        <v>0</v>
      </c>
      <c r="D1314" t="s">
        <v>86</v>
      </c>
      <c r="E1314" t="s">
        <v>3437</v>
      </c>
      <c r="F1314" t="s">
        <v>3438</v>
      </c>
      <c r="G1314" t="s">
        <v>3441</v>
      </c>
      <c r="H1314" s="3">
        <v>2347.4</v>
      </c>
      <c r="I1314">
        <v>98</v>
      </c>
      <c r="J1314">
        <v>1</v>
      </c>
      <c r="K1314">
        <v>45</v>
      </c>
      <c r="L1314" s="4">
        <v>0.55878019862607398</v>
      </c>
      <c r="M1314" s="4">
        <v>0.44121980137392602</v>
      </c>
      <c r="N1314">
        <v>0</v>
      </c>
    </row>
    <row r="1315" spans="1:14" x14ac:dyDescent="0.25">
      <c r="A1315" s="2"/>
      <c r="B1315" t="s">
        <v>3442</v>
      </c>
      <c r="C1315" t="s">
        <v>16</v>
      </c>
      <c r="D1315" t="s">
        <v>86</v>
      </c>
      <c r="E1315" t="s">
        <v>3437</v>
      </c>
      <c r="F1315" t="s">
        <v>3438</v>
      </c>
      <c r="G1315" t="s">
        <v>3443</v>
      </c>
      <c r="H1315" s="3">
        <v>1977.98</v>
      </c>
      <c r="I1315">
        <v>211</v>
      </c>
      <c r="J1315">
        <v>0</v>
      </c>
      <c r="K1315">
        <v>13</v>
      </c>
      <c r="L1315" s="4">
        <v>0.12535788117973701</v>
      </c>
      <c r="M1315" s="4">
        <v>0.87464211882026299</v>
      </c>
      <c r="N1315">
        <v>0</v>
      </c>
    </row>
    <row r="1316" spans="1:14" x14ac:dyDescent="0.25">
      <c r="A1316" s="2">
        <v>23980694</v>
      </c>
      <c r="C1316" t="s">
        <v>0</v>
      </c>
      <c r="D1316" t="s">
        <v>86</v>
      </c>
      <c r="E1316" t="s">
        <v>3437</v>
      </c>
      <c r="F1316" t="s">
        <v>3438</v>
      </c>
      <c r="G1316" t="s">
        <v>3444</v>
      </c>
      <c r="H1316" s="3">
        <v>1896.64</v>
      </c>
      <c r="I1316">
        <v>281</v>
      </c>
      <c r="J1316">
        <v>0</v>
      </c>
      <c r="K1316">
        <v>12</v>
      </c>
      <c r="L1316" s="4">
        <v>3.5055020037393601E-2</v>
      </c>
      <c r="M1316" s="4">
        <v>0.96494497996260598</v>
      </c>
      <c r="N1316">
        <v>0</v>
      </c>
    </row>
    <row r="1317" spans="1:14" x14ac:dyDescent="0.25">
      <c r="A1317" s="2">
        <v>23750903</v>
      </c>
      <c r="C1317" t="s">
        <v>0</v>
      </c>
      <c r="D1317" t="s">
        <v>86</v>
      </c>
      <c r="E1317" t="s">
        <v>3437</v>
      </c>
      <c r="F1317" t="s">
        <v>3438</v>
      </c>
      <c r="G1317" t="s">
        <v>3445</v>
      </c>
      <c r="H1317" s="3">
        <v>1994.65</v>
      </c>
      <c r="I1317">
        <v>92</v>
      </c>
      <c r="J1317">
        <v>1</v>
      </c>
      <c r="K1317">
        <v>49</v>
      </c>
      <c r="L1317" s="4">
        <v>0.16533230592251899</v>
      </c>
      <c r="M1317" s="4">
        <v>0.83466769407748098</v>
      </c>
      <c r="N1317">
        <v>0</v>
      </c>
    </row>
    <row r="1318" spans="1:14" x14ac:dyDescent="0.25">
      <c r="A1318" s="2">
        <v>23888912</v>
      </c>
      <c r="C1318" t="s">
        <v>0</v>
      </c>
      <c r="D1318" t="s">
        <v>86</v>
      </c>
      <c r="E1318" t="s">
        <v>3437</v>
      </c>
      <c r="F1318" t="s">
        <v>3438</v>
      </c>
      <c r="G1318" t="s">
        <v>3446</v>
      </c>
      <c r="H1318" s="3">
        <v>2006.64</v>
      </c>
      <c r="I1318">
        <v>488</v>
      </c>
      <c r="J1318">
        <v>1</v>
      </c>
      <c r="K1318">
        <v>38</v>
      </c>
      <c r="L1318" s="4">
        <v>0.28102455941015397</v>
      </c>
      <c r="M1318" s="4">
        <v>0.71897544058984597</v>
      </c>
      <c r="N1318">
        <v>0</v>
      </c>
    </row>
    <row r="1319" spans="1:14" x14ac:dyDescent="0.25">
      <c r="A1319" s="2"/>
      <c r="B1319" t="s">
        <v>3447</v>
      </c>
      <c r="C1319" t="s">
        <v>16</v>
      </c>
      <c r="D1319" t="s">
        <v>86</v>
      </c>
      <c r="E1319" t="s">
        <v>3437</v>
      </c>
      <c r="F1319" t="s">
        <v>3438</v>
      </c>
      <c r="G1319" t="s">
        <v>3448</v>
      </c>
      <c r="H1319" s="3">
        <v>2236.02</v>
      </c>
      <c r="I1319">
        <v>312</v>
      </c>
      <c r="J1319">
        <v>0</v>
      </c>
      <c r="K1319">
        <v>37</v>
      </c>
      <c r="L1319" s="4">
        <v>0.51961155013752003</v>
      </c>
      <c r="M1319" s="4">
        <v>0.48038844986248003</v>
      </c>
      <c r="N1319">
        <v>0</v>
      </c>
    </row>
    <row r="1320" spans="1:14" x14ac:dyDescent="0.25">
      <c r="A1320" s="2"/>
      <c r="B1320" t="s">
        <v>3449</v>
      </c>
      <c r="C1320" t="s">
        <v>16</v>
      </c>
      <c r="D1320" t="s">
        <v>148</v>
      </c>
      <c r="E1320" t="s">
        <v>3450</v>
      </c>
      <c r="G1320" t="s">
        <v>3451</v>
      </c>
      <c r="H1320" s="3">
        <v>1830</v>
      </c>
      <c r="I1320">
        <v>911</v>
      </c>
      <c r="J1320">
        <v>0</v>
      </c>
      <c r="K1320">
        <v>2</v>
      </c>
      <c r="L1320" s="4">
        <v>9.7186488734708504E-2</v>
      </c>
      <c r="M1320" s="4">
        <v>0.90281351126529197</v>
      </c>
      <c r="N1320">
        <v>0</v>
      </c>
    </row>
    <row r="1321" spans="1:14" x14ac:dyDescent="0.25">
      <c r="A1321" s="2"/>
      <c r="B1321" t="s">
        <v>3452</v>
      </c>
      <c r="C1321" t="s">
        <v>16</v>
      </c>
      <c r="D1321" t="s">
        <v>17</v>
      </c>
      <c r="E1321" t="s">
        <v>3453</v>
      </c>
      <c r="F1321" t="s">
        <v>3454</v>
      </c>
      <c r="G1321" t="s">
        <v>3455</v>
      </c>
      <c r="H1321" s="3">
        <v>2424.0300000000002</v>
      </c>
      <c r="K1321">
        <v>1</v>
      </c>
      <c r="L1321" s="4">
        <v>5.8309837964592597E-2</v>
      </c>
      <c r="M1321" s="4">
        <v>0.94169016203540801</v>
      </c>
      <c r="N1321">
        <v>0</v>
      </c>
    </row>
    <row r="1322" spans="1:14" x14ac:dyDescent="0.25">
      <c r="A1322" s="2"/>
      <c r="B1322" t="s">
        <v>3456</v>
      </c>
      <c r="C1322" t="s">
        <v>16</v>
      </c>
      <c r="D1322" t="s">
        <v>86</v>
      </c>
      <c r="E1322" t="s">
        <v>3457</v>
      </c>
      <c r="F1322" t="s">
        <v>3458</v>
      </c>
      <c r="G1322" t="s">
        <v>3459</v>
      </c>
      <c r="H1322" s="3">
        <v>1005</v>
      </c>
      <c r="I1322">
        <v>156</v>
      </c>
      <c r="J1322">
        <v>0</v>
      </c>
      <c r="K1322">
        <v>13</v>
      </c>
      <c r="L1322" s="4">
        <v>0.97362925509918596</v>
      </c>
      <c r="M1322" s="4">
        <v>2.63707449008138E-2</v>
      </c>
      <c r="N1322">
        <v>0</v>
      </c>
    </row>
    <row r="1323" spans="1:14" x14ac:dyDescent="0.25">
      <c r="A1323" s="2"/>
      <c r="B1323" t="s">
        <v>3460</v>
      </c>
      <c r="C1323" t="s">
        <v>16</v>
      </c>
      <c r="D1323" t="s">
        <v>86</v>
      </c>
      <c r="E1323" t="s">
        <v>3457</v>
      </c>
      <c r="F1323" t="s">
        <v>3458</v>
      </c>
      <c r="G1323" t="s">
        <v>3461</v>
      </c>
      <c r="H1323" s="3">
        <v>1500</v>
      </c>
      <c r="I1323">
        <v>556</v>
      </c>
      <c r="J1323">
        <v>1</v>
      </c>
      <c r="L1323" s="4">
        <v>0.56205491227945503</v>
      </c>
      <c r="M1323" s="4">
        <v>0.43794508772054502</v>
      </c>
      <c r="N1323">
        <v>0</v>
      </c>
    </row>
    <row r="1324" spans="1:14" x14ac:dyDescent="0.25">
      <c r="A1324" s="2"/>
      <c r="B1324" t="s">
        <v>3462</v>
      </c>
      <c r="C1324" t="s">
        <v>16</v>
      </c>
      <c r="D1324" t="s">
        <v>86</v>
      </c>
      <c r="E1324" t="s">
        <v>3457</v>
      </c>
      <c r="F1324" t="s">
        <v>3458</v>
      </c>
      <c r="G1324" t="s">
        <v>3463</v>
      </c>
      <c r="H1324" s="3">
        <v>2010.24</v>
      </c>
      <c r="I1324">
        <v>568</v>
      </c>
      <c r="J1324">
        <v>1</v>
      </c>
      <c r="K1324">
        <v>31</v>
      </c>
      <c r="L1324" s="4">
        <v>0.74974227211644995</v>
      </c>
      <c r="M1324" s="4">
        <v>0.25025772788355</v>
      </c>
      <c r="N1324">
        <v>0</v>
      </c>
    </row>
    <row r="1325" spans="1:14" x14ac:dyDescent="0.25">
      <c r="A1325" s="2"/>
      <c r="B1325" t="s">
        <v>3464</v>
      </c>
      <c r="C1325" t="s">
        <v>16</v>
      </c>
      <c r="D1325" t="s">
        <v>86</v>
      </c>
      <c r="E1325" t="s">
        <v>3457</v>
      </c>
      <c r="F1325" t="s">
        <v>3458</v>
      </c>
      <c r="G1325" t="s">
        <v>3465</v>
      </c>
      <c r="H1325" s="3">
        <v>2010.24</v>
      </c>
      <c r="I1325">
        <v>509</v>
      </c>
      <c r="J1325">
        <v>1</v>
      </c>
      <c r="K1325">
        <v>4</v>
      </c>
      <c r="L1325" s="4">
        <v>0.30174754594613901</v>
      </c>
      <c r="M1325" s="4">
        <v>0.69825245405386105</v>
      </c>
      <c r="N1325">
        <v>0</v>
      </c>
    </row>
    <row r="1326" spans="1:14" x14ac:dyDescent="0.25">
      <c r="A1326" s="2"/>
      <c r="B1326" t="s">
        <v>3466</v>
      </c>
      <c r="C1326" t="s">
        <v>16</v>
      </c>
      <c r="D1326" t="s">
        <v>86</v>
      </c>
      <c r="E1326" t="s">
        <v>3457</v>
      </c>
      <c r="F1326" t="s">
        <v>3458</v>
      </c>
      <c r="G1326" t="s">
        <v>3467</v>
      </c>
      <c r="H1326" s="3">
        <v>2010.24</v>
      </c>
      <c r="I1326">
        <v>506</v>
      </c>
      <c r="J1326">
        <v>1</v>
      </c>
      <c r="K1326">
        <v>41</v>
      </c>
      <c r="L1326" s="4">
        <v>0.209727929815997</v>
      </c>
      <c r="M1326" s="4">
        <v>0.79027207018400303</v>
      </c>
      <c r="N1326">
        <v>0</v>
      </c>
    </row>
    <row r="1327" spans="1:14" x14ac:dyDescent="0.25">
      <c r="A1327" s="2"/>
      <c r="B1327" t="s">
        <v>3468</v>
      </c>
      <c r="C1327" t="s">
        <v>16</v>
      </c>
      <c r="D1327" t="s">
        <v>86</v>
      </c>
      <c r="E1327" t="s">
        <v>3457</v>
      </c>
      <c r="F1327" t="s">
        <v>3458</v>
      </c>
      <c r="G1327" t="s">
        <v>3469</v>
      </c>
      <c r="H1327" s="3">
        <v>2010.24</v>
      </c>
      <c r="J1327">
        <v>1</v>
      </c>
      <c r="K1327">
        <v>25</v>
      </c>
      <c r="L1327" s="4">
        <v>0.74570083846992496</v>
      </c>
      <c r="M1327" s="4">
        <v>0.25429916153007498</v>
      </c>
      <c r="N1327">
        <v>0</v>
      </c>
    </row>
    <row r="1328" spans="1:14" x14ac:dyDescent="0.25">
      <c r="A1328" s="2"/>
      <c r="B1328" t="s">
        <v>3470</v>
      </c>
      <c r="C1328" t="s">
        <v>16</v>
      </c>
      <c r="D1328" t="s">
        <v>86</v>
      </c>
      <c r="E1328" t="s">
        <v>3457</v>
      </c>
      <c r="F1328" t="s">
        <v>3458</v>
      </c>
      <c r="G1328" t="s">
        <v>3471</v>
      </c>
      <c r="H1328" s="3">
        <v>2010.24</v>
      </c>
      <c r="I1328">
        <v>455</v>
      </c>
      <c r="J1328">
        <v>1</v>
      </c>
      <c r="K1328">
        <v>35</v>
      </c>
      <c r="L1328" s="4">
        <v>0.72360050468622905</v>
      </c>
      <c r="M1328" s="4">
        <v>0.276399495313771</v>
      </c>
      <c r="N1328">
        <v>0</v>
      </c>
    </row>
    <row r="1329" spans="1:15" x14ac:dyDescent="0.25">
      <c r="A1329" s="2"/>
      <c r="B1329" t="s">
        <v>3472</v>
      </c>
      <c r="C1329" t="s">
        <v>16</v>
      </c>
      <c r="D1329" t="s">
        <v>86</v>
      </c>
      <c r="E1329" t="s">
        <v>3457</v>
      </c>
      <c r="F1329" t="s">
        <v>3458</v>
      </c>
      <c r="G1329" t="s">
        <v>3473</v>
      </c>
      <c r="H1329" s="3">
        <v>2010.24</v>
      </c>
      <c r="I1329">
        <v>832</v>
      </c>
      <c r="J1329">
        <v>0</v>
      </c>
      <c r="K1329">
        <v>21</v>
      </c>
      <c r="L1329" s="4">
        <v>0.16675337102959401</v>
      </c>
      <c r="M1329" s="4">
        <v>0.83324662897040602</v>
      </c>
      <c r="N1329">
        <v>1814</v>
      </c>
    </row>
    <row r="1330" spans="1:15" x14ac:dyDescent="0.25">
      <c r="A1330" s="2"/>
      <c r="B1330" t="s">
        <v>3474</v>
      </c>
      <c r="C1330" t="s">
        <v>16</v>
      </c>
      <c r="D1330" t="s">
        <v>86</v>
      </c>
      <c r="E1330" t="s">
        <v>3457</v>
      </c>
      <c r="F1330" t="s">
        <v>3458</v>
      </c>
      <c r="G1330" t="s">
        <v>3475</v>
      </c>
      <c r="H1330" s="3">
        <v>2010.24</v>
      </c>
      <c r="I1330">
        <v>917</v>
      </c>
      <c r="J1330">
        <v>1</v>
      </c>
      <c r="L1330" s="4">
        <v>0.53453702307791995</v>
      </c>
      <c r="M1330" s="4">
        <v>0.46546297692208</v>
      </c>
      <c r="N1330">
        <v>0</v>
      </c>
    </row>
    <row r="1331" spans="1:15" x14ac:dyDescent="0.25">
      <c r="A1331" s="2"/>
      <c r="B1331" t="s">
        <v>3476</v>
      </c>
      <c r="C1331" t="s">
        <v>16</v>
      </c>
      <c r="D1331" t="s">
        <v>86</v>
      </c>
      <c r="E1331" t="s">
        <v>3457</v>
      </c>
      <c r="F1331" t="s">
        <v>3458</v>
      </c>
      <c r="G1331" t="s">
        <v>3477</v>
      </c>
      <c r="H1331" s="3">
        <v>2010.24</v>
      </c>
      <c r="I1331">
        <v>754</v>
      </c>
      <c r="J1331">
        <v>0</v>
      </c>
      <c r="K1331">
        <v>15</v>
      </c>
      <c r="L1331" s="4">
        <v>0.28845443503697499</v>
      </c>
      <c r="M1331" s="4">
        <v>0.71154556496302501</v>
      </c>
      <c r="N1331">
        <v>0</v>
      </c>
    </row>
    <row r="1332" spans="1:15" x14ac:dyDescent="0.25">
      <c r="A1332" s="2"/>
      <c r="B1332" t="s">
        <v>3478</v>
      </c>
      <c r="C1332" t="s">
        <v>16</v>
      </c>
      <c r="D1332" t="s">
        <v>86</v>
      </c>
      <c r="E1332" t="s">
        <v>3457</v>
      </c>
      <c r="F1332" t="s">
        <v>3458</v>
      </c>
      <c r="G1332" t="s">
        <v>3479</v>
      </c>
      <c r="H1332" s="3">
        <v>2275.58</v>
      </c>
      <c r="I1332">
        <v>755</v>
      </c>
      <c r="J1332">
        <v>0</v>
      </c>
      <c r="K1332">
        <v>12</v>
      </c>
      <c r="L1332" s="4">
        <v>0.33364219846786303</v>
      </c>
      <c r="M1332" s="4">
        <v>0.66635780153213797</v>
      </c>
      <c r="N1332">
        <v>0</v>
      </c>
    </row>
    <row r="1333" spans="1:15" x14ac:dyDescent="0.25">
      <c r="A1333" s="2"/>
      <c r="C1333" t="s">
        <v>28</v>
      </c>
      <c r="D1333" t="s">
        <v>86</v>
      </c>
      <c r="E1333" t="s">
        <v>3457</v>
      </c>
      <c r="F1333" t="s">
        <v>3458</v>
      </c>
      <c r="G1333" t="s">
        <v>3480</v>
      </c>
      <c r="H1333" s="3">
        <v>2379.69</v>
      </c>
      <c r="I1333">
        <v>731</v>
      </c>
      <c r="J1333">
        <v>0</v>
      </c>
      <c r="K1333">
        <v>24</v>
      </c>
      <c r="L1333" s="4">
        <v>0.36407354104624501</v>
      </c>
      <c r="M1333" s="4">
        <v>0.63592645895375499</v>
      </c>
      <c r="N1333">
        <v>0</v>
      </c>
    </row>
    <row r="1334" spans="1:15" x14ac:dyDescent="0.25">
      <c r="A1334" s="2"/>
      <c r="C1334" t="s">
        <v>28</v>
      </c>
      <c r="D1334" t="s">
        <v>86</v>
      </c>
      <c r="E1334" t="s">
        <v>3457</v>
      </c>
      <c r="F1334" t="s">
        <v>3458</v>
      </c>
      <c r="G1334" t="s">
        <v>3481</v>
      </c>
      <c r="H1334" s="3">
        <v>2395.87</v>
      </c>
      <c r="I1334">
        <v>952</v>
      </c>
      <c r="J1334">
        <v>1</v>
      </c>
      <c r="K1334">
        <v>16</v>
      </c>
      <c r="L1334" s="4">
        <v>0.27959241156522302</v>
      </c>
      <c r="M1334" s="4">
        <v>0.72040758843477704</v>
      </c>
      <c r="N1334">
        <v>0</v>
      </c>
    </row>
    <row r="1335" spans="1:15" x14ac:dyDescent="0.25">
      <c r="A1335" s="2"/>
      <c r="B1335" t="s">
        <v>3482</v>
      </c>
      <c r="C1335" t="s">
        <v>16</v>
      </c>
      <c r="D1335" t="s">
        <v>86</v>
      </c>
      <c r="E1335" t="s">
        <v>3457</v>
      </c>
      <c r="F1335" t="s">
        <v>3458</v>
      </c>
      <c r="G1335" t="s">
        <v>3483</v>
      </c>
      <c r="H1335" s="3">
        <v>1500</v>
      </c>
      <c r="I1335">
        <v>815</v>
      </c>
      <c r="J1335">
        <v>1</v>
      </c>
      <c r="K1335">
        <v>11</v>
      </c>
      <c r="L1335" s="4">
        <v>0.51622727217271402</v>
      </c>
      <c r="M1335" s="4">
        <v>0.48377272782728598</v>
      </c>
      <c r="N1335">
        <v>0</v>
      </c>
    </row>
    <row r="1336" spans="1:15" x14ac:dyDescent="0.25">
      <c r="A1336" s="2"/>
      <c r="C1336" t="s">
        <v>28</v>
      </c>
      <c r="D1336" t="s">
        <v>86</v>
      </c>
      <c r="E1336" t="s">
        <v>3457</v>
      </c>
      <c r="F1336" t="s">
        <v>3458</v>
      </c>
      <c r="G1336" t="s">
        <v>3484</v>
      </c>
      <c r="H1336" s="3">
        <v>1500</v>
      </c>
      <c r="I1336">
        <v>347</v>
      </c>
      <c r="J1336">
        <v>0</v>
      </c>
      <c r="L1336" s="4">
        <v>0.88597309251358602</v>
      </c>
      <c r="M1336" s="4">
        <v>0.114026907486414</v>
      </c>
      <c r="N1336">
        <v>0</v>
      </c>
    </row>
    <row r="1337" spans="1:15" x14ac:dyDescent="0.25">
      <c r="A1337" s="2"/>
      <c r="B1337" t="s">
        <v>3485</v>
      </c>
      <c r="C1337" t="s">
        <v>16</v>
      </c>
      <c r="D1337" t="s">
        <v>607</v>
      </c>
      <c r="E1337" t="s">
        <v>3486</v>
      </c>
      <c r="F1337" t="s">
        <v>3487</v>
      </c>
      <c r="G1337" t="s">
        <v>3488</v>
      </c>
      <c r="H1337" s="3">
        <v>2940</v>
      </c>
      <c r="J1337">
        <v>1</v>
      </c>
      <c r="K1337">
        <v>17</v>
      </c>
      <c r="L1337" s="4">
        <v>0.25440461919414697</v>
      </c>
      <c r="M1337" s="4">
        <v>0.74559538080585297</v>
      </c>
      <c r="N1337">
        <v>0</v>
      </c>
    </row>
    <row r="1338" spans="1:15" x14ac:dyDescent="0.25">
      <c r="A1338" s="2"/>
      <c r="B1338" t="s">
        <v>3489</v>
      </c>
      <c r="C1338" t="s">
        <v>16</v>
      </c>
      <c r="D1338" t="s">
        <v>607</v>
      </c>
      <c r="E1338" t="s">
        <v>3486</v>
      </c>
      <c r="F1338" t="s">
        <v>3487</v>
      </c>
      <c r="G1338" t="s">
        <v>3490</v>
      </c>
      <c r="H1338" s="3">
        <v>3000</v>
      </c>
      <c r="I1338">
        <v>133</v>
      </c>
      <c r="J1338">
        <v>0</v>
      </c>
      <c r="K1338">
        <v>31</v>
      </c>
      <c r="L1338" s="4">
        <v>0.37313211814476099</v>
      </c>
      <c r="M1338" s="4">
        <v>0.62686788185523901</v>
      </c>
      <c r="N1338">
        <v>0</v>
      </c>
    </row>
    <row r="1339" spans="1:15" x14ac:dyDescent="0.25">
      <c r="A1339" s="2"/>
      <c r="B1339" t="s">
        <v>3491</v>
      </c>
      <c r="C1339" t="s">
        <v>16</v>
      </c>
      <c r="D1339" t="s">
        <v>607</v>
      </c>
      <c r="E1339" t="s">
        <v>3486</v>
      </c>
      <c r="F1339" t="s">
        <v>3487</v>
      </c>
      <c r="G1339" t="s">
        <v>3492</v>
      </c>
      <c r="H1339" s="3">
        <v>3000</v>
      </c>
      <c r="J1339">
        <v>0</v>
      </c>
      <c r="L1339" s="4">
        <v>0.80910072981688497</v>
      </c>
      <c r="M1339" s="4">
        <v>0.19089927018311501</v>
      </c>
      <c r="N1339">
        <v>0</v>
      </c>
    </row>
    <row r="1340" spans="1:15" x14ac:dyDescent="0.25">
      <c r="A1340" s="2"/>
      <c r="B1340" t="s">
        <v>3493</v>
      </c>
      <c r="C1340" t="s">
        <v>16</v>
      </c>
      <c r="D1340" t="s">
        <v>607</v>
      </c>
      <c r="E1340" t="s">
        <v>3486</v>
      </c>
      <c r="F1340" t="s">
        <v>3487</v>
      </c>
      <c r="G1340" t="s">
        <v>3494</v>
      </c>
      <c r="H1340" s="3">
        <v>3000</v>
      </c>
      <c r="I1340">
        <v>109</v>
      </c>
      <c r="J1340">
        <v>0</v>
      </c>
      <c r="K1340">
        <v>46</v>
      </c>
      <c r="L1340" s="4">
        <v>0.85043472572648404</v>
      </c>
      <c r="M1340" s="4">
        <v>0.14956527427351601</v>
      </c>
      <c r="N1340">
        <v>0</v>
      </c>
    </row>
    <row r="1341" spans="1:15" x14ac:dyDescent="0.25">
      <c r="A1341" s="2"/>
      <c r="C1341" t="s">
        <v>28</v>
      </c>
      <c r="D1341" t="s">
        <v>86</v>
      </c>
      <c r="E1341" t="s">
        <v>3495</v>
      </c>
      <c r="F1341" t="s">
        <v>3496</v>
      </c>
      <c r="G1341" t="s">
        <v>3497</v>
      </c>
      <c r="H1341" s="3">
        <v>2371.54</v>
      </c>
      <c r="I1341">
        <v>391</v>
      </c>
      <c r="J1341">
        <v>0</v>
      </c>
      <c r="K1341">
        <v>3</v>
      </c>
      <c r="L1341" s="4">
        <v>0.39960063772230098</v>
      </c>
      <c r="M1341" s="4">
        <v>0.60039936227769897</v>
      </c>
      <c r="N1341">
        <v>0</v>
      </c>
    </row>
    <row r="1342" spans="1:15" x14ac:dyDescent="0.25">
      <c r="A1342" s="2"/>
      <c r="B1342" t="s">
        <v>3498</v>
      </c>
      <c r="C1342" t="s">
        <v>16</v>
      </c>
      <c r="D1342" t="s">
        <v>17</v>
      </c>
      <c r="E1342" t="s">
        <v>3499</v>
      </c>
      <c r="F1342" t="s">
        <v>3500</v>
      </c>
      <c r="G1342" t="s">
        <v>3501</v>
      </c>
      <c r="H1342" s="3">
        <v>2030.16</v>
      </c>
      <c r="I1342">
        <v>470</v>
      </c>
      <c r="J1342">
        <v>0</v>
      </c>
      <c r="K1342">
        <v>4</v>
      </c>
      <c r="L1342" s="4">
        <v>0.92497633472042895</v>
      </c>
      <c r="M1342" s="4">
        <v>7.50236652795713E-2</v>
      </c>
      <c r="N1342">
        <v>0</v>
      </c>
    </row>
    <row r="1343" spans="1:15" x14ac:dyDescent="0.25">
      <c r="A1343" s="2"/>
      <c r="C1343" t="s">
        <v>28</v>
      </c>
      <c r="D1343" t="s">
        <v>611</v>
      </c>
      <c r="G1343" t="s">
        <v>3502</v>
      </c>
      <c r="H1343" s="6">
        <v>13200</v>
      </c>
      <c r="I1343">
        <v>826</v>
      </c>
      <c r="J1343">
        <v>1</v>
      </c>
      <c r="K1343">
        <v>31</v>
      </c>
      <c r="L1343" s="4">
        <v>0.39306321939509598</v>
      </c>
      <c r="M1343" s="4">
        <v>0.60693678060490397</v>
      </c>
      <c r="N1343">
        <v>0</v>
      </c>
      <c r="O1343" s="7" t="s">
        <v>3503</v>
      </c>
    </row>
    <row r="1344" spans="1:15" x14ac:dyDescent="0.25">
      <c r="A1344" s="2">
        <v>23154792</v>
      </c>
      <c r="C1344" t="s">
        <v>0</v>
      </c>
      <c r="D1344" t="s">
        <v>3504</v>
      </c>
      <c r="E1344" t="s">
        <v>3505</v>
      </c>
      <c r="F1344" t="s">
        <v>3506</v>
      </c>
      <c r="G1344" t="s">
        <v>3507</v>
      </c>
      <c r="H1344" s="3">
        <v>2040</v>
      </c>
      <c r="I1344">
        <v>341</v>
      </c>
      <c r="J1344">
        <v>0</v>
      </c>
      <c r="K1344">
        <v>41</v>
      </c>
      <c r="L1344" s="4">
        <v>0.55243356292304902</v>
      </c>
      <c r="M1344" s="4">
        <v>0.44756643707695098</v>
      </c>
      <c r="N1344">
        <v>0</v>
      </c>
    </row>
    <row r="1345" spans="1:14" x14ac:dyDescent="0.25">
      <c r="A1345" s="2">
        <v>23220929</v>
      </c>
      <c r="C1345" t="s">
        <v>0</v>
      </c>
      <c r="D1345" t="s">
        <v>3504</v>
      </c>
      <c r="E1345" t="s">
        <v>3505</v>
      </c>
      <c r="F1345" t="s">
        <v>3506</v>
      </c>
      <c r="G1345" t="s">
        <v>3508</v>
      </c>
      <c r="H1345" s="3">
        <v>2040</v>
      </c>
      <c r="I1345">
        <v>533</v>
      </c>
      <c r="J1345">
        <v>0</v>
      </c>
      <c r="K1345">
        <v>38</v>
      </c>
      <c r="L1345" s="4">
        <v>0.88194437925485303</v>
      </c>
      <c r="M1345" s="4">
        <v>0.118055620745148</v>
      </c>
      <c r="N1345">
        <v>0</v>
      </c>
    </row>
    <row r="1346" spans="1:14" x14ac:dyDescent="0.25">
      <c r="A1346" s="2">
        <v>23213218</v>
      </c>
      <c r="B1346" t="s">
        <v>3509</v>
      </c>
      <c r="C1346" t="s">
        <v>31</v>
      </c>
      <c r="D1346" t="s">
        <v>3510</v>
      </c>
      <c r="E1346" t="s">
        <v>3510</v>
      </c>
      <c r="F1346" t="s">
        <v>3511</v>
      </c>
      <c r="G1346" t="s">
        <v>3512</v>
      </c>
      <c r="H1346" s="3">
        <v>1052.99</v>
      </c>
      <c r="J1346">
        <v>1</v>
      </c>
      <c r="K1346">
        <v>16</v>
      </c>
      <c r="L1346" s="4">
        <v>0.74918022220512603</v>
      </c>
      <c r="M1346" s="4">
        <v>0.25081977779487402</v>
      </c>
      <c r="N1346">
        <v>0</v>
      </c>
    </row>
    <row r="1347" spans="1:14" x14ac:dyDescent="0.25">
      <c r="A1347" s="2">
        <v>23184970</v>
      </c>
      <c r="B1347" t="s">
        <v>3513</v>
      </c>
      <c r="C1347" t="s">
        <v>31</v>
      </c>
      <c r="D1347" t="s">
        <v>3510</v>
      </c>
      <c r="E1347" t="s">
        <v>3510</v>
      </c>
      <c r="F1347" t="s">
        <v>3511</v>
      </c>
      <c r="G1347" t="s">
        <v>3514</v>
      </c>
      <c r="H1347" s="3">
        <v>1459.12</v>
      </c>
      <c r="I1347">
        <v>866</v>
      </c>
      <c r="J1347">
        <v>0</v>
      </c>
      <c r="K1347">
        <v>45</v>
      </c>
      <c r="L1347" s="4">
        <v>1.3780473601591899E-2</v>
      </c>
      <c r="M1347" s="4">
        <v>0.98621952639840804</v>
      </c>
      <c r="N1347">
        <v>0</v>
      </c>
    </row>
    <row r="1348" spans="1:14" x14ac:dyDescent="0.25">
      <c r="A1348" s="2"/>
      <c r="B1348" t="s">
        <v>3515</v>
      </c>
      <c r="C1348" t="s">
        <v>16</v>
      </c>
      <c r="D1348" t="s">
        <v>3510</v>
      </c>
      <c r="E1348" t="s">
        <v>3510</v>
      </c>
      <c r="F1348" t="s">
        <v>3511</v>
      </c>
      <c r="G1348" t="s">
        <v>3516</v>
      </c>
      <c r="H1348" s="3">
        <v>2418.25</v>
      </c>
      <c r="I1348">
        <v>326</v>
      </c>
      <c r="J1348">
        <v>0</v>
      </c>
      <c r="K1348">
        <v>25</v>
      </c>
      <c r="L1348" s="4">
        <v>6.0804680561159299E-2</v>
      </c>
      <c r="M1348" s="4">
        <v>0.93919531943884105</v>
      </c>
      <c r="N1348">
        <v>0</v>
      </c>
    </row>
    <row r="1349" spans="1:14" x14ac:dyDescent="0.25">
      <c r="A1349" s="2"/>
      <c r="B1349" t="s">
        <v>3517</v>
      </c>
      <c r="C1349" t="s">
        <v>16</v>
      </c>
      <c r="D1349" t="s">
        <v>607</v>
      </c>
      <c r="E1349" t="s">
        <v>3518</v>
      </c>
      <c r="F1349" t="s">
        <v>3519</v>
      </c>
      <c r="G1349" t="s">
        <v>3520</v>
      </c>
      <c r="H1349" s="3">
        <v>910.8</v>
      </c>
      <c r="I1349">
        <v>952</v>
      </c>
      <c r="J1349">
        <v>0</v>
      </c>
      <c r="K1349">
        <v>46</v>
      </c>
      <c r="L1349" s="4">
        <v>0.204203099332467</v>
      </c>
      <c r="M1349" s="4">
        <v>0.79579690066753295</v>
      </c>
      <c r="N1349">
        <v>0</v>
      </c>
    </row>
    <row r="1350" spans="1:14" x14ac:dyDescent="0.25">
      <c r="A1350" s="2"/>
      <c r="B1350" t="s">
        <v>3521</v>
      </c>
      <c r="C1350" t="s">
        <v>16</v>
      </c>
      <c r="D1350" t="s">
        <v>607</v>
      </c>
      <c r="E1350" t="s">
        <v>3518</v>
      </c>
      <c r="F1350" t="s">
        <v>3519</v>
      </c>
      <c r="G1350" t="s">
        <v>3522</v>
      </c>
      <c r="H1350" s="3">
        <v>1890</v>
      </c>
      <c r="I1350">
        <v>457</v>
      </c>
      <c r="J1350">
        <v>0</v>
      </c>
      <c r="K1350">
        <v>16</v>
      </c>
      <c r="L1350" s="4">
        <v>0.84429207293043196</v>
      </c>
      <c r="M1350" s="4">
        <v>0.15570792706956799</v>
      </c>
      <c r="N1350">
        <v>0</v>
      </c>
    </row>
    <row r="1351" spans="1:14" x14ac:dyDescent="0.25">
      <c r="A1351" s="2"/>
      <c r="B1351" t="s">
        <v>3523</v>
      </c>
      <c r="C1351" t="s">
        <v>16</v>
      </c>
      <c r="D1351" t="s">
        <v>607</v>
      </c>
      <c r="E1351" t="s">
        <v>3518</v>
      </c>
      <c r="F1351" t="s">
        <v>3519</v>
      </c>
      <c r="G1351" t="s">
        <v>3524</v>
      </c>
      <c r="H1351" s="3">
        <v>2562</v>
      </c>
      <c r="I1351">
        <v>944</v>
      </c>
      <c r="J1351">
        <v>0</v>
      </c>
      <c r="L1351" s="4">
        <v>0.73592457753875595</v>
      </c>
      <c r="M1351" s="4">
        <v>0.26407542246124399</v>
      </c>
      <c r="N1351">
        <v>0</v>
      </c>
    </row>
    <row r="1352" spans="1:14" x14ac:dyDescent="0.25">
      <c r="A1352" s="2"/>
      <c r="B1352" t="s">
        <v>3525</v>
      </c>
      <c r="C1352" t="s">
        <v>16</v>
      </c>
      <c r="D1352" t="s">
        <v>607</v>
      </c>
      <c r="E1352" t="s">
        <v>3518</v>
      </c>
      <c r="F1352" t="s">
        <v>3519</v>
      </c>
      <c r="G1352" t="s">
        <v>3526</v>
      </c>
      <c r="H1352" s="3">
        <v>3642</v>
      </c>
      <c r="I1352">
        <v>385</v>
      </c>
      <c r="J1352">
        <v>1</v>
      </c>
      <c r="L1352" s="4">
        <v>0.18479599665427299</v>
      </c>
      <c r="M1352" s="4">
        <v>0.81520400334572696</v>
      </c>
      <c r="N1352">
        <v>0</v>
      </c>
    </row>
    <row r="1353" spans="1:14" x14ac:dyDescent="0.25">
      <c r="A1353" s="2"/>
      <c r="B1353" t="s">
        <v>3527</v>
      </c>
      <c r="C1353" t="s">
        <v>16</v>
      </c>
      <c r="D1353" t="s">
        <v>607</v>
      </c>
      <c r="E1353" t="s">
        <v>3518</v>
      </c>
      <c r="F1353" t="s">
        <v>3519</v>
      </c>
      <c r="G1353" t="s">
        <v>3528</v>
      </c>
      <c r="H1353" s="3">
        <v>3642</v>
      </c>
      <c r="I1353">
        <v>626</v>
      </c>
      <c r="J1353">
        <v>0</v>
      </c>
      <c r="K1353">
        <v>42</v>
      </c>
      <c r="L1353" s="4">
        <v>0.84450153916871695</v>
      </c>
      <c r="M1353" s="4">
        <v>0.15549846083128299</v>
      </c>
      <c r="N1353">
        <v>0</v>
      </c>
    </row>
    <row r="1354" spans="1:14" x14ac:dyDescent="0.25">
      <c r="A1354" s="2"/>
      <c r="C1354" t="s">
        <v>28</v>
      </c>
      <c r="D1354" t="s">
        <v>607</v>
      </c>
      <c r="E1354" t="s">
        <v>3518</v>
      </c>
      <c r="F1354" t="s">
        <v>3519</v>
      </c>
      <c r="G1354" t="s">
        <v>3529</v>
      </c>
      <c r="H1354" s="3">
        <v>3780</v>
      </c>
      <c r="J1354">
        <v>1</v>
      </c>
      <c r="K1354">
        <v>44</v>
      </c>
      <c r="L1354" s="4">
        <v>0.380508650840861</v>
      </c>
      <c r="M1354" s="4">
        <v>0.61949134915913895</v>
      </c>
      <c r="N1354">
        <v>0</v>
      </c>
    </row>
    <row r="1355" spans="1:14" x14ac:dyDescent="0.25">
      <c r="A1355" s="2"/>
      <c r="B1355" t="s">
        <v>3530</v>
      </c>
      <c r="C1355" t="s">
        <v>16</v>
      </c>
      <c r="D1355" t="s">
        <v>607</v>
      </c>
      <c r="E1355" t="s">
        <v>3518</v>
      </c>
      <c r="F1355" t="s">
        <v>3519</v>
      </c>
      <c r="G1355" t="s">
        <v>3531</v>
      </c>
      <c r="H1355" s="3">
        <v>3780</v>
      </c>
      <c r="I1355">
        <v>983</v>
      </c>
      <c r="J1355">
        <v>0</v>
      </c>
      <c r="K1355">
        <v>37</v>
      </c>
      <c r="L1355" s="4">
        <v>0.68444712963676801</v>
      </c>
      <c r="M1355" s="4">
        <v>0.31555287036323199</v>
      </c>
      <c r="N1355">
        <v>0</v>
      </c>
    </row>
    <row r="1356" spans="1:14" x14ac:dyDescent="0.25">
      <c r="A1356" s="2">
        <v>24108241</v>
      </c>
      <c r="C1356" t="s">
        <v>0</v>
      </c>
      <c r="D1356" t="s">
        <v>607</v>
      </c>
      <c r="E1356" t="s">
        <v>3518</v>
      </c>
      <c r="F1356" t="s">
        <v>3519</v>
      </c>
      <c r="G1356" t="s">
        <v>3532</v>
      </c>
      <c r="H1356" s="3">
        <v>3498</v>
      </c>
      <c r="I1356">
        <v>573</v>
      </c>
      <c r="J1356">
        <v>0</v>
      </c>
      <c r="L1356" s="4">
        <v>0.85981825779584597</v>
      </c>
      <c r="M1356" s="4">
        <v>0.140181742204154</v>
      </c>
      <c r="N1356">
        <v>0</v>
      </c>
    </row>
    <row r="1357" spans="1:14" x14ac:dyDescent="0.25">
      <c r="A1357" s="2"/>
      <c r="B1357" t="s">
        <v>3533</v>
      </c>
      <c r="C1357" t="s">
        <v>16</v>
      </c>
      <c r="D1357" t="s">
        <v>607</v>
      </c>
      <c r="E1357" t="s">
        <v>3518</v>
      </c>
      <c r="F1357" t="s">
        <v>3519</v>
      </c>
      <c r="G1357" t="s">
        <v>3534</v>
      </c>
      <c r="H1357" s="3">
        <v>1821.6</v>
      </c>
      <c r="I1357">
        <v>694</v>
      </c>
      <c r="J1357">
        <v>0</v>
      </c>
      <c r="K1357">
        <v>25</v>
      </c>
      <c r="L1357" s="4">
        <v>0.67000581788949098</v>
      </c>
      <c r="M1357" s="4">
        <v>0.32999418211051001</v>
      </c>
      <c r="N1357">
        <v>0</v>
      </c>
    </row>
    <row r="1358" spans="1:14" x14ac:dyDescent="0.25">
      <c r="A1358" s="2"/>
      <c r="B1358" t="s">
        <v>3535</v>
      </c>
      <c r="C1358" t="s">
        <v>16</v>
      </c>
      <c r="D1358" t="s">
        <v>607</v>
      </c>
      <c r="E1358" t="s">
        <v>3518</v>
      </c>
      <c r="F1358" t="s">
        <v>3519</v>
      </c>
      <c r="G1358" t="s">
        <v>3536</v>
      </c>
      <c r="H1358" s="3">
        <v>2562</v>
      </c>
      <c r="I1358">
        <v>523</v>
      </c>
      <c r="J1358">
        <v>0</v>
      </c>
      <c r="K1358">
        <v>2</v>
      </c>
      <c r="L1358" s="4">
        <v>0.59768626204059105</v>
      </c>
      <c r="M1358" s="4">
        <v>0.402313737959409</v>
      </c>
      <c r="N1358">
        <v>0</v>
      </c>
    </row>
    <row r="1359" spans="1:14" x14ac:dyDescent="0.25">
      <c r="A1359" s="2">
        <v>24157919</v>
      </c>
      <c r="B1359" t="s">
        <v>3537</v>
      </c>
      <c r="C1359" t="s">
        <v>31</v>
      </c>
      <c r="D1359" t="s">
        <v>607</v>
      </c>
      <c r="E1359" t="s">
        <v>3518</v>
      </c>
      <c r="F1359" t="s">
        <v>3519</v>
      </c>
      <c r="G1359" t="s">
        <v>3538</v>
      </c>
      <c r="H1359" s="3">
        <v>3498</v>
      </c>
      <c r="I1359">
        <v>167</v>
      </c>
      <c r="J1359">
        <v>0</v>
      </c>
      <c r="K1359">
        <v>31</v>
      </c>
      <c r="L1359" s="4">
        <v>3.3569641504780398E-3</v>
      </c>
      <c r="M1359" s="4">
        <v>0.99664303584952196</v>
      </c>
      <c r="N1359">
        <v>0</v>
      </c>
    </row>
    <row r="1360" spans="1:14" x14ac:dyDescent="0.25">
      <c r="A1360" s="2">
        <v>23149744</v>
      </c>
      <c r="B1360" t="s">
        <v>3539</v>
      </c>
      <c r="C1360" t="s">
        <v>31</v>
      </c>
      <c r="D1360" t="s">
        <v>607</v>
      </c>
      <c r="E1360" t="s">
        <v>3518</v>
      </c>
      <c r="F1360" t="s">
        <v>3519</v>
      </c>
      <c r="G1360" t="s">
        <v>3540</v>
      </c>
      <c r="H1360" s="3">
        <v>3642</v>
      </c>
      <c r="I1360">
        <v>795</v>
      </c>
      <c r="J1360">
        <v>0</v>
      </c>
      <c r="L1360" s="4">
        <v>0.69809716233304697</v>
      </c>
      <c r="M1360" s="4">
        <v>0.30190283766695403</v>
      </c>
      <c r="N1360">
        <v>0</v>
      </c>
    </row>
    <row r="1361" spans="1:14" x14ac:dyDescent="0.25">
      <c r="A1361" s="2"/>
      <c r="B1361" t="s">
        <v>3541</v>
      </c>
      <c r="C1361" t="s">
        <v>16</v>
      </c>
      <c r="D1361" t="s">
        <v>607</v>
      </c>
      <c r="E1361" t="s">
        <v>3518</v>
      </c>
      <c r="F1361" t="s">
        <v>3519</v>
      </c>
      <c r="G1361" t="s">
        <v>3542</v>
      </c>
      <c r="H1361" s="3">
        <v>3642</v>
      </c>
      <c r="I1361">
        <v>893</v>
      </c>
      <c r="J1361">
        <v>0</v>
      </c>
      <c r="K1361">
        <v>21</v>
      </c>
      <c r="L1361" s="4">
        <v>0.77015392988849796</v>
      </c>
      <c r="M1361" s="4">
        <v>0.22984607011150199</v>
      </c>
      <c r="N1361">
        <v>0</v>
      </c>
    </row>
    <row r="1362" spans="1:14" x14ac:dyDescent="0.25">
      <c r="A1362" s="2"/>
      <c r="B1362" t="s">
        <v>3543</v>
      </c>
      <c r="C1362" t="s">
        <v>16</v>
      </c>
      <c r="D1362" t="s">
        <v>607</v>
      </c>
      <c r="E1362" t="s">
        <v>3518</v>
      </c>
      <c r="F1362" t="s">
        <v>3519</v>
      </c>
      <c r="G1362" t="s">
        <v>3544</v>
      </c>
      <c r="H1362" s="3">
        <v>3642</v>
      </c>
      <c r="I1362">
        <v>16</v>
      </c>
      <c r="J1362">
        <v>0</v>
      </c>
      <c r="K1362">
        <v>11</v>
      </c>
      <c r="L1362" s="4">
        <v>0.63134612014732205</v>
      </c>
      <c r="M1362" s="4">
        <v>0.368653879852678</v>
      </c>
      <c r="N1362">
        <v>0</v>
      </c>
    </row>
    <row r="1363" spans="1:14" x14ac:dyDescent="0.25">
      <c r="A1363" s="2"/>
      <c r="B1363" t="s">
        <v>3545</v>
      </c>
      <c r="C1363" t="s">
        <v>16</v>
      </c>
      <c r="D1363" t="s">
        <v>607</v>
      </c>
      <c r="E1363" t="s">
        <v>3518</v>
      </c>
      <c r="F1363" t="s">
        <v>3519</v>
      </c>
      <c r="G1363" t="s">
        <v>3546</v>
      </c>
      <c r="H1363" s="3">
        <v>3642</v>
      </c>
      <c r="I1363">
        <v>107</v>
      </c>
      <c r="J1363">
        <v>0</v>
      </c>
      <c r="K1363">
        <v>36</v>
      </c>
      <c r="L1363" s="4">
        <v>0.28214557697291298</v>
      </c>
      <c r="M1363" s="4">
        <v>0.71785442302708702</v>
      </c>
      <c r="N1363">
        <v>0</v>
      </c>
    </row>
    <row r="1364" spans="1:14" x14ac:dyDescent="0.25">
      <c r="A1364" s="2"/>
      <c r="B1364" t="s">
        <v>3547</v>
      </c>
      <c r="C1364" t="s">
        <v>16</v>
      </c>
      <c r="D1364" t="s">
        <v>607</v>
      </c>
      <c r="E1364" t="s">
        <v>3518</v>
      </c>
      <c r="F1364" t="s">
        <v>3519</v>
      </c>
      <c r="G1364" t="s">
        <v>3548</v>
      </c>
      <c r="H1364" s="3">
        <v>3780</v>
      </c>
      <c r="I1364">
        <v>546</v>
      </c>
      <c r="J1364">
        <v>0</v>
      </c>
      <c r="K1364">
        <v>49</v>
      </c>
      <c r="L1364" s="4">
        <v>0.57236667085619697</v>
      </c>
      <c r="M1364" s="4">
        <v>0.42763332914380298</v>
      </c>
      <c r="N1364">
        <v>0</v>
      </c>
    </row>
    <row r="1365" spans="1:14" x14ac:dyDescent="0.25">
      <c r="A1365" s="2"/>
      <c r="B1365" t="s">
        <v>3549</v>
      </c>
      <c r="C1365" t="s">
        <v>16</v>
      </c>
      <c r="D1365" t="s">
        <v>607</v>
      </c>
      <c r="E1365" t="s">
        <v>3518</v>
      </c>
      <c r="F1365" t="s">
        <v>3519</v>
      </c>
      <c r="G1365" t="s">
        <v>3550</v>
      </c>
      <c r="H1365" s="3">
        <v>3780</v>
      </c>
      <c r="I1365">
        <v>167</v>
      </c>
      <c r="J1365">
        <v>1</v>
      </c>
      <c r="K1365">
        <v>40</v>
      </c>
      <c r="L1365" s="4">
        <v>0.99913340775445603</v>
      </c>
      <c r="M1365" s="4">
        <v>8.6659224554397297E-4</v>
      </c>
      <c r="N1365">
        <v>0</v>
      </c>
    </row>
    <row r="1366" spans="1:14" x14ac:dyDescent="0.25">
      <c r="A1366" s="2"/>
      <c r="B1366" t="s">
        <v>3551</v>
      </c>
      <c r="C1366" t="s">
        <v>16</v>
      </c>
      <c r="D1366" t="s">
        <v>607</v>
      </c>
      <c r="E1366" t="s">
        <v>3518</v>
      </c>
      <c r="F1366" t="s">
        <v>3519</v>
      </c>
      <c r="G1366" t="s">
        <v>3552</v>
      </c>
      <c r="H1366" s="3">
        <v>3780</v>
      </c>
      <c r="I1366">
        <v>505</v>
      </c>
      <c r="J1366">
        <v>0</v>
      </c>
      <c r="K1366">
        <v>48</v>
      </c>
      <c r="L1366" s="4">
        <v>0.947176741269247</v>
      </c>
      <c r="M1366" s="4">
        <v>5.2823258730753102E-2</v>
      </c>
      <c r="N1366">
        <v>0</v>
      </c>
    </row>
    <row r="1367" spans="1:14" x14ac:dyDescent="0.25">
      <c r="A1367" s="2"/>
      <c r="B1367" t="s">
        <v>3553</v>
      </c>
      <c r="C1367" t="s">
        <v>16</v>
      </c>
      <c r="D1367" t="s">
        <v>607</v>
      </c>
      <c r="E1367" t="s">
        <v>3518</v>
      </c>
      <c r="F1367" t="s">
        <v>3519</v>
      </c>
      <c r="G1367" t="s">
        <v>3554</v>
      </c>
      <c r="H1367" s="3">
        <v>2562</v>
      </c>
      <c r="I1367">
        <v>638</v>
      </c>
      <c r="J1367">
        <v>0</v>
      </c>
      <c r="K1367">
        <v>45</v>
      </c>
      <c r="L1367" s="4">
        <v>4.14832643571739E-2</v>
      </c>
      <c r="M1367" s="4">
        <v>0.95851673564282602</v>
      </c>
      <c r="N1367">
        <v>0</v>
      </c>
    </row>
    <row r="1368" spans="1:14" x14ac:dyDescent="0.25">
      <c r="A1368" s="2"/>
      <c r="B1368" t="s">
        <v>3555</v>
      </c>
      <c r="C1368" t="s">
        <v>16</v>
      </c>
      <c r="D1368" t="s">
        <v>607</v>
      </c>
      <c r="E1368" t="s">
        <v>3556</v>
      </c>
      <c r="F1368" t="s">
        <v>3557</v>
      </c>
      <c r="G1368" t="s">
        <v>3558</v>
      </c>
      <c r="H1368" s="3">
        <v>1272.8599999999999</v>
      </c>
      <c r="I1368">
        <v>59</v>
      </c>
      <c r="J1368">
        <v>0</v>
      </c>
      <c r="K1368">
        <v>29</v>
      </c>
      <c r="L1368" s="4">
        <v>0.15596474238343</v>
      </c>
      <c r="M1368" s="4">
        <v>0.84403525761656994</v>
      </c>
      <c r="N1368">
        <v>0</v>
      </c>
    </row>
    <row r="1369" spans="1:14" x14ac:dyDescent="0.25">
      <c r="A1369" s="2"/>
      <c r="B1369" t="s">
        <v>3559</v>
      </c>
      <c r="C1369" t="s">
        <v>16</v>
      </c>
      <c r="D1369" t="s">
        <v>607</v>
      </c>
      <c r="E1369" t="s">
        <v>3560</v>
      </c>
      <c r="F1369" t="s">
        <v>3561</v>
      </c>
      <c r="G1369" t="s">
        <v>3562</v>
      </c>
      <c r="H1369" s="3">
        <v>1068</v>
      </c>
      <c r="J1369">
        <v>0</v>
      </c>
      <c r="K1369">
        <v>3</v>
      </c>
      <c r="L1369" s="4">
        <v>0.37188348540201799</v>
      </c>
      <c r="M1369" s="4">
        <v>0.62811651459798201</v>
      </c>
      <c r="N1369">
        <v>0</v>
      </c>
    </row>
    <row r="1370" spans="1:14" x14ac:dyDescent="0.25">
      <c r="A1370" s="2"/>
      <c r="B1370" t="s">
        <v>3563</v>
      </c>
      <c r="C1370" t="s">
        <v>16</v>
      </c>
      <c r="D1370" t="s">
        <v>547</v>
      </c>
      <c r="E1370" t="s">
        <v>3564</v>
      </c>
      <c r="F1370" t="s">
        <v>3565</v>
      </c>
      <c r="G1370" t="s">
        <v>3566</v>
      </c>
      <c r="H1370" s="3">
        <v>3600</v>
      </c>
      <c r="I1370">
        <v>38</v>
      </c>
      <c r="J1370">
        <v>0</v>
      </c>
      <c r="K1370">
        <v>9</v>
      </c>
      <c r="L1370" s="4">
        <v>0.17193768652414601</v>
      </c>
      <c r="M1370" s="4">
        <v>0.82806231347585502</v>
      </c>
      <c r="N1370">
        <v>0</v>
      </c>
    </row>
    <row r="1371" spans="1:14" x14ac:dyDescent="0.25">
      <c r="A1371" s="2"/>
      <c r="B1371" t="s">
        <v>3567</v>
      </c>
      <c r="C1371" t="s">
        <v>16</v>
      </c>
      <c r="D1371" t="s">
        <v>547</v>
      </c>
      <c r="E1371" t="s">
        <v>3564</v>
      </c>
      <c r="F1371" t="s">
        <v>3565</v>
      </c>
      <c r="G1371" t="s">
        <v>3568</v>
      </c>
      <c r="H1371" s="3">
        <v>3600</v>
      </c>
      <c r="I1371">
        <v>926</v>
      </c>
      <c r="J1371">
        <v>1</v>
      </c>
      <c r="L1371" s="4">
        <v>0.82018986980054298</v>
      </c>
      <c r="M1371" s="4">
        <v>0.17981013019945799</v>
      </c>
      <c r="N1371">
        <v>0</v>
      </c>
    </row>
    <row r="1372" spans="1:14" x14ac:dyDescent="0.25">
      <c r="A1372" s="2">
        <v>23328711</v>
      </c>
      <c r="B1372" t="s">
        <v>3569</v>
      </c>
      <c r="C1372" t="s">
        <v>31</v>
      </c>
      <c r="D1372" t="s">
        <v>110</v>
      </c>
      <c r="E1372" t="s">
        <v>3570</v>
      </c>
      <c r="F1372" t="s">
        <v>3571</v>
      </c>
      <c r="G1372" t="s">
        <v>3572</v>
      </c>
      <c r="H1372" s="3">
        <v>2040</v>
      </c>
      <c r="I1372">
        <v>572</v>
      </c>
      <c r="J1372">
        <v>0</v>
      </c>
      <c r="L1372" s="4">
        <v>0.38010176921724398</v>
      </c>
      <c r="M1372" s="4">
        <v>0.61989823078275597</v>
      </c>
      <c r="N1372">
        <v>0</v>
      </c>
    </row>
    <row r="1373" spans="1:14" x14ac:dyDescent="0.25">
      <c r="A1373" s="2"/>
      <c r="B1373" t="s">
        <v>3573</v>
      </c>
      <c r="C1373" t="s">
        <v>16</v>
      </c>
      <c r="D1373" t="s">
        <v>110</v>
      </c>
      <c r="E1373" t="s">
        <v>3570</v>
      </c>
      <c r="F1373" t="s">
        <v>3574</v>
      </c>
      <c r="G1373" t="s">
        <v>3575</v>
      </c>
      <c r="H1373" s="3">
        <v>1700</v>
      </c>
      <c r="I1373">
        <v>353</v>
      </c>
      <c r="J1373">
        <v>0</v>
      </c>
      <c r="K1373">
        <v>7</v>
      </c>
      <c r="L1373" s="4">
        <v>0.69042012360815397</v>
      </c>
      <c r="M1373" s="4">
        <v>0.30957987639184598</v>
      </c>
      <c r="N1373">
        <v>0</v>
      </c>
    </row>
    <row r="1374" spans="1:14" x14ac:dyDescent="0.25">
      <c r="A1374" s="2">
        <v>23434854</v>
      </c>
      <c r="B1374" t="s">
        <v>3576</v>
      </c>
      <c r="C1374" t="s">
        <v>31</v>
      </c>
      <c r="D1374" t="s">
        <v>3577</v>
      </c>
      <c r="E1374" t="s">
        <v>3578</v>
      </c>
      <c r="F1374" t="s">
        <v>3579</v>
      </c>
      <c r="G1374" t="s">
        <v>3580</v>
      </c>
      <c r="H1374" s="3">
        <v>2110.15</v>
      </c>
      <c r="I1374">
        <v>943</v>
      </c>
      <c r="J1374">
        <v>1</v>
      </c>
      <c r="K1374">
        <v>3</v>
      </c>
      <c r="L1374" s="4">
        <v>0.28923814861376701</v>
      </c>
      <c r="M1374" s="4">
        <v>0.71076185138623404</v>
      </c>
      <c r="N1374">
        <v>0</v>
      </c>
    </row>
    <row r="1375" spans="1:14" x14ac:dyDescent="0.25">
      <c r="A1375" s="2">
        <v>22959727</v>
      </c>
      <c r="B1375" t="s">
        <v>3581</v>
      </c>
      <c r="C1375" t="s">
        <v>31</v>
      </c>
      <c r="D1375" t="s">
        <v>17</v>
      </c>
      <c r="E1375" t="s">
        <v>3582</v>
      </c>
      <c r="F1375" t="s">
        <v>3583</v>
      </c>
      <c r="G1375" t="s">
        <v>3584</v>
      </c>
      <c r="H1375" s="3">
        <v>2292.64</v>
      </c>
      <c r="J1375">
        <v>0</v>
      </c>
      <c r="K1375">
        <v>50</v>
      </c>
      <c r="L1375" s="4">
        <v>0.73857889826001399</v>
      </c>
      <c r="M1375" s="4">
        <v>0.26142110173998601</v>
      </c>
      <c r="N1375">
        <v>0</v>
      </c>
    </row>
    <row r="1376" spans="1:14" x14ac:dyDescent="0.25">
      <c r="A1376" s="2">
        <v>23639206</v>
      </c>
      <c r="C1376" t="s">
        <v>0</v>
      </c>
      <c r="D1376" t="s">
        <v>17</v>
      </c>
      <c r="E1376" t="s">
        <v>3582</v>
      </c>
      <c r="F1376" t="s">
        <v>3583</v>
      </c>
      <c r="G1376" t="s">
        <v>3585</v>
      </c>
      <c r="H1376" s="3">
        <v>2387.4899999999998</v>
      </c>
      <c r="I1376">
        <v>740</v>
      </c>
      <c r="J1376">
        <v>0</v>
      </c>
      <c r="K1376">
        <v>39</v>
      </c>
      <c r="L1376" s="4">
        <v>7.8750100045411803E-2</v>
      </c>
      <c r="M1376" s="4">
        <v>0.92124989995458795</v>
      </c>
      <c r="N1376">
        <v>0</v>
      </c>
    </row>
    <row r="1377" spans="1:14" x14ac:dyDescent="0.25">
      <c r="A1377" s="2"/>
      <c r="B1377" t="s">
        <v>3586</v>
      </c>
      <c r="C1377" t="s">
        <v>16</v>
      </c>
      <c r="D1377" t="s">
        <v>17</v>
      </c>
      <c r="E1377" t="s">
        <v>3582</v>
      </c>
      <c r="F1377" t="s">
        <v>3583</v>
      </c>
      <c r="G1377" t="s">
        <v>3587</v>
      </c>
      <c r="H1377" s="3">
        <v>2396.5700000000002</v>
      </c>
      <c r="I1377">
        <v>112</v>
      </c>
      <c r="J1377">
        <v>1</v>
      </c>
      <c r="K1377">
        <v>39</v>
      </c>
      <c r="L1377" s="4">
        <v>0.64950555502166596</v>
      </c>
      <c r="M1377" s="4">
        <v>0.35049444497833399</v>
      </c>
      <c r="N1377">
        <v>0</v>
      </c>
    </row>
    <row r="1378" spans="1:14" x14ac:dyDescent="0.25">
      <c r="A1378" s="2"/>
      <c r="B1378" t="s">
        <v>3588</v>
      </c>
      <c r="C1378" t="s">
        <v>16</v>
      </c>
      <c r="D1378" t="s">
        <v>17</v>
      </c>
      <c r="E1378" t="s">
        <v>3582</v>
      </c>
      <c r="F1378" t="s">
        <v>3583</v>
      </c>
      <c r="G1378" t="s">
        <v>3589</v>
      </c>
      <c r="H1378" s="3">
        <v>2408.6799999999998</v>
      </c>
      <c r="I1378">
        <v>757</v>
      </c>
      <c r="J1378">
        <v>0</v>
      </c>
      <c r="K1378">
        <v>43</v>
      </c>
      <c r="L1378" s="4">
        <v>0.36016426138546997</v>
      </c>
      <c r="M1378" s="4">
        <v>0.63983573861453003</v>
      </c>
      <c r="N1378">
        <v>0</v>
      </c>
    </row>
    <row r="1379" spans="1:14" x14ac:dyDescent="0.25">
      <c r="A1379" s="2"/>
      <c r="B1379" t="s">
        <v>3590</v>
      </c>
      <c r="C1379" t="s">
        <v>16</v>
      </c>
      <c r="D1379" t="s">
        <v>17</v>
      </c>
      <c r="E1379" t="s">
        <v>3582</v>
      </c>
      <c r="F1379" t="s">
        <v>3583</v>
      </c>
      <c r="G1379" t="s">
        <v>3591</v>
      </c>
      <c r="H1379" s="3">
        <v>2415.37</v>
      </c>
      <c r="I1379">
        <v>461</v>
      </c>
      <c r="J1379">
        <v>1</v>
      </c>
      <c r="K1379">
        <v>50</v>
      </c>
      <c r="L1379" s="4">
        <v>3.1545878464221501E-2</v>
      </c>
      <c r="M1379" s="4">
        <v>0.96845412153577903</v>
      </c>
      <c r="N1379">
        <v>0</v>
      </c>
    </row>
    <row r="1380" spans="1:14" x14ac:dyDescent="0.25">
      <c r="A1380" s="2"/>
      <c r="B1380" t="s">
        <v>3592</v>
      </c>
      <c r="C1380" t="s">
        <v>16</v>
      </c>
      <c r="D1380" t="s">
        <v>17</v>
      </c>
      <c r="E1380" t="s">
        <v>3582</v>
      </c>
      <c r="F1380" t="s">
        <v>3583</v>
      </c>
      <c r="G1380" t="s">
        <v>3593</v>
      </c>
      <c r="H1380" s="3">
        <v>2415.37</v>
      </c>
      <c r="I1380">
        <v>237</v>
      </c>
      <c r="J1380">
        <v>1</v>
      </c>
      <c r="K1380">
        <v>8</v>
      </c>
      <c r="L1380" s="4">
        <v>0.77934040599112497</v>
      </c>
      <c r="M1380" s="4">
        <v>0.220659594008875</v>
      </c>
      <c r="N1380">
        <v>0</v>
      </c>
    </row>
    <row r="1381" spans="1:14" x14ac:dyDescent="0.25">
      <c r="A1381" s="2"/>
      <c r="B1381" t="s">
        <v>3594</v>
      </c>
      <c r="C1381" t="s">
        <v>16</v>
      </c>
      <c r="D1381" t="s">
        <v>17</v>
      </c>
      <c r="E1381" t="s">
        <v>3582</v>
      </c>
      <c r="F1381" t="s">
        <v>3583</v>
      </c>
      <c r="G1381" t="s">
        <v>3595</v>
      </c>
      <c r="H1381" s="3">
        <v>2415.37</v>
      </c>
      <c r="I1381">
        <v>230</v>
      </c>
      <c r="J1381">
        <v>1</v>
      </c>
      <c r="K1381">
        <v>31</v>
      </c>
      <c r="L1381" s="4">
        <v>0.102140104538475</v>
      </c>
      <c r="M1381" s="4">
        <v>0.897859895461525</v>
      </c>
      <c r="N1381">
        <v>0</v>
      </c>
    </row>
    <row r="1382" spans="1:14" x14ac:dyDescent="0.25">
      <c r="A1382" s="2"/>
      <c r="B1382" t="s">
        <v>3596</v>
      </c>
      <c r="C1382" t="s">
        <v>16</v>
      </c>
      <c r="D1382" t="s">
        <v>17</v>
      </c>
      <c r="E1382" t="s">
        <v>3582</v>
      </c>
      <c r="F1382" t="s">
        <v>3583</v>
      </c>
      <c r="G1382" t="s">
        <v>3597</v>
      </c>
      <c r="H1382" s="3">
        <v>2420.16</v>
      </c>
      <c r="I1382">
        <v>818</v>
      </c>
      <c r="J1382">
        <v>1</v>
      </c>
      <c r="L1382" s="4">
        <v>0.40828216533031098</v>
      </c>
      <c r="M1382" s="4">
        <v>0.59171783466968897</v>
      </c>
      <c r="N1382">
        <v>0</v>
      </c>
    </row>
    <row r="1383" spans="1:14" x14ac:dyDescent="0.25">
      <c r="A1383" s="2">
        <v>18755526</v>
      </c>
      <c r="C1383" t="s">
        <v>0</v>
      </c>
      <c r="D1383" t="s">
        <v>17</v>
      </c>
      <c r="E1383" t="s">
        <v>3598</v>
      </c>
      <c r="F1383" t="s">
        <v>3599</v>
      </c>
      <c r="G1383" t="s">
        <v>3600</v>
      </c>
      <c r="H1383" s="3">
        <v>2218.5500000000002</v>
      </c>
      <c r="I1383">
        <v>304</v>
      </c>
      <c r="J1383">
        <v>0</v>
      </c>
      <c r="K1383">
        <v>45</v>
      </c>
      <c r="L1383" s="4">
        <v>0.42868756218749898</v>
      </c>
      <c r="M1383" s="4">
        <v>0.57131243781250096</v>
      </c>
      <c r="N1383">
        <v>0</v>
      </c>
    </row>
    <row r="1384" spans="1:14" x14ac:dyDescent="0.25">
      <c r="A1384" s="2">
        <v>23396186</v>
      </c>
      <c r="B1384" t="s">
        <v>3601</v>
      </c>
      <c r="C1384" t="s">
        <v>31</v>
      </c>
      <c r="D1384" t="s">
        <v>17</v>
      </c>
      <c r="E1384" t="s">
        <v>3602</v>
      </c>
      <c r="F1384" t="s">
        <v>3603</v>
      </c>
      <c r="G1384" t="s">
        <v>3604</v>
      </c>
      <c r="H1384" s="3">
        <v>2397.64</v>
      </c>
      <c r="J1384">
        <v>1</v>
      </c>
      <c r="K1384">
        <v>25</v>
      </c>
      <c r="L1384" s="4">
        <v>0.12547304860713401</v>
      </c>
      <c r="M1384" s="4">
        <v>0.87452695139286596</v>
      </c>
      <c r="N1384">
        <v>0</v>
      </c>
    </row>
    <row r="1385" spans="1:14" x14ac:dyDescent="0.25">
      <c r="A1385" s="2"/>
      <c r="B1385" t="s">
        <v>3605</v>
      </c>
      <c r="C1385" t="s">
        <v>16</v>
      </c>
      <c r="D1385" t="s">
        <v>17</v>
      </c>
      <c r="E1385" t="s">
        <v>3606</v>
      </c>
      <c r="F1385" t="s">
        <v>3607</v>
      </c>
      <c r="G1385" t="s">
        <v>3608</v>
      </c>
      <c r="H1385" s="3">
        <v>2281.08</v>
      </c>
      <c r="I1385">
        <v>310</v>
      </c>
      <c r="J1385">
        <v>0</v>
      </c>
      <c r="K1385">
        <v>19</v>
      </c>
      <c r="L1385" s="4">
        <v>0.72088740845851995</v>
      </c>
      <c r="M1385" s="4">
        <v>0.27911259154147999</v>
      </c>
      <c r="N1385">
        <v>0</v>
      </c>
    </row>
    <row r="1386" spans="1:14" x14ac:dyDescent="0.25">
      <c r="A1386" s="2"/>
      <c r="C1386" t="s">
        <v>28</v>
      </c>
      <c r="D1386" t="s">
        <v>17</v>
      </c>
      <c r="E1386" t="s">
        <v>3606</v>
      </c>
      <c r="F1386" t="s">
        <v>3607</v>
      </c>
      <c r="G1386" t="s">
        <v>3609</v>
      </c>
      <c r="H1386" s="3">
        <v>2415.37</v>
      </c>
      <c r="I1386">
        <v>7</v>
      </c>
      <c r="J1386">
        <v>1</v>
      </c>
      <c r="K1386">
        <v>11</v>
      </c>
      <c r="L1386" s="4">
        <v>0.13483682360674301</v>
      </c>
      <c r="M1386" s="4">
        <v>0.86516317639325702</v>
      </c>
      <c r="N1386">
        <v>0</v>
      </c>
    </row>
    <row r="1387" spans="1:14" x14ac:dyDescent="0.25">
      <c r="A1387" s="2"/>
      <c r="C1387" t="s">
        <v>28</v>
      </c>
      <c r="D1387" t="s">
        <v>3577</v>
      </c>
      <c r="E1387" t="s">
        <v>3610</v>
      </c>
      <c r="F1387" t="s">
        <v>3599</v>
      </c>
      <c r="G1387" t="s">
        <v>3611</v>
      </c>
      <c r="H1387" s="3">
        <v>2061.8200000000002</v>
      </c>
      <c r="I1387">
        <v>963</v>
      </c>
      <c r="J1387">
        <v>0</v>
      </c>
      <c r="K1387">
        <v>5</v>
      </c>
      <c r="L1387" s="4">
        <v>0.21129321009378199</v>
      </c>
      <c r="M1387" s="4">
        <v>0.78870678990621801</v>
      </c>
      <c r="N1387">
        <v>0</v>
      </c>
    </row>
    <row r="1388" spans="1:14" x14ac:dyDescent="0.25">
      <c r="A1388" s="2">
        <v>23075508</v>
      </c>
      <c r="B1388" t="s">
        <v>3612</v>
      </c>
      <c r="C1388" t="s">
        <v>31</v>
      </c>
      <c r="D1388" t="s">
        <v>3577</v>
      </c>
      <c r="E1388" t="s">
        <v>3613</v>
      </c>
      <c r="F1388" t="s">
        <v>3614</v>
      </c>
      <c r="G1388" t="s">
        <v>3615</v>
      </c>
      <c r="H1388" s="3">
        <v>2075.98</v>
      </c>
      <c r="I1388">
        <v>970</v>
      </c>
      <c r="J1388">
        <v>0</v>
      </c>
      <c r="K1388">
        <v>47</v>
      </c>
      <c r="L1388" s="4">
        <v>0.348379365322461</v>
      </c>
      <c r="M1388" s="4">
        <v>0.65162063467753895</v>
      </c>
      <c r="N1388">
        <v>0</v>
      </c>
    </row>
    <row r="1389" spans="1:14" x14ac:dyDescent="0.25">
      <c r="A1389" s="2"/>
      <c r="B1389" t="s">
        <v>3616</v>
      </c>
      <c r="C1389" t="s">
        <v>16</v>
      </c>
      <c r="D1389" t="s">
        <v>69</v>
      </c>
      <c r="E1389" t="s">
        <v>3617</v>
      </c>
      <c r="F1389" t="s">
        <v>3618</v>
      </c>
      <c r="G1389" t="s">
        <v>3619</v>
      </c>
      <c r="H1389" s="3">
        <v>2382.11</v>
      </c>
      <c r="I1389">
        <v>820</v>
      </c>
      <c r="J1389">
        <v>1</v>
      </c>
      <c r="K1389">
        <v>46</v>
      </c>
      <c r="L1389" s="4">
        <v>0.334459154080677</v>
      </c>
      <c r="M1389" s="4">
        <v>0.66554084591932305</v>
      </c>
      <c r="N1389">
        <v>0</v>
      </c>
    </row>
    <row r="1390" spans="1:14" x14ac:dyDescent="0.25">
      <c r="A1390" s="2">
        <v>23672768</v>
      </c>
      <c r="C1390" t="s">
        <v>0</v>
      </c>
      <c r="D1390" t="s">
        <v>17</v>
      </c>
      <c r="E1390" t="s">
        <v>3620</v>
      </c>
      <c r="F1390" t="s">
        <v>3621</v>
      </c>
      <c r="G1390" t="s">
        <v>3622</v>
      </c>
      <c r="H1390" s="3">
        <v>1758.89</v>
      </c>
      <c r="I1390">
        <v>96</v>
      </c>
      <c r="J1390">
        <v>1</v>
      </c>
      <c r="K1390">
        <v>18</v>
      </c>
      <c r="L1390" s="4">
        <v>6.7199647428268103E-2</v>
      </c>
      <c r="M1390" s="4">
        <v>0.93280035257173199</v>
      </c>
      <c r="N1390">
        <v>0</v>
      </c>
    </row>
    <row r="1391" spans="1:14" x14ac:dyDescent="0.25">
      <c r="A1391" s="2">
        <v>23046981</v>
      </c>
      <c r="C1391" t="s">
        <v>0</v>
      </c>
      <c r="D1391" t="s">
        <v>17</v>
      </c>
      <c r="E1391" t="s">
        <v>3620</v>
      </c>
      <c r="F1391" t="s">
        <v>3621</v>
      </c>
      <c r="G1391" t="s">
        <v>3623</v>
      </c>
      <c r="H1391" s="3">
        <v>2345</v>
      </c>
      <c r="I1391">
        <v>106</v>
      </c>
      <c r="J1391">
        <v>0</v>
      </c>
      <c r="K1391">
        <v>11</v>
      </c>
      <c r="L1391" s="4">
        <v>0.68577471153751102</v>
      </c>
      <c r="M1391" s="4">
        <v>0.31422528846248898</v>
      </c>
      <c r="N1391">
        <v>0</v>
      </c>
    </row>
    <row r="1392" spans="1:14" x14ac:dyDescent="0.25">
      <c r="A1392" s="2"/>
      <c r="B1392" t="s">
        <v>3624</v>
      </c>
      <c r="C1392" t="s">
        <v>16</v>
      </c>
      <c r="D1392" t="s">
        <v>17</v>
      </c>
      <c r="E1392" t="s">
        <v>3620</v>
      </c>
      <c r="F1392" t="s">
        <v>3621</v>
      </c>
      <c r="G1392" t="s">
        <v>3625</v>
      </c>
      <c r="H1392" s="3">
        <v>1747.16</v>
      </c>
      <c r="I1392">
        <v>627</v>
      </c>
      <c r="J1392">
        <v>1</v>
      </c>
      <c r="K1392">
        <v>3</v>
      </c>
      <c r="L1392" s="4">
        <v>0.118596739284922</v>
      </c>
      <c r="M1392" s="4">
        <v>0.88140326071507802</v>
      </c>
      <c r="N1392">
        <v>0</v>
      </c>
    </row>
    <row r="1393" spans="1:14" x14ac:dyDescent="0.25">
      <c r="A1393" s="2"/>
      <c r="B1393" t="s">
        <v>3626</v>
      </c>
      <c r="C1393" t="s">
        <v>16</v>
      </c>
      <c r="D1393" t="s">
        <v>17</v>
      </c>
      <c r="E1393" t="s">
        <v>3620</v>
      </c>
      <c r="F1393" t="s">
        <v>3621</v>
      </c>
      <c r="G1393" t="s">
        <v>3627</v>
      </c>
      <c r="H1393" s="3">
        <v>1760.94</v>
      </c>
      <c r="I1393">
        <v>365</v>
      </c>
      <c r="J1393">
        <v>1</v>
      </c>
      <c r="K1393">
        <v>32</v>
      </c>
      <c r="L1393" s="4">
        <v>0.45920684915175097</v>
      </c>
      <c r="M1393" s="4">
        <v>0.54079315084824897</v>
      </c>
      <c r="N1393">
        <v>0</v>
      </c>
    </row>
    <row r="1394" spans="1:14" x14ac:dyDescent="0.25">
      <c r="A1394" s="2"/>
      <c r="B1394" t="s">
        <v>3628</v>
      </c>
      <c r="C1394" t="s">
        <v>16</v>
      </c>
      <c r="D1394" t="s">
        <v>17</v>
      </c>
      <c r="E1394" t="s">
        <v>3620</v>
      </c>
      <c r="F1394" t="s">
        <v>3621</v>
      </c>
      <c r="G1394" t="s">
        <v>3629</v>
      </c>
      <c r="H1394" s="3">
        <v>1762.69</v>
      </c>
      <c r="I1394">
        <v>234</v>
      </c>
      <c r="J1394">
        <v>0</v>
      </c>
      <c r="K1394">
        <v>44</v>
      </c>
      <c r="L1394" s="4">
        <v>0.60572260951477697</v>
      </c>
      <c r="M1394" s="4">
        <v>0.39427739048522298</v>
      </c>
      <c r="N1394">
        <v>0</v>
      </c>
    </row>
    <row r="1395" spans="1:14" x14ac:dyDescent="0.25">
      <c r="A1395" s="2"/>
      <c r="B1395" t="s">
        <v>3630</v>
      </c>
      <c r="C1395" t="s">
        <v>16</v>
      </c>
      <c r="D1395" t="s">
        <v>17</v>
      </c>
      <c r="E1395" t="s">
        <v>3620</v>
      </c>
      <c r="F1395" t="s">
        <v>3621</v>
      </c>
      <c r="G1395" t="s">
        <v>3631</v>
      </c>
      <c r="H1395" s="3">
        <v>1762.69</v>
      </c>
      <c r="I1395">
        <v>548</v>
      </c>
      <c r="J1395">
        <v>1</v>
      </c>
      <c r="K1395">
        <v>6</v>
      </c>
      <c r="L1395" s="4">
        <v>0.95263509610834796</v>
      </c>
      <c r="M1395" s="4">
        <v>4.7364903891651898E-2</v>
      </c>
      <c r="N1395">
        <v>0</v>
      </c>
    </row>
    <row r="1396" spans="1:14" x14ac:dyDescent="0.25">
      <c r="A1396" s="2"/>
      <c r="C1396" t="s">
        <v>28</v>
      </c>
      <c r="D1396" t="s">
        <v>17</v>
      </c>
      <c r="E1396" t="s">
        <v>3620</v>
      </c>
      <c r="F1396" t="s">
        <v>3621</v>
      </c>
      <c r="G1396" t="s">
        <v>3632</v>
      </c>
      <c r="H1396" s="3">
        <v>1779.76</v>
      </c>
      <c r="I1396">
        <v>24</v>
      </c>
      <c r="J1396">
        <v>0</v>
      </c>
      <c r="K1396">
        <v>46</v>
      </c>
      <c r="L1396" s="4">
        <v>0.53463187376486998</v>
      </c>
      <c r="M1396" s="4">
        <v>0.46536812623513002</v>
      </c>
      <c r="N1396">
        <v>0</v>
      </c>
    </row>
    <row r="1397" spans="1:14" x14ac:dyDescent="0.25">
      <c r="A1397" s="2"/>
      <c r="B1397" t="s">
        <v>3633</v>
      </c>
      <c r="C1397" t="s">
        <v>16</v>
      </c>
      <c r="D1397" t="s">
        <v>17</v>
      </c>
      <c r="E1397" t="s">
        <v>3620</v>
      </c>
      <c r="F1397" t="s">
        <v>3621</v>
      </c>
      <c r="G1397" t="s">
        <v>3634</v>
      </c>
      <c r="H1397" s="3">
        <v>1961.25</v>
      </c>
      <c r="I1397">
        <v>460</v>
      </c>
      <c r="J1397">
        <v>0</v>
      </c>
      <c r="K1397">
        <v>5</v>
      </c>
      <c r="L1397" s="4">
        <v>0.31180788185246899</v>
      </c>
      <c r="M1397" s="4">
        <v>0.68819211814753101</v>
      </c>
      <c r="N1397">
        <v>0</v>
      </c>
    </row>
    <row r="1398" spans="1:14" x14ac:dyDescent="0.25">
      <c r="A1398" s="2"/>
      <c r="B1398" t="s">
        <v>3635</v>
      </c>
      <c r="C1398" t="s">
        <v>16</v>
      </c>
      <c r="D1398" t="s">
        <v>17</v>
      </c>
      <c r="E1398" t="s">
        <v>3620</v>
      </c>
      <c r="F1398" t="s">
        <v>3621</v>
      </c>
      <c r="G1398" t="s">
        <v>3636</v>
      </c>
      <c r="H1398" s="3">
        <v>2100.54</v>
      </c>
      <c r="I1398">
        <v>445</v>
      </c>
      <c r="K1398">
        <v>13</v>
      </c>
      <c r="L1398" s="4">
        <v>0.41560788502170098</v>
      </c>
      <c r="M1398" s="4">
        <v>0.58439211497829902</v>
      </c>
      <c r="N1398">
        <v>0</v>
      </c>
    </row>
    <row r="1399" spans="1:14" x14ac:dyDescent="0.25">
      <c r="A1399" s="2"/>
      <c r="B1399" t="s">
        <v>3637</v>
      </c>
      <c r="C1399" t="s">
        <v>16</v>
      </c>
      <c r="D1399" t="s">
        <v>17</v>
      </c>
      <c r="E1399" t="s">
        <v>3620</v>
      </c>
      <c r="F1399" t="s">
        <v>3621</v>
      </c>
      <c r="G1399" t="s">
        <v>3638</v>
      </c>
      <c r="H1399" s="3">
        <v>2118.5700000000002</v>
      </c>
      <c r="I1399">
        <v>694</v>
      </c>
      <c r="J1399">
        <v>1</v>
      </c>
      <c r="K1399">
        <v>3</v>
      </c>
      <c r="L1399" s="4">
        <v>0.32991417342252399</v>
      </c>
      <c r="M1399" s="4">
        <v>0.67008582657747595</v>
      </c>
      <c r="N1399">
        <v>0</v>
      </c>
    </row>
    <row r="1400" spans="1:14" x14ac:dyDescent="0.25">
      <c r="A1400" s="2"/>
      <c r="B1400" t="s">
        <v>3639</v>
      </c>
      <c r="C1400" t="s">
        <v>16</v>
      </c>
      <c r="D1400" t="s">
        <v>17</v>
      </c>
      <c r="E1400" t="s">
        <v>3620</v>
      </c>
      <c r="F1400" t="s">
        <v>3621</v>
      </c>
      <c r="G1400" t="s">
        <v>3640</v>
      </c>
      <c r="H1400" s="3">
        <v>2142.8000000000002</v>
      </c>
      <c r="I1400">
        <v>51</v>
      </c>
      <c r="J1400">
        <v>1</v>
      </c>
      <c r="K1400">
        <v>37</v>
      </c>
      <c r="L1400" s="4">
        <v>0.94172665506637898</v>
      </c>
      <c r="M1400" s="4">
        <v>5.8273344933621497E-2</v>
      </c>
      <c r="N1400">
        <v>950</v>
      </c>
    </row>
    <row r="1401" spans="1:14" x14ac:dyDescent="0.25">
      <c r="A1401" s="2"/>
      <c r="B1401" t="s">
        <v>3641</v>
      </c>
      <c r="C1401" t="s">
        <v>16</v>
      </c>
      <c r="D1401" t="s">
        <v>17</v>
      </c>
      <c r="E1401" t="s">
        <v>3620</v>
      </c>
      <c r="F1401" t="s">
        <v>3621</v>
      </c>
      <c r="G1401" t="s">
        <v>3642</v>
      </c>
      <c r="H1401" s="3">
        <v>2224.4699999999998</v>
      </c>
      <c r="J1401">
        <v>0</v>
      </c>
      <c r="K1401">
        <v>14</v>
      </c>
      <c r="L1401" s="4">
        <v>0.34422323380098502</v>
      </c>
      <c r="M1401" s="4">
        <v>0.65577676619901504</v>
      </c>
      <c r="N1401">
        <v>0</v>
      </c>
    </row>
    <row r="1402" spans="1:14" x14ac:dyDescent="0.25">
      <c r="A1402" s="2">
        <v>23034517</v>
      </c>
      <c r="B1402" t="s">
        <v>3643</v>
      </c>
      <c r="C1402" t="s">
        <v>31</v>
      </c>
      <c r="D1402" t="s">
        <v>17</v>
      </c>
      <c r="E1402" t="s">
        <v>3620</v>
      </c>
      <c r="F1402" t="s">
        <v>3621</v>
      </c>
      <c r="G1402" t="s">
        <v>3644</v>
      </c>
      <c r="H1402" s="3">
        <v>2280.14</v>
      </c>
      <c r="I1402">
        <v>441</v>
      </c>
      <c r="J1402">
        <v>1</v>
      </c>
      <c r="K1402">
        <v>28</v>
      </c>
      <c r="L1402" s="4">
        <v>0.438346493236281</v>
      </c>
      <c r="M1402" s="4">
        <v>0.56165350676371895</v>
      </c>
      <c r="N1402">
        <v>0</v>
      </c>
    </row>
    <row r="1403" spans="1:14" x14ac:dyDescent="0.25">
      <c r="A1403" s="2"/>
      <c r="B1403" t="s">
        <v>3645</v>
      </c>
      <c r="C1403" t="s">
        <v>16</v>
      </c>
      <c r="D1403" t="s">
        <v>17</v>
      </c>
      <c r="E1403" t="s">
        <v>3620</v>
      </c>
      <c r="F1403" t="s">
        <v>3621</v>
      </c>
      <c r="G1403" t="s">
        <v>3646</v>
      </c>
      <c r="H1403" s="3">
        <v>2298.35</v>
      </c>
      <c r="I1403">
        <v>371</v>
      </c>
      <c r="J1403">
        <v>1</v>
      </c>
      <c r="K1403">
        <v>36</v>
      </c>
      <c r="L1403" s="4">
        <v>0.73012729704932</v>
      </c>
      <c r="M1403" s="4">
        <v>0.26987270295068</v>
      </c>
      <c r="N1403">
        <v>0</v>
      </c>
    </row>
    <row r="1404" spans="1:14" x14ac:dyDescent="0.25">
      <c r="A1404" s="2"/>
      <c r="B1404" t="s">
        <v>3647</v>
      </c>
      <c r="C1404" t="s">
        <v>16</v>
      </c>
      <c r="D1404" t="s">
        <v>17</v>
      </c>
      <c r="E1404" t="s">
        <v>3620</v>
      </c>
      <c r="F1404" t="s">
        <v>3621</v>
      </c>
      <c r="G1404" t="s">
        <v>3648</v>
      </c>
      <c r="H1404" s="3">
        <v>2314.3200000000002</v>
      </c>
      <c r="J1404">
        <v>0</v>
      </c>
      <c r="K1404">
        <v>46</v>
      </c>
      <c r="L1404" s="4">
        <v>0.9461056344355</v>
      </c>
      <c r="M1404" s="4">
        <v>5.3894365564499599E-2</v>
      </c>
      <c r="N1404">
        <v>0</v>
      </c>
    </row>
    <row r="1405" spans="1:14" x14ac:dyDescent="0.25">
      <c r="A1405" s="2"/>
      <c r="B1405" t="s">
        <v>3649</v>
      </c>
      <c r="C1405" t="s">
        <v>16</v>
      </c>
      <c r="D1405" t="s">
        <v>17</v>
      </c>
      <c r="E1405" t="s">
        <v>3620</v>
      </c>
      <c r="F1405" t="s">
        <v>3621</v>
      </c>
      <c r="G1405" t="s">
        <v>3650</v>
      </c>
      <c r="H1405" s="3">
        <v>2326.4299999999998</v>
      </c>
      <c r="I1405">
        <v>328</v>
      </c>
      <c r="J1405">
        <v>0</v>
      </c>
      <c r="K1405">
        <v>28</v>
      </c>
      <c r="L1405" s="4">
        <v>0.280961791697031</v>
      </c>
      <c r="M1405" s="4">
        <v>0.71903820830297005</v>
      </c>
      <c r="N1405">
        <v>0</v>
      </c>
    </row>
    <row r="1406" spans="1:14" x14ac:dyDescent="0.25">
      <c r="A1406" s="2"/>
      <c r="C1406" t="s">
        <v>28</v>
      </c>
      <c r="D1406" t="s">
        <v>17</v>
      </c>
      <c r="E1406" t="s">
        <v>3620</v>
      </c>
      <c r="F1406" t="s">
        <v>3621</v>
      </c>
      <c r="G1406" t="s">
        <v>3651</v>
      </c>
      <c r="H1406" s="3">
        <v>2343.65</v>
      </c>
      <c r="I1406">
        <v>181</v>
      </c>
      <c r="J1406">
        <v>0</v>
      </c>
      <c r="K1406">
        <v>34</v>
      </c>
      <c r="L1406" s="4">
        <v>0.35783972019802102</v>
      </c>
      <c r="M1406" s="4">
        <v>0.64216027980197898</v>
      </c>
      <c r="N1406">
        <v>0</v>
      </c>
    </row>
    <row r="1407" spans="1:14" x14ac:dyDescent="0.25">
      <c r="A1407" s="2"/>
      <c r="B1407" t="s">
        <v>3652</v>
      </c>
      <c r="C1407" t="s">
        <v>16</v>
      </c>
      <c r="D1407" t="s">
        <v>17</v>
      </c>
      <c r="E1407" t="s">
        <v>3620</v>
      </c>
      <c r="F1407" t="s">
        <v>3621</v>
      </c>
      <c r="G1407" t="s">
        <v>3653</v>
      </c>
      <c r="H1407" s="3">
        <v>2382.88</v>
      </c>
      <c r="I1407">
        <v>111</v>
      </c>
      <c r="J1407">
        <v>1</v>
      </c>
      <c r="K1407">
        <v>34</v>
      </c>
      <c r="L1407" s="4">
        <v>0.57874845532971197</v>
      </c>
      <c r="M1407" s="4">
        <v>0.42125154467028803</v>
      </c>
      <c r="N1407">
        <v>0</v>
      </c>
    </row>
    <row r="1408" spans="1:14" x14ac:dyDescent="0.25">
      <c r="A1408" s="2">
        <v>23194819</v>
      </c>
      <c r="B1408" t="s">
        <v>3654</v>
      </c>
      <c r="C1408" t="s">
        <v>31</v>
      </c>
      <c r="D1408" t="s">
        <v>17</v>
      </c>
      <c r="E1408" t="s">
        <v>3620</v>
      </c>
      <c r="F1408" t="s">
        <v>3621</v>
      </c>
      <c r="G1408" t="s">
        <v>3655</v>
      </c>
      <c r="H1408" s="3">
        <v>2385.25</v>
      </c>
      <c r="I1408">
        <v>74</v>
      </c>
      <c r="J1408">
        <v>1</v>
      </c>
      <c r="K1408">
        <v>9</v>
      </c>
      <c r="L1408" s="4">
        <v>0.53674838790067103</v>
      </c>
      <c r="M1408" s="4">
        <v>0.46325161209932902</v>
      </c>
      <c r="N1408">
        <v>0</v>
      </c>
    </row>
    <row r="1409" spans="1:14" x14ac:dyDescent="0.25">
      <c r="A1409" s="2"/>
      <c r="B1409" t="s">
        <v>3656</v>
      </c>
      <c r="C1409" t="s">
        <v>16</v>
      </c>
      <c r="D1409" t="s">
        <v>17</v>
      </c>
      <c r="E1409" t="s">
        <v>3620</v>
      </c>
      <c r="F1409" t="s">
        <v>3621</v>
      </c>
      <c r="G1409" t="s">
        <v>3657</v>
      </c>
      <c r="H1409" s="3">
        <v>2395.4299999999998</v>
      </c>
      <c r="J1409">
        <v>0</v>
      </c>
      <c r="K1409">
        <v>41</v>
      </c>
      <c r="L1409" s="4">
        <v>2.2346481955166999E-2</v>
      </c>
      <c r="M1409" s="4">
        <v>0.97765351804483303</v>
      </c>
      <c r="N1409">
        <v>0</v>
      </c>
    </row>
    <row r="1410" spans="1:14" x14ac:dyDescent="0.25">
      <c r="A1410" s="2"/>
      <c r="B1410" t="s">
        <v>3658</v>
      </c>
      <c r="C1410" t="s">
        <v>16</v>
      </c>
      <c r="D1410" t="s">
        <v>17</v>
      </c>
      <c r="E1410" t="s">
        <v>3620</v>
      </c>
      <c r="F1410" t="s">
        <v>3621</v>
      </c>
      <c r="G1410" t="s">
        <v>3659</v>
      </c>
      <c r="H1410" s="3">
        <v>2395.87</v>
      </c>
      <c r="I1410">
        <v>754</v>
      </c>
      <c r="J1410">
        <v>0</v>
      </c>
      <c r="K1410">
        <v>42</v>
      </c>
      <c r="L1410" s="4">
        <v>0.44630595288265201</v>
      </c>
      <c r="M1410" s="4">
        <v>0.55369404711734804</v>
      </c>
      <c r="N1410">
        <v>0</v>
      </c>
    </row>
    <row r="1411" spans="1:14" x14ac:dyDescent="0.25">
      <c r="A1411" s="2"/>
      <c r="B1411" t="s">
        <v>3660</v>
      </c>
      <c r="C1411" t="s">
        <v>16</v>
      </c>
      <c r="D1411" t="s">
        <v>17</v>
      </c>
      <c r="E1411" t="s">
        <v>3620</v>
      </c>
      <c r="F1411" t="s">
        <v>3621</v>
      </c>
      <c r="G1411" t="s">
        <v>3661</v>
      </c>
      <c r="H1411" s="3">
        <v>2396.5700000000002</v>
      </c>
      <c r="I1411">
        <v>225</v>
      </c>
      <c r="J1411">
        <v>1</v>
      </c>
      <c r="K1411">
        <v>36</v>
      </c>
      <c r="L1411" s="4">
        <v>6.8849624715778504E-2</v>
      </c>
      <c r="M1411" s="4">
        <v>0.93115037528422195</v>
      </c>
      <c r="N1411">
        <v>0</v>
      </c>
    </row>
    <row r="1412" spans="1:14" x14ac:dyDescent="0.25">
      <c r="A1412" s="2"/>
      <c r="B1412" t="s">
        <v>3662</v>
      </c>
      <c r="C1412" t="s">
        <v>16</v>
      </c>
      <c r="D1412" t="s">
        <v>17</v>
      </c>
      <c r="E1412" t="s">
        <v>3620</v>
      </c>
      <c r="F1412" t="s">
        <v>3621</v>
      </c>
      <c r="G1412" t="s">
        <v>3663</v>
      </c>
      <c r="H1412" s="3">
        <v>2420.79</v>
      </c>
      <c r="I1412">
        <v>870</v>
      </c>
      <c r="J1412">
        <v>1</v>
      </c>
      <c r="K1412">
        <v>23</v>
      </c>
      <c r="L1412" s="4">
        <v>0.88419915609562605</v>
      </c>
      <c r="M1412" s="4">
        <v>0.11580084390437401</v>
      </c>
      <c r="N1412">
        <v>0</v>
      </c>
    </row>
    <row r="1413" spans="1:14" x14ac:dyDescent="0.25">
      <c r="A1413" s="2"/>
      <c r="B1413" t="s">
        <v>3664</v>
      </c>
      <c r="C1413" t="s">
        <v>16</v>
      </c>
      <c r="D1413" t="s">
        <v>17</v>
      </c>
      <c r="E1413" t="s">
        <v>3620</v>
      </c>
      <c r="F1413" t="s">
        <v>3621</v>
      </c>
      <c r="G1413" t="s">
        <v>3665</v>
      </c>
      <c r="H1413" s="3">
        <v>2432.33</v>
      </c>
      <c r="I1413">
        <v>868</v>
      </c>
      <c r="J1413">
        <v>1</v>
      </c>
      <c r="K1413">
        <v>3</v>
      </c>
      <c r="L1413" s="4">
        <v>0.33690320136318602</v>
      </c>
      <c r="M1413" s="4">
        <v>0.66309679863681403</v>
      </c>
      <c r="N1413">
        <v>0</v>
      </c>
    </row>
    <row r="1414" spans="1:14" x14ac:dyDescent="0.25">
      <c r="A1414" s="2"/>
      <c r="B1414" t="s">
        <v>3666</v>
      </c>
      <c r="C1414" t="s">
        <v>16</v>
      </c>
      <c r="D1414" t="s">
        <v>17</v>
      </c>
      <c r="E1414" t="s">
        <v>3620</v>
      </c>
      <c r="F1414" t="s">
        <v>3621</v>
      </c>
      <c r="G1414" t="s">
        <v>3667</v>
      </c>
      <c r="H1414" s="3">
        <v>2445.75</v>
      </c>
      <c r="I1414">
        <v>5</v>
      </c>
      <c r="J1414">
        <v>0</v>
      </c>
      <c r="K1414">
        <v>16</v>
      </c>
      <c r="L1414" s="4">
        <v>0.55877670747768704</v>
      </c>
      <c r="M1414" s="4">
        <v>0.44122329252231401</v>
      </c>
      <c r="N1414">
        <v>0</v>
      </c>
    </row>
    <row r="1415" spans="1:14" x14ac:dyDescent="0.25">
      <c r="A1415" s="2"/>
      <c r="B1415" t="s">
        <v>3668</v>
      </c>
      <c r="C1415" t="s">
        <v>16</v>
      </c>
      <c r="D1415" t="s">
        <v>17</v>
      </c>
      <c r="E1415" t="s">
        <v>3620</v>
      </c>
      <c r="F1415" t="s">
        <v>3621</v>
      </c>
      <c r="G1415" t="s">
        <v>3669</v>
      </c>
      <c r="H1415" s="3">
        <v>2466.4499999999998</v>
      </c>
      <c r="I1415">
        <v>949</v>
      </c>
      <c r="J1415">
        <v>0</v>
      </c>
      <c r="K1415">
        <v>36</v>
      </c>
      <c r="L1415" s="4">
        <v>0.89569096908649104</v>
      </c>
      <c r="M1415" s="4">
        <v>0.104309030913509</v>
      </c>
      <c r="N1415">
        <v>0</v>
      </c>
    </row>
    <row r="1416" spans="1:14" x14ac:dyDescent="0.25">
      <c r="A1416" s="2"/>
      <c r="B1416" t="s">
        <v>3670</v>
      </c>
      <c r="C1416" t="s">
        <v>16</v>
      </c>
      <c r="D1416" t="s">
        <v>17</v>
      </c>
      <c r="E1416" t="s">
        <v>3620</v>
      </c>
      <c r="F1416" t="s">
        <v>3621</v>
      </c>
      <c r="G1416" t="s">
        <v>3671</v>
      </c>
      <c r="H1416" s="3">
        <v>2484.23</v>
      </c>
      <c r="I1416">
        <v>898</v>
      </c>
      <c r="J1416">
        <v>1</v>
      </c>
      <c r="K1416">
        <v>21</v>
      </c>
      <c r="L1416" s="4">
        <v>0.48317639856750699</v>
      </c>
      <c r="M1416" s="4">
        <v>0.51682360143249295</v>
      </c>
      <c r="N1416">
        <v>0</v>
      </c>
    </row>
    <row r="1417" spans="1:14" x14ac:dyDescent="0.25">
      <c r="A1417" s="2"/>
      <c r="B1417" t="s">
        <v>3672</v>
      </c>
      <c r="C1417" t="s">
        <v>16</v>
      </c>
      <c r="D1417" t="s">
        <v>17</v>
      </c>
      <c r="E1417" t="s">
        <v>3620</v>
      </c>
      <c r="F1417" t="s">
        <v>3621</v>
      </c>
      <c r="G1417" t="s">
        <v>3673</v>
      </c>
      <c r="H1417" s="3">
        <v>2503.34</v>
      </c>
      <c r="I1417">
        <v>887</v>
      </c>
      <c r="J1417">
        <v>1</v>
      </c>
      <c r="L1417" s="4">
        <v>0.228111462980011</v>
      </c>
      <c r="M1417" s="4">
        <v>0.77188853701998905</v>
      </c>
      <c r="N1417">
        <v>0</v>
      </c>
    </row>
    <row r="1418" spans="1:14" x14ac:dyDescent="0.25">
      <c r="A1418" s="2"/>
      <c r="B1418" t="s">
        <v>3674</v>
      </c>
      <c r="C1418" t="s">
        <v>16</v>
      </c>
      <c r="D1418" t="s">
        <v>17</v>
      </c>
      <c r="E1418" t="s">
        <v>3620</v>
      </c>
      <c r="F1418" t="s">
        <v>3621</v>
      </c>
      <c r="G1418" t="s">
        <v>3675</v>
      </c>
      <c r="H1418" s="3">
        <v>2503.34</v>
      </c>
      <c r="I1418">
        <v>518</v>
      </c>
      <c r="J1418">
        <v>1</v>
      </c>
      <c r="K1418">
        <v>11</v>
      </c>
      <c r="L1418" s="4">
        <v>0.77427735120272601</v>
      </c>
      <c r="M1418" s="4">
        <v>0.22572264879727399</v>
      </c>
      <c r="N1418">
        <v>0</v>
      </c>
    </row>
    <row r="1419" spans="1:14" x14ac:dyDescent="0.25">
      <c r="A1419" s="2"/>
      <c r="C1419" t="s">
        <v>28</v>
      </c>
      <c r="D1419" t="s">
        <v>17</v>
      </c>
      <c r="E1419" t="s">
        <v>3676</v>
      </c>
      <c r="F1419" t="s">
        <v>3677</v>
      </c>
      <c r="G1419" t="s">
        <v>3678</v>
      </c>
      <c r="H1419" s="3">
        <v>987.75</v>
      </c>
      <c r="I1419">
        <v>825</v>
      </c>
      <c r="J1419">
        <v>0</v>
      </c>
      <c r="K1419">
        <v>49</v>
      </c>
      <c r="L1419" s="4">
        <v>0.40837791647365301</v>
      </c>
      <c r="M1419" s="4">
        <v>0.59162208352634704</v>
      </c>
      <c r="N1419">
        <v>0</v>
      </c>
    </row>
    <row r="1420" spans="1:14" x14ac:dyDescent="0.25">
      <c r="A1420" s="2"/>
      <c r="C1420" t="s">
        <v>28</v>
      </c>
      <c r="D1420" t="s">
        <v>17</v>
      </c>
      <c r="E1420" t="s">
        <v>3676</v>
      </c>
      <c r="F1420" t="s">
        <v>3677</v>
      </c>
      <c r="G1420" t="s">
        <v>3679</v>
      </c>
      <c r="H1420" s="3">
        <v>1003.57</v>
      </c>
      <c r="I1420">
        <v>529</v>
      </c>
      <c r="K1420">
        <v>28</v>
      </c>
      <c r="L1420" s="4">
        <v>8.4905753396790407E-2</v>
      </c>
      <c r="M1420" s="4">
        <v>0.91509424660321004</v>
      </c>
      <c r="N1420">
        <v>0</v>
      </c>
    </row>
    <row r="1421" spans="1:14" x14ac:dyDescent="0.25">
      <c r="A1421" s="2"/>
      <c r="C1421" t="s">
        <v>28</v>
      </c>
      <c r="D1421" t="s">
        <v>17</v>
      </c>
      <c r="E1421" t="s">
        <v>3676</v>
      </c>
      <c r="F1421" t="s">
        <v>3677</v>
      </c>
      <c r="G1421" t="s">
        <v>3680</v>
      </c>
      <c r="H1421" s="3">
        <v>1127.8399999999999</v>
      </c>
      <c r="J1421">
        <v>0</v>
      </c>
      <c r="L1421" s="4">
        <v>0.111126903334723</v>
      </c>
      <c r="M1421" s="4">
        <v>0.88887309666527703</v>
      </c>
      <c r="N1421">
        <v>0</v>
      </c>
    </row>
    <row r="1422" spans="1:14" x14ac:dyDescent="0.25">
      <c r="A1422" s="2"/>
      <c r="C1422" t="s">
        <v>28</v>
      </c>
      <c r="D1422" t="s">
        <v>17</v>
      </c>
      <c r="E1422" t="s">
        <v>3676</v>
      </c>
      <c r="F1422" t="s">
        <v>3677</v>
      </c>
      <c r="G1422" t="s">
        <v>3681</v>
      </c>
      <c r="H1422" s="3">
        <v>1198.1300000000001</v>
      </c>
      <c r="J1422">
        <v>1</v>
      </c>
      <c r="K1422">
        <v>38</v>
      </c>
      <c r="L1422" s="4">
        <v>0.39984996753138802</v>
      </c>
      <c r="M1422" s="4">
        <v>0.60015003246861198</v>
      </c>
      <c r="N1422">
        <v>0</v>
      </c>
    </row>
    <row r="1423" spans="1:14" x14ac:dyDescent="0.25">
      <c r="A1423" s="2"/>
      <c r="C1423" t="s">
        <v>28</v>
      </c>
      <c r="D1423" t="s">
        <v>17</v>
      </c>
      <c r="E1423" t="s">
        <v>3676</v>
      </c>
      <c r="F1423" t="s">
        <v>3677</v>
      </c>
      <c r="G1423" t="s">
        <v>3682</v>
      </c>
      <c r="H1423" s="3">
        <v>1168.54</v>
      </c>
      <c r="I1423">
        <v>221</v>
      </c>
      <c r="J1423">
        <v>0</v>
      </c>
      <c r="K1423">
        <v>48</v>
      </c>
      <c r="L1423" s="4">
        <v>0.31544372191256498</v>
      </c>
      <c r="M1423" s="4">
        <v>0.68455627808743502</v>
      </c>
      <c r="N1423">
        <v>0</v>
      </c>
    </row>
    <row r="1424" spans="1:14" x14ac:dyDescent="0.25">
      <c r="A1424" s="2"/>
      <c r="B1424" t="s">
        <v>3683</v>
      </c>
      <c r="C1424" t="s">
        <v>16</v>
      </c>
      <c r="D1424" t="s">
        <v>69</v>
      </c>
      <c r="E1424" t="s">
        <v>3684</v>
      </c>
      <c r="F1424" t="s">
        <v>3621</v>
      </c>
      <c r="G1424" t="s">
        <v>3685</v>
      </c>
      <c r="H1424" s="3">
        <v>1883.71</v>
      </c>
      <c r="I1424">
        <v>650</v>
      </c>
      <c r="J1424">
        <v>1</v>
      </c>
      <c r="K1424">
        <v>33</v>
      </c>
      <c r="L1424" s="4">
        <v>0.57035857430431303</v>
      </c>
      <c r="M1424" s="4">
        <v>0.42964142569568697</v>
      </c>
      <c r="N1424">
        <v>0</v>
      </c>
    </row>
    <row r="1425" spans="1:14" x14ac:dyDescent="0.25">
      <c r="A1425" s="2">
        <v>23845426</v>
      </c>
      <c r="C1425" t="s">
        <v>0</v>
      </c>
      <c r="D1425" t="s">
        <v>17</v>
      </c>
      <c r="E1425" t="s">
        <v>3620</v>
      </c>
      <c r="F1425" t="s">
        <v>3686</v>
      </c>
      <c r="G1425" t="s">
        <v>3687</v>
      </c>
      <c r="H1425" s="3">
        <v>1819.51</v>
      </c>
      <c r="I1425">
        <v>74</v>
      </c>
      <c r="J1425">
        <v>0</v>
      </c>
      <c r="K1425">
        <v>6</v>
      </c>
      <c r="L1425" s="4">
        <v>0.43553355095650098</v>
      </c>
      <c r="M1425" s="4">
        <v>0.56446644904349896</v>
      </c>
      <c r="N1425">
        <v>0</v>
      </c>
    </row>
    <row r="1426" spans="1:14" x14ac:dyDescent="0.25">
      <c r="A1426" s="2">
        <v>23085109</v>
      </c>
      <c r="B1426" t="s">
        <v>3688</v>
      </c>
      <c r="C1426" t="s">
        <v>31</v>
      </c>
      <c r="D1426" t="s">
        <v>17</v>
      </c>
      <c r="E1426" t="s">
        <v>3620</v>
      </c>
      <c r="F1426" t="s">
        <v>3686</v>
      </c>
      <c r="G1426" t="s">
        <v>3689</v>
      </c>
      <c r="H1426" s="3">
        <v>2518.23</v>
      </c>
      <c r="I1426">
        <v>770</v>
      </c>
      <c r="J1426">
        <v>0</v>
      </c>
      <c r="K1426">
        <v>33</v>
      </c>
      <c r="L1426" s="4">
        <v>0.20637335604169699</v>
      </c>
      <c r="M1426" s="4">
        <v>0.79362664395830396</v>
      </c>
      <c r="N1426">
        <v>0</v>
      </c>
    </row>
    <row r="1427" spans="1:14" x14ac:dyDescent="0.25">
      <c r="A1427" s="2"/>
      <c r="C1427" t="s">
        <v>28</v>
      </c>
      <c r="D1427" t="s">
        <v>121</v>
      </c>
      <c r="E1427" t="s">
        <v>3690</v>
      </c>
      <c r="F1427" t="s">
        <v>3686</v>
      </c>
      <c r="G1427" t="s">
        <v>3691</v>
      </c>
      <c r="H1427" s="3">
        <v>2504.36</v>
      </c>
      <c r="J1427">
        <v>1</v>
      </c>
      <c r="K1427">
        <v>50</v>
      </c>
      <c r="L1427" s="4">
        <v>0.158790380611634</v>
      </c>
      <c r="M1427" s="4">
        <v>0.84120961938836603</v>
      </c>
      <c r="N1427">
        <v>0</v>
      </c>
    </row>
    <row r="1428" spans="1:14" x14ac:dyDescent="0.25">
      <c r="A1428" s="2"/>
      <c r="B1428" t="s">
        <v>3692</v>
      </c>
      <c r="C1428" t="s">
        <v>16</v>
      </c>
      <c r="D1428" t="s">
        <v>69</v>
      </c>
      <c r="E1428" t="s">
        <v>3693</v>
      </c>
      <c r="F1428" t="s">
        <v>3694</v>
      </c>
      <c r="G1428" t="s">
        <v>3695</v>
      </c>
      <c r="H1428" s="3">
        <v>1742.35</v>
      </c>
      <c r="I1428">
        <v>536</v>
      </c>
      <c r="J1428">
        <v>1</v>
      </c>
      <c r="K1428">
        <v>21</v>
      </c>
      <c r="L1428" s="4">
        <v>0.99347432309331996</v>
      </c>
      <c r="M1428" s="4">
        <v>6.52567690667982E-3</v>
      </c>
      <c r="N1428">
        <v>0</v>
      </c>
    </row>
    <row r="1429" spans="1:14" x14ac:dyDescent="0.25">
      <c r="A1429" s="2"/>
      <c r="B1429" t="s">
        <v>3696</v>
      </c>
      <c r="C1429" t="s">
        <v>16</v>
      </c>
      <c r="D1429" t="s">
        <v>17</v>
      </c>
      <c r="E1429" t="s">
        <v>3697</v>
      </c>
      <c r="F1429" t="s">
        <v>3599</v>
      </c>
      <c r="G1429" t="s">
        <v>3698</v>
      </c>
      <c r="H1429" s="3">
        <v>2274.9</v>
      </c>
      <c r="I1429">
        <v>1</v>
      </c>
      <c r="J1429">
        <v>0</v>
      </c>
      <c r="K1429">
        <v>36</v>
      </c>
      <c r="L1429" s="4">
        <v>0.75089521721032104</v>
      </c>
      <c r="M1429" s="4">
        <v>0.24910478278968001</v>
      </c>
      <c r="N1429">
        <v>0</v>
      </c>
    </row>
    <row r="1430" spans="1:14" x14ac:dyDescent="0.25">
      <c r="A1430" s="2"/>
      <c r="B1430" t="s">
        <v>3699</v>
      </c>
      <c r="C1430" t="s">
        <v>16</v>
      </c>
      <c r="D1430" t="s">
        <v>17</v>
      </c>
      <c r="E1430" t="s">
        <v>3700</v>
      </c>
      <c r="F1430" t="s">
        <v>3701</v>
      </c>
      <c r="G1430" t="s">
        <v>3702</v>
      </c>
      <c r="H1430" s="3">
        <v>623.42999999999995</v>
      </c>
      <c r="I1430">
        <v>613</v>
      </c>
      <c r="J1430">
        <v>1</v>
      </c>
      <c r="K1430">
        <v>2</v>
      </c>
      <c r="L1430" s="4">
        <v>0.51682293460961304</v>
      </c>
      <c r="M1430" s="4">
        <v>0.48317706539038702</v>
      </c>
      <c r="N1430">
        <v>0</v>
      </c>
    </row>
    <row r="1431" spans="1:14" x14ac:dyDescent="0.25">
      <c r="A1431" s="2"/>
      <c r="B1431" t="s">
        <v>3703</v>
      </c>
      <c r="C1431" t="s">
        <v>16</v>
      </c>
      <c r="D1431" t="s">
        <v>17</v>
      </c>
      <c r="E1431" t="s">
        <v>3700</v>
      </c>
      <c r="F1431" t="s">
        <v>3701</v>
      </c>
      <c r="G1431" t="s">
        <v>3704</v>
      </c>
      <c r="H1431" s="3">
        <v>3608.34</v>
      </c>
      <c r="I1431">
        <v>482</v>
      </c>
      <c r="J1431">
        <v>0</v>
      </c>
      <c r="K1431">
        <v>41</v>
      </c>
      <c r="L1431" s="4">
        <v>0.19462551487471999</v>
      </c>
      <c r="M1431" s="4">
        <v>0.80537448512527998</v>
      </c>
      <c r="N1431">
        <v>0</v>
      </c>
    </row>
    <row r="1432" spans="1:14" x14ac:dyDescent="0.25">
      <c r="A1432" s="2"/>
      <c r="B1432" t="s">
        <v>3705</v>
      </c>
      <c r="C1432" t="s">
        <v>16</v>
      </c>
      <c r="D1432" t="s">
        <v>17</v>
      </c>
      <c r="E1432" t="s">
        <v>3700</v>
      </c>
      <c r="F1432" t="s">
        <v>3701</v>
      </c>
      <c r="G1432" t="s">
        <v>3706</v>
      </c>
      <c r="H1432" s="3">
        <v>3742.98</v>
      </c>
      <c r="I1432">
        <v>720</v>
      </c>
      <c r="J1432">
        <v>0</v>
      </c>
      <c r="K1432">
        <v>42</v>
      </c>
      <c r="L1432" s="4">
        <v>0.453681890364314</v>
      </c>
      <c r="M1432" s="4">
        <v>0.54631810963568594</v>
      </c>
      <c r="N1432">
        <v>0</v>
      </c>
    </row>
    <row r="1433" spans="1:14" x14ac:dyDescent="0.25">
      <c r="A1433" s="2"/>
      <c r="C1433" t="s">
        <v>28</v>
      </c>
      <c r="D1433" t="s">
        <v>17</v>
      </c>
      <c r="E1433" t="s">
        <v>3700</v>
      </c>
      <c r="F1433" t="s">
        <v>3701</v>
      </c>
      <c r="G1433" t="s">
        <v>3707</v>
      </c>
      <c r="H1433" s="3">
        <v>3997.71</v>
      </c>
      <c r="I1433">
        <v>813</v>
      </c>
      <c r="J1433">
        <v>0</v>
      </c>
      <c r="L1433" s="4">
        <v>0.16197308140438099</v>
      </c>
      <c r="M1433" s="4">
        <v>0.83802691859561895</v>
      </c>
      <c r="N1433">
        <v>0</v>
      </c>
    </row>
    <row r="1434" spans="1:14" x14ac:dyDescent="0.25">
      <c r="A1434" s="2"/>
      <c r="B1434" t="s">
        <v>3708</v>
      </c>
      <c r="C1434" t="s">
        <v>16</v>
      </c>
      <c r="D1434" t="s">
        <v>17</v>
      </c>
      <c r="E1434" t="s">
        <v>3700</v>
      </c>
      <c r="F1434" t="s">
        <v>3701</v>
      </c>
      <c r="G1434" t="s">
        <v>3709</v>
      </c>
      <c r="H1434" s="3">
        <v>4012.03</v>
      </c>
      <c r="I1434">
        <v>419</v>
      </c>
      <c r="J1434">
        <v>1</v>
      </c>
      <c r="K1434">
        <v>42</v>
      </c>
      <c r="L1434" s="4">
        <v>0.59728913613730705</v>
      </c>
      <c r="M1434" s="4">
        <v>0.402710863862693</v>
      </c>
      <c r="N1434">
        <v>0</v>
      </c>
    </row>
    <row r="1435" spans="1:14" x14ac:dyDescent="0.25">
      <c r="A1435" s="2"/>
      <c r="B1435" t="s">
        <v>3710</v>
      </c>
      <c r="C1435" t="s">
        <v>16</v>
      </c>
      <c r="D1435" t="s">
        <v>17</v>
      </c>
      <c r="E1435" t="s">
        <v>3700</v>
      </c>
      <c r="F1435" t="s">
        <v>3701</v>
      </c>
      <c r="G1435" t="s">
        <v>3711</v>
      </c>
      <c r="H1435" s="3">
        <v>4105.34</v>
      </c>
      <c r="I1435">
        <v>768</v>
      </c>
      <c r="J1435">
        <v>1</v>
      </c>
      <c r="K1435">
        <v>12</v>
      </c>
      <c r="L1435" s="4">
        <v>2.0316725463866099E-2</v>
      </c>
      <c r="M1435" s="4">
        <v>0.97968327453613402</v>
      </c>
      <c r="N1435">
        <v>0</v>
      </c>
    </row>
    <row r="1436" spans="1:14" x14ac:dyDescent="0.25">
      <c r="A1436" s="2"/>
      <c r="B1436" t="s">
        <v>3712</v>
      </c>
      <c r="C1436" t="s">
        <v>16</v>
      </c>
      <c r="D1436" t="s">
        <v>17</v>
      </c>
      <c r="E1436" t="s">
        <v>3700</v>
      </c>
      <c r="F1436" t="s">
        <v>3701</v>
      </c>
      <c r="G1436" t="s">
        <v>3713</v>
      </c>
      <c r="H1436" s="3">
        <v>4170.3500000000004</v>
      </c>
      <c r="I1436">
        <v>938</v>
      </c>
      <c r="J1436">
        <v>1</v>
      </c>
      <c r="K1436">
        <v>5</v>
      </c>
      <c r="L1436" s="4">
        <v>0.78382164120009501</v>
      </c>
      <c r="M1436" s="4">
        <v>0.21617835879990499</v>
      </c>
      <c r="N1436">
        <v>0</v>
      </c>
    </row>
    <row r="1437" spans="1:14" x14ac:dyDescent="0.25">
      <c r="A1437" s="2">
        <v>23312521</v>
      </c>
      <c r="B1437" t="s">
        <v>3714</v>
      </c>
      <c r="C1437" t="s">
        <v>31</v>
      </c>
      <c r="D1437" t="s">
        <v>17</v>
      </c>
      <c r="E1437" t="s">
        <v>3700</v>
      </c>
      <c r="F1437" t="s">
        <v>3701</v>
      </c>
      <c r="G1437" t="s">
        <v>3715</v>
      </c>
      <c r="H1437" s="3">
        <v>3912.2</v>
      </c>
      <c r="I1437">
        <v>814</v>
      </c>
      <c r="J1437">
        <v>1</v>
      </c>
      <c r="K1437">
        <v>23</v>
      </c>
      <c r="L1437" s="4">
        <v>0.81323675176923804</v>
      </c>
      <c r="M1437" s="4">
        <v>0.18676324823076201</v>
      </c>
      <c r="N1437">
        <v>0</v>
      </c>
    </row>
    <row r="1438" spans="1:14" x14ac:dyDescent="0.25">
      <c r="A1438" s="2"/>
      <c r="B1438" t="s">
        <v>3716</v>
      </c>
      <c r="C1438" t="s">
        <v>16</v>
      </c>
      <c r="D1438" t="s">
        <v>17</v>
      </c>
      <c r="E1438" t="s">
        <v>3700</v>
      </c>
      <c r="F1438" t="s">
        <v>3701</v>
      </c>
      <c r="G1438" t="s">
        <v>3717</v>
      </c>
      <c r="H1438" s="3">
        <v>3918.42</v>
      </c>
      <c r="I1438">
        <v>959</v>
      </c>
      <c r="J1438">
        <v>0</v>
      </c>
      <c r="L1438" s="4">
        <v>0.37998945608871298</v>
      </c>
      <c r="M1438" s="4">
        <v>0.62001054391128696</v>
      </c>
      <c r="N1438">
        <v>0</v>
      </c>
    </row>
    <row r="1439" spans="1:14" x14ac:dyDescent="0.25">
      <c r="A1439" s="2"/>
      <c r="B1439" t="s">
        <v>3718</v>
      </c>
      <c r="C1439" t="s">
        <v>16</v>
      </c>
      <c r="D1439" t="s">
        <v>86</v>
      </c>
      <c r="E1439" t="s">
        <v>3719</v>
      </c>
      <c r="F1439" t="s">
        <v>3720</v>
      </c>
      <c r="G1439" t="s">
        <v>3721</v>
      </c>
      <c r="H1439" s="3">
        <v>1500</v>
      </c>
      <c r="I1439">
        <v>754</v>
      </c>
      <c r="J1439">
        <v>1</v>
      </c>
      <c r="K1439">
        <v>4</v>
      </c>
      <c r="L1439" s="4">
        <v>0.98054101042751896</v>
      </c>
      <c r="M1439" s="4">
        <v>1.9458989572480798E-2</v>
      </c>
      <c r="N1439">
        <v>0</v>
      </c>
    </row>
    <row r="1440" spans="1:14" x14ac:dyDescent="0.25">
      <c r="A1440" s="2"/>
      <c r="B1440" t="s">
        <v>3722</v>
      </c>
      <c r="C1440" t="s">
        <v>16</v>
      </c>
      <c r="D1440" t="s">
        <v>17</v>
      </c>
      <c r="E1440" t="s">
        <v>3723</v>
      </c>
      <c r="F1440" t="s">
        <v>3724</v>
      </c>
      <c r="G1440" t="s">
        <v>3725</v>
      </c>
      <c r="H1440" s="3">
        <v>2488.17</v>
      </c>
      <c r="I1440">
        <v>891</v>
      </c>
      <c r="J1440">
        <v>0</v>
      </c>
      <c r="K1440">
        <v>20</v>
      </c>
      <c r="L1440" s="4">
        <v>0.138424899012242</v>
      </c>
      <c r="M1440" s="4">
        <v>0.86157510098775802</v>
      </c>
      <c r="N1440">
        <v>0</v>
      </c>
    </row>
    <row r="1441" spans="1:14" x14ac:dyDescent="0.25">
      <c r="A1441" s="2"/>
      <c r="B1441" t="s">
        <v>3726</v>
      </c>
      <c r="C1441" t="s">
        <v>16</v>
      </c>
      <c r="D1441" t="s">
        <v>17</v>
      </c>
      <c r="E1441" t="s">
        <v>3723</v>
      </c>
      <c r="F1441" t="s">
        <v>3724</v>
      </c>
      <c r="G1441" t="s">
        <v>3727</v>
      </c>
      <c r="H1441" s="3">
        <v>2980.3560000000002</v>
      </c>
      <c r="J1441">
        <v>1</v>
      </c>
      <c r="K1441">
        <v>5</v>
      </c>
      <c r="L1441" s="4">
        <v>5.72571776142081E-2</v>
      </c>
      <c r="M1441" s="4">
        <v>0.94274282238579199</v>
      </c>
      <c r="N1441">
        <v>0</v>
      </c>
    </row>
    <row r="1442" spans="1:14" x14ac:dyDescent="0.25">
      <c r="A1442" s="2"/>
      <c r="B1442" t="s">
        <v>3728</v>
      </c>
      <c r="C1442" t="s">
        <v>16</v>
      </c>
      <c r="D1442" t="s">
        <v>17</v>
      </c>
      <c r="E1442" t="s">
        <v>3723</v>
      </c>
      <c r="F1442" t="s">
        <v>3724</v>
      </c>
      <c r="G1442" t="s">
        <v>3729</v>
      </c>
      <c r="H1442" s="3">
        <v>1063.31</v>
      </c>
      <c r="I1442">
        <v>465</v>
      </c>
      <c r="J1442">
        <v>1</v>
      </c>
      <c r="K1442">
        <v>11</v>
      </c>
      <c r="L1442" s="4">
        <v>0.98760800740723798</v>
      </c>
      <c r="M1442" s="4">
        <v>1.2391992592762E-2</v>
      </c>
      <c r="N1442">
        <v>0</v>
      </c>
    </row>
    <row r="1443" spans="1:14" x14ac:dyDescent="0.25">
      <c r="A1443" s="2"/>
      <c r="B1443" t="s">
        <v>3730</v>
      </c>
      <c r="C1443" t="s">
        <v>16</v>
      </c>
      <c r="D1443" t="s">
        <v>17</v>
      </c>
      <c r="E1443" t="s">
        <v>3731</v>
      </c>
      <c r="F1443" t="s">
        <v>3724</v>
      </c>
      <c r="G1443" t="s">
        <v>3732</v>
      </c>
      <c r="H1443" s="3">
        <v>2142.8000000000002</v>
      </c>
      <c r="I1443">
        <v>583</v>
      </c>
      <c r="J1443">
        <v>0</v>
      </c>
      <c r="K1443">
        <v>6</v>
      </c>
      <c r="L1443" s="4">
        <v>5.5508206610811697E-2</v>
      </c>
      <c r="M1443" s="4">
        <v>0.94449179338918798</v>
      </c>
      <c r="N1443">
        <v>0</v>
      </c>
    </row>
    <row r="1444" spans="1:14" x14ac:dyDescent="0.25">
      <c r="A1444" s="2">
        <v>23295962</v>
      </c>
      <c r="C1444" t="s">
        <v>0</v>
      </c>
      <c r="D1444" t="s">
        <v>3577</v>
      </c>
      <c r="E1444" t="s">
        <v>3733</v>
      </c>
      <c r="F1444" t="s">
        <v>3724</v>
      </c>
      <c r="G1444" t="s">
        <v>3734</v>
      </c>
      <c r="H1444" s="3">
        <v>2533.25</v>
      </c>
      <c r="I1444">
        <v>666</v>
      </c>
      <c r="J1444">
        <v>1</v>
      </c>
      <c r="K1444">
        <v>8</v>
      </c>
      <c r="L1444" s="4">
        <v>0.334064249440851</v>
      </c>
      <c r="M1444" s="4">
        <v>0.665935750559149</v>
      </c>
      <c r="N1444">
        <v>0</v>
      </c>
    </row>
    <row r="1445" spans="1:14" x14ac:dyDescent="0.25">
      <c r="A1445" s="2"/>
      <c r="B1445" t="s">
        <v>3735</v>
      </c>
      <c r="C1445" t="s">
        <v>16</v>
      </c>
      <c r="D1445" t="s">
        <v>17</v>
      </c>
      <c r="E1445" t="s">
        <v>3736</v>
      </c>
      <c r="F1445" t="s">
        <v>3724</v>
      </c>
      <c r="G1445" t="s">
        <v>3737</v>
      </c>
      <c r="H1445" s="3">
        <v>1431.77</v>
      </c>
      <c r="I1445">
        <v>888</v>
      </c>
      <c r="J1445">
        <v>1</v>
      </c>
      <c r="K1445">
        <v>43</v>
      </c>
      <c r="L1445" s="4">
        <v>0.34958764002521597</v>
      </c>
      <c r="M1445" s="4">
        <v>0.65041235997478397</v>
      </c>
      <c r="N1445">
        <v>0</v>
      </c>
    </row>
    <row r="1446" spans="1:14" x14ac:dyDescent="0.25">
      <c r="A1446" s="2"/>
      <c r="B1446" t="s">
        <v>3738</v>
      </c>
      <c r="C1446" t="s">
        <v>16</v>
      </c>
      <c r="D1446" t="s">
        <v>17</v>
      </c>
      <c r="E1446" t="s">
        <v>3736</v>
      </c>
      <c r="F1446" t="s">
        <v>3724</v>
      </c>
      <c r="G1446" t="s">
        <v>3739</v>
      </c>
      <c r="H1446" s="3">
        <v>1442.21</v>
      </c>
      <c r="I1446">
        <v>804</v>
      </c>
      <c r="J1446">
        <v>0</v>
      </c>
      <c r="K1446">
        <v>31</v>
      </c>
      <c r="L1446" s="4">
        <v>0.24299409360979499</v>
      </c>
      <c r="M1446" s="4">
        <v>0.75700590639020504</v>
      </c>
      <c r="N1446">
        <v>0</v>
      </c>
    </row>
    <row r="1447" spans="1:14" x14ac:dyDescent="0.25">
      <c r="A1447" s="2"/>
      <c r="C1447" t="s">
        <v>28</v>
      </c>
      <c r="D1447" t="s">
        <v>17</v>
      </c>
      <c r="E1447" t="s">
        <v>3736</v>
      </c>
      <c r="F1447" t="s">
        <v>3724</v>
      </c>
      <c r="G1447" t="s">
        <v>3740</v>
      </c>
      <c r="H1447" s="3">
        <v>1457.21</v>
      </c>
      <c r="I1447">
        <v>544</v>
      </c>
      <c r="J1447">
        <v>0</v>
      </c>
      <c r="K1447">
        <v>48</v>
      </c>
      <c r="L1447" s="4">
        <v>0.90546581733082698</v>
      </c>
      <c r="M1447" s="4">
        <v>9.4534182669173003E-2</v>
      </c>
      <c r="N1447">
        <v>0</v>
      </c>
    </row>
    <row r="1448" spans="1:14" x14ac:dyDescent="0.25">
      <c r="A1448" s="2">
        <v>24056298</v>
      </c>
      <c r="C1448" t="s">
        <v>0</v>
      </c>
      <c r="D1448" t="s">
        <v>17</v>
      </c>
      <c r="E1448" t="s">
        <v>3736</v>
      </c>
      <c r="F1448" t="s">
        <v>3724</v>
      </c>
      <c r="G1448" t="s">
        <v>3741</v>
      </c>
      <c r="H1448" s="3">
        <v>1464.88</v>
      </c>
      <c r="J1448">
        <v>0</v>
      </c>
      <c r="K1448">
        <v>16</v>
      </c>
      <c r="L1448" s="4">
        <v>0.46973872838351599</v>
      </c>
      <c r="M1448" s="4">
        <v>0.53026127161648395</v>
      </c>
      <c r="N1448">
        <v>0</v>
      </c>
    </row>
    <row r="1449" spans="1:14" x14ac:dyDescent="0.25">
      <c r="A1449" s="2"/>
      <c r="B1449" t="s">
        <v>3742</v>
      </c>
      <c r="C1449" t="s">
        <v>16</v>
      </c>
      <c r="D1449" t="s">
        <v>17</v>
      </c>
      <c r="E1449" t="s">
        <v>3736</v>
      </c>
      <c r="F1449" t="s">
        <v>3724</v>
      </c>
      <c r="G1449" t="s">
        <v>3743</v>
      </c>
      <c r="H1449" s="3">
        <v>2336.17</v>
      </c>
      <c r="J1449">
        <v>0</v>
      </c>
      <c r="K1449">
        <v>42</v>
      </c>
      <c r="L1449" s="4">
        <v>0.74778140312393604</v>
      </c>
      <c r="M1449" s="4">
        <v>0.25221859687606402</v>
      </c>
      <c r="N1449">
        <v>0</v>
      </c>
    </row>
    <row r="1450" spans="1:14" x14ac:dyDescent="0.25">
      <c r="A1450" s="2"/>
      <c r="B1450" t="s">
        <v>3744</v>
      </c>
      <c r="C1450" t="s">
        <v>16</v>
      </c>
      <c r="D1450" t="s">
        <v>17</v>
      </c>
      <c r="E1450" t="s">
        <v>3736</v>
      </c>
      <c r="F1450" t="s">
        <v>3724</v>
      </c>
      <c r="G1450" t="s">
        <v>3745</v>
      </c>
      <c r="H1450" s="3">
        <v>2494.8200000000002</v>
      </c>
      <c r="I1450">
        <v>871</v>
      </c>
      <c r="J1450">
        <v>0</v>
      </c>
      <c r="K1450">
        <v>30</v>
      </c>
      <c r="L1450" s="4">
        <v>9.1676721629578697E-2</v>
      </c>
      <c r="M1450" s="4">
        <v>0.90832327837042104</v>
      </c>
      <c r="N1450">
        <v>0</v>
      </c>
    </row>
    <row r="1451" spans="1:14" x14ac:dyDescent="0.25">
      <c r="A1451" s="2">
        <v>23178227</v>
      </c>
      <c r="B1451" t="s">
        <v>3746</v>
      </c>
      <c r="C1451" t="s">
        <v>31</v>
      </c>
      <c r="D1451" t="s">
        <v>17</v>
      </c>
      <c r="E1451" t="s">
        <v>3736</v>
      </c>
      <c r="F1451" t="s">
        <v>3724</v>
      </c>
      <c r="G1451" t="s">
        <v>3747</v>
      </c>
      <c r="H1451" s="3">
        <v>2535.62</v>
      </c>
      <c r="I1451">
        <v>854</v>
      </c>
      <c r="J1451">
        <v>0</v>
      </c>
      <c r="K1451">
        <v>3</v>
      </c>
      <c r="L1451" s="4">
        <v>0.34310950661644202</v>
      </c>
      <c r="M1451" s="4">
        <v>0.65689049338355798</v>
      </c>
      <c r="N1451">
        <v>0</v>
      </c>
    </row>
    <row r="1452" spans="1:14" x14ac:dyDescent="0.25">
      <c r="A1452" s="2"/>
      <c r="B1452" t="s">
        <v>3748</v>
      </c>
      <c r="C1452" t="s">
        <v>16</v>
      </c>
      <c r="D1452" t="s">
        <v>607</v>
      </c>
      <c r="E1452" t="s">
        <v>3749</v>
      </c>
      <c r="F1452" t="s">
        <v>3724</v>
      </c>
      <c r="G1452" t="s">
        <v>3750</v>
      </c>
      <c r="H1452" s="3">
        <v>1500</v>
      </c>
      <c r="J1452">
        <v>0</v>
      </c>
      <c r="K1452">
        <v>29</v>
      </c>
      <c r="L1452" s="4">
        <v>0.53531444176352905</v>
      </c>
      <c r="M1452" s="4">
        <v>0.46468555823647101</v>
      </c>
      <c r="N1452">
        <v>0</v>
      </c>
    </row>
    <row r="1453" spans="1:14" x14ac:dyDescent="0.25">
      <c r="A1453" s="2"/>
      <c r="B1453" t="s">
        <v>3751</v>
      </c>
      <c r="C1453" t="s">
        <v>16</v>
      </c>
      <c r="D1453" t="s">
        <v>607</v>
      </c>
      <c r="E1453" t="s">
        <v>3749</v>
      </c>
      <c r="F1453" t="s">
        <v>3724</v>
      </c>
      <c r="G1453" t="s">
        <v>3752</v>
      </c>
      <c r="H1453" s="3">
        <v>3000</v>
      </c>
      <c r="I1453">
        <v>499</v>
      </c>
      <c r="J1453">
        <v>0</v>
      </c>
      <c r="K1453">
        <v>46</v>
      </c>
      <c r="L1453" s="4">
        <v>0.57921884851258598</v>
      </c>
      <c r="M1453" s="4">
        <v>0.42078115148741402</v>
      </c>
      <c r="N1453">
        <v>0</v>
      </c>
    </row>
    <row r="1454" spans="1:14" x14ac:dyDescent="0.25">
      <c r="A1454" s="2"/>
      <c r="B1454" t="s">
        <v>3753</v>
      </c>
      <c r="C1454" t="s">
        <v>16</v>
      </c>
      <c r="D1454" t="s">
        <v>607</v>
      </c>
      <c r="E1454" t="s">
        <v>3749</v>
      </c>
      <c r="F1454" t="s">
        <v>3724</v>
      </c>
      <c r="G1454" t="s">
        <v>3754</v>
      </c>
      <c r="H1454" s="3">
        <v>3000</v>
      </c>
      <c r="I1454">
        <v>984</v>
      </c>
      <c r="J1454">
        <v>1</v>
      </c>
      <c r="K1454">
        <v>11</v>
      </c>
      <c r="L1454" s="4">
        <v>0.49702411290839899</v>
      </c>
      <c r="M1454" s="4">
        <v>0.50297588709160101</v>
      </c>
      <c r="N1454">
        <v>0</v>
      </c>
    </row>
    <row r="1455" spans="1:14" x14ac:dyDescent="0.25">
      <c r="A1455" s="2"/>
      <c r="B1455" t="s">
        <v>3755</v>
      </c>
      <c r="C1455" t="s">
        <v>16</v>
      </c>
      <c r="D1455" t="s">
        <v>607</v>
      </c>
      <c r="E1455" t="s">
        <v>3749</v>
      </c>
      <c r="F1455" t="s">
        <v>3724</v>
      </c>
      <c r="G1455" t="s">
        <v>3756</v>
      </c>
      <c r="H1455" s="3">
        <v>3000</v>
      </c>
      <c r="I1455">
        <v>638</v>
      </c>
      <c r="J1455">
        <v>0</v>
      </c>
      <c r="K1455">
        <v>5</v>
      </c>
      <c r="L1455" s="4">
        <v>0.80558382131218798</v>
      </c>
      <c r="M1455" s="4">
        <v>0.194416178687812</v>
      </c>
      <c r="N1455">
        <v>0</v>
      </c>
    </row>
    <row r="1456" spans="1:14" x14ac:dyDescent="0.25">
      <c r="A1456" s="2"/>
      <c r="B1456" t="s">
        <v>3757</v>
      </c>
      <c r="C1456" t="s">
        <v>16</v>
      </c>
      <c r="D1456" t="s">
        <v>607</v>
      </c>
      <c r="E1456" t="s">
        <v>3749</v>
      </c>
      <c r="F1456" t="s">
        <v>3724</v>
      </c>
      <c r="G1456" t="s">
        <v>3758</v>
      </c>
      <c r="H1456" s="3">
        <v>3000</v>
      </c>
      <c r="I1456">
        <v>130</v>
      </c>
      <c r="J1456">
        <v>0</v>
      </c>
      <c r="K1456">
        <v>39</v>
      </c>
      <c r="L1456" s="4">
        <v>0.216823260688077</v>
      </c>
      <c r="M1456" s="4">
        <v>0.783176739311923</v>
      </c>
      <c r="N1456">
        <v>0</v>
      </c>
    </row>
    <row r="1457" spans="1:14" x14ac:dyDescent="0.25">
      <c r="A1457" s="2"/>
      <c r="B1457" t="s">
        <v>3759</v>
      </c>
      <c r="C1457" t="s">
        <v>16</v>
      </c>
      <c r="D1457" t="s">
        <v>17</v>
      </c>
      <c r="E1457" t="s">
        <v>3760</v>
      </c>
      <c r="F1457" t="s">
        <v>3761</v>
      </c>
      <c r="G1457" t="s">
        <v>3762</v>
      </c>
      <c r="H1457" s="3">
        <v>2451.4899999999998</v>
      </c>
      <c r="I1457">
        <v>671</v>
      </c>
      <c r="J1457">
        <v>1</v>
      </c>
      <c r="K1457">
        <v>1</v>
      </c>
      <c r="L1457" s="4">
        <v>0.78999405371875298</v>
      </c>
      <c r="M1457" s="4">
        <v>0.210005946281248</v>
      </c>
      <c r="N1457">
        <v>0</v>
      </c>
    </row>
    <row r="1458" spans="1:14" x14ac:dyDescent="0.25">
      <c r="A1458" s="2">
        <v>23500098</v>
      </c>
      <c r="B1458" t="s">
        <v>3763</v>
      </c>
      <c r="C1458" t="s">
        <v>31</v>
      </c>
      <c r="D1458" t="s">
        <v>17</v>
      </c>
      <c r="E1458" t="s">
        <v>3760</v>
      </c>
      <c r="F1458" t="s">
        <v>3761</v>
      </c>
      <c r="G1458" t="s">
        <v>3764</v>
      </c>
      <c r="H1458" s="3">
        <v>2491.54</v>
      </c>
      <c r="I1458">
        <v>700</v>
      </c>
      <c r="J1458">
        <v>1</v>
      </c>
      <c r="L1458" s="4">
        <v>0.50651246877171197</v>
      </c>
      <c r="M1458" s="4">
        <v>0.49348753122828798</v>
      </c>
      <c r="N1458">
        <v>0</v>
      </c>
    </row>
    <row r="1459" spans="1:14" x14ac:dyDescent="0.25">
      <c r="A1459" s="2"/>
      <c r="B1459" t="s">
        <v>3759</v>
      </c>
      <c r="C1459" t="s">
        <v>16</v>
      </c>
      <c r="D1459" t="s">
        <v>17</v>
      </c>
      <c r="E1459" t="s">
        <v>3760</v>
      </c>
      <c r="F1459" t="s">
        <v>3761</v>
      </c>
      <c r="G1459" t="s">
        <v>3765</v>
      </c>
      <c r="H1459" s="3">
        <v>2303.16</v>
      </c>
      <c r="I1459">
        <v>161</v>
      </c>
      <c r="J1459">
        <v>0</v>
      </c>
      <c r="K1459">
        <v>34</v>
      </c>
      <c r="L1459" s="4">
        <v>0.80092992350433101</v>
      </c>
      <c r="M1459" s="4">
        <v>0.19907007649566899</v>
      </c>
      <c r="N1459">
        <v>0</v>
      </c>
    </row>
    <row r="1460" spans="1:14" x14ac:dyDescent="0.25">
      <c r="A1460" s="2"/>
      <c r="B1460" t="s">
        <v>3766</v>
      </c>
      <c r="C1460" t="s">
        <v>16</v>
      </c>
      <c r="D1460" t="s">
        <v>17</v>
      </c>
      <c r="E1460" t="s">
        <v>3767</v>
      </c>
      <c r="F1460" t="s">
        <v>3768</v>
      </c>
      <c r="G1460" t="s">
        <v>3769</v>
      </c>
      <c r="H1460" s="3">
        <v>2413.8000000000002</v>
      </c>
      <c r="J1460">
        <v>0</v>
      </c>
      <c r="K1460">
        <v>50</v>
      </c>
      <c r="L1460" s="4">
        <v>0.43884137796990602</v>
      </c>
      <c r="M1460" s="4">
        <v>0.56115862203009503</v>
      </c>
      <c r="N1460">
        <v>0</v>
      </c>
    </row>
    <row r="1461" spans="1:14" x14ac:dyDescent="0.25">
      <c r="A1461" s="2"/>
      <c r="B1461" t="s">
        <v>3770</v>
      </c>
      <c r="C1461" t="s">
        <v>16</v>
      </c>
      <c r="D1461" t="s">
        <v>17</v>
      </c>
      <c r="E1461" t="s">
        <v>3771</v>
      </c>
      <c r="F1461" t="s">
        <v>3772</v>
      </c>
      <c r="G1461" t="s">
        <v>3773</v>
      </c>
      <c r="H1461" s="3">
        <v>1444.07</v>
      </c>
      <c r="I1461">
        <v>177</v>
      </c>
      <c r="J1461">
        <v>1</v>
      </c>
      <c r="L1461" s="4">
        <v>1.40859895840363E-2</v>
      </c>
      <c r="M1461" s="4">
        <v>0.98591401041596405</v>
      </c>
      <c r="N1461">
        <v>0</v>
      </c>
    </row>
    <row r="1462" spans="1:14" x14ac:dyDescent="0.25">
      <c r="A1462" s="2"/>
      <c r="B1462" t="s">
        <v>3774</v>
      </c>
      <c r="C1462" t="s">
        <v>16</v>
      </c>
      <c r="D1462" t="s">
        <v>17</v>
      </c>
      <c r="E1462" t="s">
        <v>3771</v>
      </c>
      <c r="F1462" t="s">
        <v>3772</v>
      </c>
      <c r="G1462" t="s">
        <v>3775</v>
      </c>
      <c r="H1462" s="3">
        <v>2333.71</v>
      </c>
      <c r="I1462">
        <v>480</v>
      </c>
      <c r="J1462">
        <v>0</v>
      </c>
      <c r="K1462">
        <v>38</v>
      </c>
      <c r="L1462" s="4">
        <v>0.92846926558514897</v>
      </c>
      <c r="M1462" s="4">
        <v>7.1530734414850597E-2</v>
      </c>
      <c r="N1462">
        <v>0</v>
      </c>
    </row>
    <row r="1463" spans="1:14" x14ac:dyDescent="0.25">
      <c r="A1463" s="2"/>
      <c r="C1463" t="s">
        <v>28</v>
      </c>
      <c r="D1463" t="s">
        <v>17</v>
      </c>
      <c r="E1463" t="s">
        <v>3771</v>
      </c>
      <c r="F1463" t="s">
        <v>3772</v>
      </c>
      <c r="G1463" t="s">
        <v>3776</v>
      </c>
      <c r="H1463" s="3">
        <v>2415.37</v>
      </c>
      <c r="I1463">
        <v>432</v>
      </c>
      <c r="J1463">
        <v>0</v>
      </c>
      <c r="K1463">
        <v>26</v>
      </c>
      <c r="L1463" s="4">
        <v>0.443212558118457</v>
      </c>
      <c r="M1463" s="4">
        <v>0.55678744188154305</v>
      </c>
      <c r="N1463">
        <v>0</v>
      </c>
    </row>
    <row r="1464" spans="1:14" x14ac:dyDescent="0.25">
      <c r="A1464" s="2"/>
      <c r="C1464" t="s">
        <v>28</v>
      </c>
      <c r="D1464" t="s">
        <v>1163</v>
      </c>
      <c r="E1464" t="s">
        <v>3777</v>
      </c>
      <c r="F1464" t="s">
        <v>3761</v>
      </c>
      <c r="G1464" t="s">
        <v>3778</v>
      </c>
      <c r="H1464" s="3">
        <v>480.93</v>
      </c>
      <c r="I1464">
        <v>364</v>
      </c>
      <c r="J1464">
        <v>1</v>
      </c>
      <c r="K1464">
        <v>24</v>
      </c>
      <c r="L1464" s="4">
        <v>0.44624780186306201</v>
      </c>
      <c r="M1464" s="4">
        <v>0.55375219813693799</v>
      </c>
      <c r="N1464">
        <v>0</v>
      </c>
    </row>
    <row r="1465" spans="1:14" x14ac:dyDescent="0.25">
      <c r="A1465" s="2"/>
      <c r="B1465" t="s">
        <v>3779</v>
      </c>
      <c r="C1465" t="s">
        <v>16</v>
      </c>
      <c r="D1465" t="s">
        <v>110</v>
      </c>
      <c r="E1465" t="s">
        <v>3780</v>
      </c>
      <c r="F1465" t="s">
        <v>3781</v>
      </c>
      <c r="G1465" t="s">
        <v>3782</v>
      </c>
      <c r="H1465" s="3">
        <v>2625.6</v>
      </c>
      <c r="J1465">
        <v>0</v>
      </c>
      <c r="K1465">
        <v>43</v>
      </c>
      <c r="L1465" s="4">
        <v>0.94419941241129501</v>
      </c>
      <c r="M1465" s="4">
        <v>5.5800587588705299E-2</v>
      </c>
      <c r="N1465">
        <v>0</v>
      </c>
    </row>
    <row r="1466" spans="1:14" x14ac:dyDescent="0.25">
      <c r="A1466" s="2"/>
      <c r="B1466" t="s">
        <v>3783</v>
      </c>
      <c r="C1466" t="s">
        <v>16</v>
      </c>
      <c r="D1466" t="s">
        <v>17</v>
      </c>
      <c r="E1466" t="s">
        <v>3784</v>
      </c>
      <c r="F1466" t="s">
        <v>3785</v>
      </c>
      <c r="G1466" t="s">
        <v>3786</v>
      </c>
      <c r="H1466" s="3">
        <v>2220.9899999999998</v>
      </c>
      <c r="I1466">
        <v>642</v>
      </c>
      <c r="J1466">
        <v>0</v>
      </c>
      <c r="K1466">
        <v>23</v>
      </c>
      <c r="L1466" s="4">
        <v>0.76544466086538698</v>
      </c>
      <c r="M1466" s="4">
        <v>0.23455533913461299</v>
      </c>
      <c r="N1466">
        <v>0</v>
      </c>
    </row>
    <row r="1467" spans="1:14" x14ac:dyDescent="0.25">
      <c r="A1467" s="2"/>
      <c r="C1467" t="s">
        <v>28</v>
      </c>
      <c r="D1467" t="s">
        <v>86</v>
      </c>
      <c r="E1467" t="s">
        <v>3787</v>
      </c>
      <c r="F1467" t="s">
        <v>3788</v>
      </c>
      <c r="G1467" t="s">
        <v>3789</v>
      </c>
      <c r="H1467" s="3">
        <v>1500</v>
      </c>
      <c r="I1467">
        <v>93</v>
      </c>
      <c r="J1467">
        <v>1</v>
      </c>
      <c r="K1467">
        <v>23</v>
      </c>
      <c r="L1467" s="4">
        <v>0.98399345115155601</v>
      </c>
      <c r="M1467" s="4">
        <v>1.6006548848444602E-2</v>
      </c>
      <c r="N1467">
        <v>0</v>
      </c>
    </row>
    <row r="1468" spans="1:14" x14ac:dyDescent="0.25">
      <c r="A1468" s="2"/>
      <c r="B1468" t="s">
        <v>3790</v>
      </c>
      <c r="C1468" t="s">
        <v>16</v>
      </c>
      <c r="D1468" t="s">
        <v>110</v>
      </c>
      <c r="E1468" t="s">
        <v>3791</v>
      </c>
      <c r="F1468" t="s">
        <v>3792</v>
      </c>
      <c r="G1468" t="s">
        <v>3793</v>
      </c>
      <c r="H1468" s="3">
        <v>710</v>
      </c>
      <c r="I1468">
        <v>766</v>
      </c>
      <c r="J1468">
        <v>0</v>
      </c>
      <c r="K1468">
        <v>37</v>
      </c>
      <c r="L1468" s="4">
        <v>0.16418288734620501</v>
      </c>
      <c r="M1468" s="4">
        <v>0.83581711265379499</v>
      </c>
      <c r="N1468">
        <v>0</v>
      </c>
    </row>
    <row r="1469" spans="1:14" x14ac:dyDescent="0.25">
      <c r="A1469" s="2"/>
      <c r="B1469" t="s">
        <v>3794</v>
      </c>
      <c r="C1469" t="s">
        <v>16</v>
      </c>
      <c r="D1469" t="s">
        <v>110</v>
      </c>
      <c r="E1469" t="s">
        <v>3791</v>
      </c>
      <c r="F1469" t="s">
        <v>3792</v>
      </c>
      <c r="G1469" t="s">
        <v>3795</v>
      </c>
      <c r="H1469" s="3">
        <v>1420</v>
      </c>
      <c r="I1469">
        <v>637</v>
      </c>
      <c r="J1469">
        <v>1</v>
      </c>
      <c r="K1469">
        <v>31</v>
      </c>
      <c r="L1469" s="4">
        <v>0.33493081968022398</v>
      </c>
      <c r="M1469" s="4">
        <v>0.66506918031977602</v>
      </c>
      <c r="N1469">
        <v>0</v>
      </c>
    </row>
    <row r="1470" spans="1:14" x14ac:dyDescent="0.25">
      <c r="A1470" s="2"/>
      <c r="B1470" t="s">
        <v>3796</v>
      </c>
      <c r="C1470" t="s">
        <v>16</v>
      </c>
      <c r="D1470" t="s">
        <v>110</v>
      </c>
      <c r="E1470" t="s">
        <v>3791</v>
      </c>
      <c r="F1470" t="s">
        <v>3792</v>
      </c>
      <c r="G1470" t="s">
        <v>3797</v>
      </c>
      <c r="H1470" s="3">
        <v>1704</v>
      </c>
      <c r="I1470">
        <v>423</v>
      </c>
      <c r="J1470">
        <v>0</v>
      </c>
      <c r="K1470">
        <v>39</v>
      </c>
      <c r="L1470" s="4">
        <v>0.74959159017297805</v>
      </c>
      <c r="M1470" s="4">
        <v>0.250408409827022</v>
      </c>
      <c r="N1470">
        <v>0</v>
      </c>
    </row>
    <row r="1471" spans="1:14" x14ac:dyDescent="0.25">
      <c r="A1471" s="2"/>
      <c r="B1471" t="s">
        <v>3798</v>
      </c>
      <c r="C1471" t="s">
        <v>16</v>
      </c>
      <c r="D1471" t="s">
        <v>110</v>
      </c>
      <c r="E1471" t="s">
        <v>3791</v>
      </c>
      <c r="F1471" t="s">
        <v>3792</v>
      </c>
      <c r="G1471" t="s">
        <v>3799</v>
      </c>
      <c r="H1471" s="3">
        <v>852</v>
      </c>
      <c r="I1471">
        <v>996</v>
      </c>
      <c r="J1471">
        <v>1</v>
      </c>
      <c r="L1471" s="4">
        <v>0.78334046925506295</v>
      </c>
      <c r="M1471" s="4">
        <v>0.21665953074493799</v>
      </c>
      <c r="N1471">
        <v>0</v>
      </c>
    </row>
    <row r="1472" spans="1:14" x14ac:dyDescent="0.25">
      <c r="A1472" s="2"/>
      <c r="B1472" t="s">
        <v>3800</v>
      </c>
      <c r="C1472" t="s">
        <v>16</v>
      </c>
      <c r="D1472" t="s">
        <v>110</v>
      </c>
      <c r="E1472" t="s">
        <v>3791</v>
      </c>
      <c r="F1472" t="s">
        <v>3792</v>
      </c>
      <c r="G1472" t="s">
        <v>3801</v>
      </c>
      <c r="H1472" s="3">
        <v>852</v>
      </c>
      <c r="I1472">
        <v>923</v>
      </c>
      <c r="J1472">
        <v>0</v>
      </c>
      <c r="K1472">
        <v>29</v>
      </c>
      <c r="L1472" s="4">
        <v>0.485592824743031</v>
      </c>
      <c r="M1472" s="4">
        <v>0.514407175256969</v>
      </c>
      <c r="N1472">
        <v>0</v>
      </c>
    </row>
    <row r="1473" spans="1:14" x14ac:dyDescent="0.25">
      <c r="A1473" s="2"/>
      <c r="B1473" t="s">
        <v>3802</v>
      </c>
      <c r="C1473" t="s">
        <v>16</v>
      </c>
      <c r="D1473" t="s">
        <v>110</v>
      </c>
      <c r="E1473" t="s">
        <v>3791</v>
      </c>
      <c r="F1473" t="s">
        <v>3792</v>
      </c>
      <c r="G1473" t="s">
        <v>3803</v>
      </c>
      <c r="H1473" s="3">
        <v>852</v>
      </c>
      <c r="I1473">
        <v>479</v>
      </c>
      <c r="J1473">
        <v>0</v>
      </c>
      <c r="K1473">
        <v>28</v>
      </c>
      <c r="L1473" s="4">
        <v>0.63718603656712203</v>
      </c>
      <c r="M1473" s="4">
        <v>0.36281396343287797</v>
      </c>
      <c r="N1473">
        <v>0</v>
      </c>
    </row>
    <row r="1474" spans="1:14" x14ac:dyDescent="0.25">
      <c r="A1474" s="2"/>
      <c r="B1474" t="s">
        <v>3804</v>
      </c>
      <c r="C1474" t="s">
        <v>16</v>
      </c>
      <c r="D1474" t="s">
        <v>110</v>
      </c>
      <c r="E1474" t="s">
        <v>3791</v>
      </c>
      <c r="F1474" t="s">
        <v>3792</v>
      </c>
      <c r="G1474" t="s">
        <v>3805</v>
      </c>
      <c r="H1474" s="3">
        <v>852</v>
      </c>
      <c r="I1474">
        <v>652</v>
      </c>
      <c r="K1474">
        <v>13</v>
      </c>
      <c r="L1474" s="4">
        <v>0.22937724019874001</v>
      </c>
      <c r="M1474" s="4">
        <v>0.77062275980126005</v>
      </c>
      <c r="N1474">
        <v>0</v>
      </c>
    </row>
    <row r="1475" spans="1:14" x14ac:dyDescent="0.25">
      <c r="A1475" s="2"/>
      <c r="B1475" t="s">
        <v>3806</v>
      </c>
      <c r="C1475" t="s">
        <v>16</v>
      </c>
      <c r="D1475" t="s">
        <v>110</v>
      </c>
      <c r="E1475" t="s">
        <v>3791</v>
      </c>
      <c r="F1475" t="s">
        <v>3792</v>
      </c>
      <c r="G1475" t="s">
        <v>3807</v>
      </c>
      <c r="H1475" s="3">
        <v>852</v>
      </c>
      <c r="I1475">
        <v>917</v>
      </c>
      <c r="J1475">
        <v>0</v>
      </c>
      <c r="K1475">
        <v>7</v>
      </c>
      <c r="L1475" s="4">
        <v>0.79063973079490701</v>
      </c>
      <c r="M1475" s="4">
        <v>0.20936026920509301</v>
      </c>
      <c r="N1475">
        <v>0</v>
      </c>
    </row>
    <row r="1476" spans="1:14" x14ac:dyDescent="0.25">
      <c r="A1476" s="2"/>
      <c r="B1476" t="s">
        <v>3808</v>
      </c>
      <c r="C1476" t="s">
        <v>16</v>
      </c>
      <c r="D1476" t="s">
        <v>110</v>
      </c>
      <c r="E1476" t="s">
        <v>3791</v>
      </c>
      <c r="F1476" t="s">
        <v>3792</v>
      </c>
      <c r="G1476" t="s">
        <v>3809</v>
      </c>
      <c r="H1476" s="3">
        <v>852</v>
      </c>
      <c r="I1476">
        <v>96</v>
      </c>
      <c r="J1476">
        <v>1</v>
      </c>
      <c r="L1476" s="4">
        <v>0.93034563206239596</v>
      </c>
      <c r="M1476" s="4">
        <v>6.9654367937604295E-2</v>
      </c>
      <c r="N1476">
        <v>0</v>
      </c>
    </row>
    <row r="1477" spans="1:14" x14ac:dyDescent="0.25">
      <c r="A1477" s="2">
        <v>24038356</v>
      </c>
      <c r="C1477" t="s">
        <v>0</v>
      </c>
      <c r="D1477" t="s">
        <v>110</v>
      </c>
      <c r="E1477" t="s">
        <v>3791</v>
      </c>
      <c r="F1477" t="s">
        <v>3792</v>
      </c>
      <c r="G1477" t="s">
        <v>3810</v>
      </c>
      <c r="H1477" s="3">
        <v>852</v>
      </c>
      <c r="I1477">
        <v>897</v>
      </c>
      <c r="J1477">
        <v>1</v>
      </c>
      <c r="K1477">
        <v>21</v>
      </c>
      <c r="L1477" s="4">
        <v>0.73775570395485901</v>
      </c>
      <c r="M1477" s="4">
        <v>0.26224429604514099</v>
      </c>
      <c r="N1477">
        <v>0</v>
      </c>
    </row>
    <row r="1478" spans="1:14" x14ac:dyDescent="0.25">
      <c r="A1478" s="2"/>
      <c r="B1478" t="s">
        <v>3811</v>
      </c>
      <c r="C1478" t="s">
        <v>16</v>
      </c>
      <c r="D1478" t="s">
        <v>110</v>
      </c>
      <c r="E1478" t="s">
        <v>3791</v>
      </c>
      <c r="F1478" t="s">
        <v>3792</v>
      </c>
      <c r="G1478" t="s">
        <v>3812</v>
      </c>
      <c r="H1478" s="3">
        <v>852</v>
      </c>
      <c r="I1478">
        <v>456</v>
      </c>
      <c r="J1478">
        <v>0</v>
      </c>
      <c r="K1478">
        <v>14</v>
      </c>
      <c r="L1478" s="4">
        <v>0.797748588101856</v>
      </c>
      <c r="M1478" s="4">
        <v>0.202251411898144</v>
      </c>
      <c r="N1478">
        <v>0</v>
      </c>
    </row>
    <row r="1479" spans="1:14" x14ac:dyDescent="0.25">
      <c r="A1479" s="2"/>
      <c r="B1479" t="s">
        <v>3813</v>
      </c>
      <c r="C1479" t="s">
        <v>16</v>
      </c>
      <c r="D1479" t="s">
        <v>110</v>
      </c>
      <c r="E1479" t="s">
        <v>3791</v>
      </c>
      <c r="F1479" t="s">
        <v>3792</v>
      </c>
      <c r="G1479" t="s">
        <v>3814</v>
      </c>
      <c r="H1479" s="3">
        <v>852</v>
      </c>
      <c r="I1479">
        <v>860</v>
      </c>
      <c r="J1479">
        <v>0</v>
      </c>
      <c r="K1479">
        <v>27</v>
      </c>
      <c r="L1479" s="4">
        <v>0.45907403473821101</v>
      </c>
      <c r="M1479" s="4">
        <v>0.54092596526178904</v>
      </c>
      <c r="N1479">
        <v>0</v>
      </c>
    </row>
    <row r="1480" spans="1:14" x14ac:dyDescent="0.25">
      <c r="A1480" s="2">
        <v>23595147</v>
      </c>
      <c r="B1480" t="s">
        <v>3815</v>
      </c>
      <c r="C1480" t="s">
        <v>31</v>
      </c>
      <c r="D1480" t="s">
        <v>110</v>
      </c>
      <c r="E1480" t="s">
        <v>3791</v>
      </c>
      <c r="F1480" t="s">
        <v>3792</v>
      </c>
      <c r="G1480" t="s">
        <v>3816</v>
      </c>
      <c r="H1480" s="3">
        <v>1704</v>
      </c>
      <c r="I1480">
        <v>854</v>
      </c>
      <c r="J1480">
        <v>0</v>
      </c>
      <c r="K1480">
        <v>48</v>
      </c>
      <c r="L1480" s="4">
        <v>0.103066863733208</v>
      </c>
      <c r="M1480" s="4">
        <v>0.89693313626679205</v>
      </c>
      <c r="N1480">
        <v>0</v>
      </c>
    </row>
    <row r="1481" spans="1:14" x14ac:dyDescent="0.25">
      <c r="A1481" s="2">
        <v>23771140</v>
      </c>
      <c r="B1481" t="s">
        <v>3817</v>
      </c>
      <c r="C1481" t="s">
        <v>31</v>
      </c>
      <c r="D1481" t="s">
        <v>110</v>
      </c>
      <c r="E1481" t="s">
        <v>3791</v>
      </c>
      <c r="F1481" t="s">
        <v>3792</v>
      </c>
      <c r="G1481" t="s">
        <v>3818</v>
      </c>
      <c r="H1481" s="3">
        <v>2184</v>
      </c>
      <c r="I1481">
        <v>966</v>
      </c>
      <c r="J1481">
        <v>0</v>
      </c>
      <c r="K1481">
        <v>15</v>
      </c>
      <c r="L1481" s="4">
        <v>0.96915304501474397</v>
      </c>
      <c r="M1481" s="4">
        <v>3.0846954985256501E-2</v>
      </c>
      <c r="N1481">
        <v>0</v>
      </c>
    </row>
    <row r="1482" spans="1:14" x14ac:dyDescent="0.25">
      <c r="A1482" s="2">
        <v>22434880</v>
      </c>
      <c r="B1482" t="s">
        <v>1112</v>
      </c>
      <c r="C1482" t="s">
        <v>31</v>
      </c>
      <c r="D1482" t="s">
        <v>110</v>
      </c>
      <c r="E1482" t="s">
        <v>3791</v>
      </c>
      <c r="F1482" t="s">
        <v>3792</v>
      </c>
      <c r="G1482" t="s">
        <v>3819</v>
      </c>
      <c r="H1482" s="3">
        <v>852</v>
      </c>
      <c r="I1482">
        <v>11</v>
      </c>
      <c r="J1482">
        <v>1</v>
      </c>
      <c r="K1482">
        <v>29</v>
      </c>
      <c r="L1482" s="4">
        <v>0.22552208142302799</v>
      </c>
      <c r="M1482" s="4">
        <v>0.77447791857697201</v>
      </c>
      <c r="N1482">
        <v>0</v>
      </c>
    </row>
    <row r="1483" spans="1:14" x14ac:dyDescent="0.25">
      <c r="A1483" s="2">
        <v>23511971</v>
      </c>
      <c r="B1483" t="s">
        <v>3820</v>
      </c>
      <c r="C1483" t="s">
        <v>31</v>
      </c>
      <c r="D1483" t="s">
        <v>110</v>
      </c>
      <c r="E1483" t="s">
        <v>3791</v>
      </c>
      <c r="F1483" t="s">
        <v>3792</v>
      </c>
      <c r="G1483" t="s">
        <v>3821</v>
      </c>
      <c r="H1483" s="3">
        <v>852</v>
      </c>
      <c r="I1483">
        <v>997</v>
      </c>
      <c r="J1483">
        <v>0</v>
      </c>
      <c r="K1483">
        <v>4</v>
      </c>
      <c r="L1483" s="4">
        <v>0.82490918293867999</v>
      </c>
      <c r="M1483" s="4">
        <v>0.17509081706131999</v>
      </c>
      <c r="N1483">
        <v>981</v>
      </c>
    </row>
    <row r="1484" spans="1:14" x14ac:dyDescent="0.25">
      <c r="A1484" s="2"/>
      <c r="C1484" t="s">
        <v>28</v>
      </c>
      <c r="D1484" t="s">
        <v>110</v>
      </c>
      <c r="E1484" t="s">
        <v>3791</v>
      </c>
      <c r="F1484" t="s">
        <v>3792</v>
      </c>
      <c r="G1484" t="s">
        <v>3822</v>
      </c>
      <c r="H1484" s="3">
        <v>852</v>
      </c>
      <c r="I1484">
        <v>176</v>
      </c>
      <c r="J1484">
        <v>0</v>
      </c>
      <c r="K1484">
        <v>43</v>
      </c>
      <c r="L1484" s="4">
        <v>0.31068273325912099</v>
      </c>
      <c r="M1484" s="4">
        <v>0.68931726674087901</v>
      </c>
      <c r="N1484">
        <v>0</v>
      </c>
    </row>
    <row r="1485" spans="1:14" x14ac:dyDescent="0.25">
      <c r="A1485" s="2"/>
      <c r="B1485" t="s">
        <v>3823</v>
      </c>
      <c r="C1485" t="s">
        <v>16</v>
      </c>
      <c r="D1485" t="s">
        <v>110</v>
      </c>
      <c r="E1485" t="s">
        <v>3791</v>
      </c>
      <c r="F1485" t="s">
        <v>3792</v>
      </c>
      <c r="G1485" t="s">
        <v>3824</v>
      </c>
      <c r="H1485" s="3">
        <v>852</v>
      </c>
      <c r="I1485">
        <v>631</v>
      </c>
      <c r="J1485">
        <v>0</v>
      </c>
      <c r="K1485">
        <v>43</v>
      </c>
      <c r="L1485" s="4">
        <v>0.56260836939167802</v>
      </c>
      <c r="M1485" s="4">
        <v>0.43739163060832198</v>
      </c>
      <c r="N1485">
        <v>0</v>
      </c>
    </row>
    <row r="1486" spans="1:14" x14ac:dyDescent="0.25">
      <c r="A1486" s="2"/>
      <c r="B1486" t="s">
        <v>3825</v>
      </c>
      <c r="C1486" t="s">
        <v>16</v>
      </c>
      <c r="D1486" t="s">
        <v>110</v>
      </c>
      <c r="E1486" t="s">
        <v>3791</v>
      </c>
      <c r="F1486" t="s">
        <v>3792</v>
      </c>
      <c r="G1486" t="s">
        <v>3826</v>
      </c>
      <c r="H1486" s="3">
        <v>852</v>
      </c>
      <c r="I1486">
        <v>937</v>
      </c>
      <c r="J1486">
        <v>0</v>
      </c>
      <c r="K1486">
        <v>25</v>
      </c>
      <c r="L1486" s="4">
        <v>0.32594034082205198</v>
      </c>
      <c r="M1486" s="4">
        <v>0.67405965917794797</v>
      </c>
      <c r="N1486">
        <v>0</v>
      </c>
    </row>
    <row r="1487" spans="1:14" x14ac:dyDescent="0.25">
      <c r="A1487" s="2"/>
      <c r="B1487" t="s">
        <v>3827</v>
      </c>
      <c r="C1487" t="s">
        <v>16</v>
      </c>
      <c r="D1487" t="s">
        <v>110</v>
      </c>
      <c r="E1487" t="s">
        <v>3791</v>
      </c>
      <c r="F1487" t="s">
        <v>3792</v>
      </c>
      <c r="G1487" t="s">
        <v>3828</v>
      </c>
      <c r="H1487" s="3">
        <v>852</v>
      </c>
      <c r="I1487">
        <v>354</v>
      </c>
      <c r="J1487">
        <v>0</v>
      </c>
      <c r="K1487">
        <v>8</v>
      </c>
      <c r="L1487" s="4">
        <v>0.15093985834502199</v>
      </c>
      <c r="M1487" s="4">
        <v>0.84906014165497801</v>
      </c>
      <c r="N1487">
        <v>0</v>
      </c>
    </row>
    <row r="1488" spans="1:14" x14ac:dyDescent="0.25">
      <c r="A1488" s="2">
        <v>23963700</v>
      </c>
      <c r="B1488" t="s">
        <v>3829</v>
      </c>
      <c r="C1488" t="s">
        <v>31</v>
      </c>
      <c r="D1488" t="s">
        <v>110</v>
      </c>
      <c r="E1488" t="s">
        <v>3791</v>
      </c>
      <c r="F1488" t="s">
        <v>3792</v>
      </c>
      <c r="G1488" t="s">
        <v>3830</v>
      </c>
      <c r="H1488" s="3">
        <v>1704</v>
      </c>
      <c r="I1488">
        <v>41</v>
      </c>
      <c r="J1488">
        <v>0</v>
      </c>
      <c r="K1488">
        <v>36</v>
      </c>
      <c r="L1488" s="4">
        <v>0.66237310188633802</v>
      </c>
      <c r="M1488" s="4">
        <v>0.33762689811366198</v>
      </c>
      <c r="N1488">
        <v>0</v>
      </c>
    </row>
    <row r="1489" spans="1:14" x14ac:dyDescent="0.25">
      <c r="A1489" s="2"/>
      <c r="B1489" t="s">
        <v>3831</v>
      </c>
      <c r="C1489" t="s">
        <v>16</v>
      </c>
      <c r="D1489" t="s">
        <v>110</v>
      </c>
      <c r="E1489" t="s">
        <v>3791</v>
      </c>
      <c r="F1489" t="s">
        <v>3792</v>
      </c>
      <c r="G1489" t="s">
        <v>3832</v>
      </c>
      <c r="H1489" s="3">
        <v>1704</v>
      </c>
      <c r="J1489">
        <v>1</v>
      </c>
      <c r="K1489">
        <v>39</v>
      </c>
      <c r="L1489" s="4">
        <v>0.62372721979235901</v>
      </c>
      <c r="M1489" s="4">
        <v>0.37627278020764199</v>
      </c>
      <c r="N1489">
        <v>0</v>
      </c>
    </row>
    <row r="1490" spans="1:14" x14ac:dyDescent="0.25">
      <c r="A1490" s="2"/>
      <c r="B1490" t="s">
        <v>3833</v>
      </c>
      <c r="C1490" t="s">
        <v>16</v>
      </c>
      <c r="D1490" t="s">
        <v>110</v>
      </c>
      <c r="E1490" t="s">
        <v>3791</v>
      </c>
      <c r="F1490" t="s">
        <v>3792</v>
      </c>
      <c r="G1490" t="s">
        <v>3834</v>
      </c>
      <c r="H1490" s="3">
        <v>1704</v>
      </c>
      <c r="I1490">
        <v>508</v>
      </c>
      <c r="J1490">
        <v>0</v>
      </c>
      <c r="K1490">
        <v>17</v>
      </c>
      <c r="L1490" s="4">
        <v>0.12684356389040899</v>
      </c>
      <c r="M1490" s="4">
        <v>0.87315643610959104</v>
      </c>
      <c r="N1490">
        <v>0</v>
      </c>
    </row>
    <row r="1491" spans="1:14" x14ac:dyDescent="0.25">
      <c r="A1491" s="2"/>
      <c r="B1491" t="s">
        <v>3835</v>
      </c>
      <c r="C1491" t="s">
        <v>16</v>
      </c>
      <c r="D1491" t="s">
        <v>110</v>
      </c>
      <c r="E1491" t="s">
        <v>3791</v>
      </c>
      <c r="F1491" t="s">
        <v>3792</v>
      </c>
      <c r="G1491" t="s">
        <v>3836</v>
      </c>
      <c r="H1491" s="3">
        <v>1704</v>
      </c>
      <c r="I1491">
        <v>132</v>
      </c>
      <c r="J1491">
        <v>0</v>
      </c>
      <c r="K1491">
        <v>32</v>
      </c>
      <c r="L1491" s="4">
        <v>6.3825532359801304E-2</v>
      </c>
      <c r="M1491" s="4">
        <v>0.93617446764019896</v>
      </c>
      <c r="N1491">
        <v>0</v>
      </c>
    </row>
    <row r="1492" spans="1:14" x14ac:dyDescent="0.25">
      <c r="A1492" s="2"/>
      <c r="B1492" t="s">
        <v>3837</v>
      </c>
      <c r="C1492" t="s">
        <v>16</v>
      </c>
      <c r="D1492" t="s">
        <v>110</v>
      </c>
      <c r="E1492" t="s">
        <v>3791</v>
      </c>
      <c r="F1492" t="s">
        <v>3792</v>
      </c>
      <c r="G1492" t="s">
        <v>3838</v>
      </c>
      <c r="H1492" s="3">
        <v>1704</v>
      </c>
      <c r="I1492">
        <v>22</v>
      </c>
      <c r="J1492">
        <v>1</v>
      </c>
      <c r="K1492">
        <v>48</v>
      </c>
      <c r="L1492" s="4">
        <v>0.16290182599997799</v>
      </c>
      <c r="M1492" s="4">
        <v>0.83709817400002196</v>
      </c>
      <c r="N1492">
        <v>0</v>
      </c>
    </row>
    <row r="1493" spans="1:14" x14ac:dyDescent="0.25">
      <c r="A1493" s="2">
        <v>21948792</v>
      </c>
      <c r="B1493" t="s">
        <v>3839</v>
      </c>
      <c r="C1493" t="s">
        <v>31</v>
      </c>
      <c r="D1493" t="s">
        <v>110</v>
      </c>
      <c r="E1493" t="s">
        <v>3791</v>
      </c>
      <c r="F1493" t="s">
        <v>3792</v>
      </c>
      <c r="G1493" t="s">
        <v>3840</v>
      </c>
      <c r="H1493" s="3">
        <v>1704</v>
      </c>
      <c r="I1493">
        <v>977</v>
      </c>
      <c r="J1493">
        <v>1</v>
      </c>
      <c r="K1493">
        <v>29</v>
      </c>
      <c r="L1493" s="4">
        <v>0.496665264790489</v>
      </c>
      <c r="M1493" s="4">
        <v>0.503334735209511</v>
      </c>
      <c r="N1493">
        <v>0</v>
      </c>
    </row>
    <row r="1494" spans="1:14" x14ac:dyDescent="0.25">
      <c r="A1494" s="2"/>
      <c r="B1494" t="s">
        <v>3841</v>
      </c>
      <c r="C1494" t="s">
        <v>16</v>
      </c>
      <c r="D1494" t="s">
        <v>110</v>
      </c>
      <c r="E1494" t="s">
        <v>3791</v>
      </c>
      <c r="G1494" t="s">
        <v>3842</v>
      </c>
      <c r="H1494" s="3">
        <v>710</v>
      </c>
      <c r="I1494">
        <v>852</v>
      </c>
      <c r="J1494">
        <v>1</v>
      </c>
      <c r="K1494">
        <v>37</v>
      </c>
      <c r="L1494" s="4">
        <v>0.27540990674832699</v>
      </c>
      <c r="M1494" s="4">
        <v>0.72459009325167301</v>
      </c>
      <c r="N1494">
        <v>0</v>
      </c>
    </row>
    <row r="1495" spans="1:14" x14ac:dyDescent="0.25">
      <c r="A1495" s="2"/>
      <c r="B1495" t="s">
        <v>3843</v>
      </c>
      <c r="C1495" t="s">
        <v>16</v>
      </c>
      <c r="D1495" t="s">
        <v>110</v>
      </c>
      <c r="E1495" t="s">
        <v>3791</v>
      </c>
      <c r="G1495" t="s">
        <v>3844</v>
      </c>
      <c r="H1495" s="3">
        <v>1420</v>
      </c>
      <c r="I1495">
        <v>875</v>
      </c>
      <c r="J1495">
        <v>0</v>
      </c>
      <c r="K1495">
        <v>26</v>
      </c>
      <c r="L1495" s="4">
        <v>0.55626710581974803</v>
      </c>
      <c r="M1495" s="4">
        <v>0.44373289418025202</v>
      </c>
      <c r="N1495">
        <v>0</v>
      </c>
    </row>
    <row r="1496" spans="1:14" x14ac:dyDescent="0.25">
      <c r="A1496" s="2"/>
      <c r="B1496" t="s">
        <v>3845</v>
      </c>
      <c r="C1496" t="s">
        <v>16</v>
      </c>
      <c r="D1496" t="s">
        <v>110</v>
      </c>
      <c r="E1496" t="s">
        <v>3791</v>
      </c>
      <c r="F1496" t="s">
        <v>3792</v>
      </c>
      <c r="G1496" t="s">
        <v>3846</v>
      </c>
      <c r="H1496" s="3">
        <v>852</v>
      </c>
      <c r="I1496">
        <v>217</v>
      </c>
      <c r="J1496">
        <v>0</v>
      </c>
      <c r="K1496">
        <v>1</v>
      </c>
      <c r="L1496" s="4">
        <v>0.30329787642974698</v>
      </c>
      <c r="M1496" s="4">
        <v>0.69670212357025296</v>
      </c>
      <c r="N1496">
        <v>0</v>
      </c>
    </row>
    <row r="1497" spans="1:14" x14ac:dyDescent="0.25">
      <c r="A1497" s="2"/>
      <c r="B1497" t="s">
        <v>3847</v>
      </c>
      <c r="C1497" t="s">
        <v>16</v>
      </c>
      <c r="D1497" t="s">
        <v>148</v>
      </c>
      <c r="E1497" t="s">
        <v>3848</v>
      </c>
      <c r="F1497" t="s">
        <v>3849</v>
      </c>
      <c r="G1497" t="s">
        <v>3850</v>
      </c>
      <c r="H1497" s="3">
        <v>1680</v>
      </c>
      <c r="I1497">
        <v>972</v>
      </c>
      <c r="J1497">
        <v>0</v>
      </c>
      <c r="K1497">
        <v>28</v>
      </c>
      <c r="L1497" s="4">
        <v>5.8918052277076298E-2</v>
      </c>
      <c r="M1497" s="4">
        <v>0.94108194772292397</v>
      </c>
      <c r="N1497">
        <v>0</v>
      </c>
    </row>
    <row r="1498" spans="1:14" x14ac:dyDescent="0.25">
      <c r="A1498" s="2">
        <v>22188548</v>
      </c>
      <c r="B1498" t="s">
        <v>3851</v>
      </c>
      <c r="C1498" t="s">
        <v>31</v>
      </c>
      <c r="D1498" t="s">
        <v>86</v>
      </c>
      <c r="E1498" t="s">
        <v>3852</v>
      </c>
      <c r="G1498" t="s">
        <v>3853</v>
      </c>
      <c r="H1498" s="3">
        <v>2275.02</v>
      </c>
      <c r="I1498">
        <v>617</v>
      </c>
      <c r="J1498">
        <v>1</v>
      </c>
      <c r="K1498">
        <v>25</v>
      </c>
      <c r="L1498" s="4">
        <v>0.65459576060509295</v>
      </c>
      <c r="M1498" s="4">
        <v>0.345404239394907</v>
      </c>
      <c r="N1498">
        <v>0</v>
      </c>
    </row>
    <row r="1499" spans="1:14" x14ac:dyDescent="0.25">
      <c r="A1499" s="2">
        <v>22764734</v>
      </c>
      <c r="B1499" t="s">
        <v>3854</v>
      </c>
      <c r="C1499" t="s">
        <v>31</v>
      </c>
      <c r="D1499" t="s">
        <v>86</v>
      </c>
      <c r="E1499" t="s">
        <v>3852</v>
      </c>
      <c r="G1499" t="s">
        <v>3855</v>
      </c>
      <c r="H1499" s="3">
        <v>2373.5700000000002</v>
      </c>
      <c r="I1499">
        <v>826</v>
      </c>
      <c r="J1499">
        <v>0</v>
      </c>
      <c r="K1499">
        <v>1</v>
      </c>
      <c r="L1499" s="4">
        <v>0.61765753260898204</v>
      </c>
      <c r="M1499" s="4">
        <v>0.38234246739101801</v>
      </c>
      <c r="N1499">
        <v>0</v>
      </c>
    </row>
    <row r="1500" spans="1:14" x14ac:dyDescent="0.25">
      <c r="A1500" s="2">
        <v>23686316</v>
      </c>
      <c r="C1500" t="s">
        <v>0</v>
      </c>
      <c r="D1500" t="s">
        <v>607</v>
      </c>
      <c r="E1500" t="s">
        <v>3856</v>
      </c>
      <c r="F1500" t="s">
        <v>3857</v>
      </c>
      <c r="G1500" t="s">
        <v>3858</v>
      </c>
      <c r="H1500" s="3">
        <v>2774.45</v>
      </c>
      <c r="J1500">
        <v>0</v>
      </c>
      <c r="K1500">
        <v>7</v>
      </c>
      <c r="L1500" s="4">
        <v>0.53488253078238901</v>
      </c>
      <c r="M1500" s="4">
        <v>0.46511746921761199</v>
      </c>
      <c r="N1500">
        <v>0</v>
      </c>
    </row>
    <row r="1501" spans="1:14" x14ac:dyDescent="0.25">
      <c r="A1501" s="2">
        <v>23708655</v>
      </c>
      <c r="C1501" t="s">
        <v>0</v>
      </c>
      <c r="D1501" t="s">
        <v>607</v>
      </c>
      <c r="E1501" t="s">
        <v>3856</v>
      </c>
      <c r="F1501" t="s">
        <v>3857</v>
      </c>
      <c r="G1501" t="s">
        <v>3859</v>
      </c>
      <c r="H1501" s="3">
        <v>3360</v>
      </c>
      <c r="K1501">
        <v>4</v>
      </c>
      <c r="L1501" s="4">
        <v>0.47126639060935799</v>
      </c>
      <c r="M1501" s="4">
        <v>0.52873360939064196</v>
      </c>
      <c r="N1501">
        <v>0</v>
      </c>
    </row>
    <row r="1502" spans="1:14" x14ac:dyDescent="0.25">
      <c r="A1502" s="2">
        <v>23975431</v>
      </c>
      <c r="C1502" t="s">
        <v>0</v>
      </c>
      <c r="D1502" t="s">
        <v>607</v>
      </c>
      <c r="E1502" t="s">
        <v>3856</v>
      </c>
      <c r="F1502" t="s">
        <v>3857</v>
      </c>
      <c r="G1502" t="s">
        <v>3860</v>
      </c>
      <c r="H1502" s="3">
        <v>3360</v>
      </c>
      <c r="I1502">
        <v>19</v>
      </c>
      <c r="J1502">
        <v>0</v>
      </c>
      <c r="K1502">
        <v>39</v>
      </c>
      <c r="L1502" s="4">
        <v>0.95470435084256799</v>
      </c>
      <c r="M1502" s="4">
        <v>4.5295649157431603E-2</v>
      </c>
      <c r="N1502">
        <v>0</v>
      </c>
    </row>
    <row r="1503" spans="1:14" x14ac:dyDescent="0.25">
      <c r="A1503" s="2"/>
      <c r="B1503" t="s">
        <v>3861</v>
      </c>
      <c r="C1503" t="s">
        <v>16</v>
      </c>
      <c r="D1503" t="s">
        <v>3862</v>
      </c>
      <c r="E1503" t="s">
        <v>3863</v>
      </c>
      <c r="F1503" t="s">
        <v>3864</v>
      </c>
      <c r="G1503" t="s">
        <v>3865</v>
      </c>
      <c r="H1503" s="3">
        <v>1319.42</v>
      </c>
      <c r="I1503">
        <v>557</v>
      </c>
      <c r="J1503">
        <v>1</v>
      </c>
      <c r="K1503">
        <v>10</v>
      </c>
      <c r="L1503" s="4">
        <v>0.56699886276457301</v>
      </c>
      <c r="M1503" s="4">
        <v>0.43300113723542699</v>
      </c>
      <c r="N1503">
        <v>0</v>
      </c>
    </row>
    <row r="1504" spans="1:14" x14ac:dyDescent="0.25">
      <c r="A1504" s="2">
        <v>23154538</v>
      </c>
      <c r="B1504" t="s">
        <v>3866</v>
      </c>
      <c r="C1504" t="s">
        <v>31</v>
      </c>
      <c r="D1504" t="s">
        <v>3862</v>
      </c>
      <c r="E1504" t="s">
        <v>3863</v>
      </c>
      <c r="F1504" t="s">
        <v>3864</v>
      </c>
      <c r="G1504" t="s">
        <v>3867</v>
      </c>
      <c r="H1504" s="3">
        <v>1301.25</v>
      </c>
      <c r="I1504">
        <v>536</v>
      </c>
      <c r="J1504">
        <v>0</v>
      </c>
      <c r="K1504">
        <v>38</v>
      </c>
      <c r="L1504" s="4">
        <v>0.557807568565718</v>
      </c>
      <c r="M1504" s="4">
        <v>0.442192431434282</v>
      </c>
      <c r="N1504">
        <v>0</v>
      </c>
    </row>
    <row r="1505" spans="1:14" x14ac:dyDescent="0.25">
      <c r="A1505" s="2"/>
      <c r="B1505" t="s">
        <v>3868</v>
      </c>
      <c r="C1505" t="s">
        <v>16</v>
      </c>
      <c r="D1505" t="s">
        <v>69</v>
      </c>
      <c r="E1505" t="s">
        <v>3869</v>
      </c>
      <c r="F1505" t="s">
        <v>3870</v>
      </c>
      <c r="G1505" t="s">
        <v>130</v>
      </c>
      <c r="H1505" s="3">
        <v>1663.63</v>
      </c>
      <c r="I1505">
        <v>747</v>
      </c>
      <c r="J1505">
        <v>1</v>
      </c>
      <c r="K1505">
        <v>7</v>
      </c>
      <c r="L1505" s="4">
        <v>5.2461498729764001E-2</v>
      </c>
      <c r="M1505" s="4">
        <v>0.94753850127023598</v>
      </c>
      <c r="N1505">
        <v>0</v>
      </c>
    </row>
    <row r="1506" spans="1:14" x14ac:dyDescent="0.25">
      <c r="A1506" s="2"/>
      <c r="B1506" t="s">
        <v>3871</v>
      </c>
      <c r="C1506" t="s">
        <v>16</v>
      </c>
      <c r="D1506" t="s">
        <v>69</v>
      </c>
      <c r="E1506" t="s">
        <v>3869</v>
      </c>
      <c r="F1506" t="s">
        <v>3870</v>
      </c>
      <c r="G1506" t="s">
        <v>3872</v>
      </c>
      <c r="H1506" s="3">
        <v>1829.99</v>
      </c>
      <c r="I1506">
        <v>644</v>
      </c>
      <c r="J1506">
        <v>0</v>
      </c>
      <c r="K1506">
        <v>22</v>
      </c>
      <c r="L1506" s="4">
        <v>0.56807100238547004</v>
      </c>
      <c r="M1506" s="4">
        <v>0.43192899761453102</v>
      </c>
      <c r="N1506">
        <v>0</v>
      </c>
    </row>
    <row r="1507" spans="1:14" x14ac:dyDescent="0.25">
      <c r="A1507" s="2"/>
      <c r="B1507" t="s">
        <v>3873</v>
      </c>
      <c r="C1507" t="s">
        <v>16</v>
      </c>
      <c r="D1507" t="s">
        <v>17</v>
      </c>
      <c r="E1507" t="s">
        <v>3874</v>
      </c>
      <c r="F1507" t="s">
        <v>3875</v>
      </c>
      <c r="G1507" t="s">
        <v>3876</v>
      </c>
      <c r="H1507" s="3">
        <v>1953.76</v>
      </c>
      <c r="I1507">
        <v>963</v>
      </c>
      <c r="J1507">
        <v>0</v>
      </c>
      <c r="K1507">
        <v>1</v>
      </c>
      <c r="L1507" s="4">
        <v>0.36804599095066998</v>
      </c>
      <c r="M1507" s="4">
        <v>0.63195400904932997</v>
      </c>
      <c r="N1507">
        <v>0</v>
      </c>
    </row>
    <row r="1508" spans="1:14" x14ac:dyDescent="0.25">
      <c r="A1508" s="2"/>
      <c r="B1508" t="s">
        <v>3877</v>
      </c>
      <c r="C1508" t="s">
        <v>16</v>
      </c>
      <c r="D1508" t="s">
        <v>3878</v>
      </c>
      <c r="E1508" t="s">
        <v>3879</v>
      </c>
      <c r="F1508" t="s">
        <v>3880</v>
      </c>
      <c r="G1508" t="s">
        <v>3881</v>
      </c>
      <c r="H1508" s="3">
        <v>1375.33</v>
      </c>
      <c r="I1508">
        <v>398</v>
      </c>
      <c r="J1508">
        <v>1</v>
      </c>
      <c r="K1508">
        <v>48</v>
      </c>
      <c r="L1508" s="4">
        <v>0.16407142295377999</v>
      </c>
      <c r="M1508" s="4">
        <v>0.83592857704622003</v>
      </c>
      <c r="N1508">
        <v>0</v>
      </c>
    </row>
    <row r="1509" spans="1:14" x14ac:dyDescent="0.25">
      <c r="A1509" s="2"/>
      <c r="B1509" t="s">
        <v>3882</v>
      </c>
      <c r="C1509" t="s">
        <v>16</v>
      </c>
      <c r="D1509" t="s">
        <v>1116</v>
      </c>
      <c r="E1509" t="s">
        <v>3883</v>
      </c>
      <c r="F1509" t="s">
        <v>3884</v>
      </c>
      <c r="G1509" t="s">
        <v>3885</v>
      </c>
      <c r="H1509" s="3">
        <v>1632</v>
      </c>
      <c r="I1509">
        <v>518</v>
      </c>
      <c r="J1509">
        <v>1</v>
      </c>
      <c r="K1509">
        <v>23</v>
      </c>
      <c r="L1509" s="4">
        <v>0.365912379069327</v>
      </c>
      <c r="M1509" s="4">
        <v>0.63408762093067295</v>
      </c>
      <c r="N1509">
        <v>0</v>
      </c>
    </row>
    <row r="1510" spans="1:14" x14ac:dyDescent="0.25">
      <c r="A1510" s="2"/>
      <c r="B1510" t="s">
        <v>3886</v>
      </c>
      <c r="C1510" t="s">
        <v>16</v>
      </c>
      <c r="D1510" t="s">
        <v>148</v>
      </c>
      <c r="E1510" t="s">
        <v>3887</v>
      </c>
      <c r="F1510" t="s">
        <v>3888</v>
      </c>
      <c r="G1510" t="s">
        <v>3889</v>
      </c>
      <c r="H1510" s="3">
        <v>1340.1</v>
      </c>
      <c r="I1510">
        <v>718</v>
      </c>
      <c r="J1510">
        <v>1</v>
      </c>
      <c r="K1510">
        <v>30</v>
      </c>
      <c r="L1510" s="4">
        <v>0.218745567905472</v>
      </c>
      <c r="M1510" s="4">
        <v>0.78125443209452805</v>
      </c>
      <c r="N1510">
        <v>0</v>
      </c>
    </row>
    <row r="1511" spans="1:14" x14ac:dyDescent="0.25">
      <c r="A1511" s="2"/>
      <c r="B1511" t="s">
        <v>3890</v>
      </c>
      <c r="C1511" t="s">
        <v>16</v>
      </c>
      <c r="D1511" t="s">
        <v>148</v>
      </c>
      <c r="E1511" t="s">
        <v>3887</v>
      </c>
      <c r="F1511" t="s">
        <v>3888</v>
      </c>
      <c r="G1511" t="s">
        <v>3891</v>
      </c>
      <c r="H1511" s="3">
        <v>1280.0999999999999</v>
      </c>
      <c r="I1511">
        <v>144</v>
      </c>
      <c r="J1511">
        <v>0</v>
      </c>
      <c r="K1511">
        <v>46</v>
      </c>
      <c r="L1511" s="4">
        <v>0.51152415283609998</v>
      </c>
      <c r="M1511" s="4">
        <v>0.48847584716390002</v>
      </c>
      <c r="N1511">
        <v>0</v>
      </c>
    </row>
    <row r="1512" spans="1:14" x14ac:dyDescent="0.25">
      <c r="A1512" s="2"/>
      <c r="B1512" t="s">
        <v>3892</v>
      </c>
      <c r="C1512" t="s">
        <v>16</v>
      </c>
      <c r="D1512" t="s">
        <v>17</v>
      </c>
      <c r="E1512" t="s">
        <v>3893</v>
      </c>
      <c r="F1512" t="s">
        <v>3894</v>
      </c>
      <c r="G1512" t="s">
        <v>3895</v>
      </c>
      <c r="H1512" s="3">
        <v>2295.39</v>
      </c>
      <c r="I1512">
        <v>683</v>
      </c>
      <c r="J1512">
        <v>1</v>
      </c>
      <c r="K1512">
        <v>50</v>
      </c>
      <c r="L1512" s="4">
        <v>6.5627932409252396E-2</v>
      </c>
      <c r="M1512" s="4">
        <v>0.93437206759074798</v>
      </c>
      <c r="N1512">
        <v>0</v>
      </c>
    </row>
    <row r="1513" spans="1:14" x14ac:dyDescent="0.25">
      <c r="A1513" s="2"/>
      <c r="B1513" t="s">
        <v>3896</v>
      </c>
      <c r="C1513" t="s">
        <v>16</v>
      </c>
      <c r="D1513" t="s">
        <v>69</v>
      </c>
      <c r="E1513" t="s">
        <v>3897</v>
      </c>
      <c r="F1513" t="s">
        <v>3898</v>
      </c>
      <c r="G1513" t="s">
        <v>3899</v>
      </c>
      <c r="H1513" s="3">
        <v>1929.03</v>
      </c>
      <c r="I1513">
        <v>521</v>
      </c>
      <c r="J1513">
        <v>1</v>
      </c>
      <c r="K1513">
        <v>35</v>
      </c>
      <c r="L1513" s="4">
        <v>0.866420909538129</v>
      </c>
      <c r="M1513" s="4">
        <v>0.133579090461871</v>
      </c>
      <c r="N1513">
        <v>0</v>
      </c>
    </row>
    <row r="1514" spans="1:14" x14ac:dyDescent="0.25">
      <c r="A1514" s="2"/>
      <c r="C1514" t="s">
        <v>28</v>
      </c>
      <c r="D1514" t="s">
        <v>110</v>
      </c>
      <c r="E1514" t="s">
        <v>3900</v>
      </c>
      <c r="F1514" t="s">
        <v>3901</v>
      </c>
      <c r="G1514" t="s">
        <v>3902</v>
      </c>
      <c r="H1514" s="3">
        <v>1700</v>
      </c>
      <c r="J1514">
        <v>1</v>
      </c>
      <c r="K1514">
        <v>23</v>
      </c>
      <c r="L1514" s="4">
        <v>0.81988372318262004</v>
      </c>
      <c r="M1514" s="4">
        <v>0.18011627681738099</v>
      </c>
      <c r="N1514">
        <v>0</v>
      </c>
    </row>
    <row r="1515" spans="1:14" x14ac:dyDescent="0.25">
      <c r="A1515" s="2">
        <v>23981980</v>
      </c>
      <c r="B1515" t="s">
        <v>3903</v>
      </c>
      <c r="C1515" t="s">
        <v>31</v>
      </c>
      <c r="D1515" t="s">
        <v>110</v>
      </c>
      <c r="E1515" t="s">
        <v>110</v>
      </c>
      <c r="F1515" t="s">
        <v>3904</v>
      </c>
      <c r="G1515" t="s">
        <v>3905</v>
      </c>
      <c r="H1515" s="3">
        <v>2400</v>
      </c>
      <c r="I1515">
        <v>140</v>
      </c>
      <c r="J1515">
        <v>0</v>
      </c>
      <c r="L1515" s="4">
        <v>0.89484700976852305</v>
      </c>
      <c r="M1515" s="4">
        <v>0.10515299023147701</v>
      </c>
      <c r="N1515">
        <v>0</v>
      </c>
    </row>
    <row r="1516" spans="1:14" x14ac:dyDescent="0.25">
      <c r="A1516" s="2"/>
      <c r="B1516" t="s">
        <v>3906</v>
      </c>
      <c r="C1516" t="s">
        <v>16</v>
      </c>
      <c r="D1516" t="s">
        <v>2317</v>
      </c>
      <c r="E1516" t="s">
        <v>3907</v>
      </c>
      <c r="F1516" t="s">
        <v>3908</v>
      </c>
      <c r="G1516" t="s">
        <v>3909</v>
      </c>
      <c r="H1516" s="3">
        <v>1170.4100000000001</v>
      </c>
      <c r="I1516">
        <v>121</v>
      </c>
      <c r="J1516">
        <v>0</v>
      </c>
      <c r="K1516">
        <v>17</v>
      </c>
      <c r="L1516" s="4">
        <v>0.44477731228779099</v>
      </c>
      <c r="M1516" s="4">
        <v>0.55522268771220895</v>
      </c>
      <c r="N1516">
        <v>0</v>
      </c>
    </row>
    <row r="1517" spans="1:14" x14ac:dyDescent="0.25">
      <c r="A1517" s="2"/>
      <c r="B1517" t="s">
        <v>3910</v>
      </c>
      <c r="C1517" t="s">
        <v>16</v>
      </c>
      <c r="D1517" t="s">
        <v>17</v>
      </c>
      <c r="E1517" t="s">
        <v>3911</v>
      </c>
      <c r="F1517" t="s">
        <v>3912</v>
      </c>
      <c r="G1517" t="s">
        <v>3913</v>
      </c>
      <c r="H1517" s="3">
        <v>2330.9899999999998</v>
      </c>
      <c r="I1517">
        <v>545</v>
      </c>
      <c r="J1517">
        <v>1</v>
      </c>
      <c r="K1517">
        <v>48</v>
      </c>
      <c r="L1517" s="4">
        <v>0.30161643161284102</v>
      </c>
      <c r="M1517" s="4">
        <v>0.69838356838715898</v>
      </c>
      <c r="N1517">
        <v>0</v>
      </c>
    </row>
    <row r="1518" spans="1:14" x14ac:dyDescent="0.25">
      <c r="A1518" s="2">
        <v>23707280</v>
      </c>
      <c r="C1518" t="s">
        <v>0</v>
      </c>
      <c r="D1518" t="s">
        <v>17</v>
      </c>
      <c r="E1518" t="s">
        <v>3911</v>
      </c>
      <c r="F1518" t="s">
        <v>3912</v>
      </c>
      <c r="G1518" t="s">
        <v>3914</v>
      </c>
      <c r="H1518" s="3">
        <v>2377.17</v>
      </c>
      <c r="I1518">
        <v>842</v>
      </c>
      <c r="J1518">
        <v>1</v>
      </c>
      <c r="K1518">
        <v>6</v>
      </c>
      <c r="L1518" s="4">
        <v>0.478449139514252</v>
      </c>
      <c r="M1518" s="4">
        <v>0.52155086048574795</v>
      </c>
      <c r="N1518">
        <v>0</v>
      </c>
    </row>
    <row r="1519" spans="1:14" x14ac:dyDescent="0.25">
      <c r="A1519" s="2"/>
      <c r="C1519" t="s">
        <v>28</v>
      </c>
      <c r="D1519" t="s">
        <v>17</v>
      </c>
      <c r="E1519" t="s">
        <v>3911</v>
      </c>
      <c r="F1519" t="s">
        <v>3912</v>
      </c>
      <c r="G1519" t="s">
        <v>3915</v>
      </c>
      <c r="H1519" s="3">
        <v>2394.21</v>
      </c>
      <c r="I1519">
        <v>921</v>
      </c>
      <c r="J1519">
        <v>0</v>
      </c>
      <c r="K1519">
        <v>35</v>
      </c>
      <c r="L1519" s="4">
        <v>0.91852202476106604</v>
      </c>
      <c r="M1519" s="4">
        <v>8.14779752389337E-2</v>
      </c>
      <c r="N1519">
        <v>0</v>
      </c>
    </row>
    <row r="1520" spans="1:14" x14ac:dyDescent="0.25">
      <c r="A1520" s="2"/>
      <c r="B1520" t="s">
        <v>3916</v>
      </c>
      <c r="C1520" t="s">
        <v>16</v>
      </c>
      <c r="D1520" t="s">
        <v>17</v>
      </c>
      <c r="E1520" t="s">
        <v>3911</v>
      </c>
      <c r="F1520" t="s">
        <v>3912</v>
      </c>
      <c r="G1520" t="s">
        <v>3917</v>
      </c>
      <c r="H1520" s="3">
        <v>2404.04</v>
      </c>
      <c r="I1520">
        <v>667</v>
      </c>
      <c r="J1520">
        <v>1</v>
      </c>
      <c r="K1520">
        <v>4</v>
      </c>
      <c r="L1520" s="4">
        <v>0.63041013614237396</v>
      </c>
      <c r="M1520" s="4">
        <v>0.36958986385762699</v>
      </c>
      <c r="N1520">
        <v>0</v>
      </c>
    </row>
    <row r="1521" spans="1:14" x14ac:dyDescent="0.25">
      <c r="A1521" s="2"/>
      <c r="B1521" t="s">
        <v>3918</v>
      </c>
      <c r="C1521" t="s">
        <v>16</v>
      </c>
      <c r="D1521" t="s">
        <v>148</v>
      </c>
      <c r="E1521" t="s">
        <v>3919</v>
      </c>
      <c r="F1521" t="s">
        <v>3920</v>
      </c>
      <c r="G1521" t="s">
        <v>3921</v>
      </c>
      <c r="H1521" s="3">
        <v>1200</v>
      </c>
      <c r="I1521">
        <v>483</v>
      </c>
      <c r="J1521">
        <v>0</v>
      </c>
      <c r="K1521">
        <v>25</v>
      </c>
      <c r="L1521" s="4">
        <v>0.57292242744758903</v>
      </c>
      <c r="M1521" s="4">
        <v>0.42707757255241102</v>
      </c>
      <c r="N1521">
        <v>0</v>
      </c>
    </row>
    <row r="1522" spans="1:14" x14ac:dyDescent="0.25">
      <c r="A1522" s="2"/>
      <c r="B1522" t="s">
        <v>3922</v>
      </c>
      <c r="C1522" t="s">
        <v>16</v>
      </c>
      <c r="D1522" t="s">
        <v>86</v>
      </c>
      <c r="E1522" t="s">
        <v>3923</v>
      </c>
      <c r="F1522" t="s">
        <v>3924</v>
      </c>
      <c r="G1522" t="s">
        <v>3925</v>
      </c>
      <c r="H1522" s="3">
        <v>1931.62</v>
      </c>
      <c r="I1522">
        <v>839</v>
      </c>
      <c r="J1522">
        <v>1</v>
      </c>
      <c r="K1522">
        <v>8</v>
      </c>
      <c r="L1522" s="4">
        <v>0.79298882157274397</v>
      </c>
      <c r="M1522" s="4">
        <v>0.207011178427256</v>
      </c>
      <c r="N1522">
        <v>0</v>
      </c>
    </row>
    <row r="1523" spans="1:14" x14ac:dyDescent="0.25">
      <c r="A1523" s="2">
        <v>23790101</v>
      </c>
      <c r="C1523" t="s">
        <v>0</v>
      </c>
      <c r="D1523" t="s">
        <v>86</v>
      </c>
      <c r="E1523" t="s">
        <v>3923</v>
      </c>
      <c r="F1523" t="s">
        <v>3924</v>
      </c>
      <c r="G1523" t="s">
        <v>3926</v>
      </c>
      <c r="H1523" s="3">
        <v>1987.28</v>
      </c>
      <c r="I1523">
        <v>651</v>
      </c>
      <c r="J1523">
        <v>1</v>
      </c>
      <c r="K1523">
        <v>14</v>
      </c>
      <c r="L1523" s="4">
        <v>0.779113242206949</v>
      </c>
      <c r="M1523" s="4">
        <v>0.220886757793051</v>
      </c>
      <c r="N1523">
        <v>0</v>
      </c>
    </row>
    <row r="1524" spans="1:14" x14ac:dyDescent="0.25">
      <c r="A1524" s="2"/>
      <c r="B1524" t="s">
        <v>3927</v>
      </c>
      <c r="C1524" t="s">
        <v>16</v>
      </c>
      <c r="D1524" t="s">
        <v>148</v>
      </c>
      <c r="E1524" t="s">
        <v>3919</v>
      </c>
      <c r="F1524" t="s">
        <v>3920</v>
      </c>
      <c r="G1524" t="s">
        <v>3928</v>
      </c>
      <c r="H1524" s="3">
        <v>1173</v>
      </c>
      <c r="I1524">
        <v>438</v>
      </c>
      <c r="J1524">
        <v>0</v>
      </c>
      <c r="K1524">
        <v>8</v>
      </c>
      <c r="L1524" s="4">
        <v>0.195394131608425</v>
      </c>
      <c r="M1524" s="4">
        <v>0.804605868391575</v>
      </c>
      <c r="N1524">
        <v>0</v>
      </c>
    </row>
    <row r="1525" spans="1:14" x14ac:dyDescent="0.25">
      <c r="A1525" s="2"/>
      <c r="B1525" t="s">
        <v>3929</v>
      </c>
      <c r="C1525" t="s">
        <v>16</v>
      </c>
      <c r="D1525" t="s">
        <v>148</v>
      </c>
      <c r="E1525" t="s">
        <v>3919</v>
      </c>
      <c r="F1525" t="s">
        <v>3920</v>
      </c>
      <c r="G1525" t="s">
        <v>3930</v>
      </c>
      <c r="H1525" s="3">
        <v>1233</v>
      </c>
      <c r="I1525">
        <v>440</v>
      </c>
      <c r="J1525">
        <v>1</v>
      </c>
      <c r="K1525">
        <v>43</v>
      </c>
      <c r="L1525" s="4">
        <v>0.62724838197468502</v>
      </c>
      <c r="M1525" s="4">
        <v>0.37275161802531498</v>
      </c>
      <c r="N1525">
        <v>0</v>
      </c>
    </row>
    <row r="1526" spans="1:14" x14ac:dyDescent="0.25">
      <c r="A1526" s="2"/>
      <c r="B1526" t="s">
        <v>3931</v>
      </c>
      <c r="C1526" t="s">
        <v>16</v>
      </c>
      <c r="D1526" t="s">
        <v>113</v>
      </c>
      <c r="E1526" t="s">
        <v>3932</v>
      </c>
      <c r="F1526" t="s">
        <v>3933</v>
      </c>
      <c r="G1526" t="s">
        <v>3934</v>
      </c>
      <c r="H1526" s="3">
        <v>1800</v>
      </c>
      <c r="I1526">
        <v>603</v>
      </c>
      <c r="J1526">
        <v>1</v>
      </c>
      <c r="L1526" s="4">
        <v>0.82878576172596097</v>
      </c>
      <c r="M1526" s="4">
        <v>0.171214238274039</v>
      </c>
      <c r="N1526">
        <v>0</v>
      </c>
    </row>
    <row r="1527" spans="1:14" x14ac:dyDescent="0.25">
      <c r="A1527" s="2"/>
      <c r="B1527" t="s">
        <v>3935</v>
      </c>
      <c r="C1527" t="s">
        <v>16</v>
      </c>
      <c r="D1527" t="s">
        <v>113</v>
      </c>
      <c r="E1527" t="s">
        <v>3932</v>
      </c>
      <c r="F1527" t="s">
        <v>3933</v>
      </c>
      <c r="G1527" t="s">
        <v>3936</v>
      </c>
      <c r="H1527" s="3">
        <v>1500</v>
      </c>
      <c r="J1527">
        <v>1</v>
      </c>
      <c r="K1527">
        <v>42</v>
      </c>
      <c r="L1527" s="4">
        <v>0.89113667646221995</v>
      </c>
      <c r="M1527" s="4">
        <v>0.10886332353778</v>
      </c>
      <c r="N1527">
        <v>0</v>
      </c>
    </row>
    <row r="1528" spans="1:14" x14ac:dyDescent="0.25">
      <c r="A1528" s="2"/>
      <c r="B1528" t="s">
        <v>3937</v>
      </c>
      <c r="C1528" t="s">
        <v>16</v>
      </c>
      <c r="D1528" t="s">
        <v>113</v>
      </c>
      <c r="E1528" t="s">
        <v>3932</v>
      </c>
      <c r="F1528" t="s">
        <v>3933</v>
      </c>
      <c r="G1528" t="s">
        <v>3938</v>
      </c>
      <c r="H1528" s="3">
        <v>1800</v>
      </c>
      <c r="I1528">
        <v>259</v>
      </c>
      <c r="J1528">
        <v>1</v>
      </c>
      <c r="L1528" s="4">
        <v>0.90095733417448298</v>
      </c>
      <c r="M1528" s="4">
        <v>9.9042665825517406E-2</v>
      </c>
      <c r="N1528">
        <v>0</v>
      </c>
    </row>
    <row r="1529" spans="1:14" x14ac:dyDescent="0.25">
      <c r="A1529" s="2">
        <v>23931634</v>
      </c>
      <c r="C1529" t="s">
        <v>0</v>
      </c>
      <c r="D1529" t="s">
        <v>113</v>
      </c>
      <c r="E1529" t="s">
        <v>3932</v>
      </c>
      <c r="F1529" t="s">
        <v>3933</v>
      </c>
      <c r="G1529" t="s">
        <v>3939</v>
      </c>
      <c r="H1529" s="3">
        <v>2034</v>
      </c>
      <c r="I1529">
        <v>879</v>
      </c>
      <c r="J1529">
        <v>0</v>
      </c>
      <c r="K1529">
        <v>15</v>
      </c>
      <c r="L1529" s="4">
        <v>0.114619216957493</v>
      </c>
      <c r="M1529" s="4">
        <v>0.885380783042507</v>
      </c>
      <c r="N1529">
        <v>0</v>
      </c>
    </row>
    <row r="1530" spans="1:14" x14ac:dyDescent="0.25">
      <c r="A1530" s="2">
        <v>23734876</v>
      </c>
      <c r="C1530" t="s">
        <v>0</v>
      </c>
      <c r="D1530" t="s">
        <v>113</v>
      </c>
      <c r="E1530" t="s">
        <v>3932</v>
      </c>
      <c r="F1530" t="s">
        <v>3933</v>
      </c>
      <c r="G1530" t="s">
        <v>3940</v>
      </c>
      <c r="H1530" s="3">
        <v>2034</v>
      </c>
      <c r="I1530">
        <v>67</v>
      </c>
      <c r="J1530">
        <v>1</v>
      </c>
      <c r="K1530">
        <v>4</v>
      </c>
      <c r="L1530" s="4">
        <v>0.39871594896852902</v>
      </c>
      <c r="M1530" s="4">
        <v>0.60128405103147098</v>
      </c>
      <c r="N1530">
        <v>0</v>
      </c>
    </row>
    <row r="1531" spans="1:14" x14ac:dyDescent="0.25">
      <c r="A1531" s="2"/>
      <c r="B1531" t="s">
        <v>3941</v>
      </c>
      <c r="C1531" t="s">
        <v>16</v>
      </c>
      <c r="D1531" t="s">
        <v>113</v>
      </c>
      <c r="E1531" t="s">
        <v>3932</v>
      </c>
      <c r="F1531" t="s">
        <v>3933</v>
      </c>
      <c r="G1531" t="s">
        <v>3942</v>
      </c>
      <c r="H1531" s="3">
        <v>2034</v>
      </c>
      <c r="I1531">
        <v>531</v>
      </c>
      <c r="J1531">
        <v>0</v>
      </c>
      <c r="K1531">
        <v>7</v>
      </c>
      <c r="L1531" s="4">
        <v>0.20563350322482801</v>
      </c>
      <c r="M1531" s="4">
        <v>0.79436649677517202</v>
      </c>
      <c r="N1531">
        <v>0</v>
      </c>
    </row>
    <row r="1532" spans="1:14" x14ac:dyDescent="0.25">
      <c r="A1532" s="2"/>
      <c r="B1532" t="s">
        <v>3943</v>
      </c>
      <c r="C1532" t="s">
        <v>16</v>
      </c>
      <c r="D1532" t="s">
        <v>17</v>
      </c>
      <c r="E1532" t="s">
        <v>3944</v>
      </c>
      <c r="F1532" t="s">
        <v>3945</v>
      </c>
      <c r="G1532" t="s">
        <v>3946</v>
      </c>
      <c r="H1532" s="3">
        <v>2251.56</v>
      </c>
      <c r="J1532">
        <v>0</v>
      </c>
      <c r="K1532">
        <v>18</v>
      </c>
      <c r="L1532" s="4">
        <v>0.163636882138746</v>
      </c>
      <c r="M1532" s="4">
        <v>0.83636311786125395</v>
      </c>
      <c r="N1532">
        <v>0</v>
      </c>
    </row>
    <row r="1533" spans="1:14" x14ac:dyDescent="0.25">
      <c r="A1533" s="2">
        <v>23892176</v>
      </c>
      <c r="C1533" t="s">
        <v>0</v>
      </c>
      <c r="D1533" t="s">
        <v>17</v>
      </c>
      <c r="E1533" t="s">
        <v>3932</v>
      </c>
      <c r="F1533" t="s">
        <v>3947</v>
      </c>
      <c r="G1533" t="s">
        <v>3948</v>
      </c>
      <c r="H1533" s="3">
        <v>2058.96</v>
      </c>
      <c r="I1533">
        <v>291</v>
      </c>
      <c r="J1533">
        <v>0</v>
      </c>
      <c r="K1533">
        <v>3</v>
      </c>
      <c r="L1533" s="4">
        <v>0.78943503064156195</v>
      </c>
      <c r="M1533" s="4">
        <v>0.21056496935843799</v>
      </c>
      <c r="N1533">
        <v>0</v>
      </c>
    </row>
    <row r="1534" spans="1:14" x14ac:dyDescent="0.25">
      <c r="A1534" s="2"/>
      <c r="B1534" t="s">
        <v>3949</v>
      </c>
      <c r="C1534" t="s">
        <v>16</v>
      </c>
      <c r="D1534" t="s">
        <v>121</v>
      </c>
      <c r="E1534" t="s">
        <v>3950</v>
      </c>
      <c r="F1534" t="s">
        <v>3951</v>
      </c>
      <c r="G1534" t="s">
        <v>3952</v>
      </c>
      <c r="H1534" s="3">
        <v>1834.77</v>
      </c>
      <c r="I1534">
        <v>795</v>
      </c>
      <c r="J1534">
        <v>1</v>
      </c>
      <c r="K1534">
        <v>27</v>
      </c>
      <c r="L1534" s="4">
        <v>0.12562742412617101</v>
      </c>
      <c r="M1534" s="4">
        <v>0.87437257587382899</v>
      </c>
      <c r="N1534">
        <v>0</v>
      </c>
    </row>
    <row r="1535" spans="1:14" x14ac:dyDescent="0.25">
      <c r="A1535" s="2"/>
      <c r="C1535" t="s">
        <v>28</v>
      </c>
      <c r="D1535" t="s">
        <v>3953</v>
      </c>
      <c r="E1535" t="s">
        <v>3954</v>
      </c>
      <c r="F1535" t="s">
        <v>3955</v>
      </c>
      <c r="G1535" t="s">
        <v>3956</v>
      </c>
      <c r="H1535" s="3">
        <v>2645.85</v>
      </c>
      <c r="J1535">
        <v>0</v>
      </c>
      <c r="K1535">
        <v>16</v>
      </c>
      <c r="L1535" s="4">
        <v>0.87963639017441297</v>
      </c>
      <c r="M1535" s="4">
        <v>0.120363609825587</v>
      </c>
      <c r="N1535">
        <v>0</v>
      </c>
    </row>
    <row r="1536" spans="1:14" x14ac:dyDescent="0.25">
      <c r="A1536" s="2"/>
      <c r="B1536" t="s">
        <v>3957</v>
      </c>
      <c r="C1536" t="s">
        <v>16</v>
      </c>
      <c r="D1536" t="s">
        <v>17</v>
      </c>
      <c r="E1536" t="s">
        <v>3958</v>
      </c>
      <c r="F1536" t="s">
        <v>3959</v>
      </c>
      <c r="G1536" t="s">
        <v>3960</v>
      </c>
      <c r="H1536" s="3">
        <v>2357.04</v>
      </c>
      <c r="I1536">
        <v>716</v>
      </c>
      <c r="J1536">
        <v>0</v>
      </c>
      <c r="K1536">
        <v>3</v>
      </c>
      <c r="L1536" s="4">
        <v>0.99398278604560497</v>
      </c>
      <c r="M1536" s="4">
        <v>6.0172139543954702E-3</v>
      </c>
      <c r="N1536">
        <v>0</v>
      </c>
    </row>
    <row r="1537" spans="1:14" x14ac:dyDescent="0.25">
      <c r="A1537" s="2"/>
      <c r="C1537" t="s">
        <v>28</v>
      </c>
      <c r="D1537" t="s">
        <v>69</v>
      </c>
      <c r="E1537" t="s">
        <v>3961</v>
      </c>
      <c r="F1537" t="s">
        <v>3962</v>
      </c>
      <c r="G1537" t="s">
        <v>3963</v>
      </c>
      <c r="H1537" s="3">
        <v>1955.03</v>
      </c>
      <c r="I1537">
        <v>57</v>
      </c>
      <c r="J1537">
        <v>1</v>
      </c>
      <c r="K1537">
        <v>45</v>
      </c>
      <c r="L1537" s="4">
        <v>0.28706008259171401</v>
      </c>
      <c r="M1537" s="4">
        <v>0.71293991740828599</v>
      </c>
      <c r="N1537">
        <v>0</v>
      </c>
    </row>
    <row r="1538" spans="1:14" x14ac:dyDescent="0.25">
      <c r="A1538" s="2"/>
      <c r="B1538" t="s">
        <v>3964</v>
      </c>
      <c r="C1538" t="s">
        <v>16</v>
      </c>
      <c r="D1538" t="s">
        <v>69</v>
      </c>
      <c r="E1538" t="s">
        <v>3961</v>
      </c>
      <c r="F1538" t="s">
        <v>3962</v>
      </c>
      <c r="G1538" t="s">
        <v>3965</v>
      </c>
      <c r="H1538" s="3">
        <v>1728.8</v>
      </c>
      <c r="I1538">
        <v>208</v>
      </c>
      <c r="J1538">
        <v>0</v>
      </c>
      <c r="K1538">
        <v>7</v>
      </c>
      <c r="L1538" s="4">
        <v>3.52670498234081E-2</v>
      </c>
      <c r="M1538" s="4">
        <v>0.964732950176592</v>
      </c>
      <c r="N1538">
        <v>0</v>
      </c>
    </row>
    <row r="1539" spans="1:14" x14ac:dyDescent="0.25">
      <c r="A1539" s="2"/>
      <c r="B1539" t="s">
        <v>3966</v>
      </c>
      <c r="C1539" t="s">
        <v>16</v>
      </c>
      <c r="D1539" t="s">
        <v>552</v>
      </c>
      <c r="E1539" t="s">
        <v>3967</v>
      </c>
      <c r="F1539" t="s">
        <v>3968</v>
      </c>
      <c r="G1539" t="s">
        <v>3969</v>
      </c>
      <c r="H1539" s="3">
        <v>2040</v>
      </c>
      <c r="I1539">
        <v>781</v>
      </c>
      <c r="J1539">
        <v>1</v>
      </c>
      <c r="K1539">
        <v>5</v>
      </c>
      <c r="L1539" s="4">
        <v>0.20424442438291601</v>
      </c>
      <c r="M1539" s="4">
        <v>0.79575557561708399</v>
      </c>
      <c r="N1539">
        <v>0</v>
      </c>
    </row>
    <row r="1540" spans="1:14" x14ac:dyDescent="0.25">
      <c r="A1540" s="2"/>
      <c r="B1540" t="s">
        <v>3970</v>
      </c>
      <c r="C1540" t="s">
        <v>16</v>
      </c>
      <c r="D1540" t="s">
        <v>552</v>
      </c>
      <c r="E1540" t="s">
        <v>3967</v>
      </c>
      <c r="F1540" t="s">
        <v>3971</v>
      </c>
      <c r="G1540" t="s">
        <v>3972</v>
      </c>
      <c r="H1540" s="3">
        <v>1680</v>
      </c>
      <c r="I1540">
        <v>60</v>
      </c>
      <c r="J1540">
        <v>1</v>
      </c>
      <c r="K1540">
        <v>3</v>
      </c>
      <c r="L1540" s="4">
        <v>0.700651665568362</v>
      </c>
      <c r="M1540" s="4">
        <v>0.299348334431638</v>
      </c>
      <c r="N1540">
        <v>0</v>
      </c>
    </row>
    <row r="1541" spans="1:14" x14ac:dyDescent="0.25">
      <c r="A1541" s="2"/>
      <c r="B1541" t="s">
        <v>3973</v>
      </c>
      <c r="C1541" t="s">
        <v>16</v>
      </c>
      <c r="D1541" t="s">
        <v>552</v>
      </c>
      <c r="E1541" t="s">
        <v>3967</v>
      </c>
      <c r="F1541" t="s">
        <v>3971</v>
      </c>
      <c r="G1541" t="s">
        <v>3974</v>
      </c>
      <c r="H1541" s="3">
        <v>2040</v>
      </c>
      <c r="I1541">
        <v>77</v>
      </c>
      <c r="J1541">
        <v>1</v>
      </c>
      <c r="K1541">
        <v>37</v>
      </c>
      <c r="L1541" s="4">
        <v>0.383577185180352</v>
      </c>
      <c r="M1541" s="4">
        <v>0.616422814819648</v>
      </c>
      <c r="N1541">
        <v>0</v>
      </c>
    </row>
    <row r="1542" spans="1:14" x14ac:dyDescent="0.25">
      <c r="A1542" s="2"/>
      <c r="B1542" t="s">
        <v>3975</v>
      </c>
      <c r="C1542" t="s">
        <v>16</v>
      </c>
      <c r="D1542" t="s">
        <v>552</v>
      </c>
      <c r="E1542" t="s">
        <v>3967</v>
      </c>
      <c r="F1542" t="s">
        <v>3976</v>
      </c>
      <c r="G1542" t="s">
        <v>3977</v>
      </c>
      <c r="H1542" s="3">
        <v>1680</v>
      </c>
      <c r="I1542">
        <v>753</v>
      </c>
      <c r="J1542">
        <v>1</v>
      </c>
      <c r="K1542">
        <v>35</v>
      </c>
      <c r="L1542" s="4">
        <v>0.59001033492836596</v>
      </c>
      <c r="M1542" s="4">
        <v>0.40998966507163398</v>
      </c>
      <c r="N1542">
        <v>0</v>
      </c>
    </row>
    <row r="1543" spans="1:14" x14ac:dyDescent="0.25">
      <c r="A1543" s="2">
        <v>23023652</v>
      </c>
      <c r="C1543" t="s">
        <v>0</v>
      </c>
      <c r="D1543" t="s">
        <v>1116</v>
      </c>
      <c r="E1543" t="s">
        <v>3978</v>
      </c>
      <c r="F1543" t="s">
        <v>3979</v>
      </c>
      <c r="G1543" t="s">
        <v>3980</v>
      </c>
      <c r="H1543" s="3">
        <v>2550</v>
      </c>
      <c r="I1543">
        <v>755</v>
      </c>
      <c r="J1543">
        <v>1</v>
      </c>
      <c r="L1543" s="4">
        <v>0.56112743816209398</v>
      </c>
      <c r="M1543" s="4">
        <v>0.43887256183790702</v>
      </c>
      <c r="N1543">
        <v>0</v>
      </c>
    </row>
    <row r="1544" spans="1:14" x14ac:dyDescent="0.25">
      <c r="A1544" s="2"/>
      <c r="C1544" t="s">
        <v>28</v>
      </c>
      <c r="D1544" t="s">
        <v>3504</v>
      </c>
      <c r="E1544" t="s">
        <v>3981</v>
      </c>
      <c r="F1544" t="s">
        <v>3982</v>
      </c>
      <c r="G1544" t="s">
        <v>3983</v>
      </c>
      <c r="H1544" s="3">
        <v>340</v>
      </c>
      <c r="I1544">
        <v>302</v>
      </c>
      <c r="J1544">
        <v>0</v>
      </c>
      <c r="K1544">
        <v>32</v>
      </c>
      <c r="L1544" s="4">
        <v>0.93656089558871203</v>
      </c>
      <c r="M1544" s="4">
        <v>6.3439104411288402E-2</v>
      </c>
      <c r="N1544">
        <v>0</v>
      </c>
    </row>
    <row r="1545" spans="1:14" x14ac:dyDescent="0.25">
      <c r="A1545" s="2">
        <v>23898885</v>
      </c>
      <c r="C1545" t="s">
        <v>0</v>
      </c>
      <c r="D1545" t="s">
        <v>86</v>
      </c>
      <c r="E1545" t="s">
        <v>3984</v>
      </c>
      <c r="G1545" t="s">
        <v>3985</v>
      </c>
      <c r="H1545" s="3">
        <v>1500</v>
      </c>
      <c r="I1545">
        <v>684</v>
      </c>
      <c r="J1545">
        <v>0</v>
      </c>
      <c r="K1545">
        <v>33</v>
      </c>
      <c r="L1545" s="4">
        <v>0.97558873261197998</v>
      </c>
      <c r="M1545" s="4">
        <v>2.4411267388019998E-2</v>
      </c>
      <c r="N1545">
        <v>0</v>
      </c>
    </row>
    <row r="1546" spans="1:14" x14ac:dyDescent="0.25">
      <c r="A1546" s="2">
        <v>23239765</v>
      </c>
      <c r="C1546" t="s">
        <v>0</v>
      </c>
      <c r="D1546" t="s">
        <v>547</v>
      </c>
      <c r="E1546" t="s">
        <v>3986</v>
      </c>
      <c r="F1546" t="s">
        <v>3987</v>
      </c>
      <c r="G1546" t="s">
        <v>3988</v>
      </c>
      <c r="H1546" s="3">
        <v>1003.6</v>
      </c>
      <c r="I1546">
        <v>697</v>
      </c>
      <c r="J1546">
        <v>0</v>
      </c>
      <c r="K1546">
        <v>1</v>
      </c>
      <c r="L1546" s="4">
        <v>6.3614859566020601E-2</v>
      </c>
      <c r="M1546" s="4">
        <v>0.93638514043397902</v>
      </c>
      <c r="N1546">
        <v>0</v>
      </c>
    </row>
    <row r="1547" spans="1:14" x14ac:dyDescent="0.25">
      <c r="A1547" s="2">
        <v>24147036</v>
      </c>
      <c r="C1547" t="s">
        <v>0</v>
      </c>
      <c r="D1547" t="s">
        <v>547</v>
      </c>
      <c r="E1547" t="s">
        <v>3986</v>
      </c>
      <c r="F1547" t="s">
        <v>3987</v>
      </c>
      <c r="G1547" t="s">
        <v>3989</v>
      </c>
      <c r="H1547" s="3">
        <v>1018</v>
      </c>
      <c r="I1547">
        <v>680</v>
      </c>
      <c r="J1547">
        <v>1</v>
      </c>
      <c r="K1547">
        <v>15</v>
      </c>
      <c r="L1547" s="4">
        <v>0.334328859387029</v>
      </c>
      <c r="M1547" s="4">
        <v>0.66567114061297095</v>
      </c>
      <c r="N1547">
        <v>0</v>
      </c>
    </row>
    <row r="1548" spans="1:14" x14ac:dyDescent="0.25">
      <c r="A1548" s="2">
        <v>23844111</v>
      </c>
      <c r="C1548" t="s">
        <v>0</v>
      </c>
      <c r="D1548" t="s">
        <v>547</v>
      </c>
      <c r="E1548" t="s">
        <v>3986</v>
      </c>
      <c r="F1548" t="s">
        <v>3987</v>
      </c>
      <c r="G1548" t="s">
        <v>3990</v>
      </c>
      <c r="H1548" s="3">
        <v>1060</v>
      </c>
      <c r="I1548">
        <v>883</v>
      </c>
      <c r="J1548">
        <v>0</v>
      </c>
      <c r="K1548">
        <v>49</v>
      </c>
      <c r="L1548" s="4">
        <v>0.27967935983115899</v>
      </c>
      <c r="M1548" s="4">
        <v>0.72032064016884101</v>
      </c>
      <c r="N1548">
        <v>0</v>
      </c>
    </row>
    <row r="1549" spans="1:14" x14ac:dyDescent="0.25">
      <c r="A1549" s="2">
        <v>23527131</v>
      </c>
      <c r="C1549" t="s">
        <v>0</v>
      </c>
      <c r="D1549" t="s">
        <v>547</v>
      </c>
      <c r="E1549" t="s">
        <v>3986</v>
      </c>
      <c r="F1549" t="s">
        <v>3987</v>
      </c>
      <c r="G1549" t="s">
        <v>3991</v>
      </c>
      <c r="H1549" s="3">
        <v>1067.4000000000001</v>
      </c>
      <c r="I1549">
        <v>437</v>
      </c>
      <c r="J1549">
        <v>0</v>
      </c>
      <c r="K1549">
        <v>25</v>
      </c>
      <c r="L1549" s="4">
        <v>0.185182752833317</v>
      </c>
      <c r="M1549" s="4">
        <v>0.81481724716668302</v>
      </c>
      <c r="N1549">
        <v>0</v>
      </c>
    </row>
    <row r="1550" spans="1:14" x14ac:dyDescent="0.25">
      <c r="A1550" s="2"/>
      <c r="C1550" t="s">
        <v>28</v>
      </c>
      <c r="D1550" t="s">
        <v>547</v>
      </c>
      <c r="E1550" t="s">
        <v>3992</v>
      </c>
      <c r="G1550" t="s">
        <v>3993</v>
      </c>
      <c r="H1550" s="3">
        <v>1417.5</v>
      </c>
      <c r="J1550">
        <v>1</v>
      </c>
      <c r="K1550">
        <v>20</v>
      </c>
      <c r="L1550" s="4">
        <v>0.57563899139852603</v>
      </c>
      <c r="M1550" s="4">
        <v>0.42436100860147402</v>
      </c>
      <c r="N1550">
        <v>0</v>
      </c>
    </row>
    <row r="1551" spans="1:14" x14ac:dyDescent="0.25">
      <c r="A1551" s="2"/>
      <c r="C1551" t="s">
        <v>28</v>
      </c>
      <c r="D1551" t="s">
        <v>547</v>
      </c>
      <c r="E1551" t="s">
        <v>3994</v>
      </c>
      <c r="G1551" t="s">
        <v>3995</v>
      </c>
      <c r="H1551" s="3">
        <v>850.5</v>
      </c>
      <c r="I1551">
        <v>316</v>
      </c>
      <c r="J1551">
        <v>1</v>
      </c>
      <c r="K1551">
        <v>47</v>
      </c>
      <c r="L1551" s="4">
        <v>0.82792307681835997</v>
      </c>
      <c r="M1551" s="4">
        <v>0.17207692318164</v>
      </c>
      <c r="N1551">
        <v>0</v>
      </c>
    </row>
    <row r="1552" spans="1:14" x14ac:dyDescent="0.25">
      <c r="A1552" s="2"/>
      <c r="C1552" t="s">
        <v>28</v>
      </c>
      <c r="D1552" t="s">
        <v>547</v>
      </c>
      <c r="E1552" t="s">
        <v>3994</v>
      </c>
      <c r="F1552" t="s">
        <v>3996</v>
      </c>
      <c r="G1552" t="s">
        <v>3997</v>
      </c>
      <c r="H1552" s="3">
        <v>1002.14</v>
      </c>
      <c r="I1552">
        <v>60</v>
      </c>
      <c r="J1552">
        <v>0</v>
      </c>
      <c r="K1552">
        <v>6</v>
      </c>
      <c r="L1552" s="4">
        <v>0.59949574354269197</v>
      </c>
      <c r="M1552" s="4">
        <v>0.40050425645730903</v>
      </c>
      <c r="N1552">
        <v>0</v>
      </c>
    </row>
    <row r="1553" spans="1:14" x14ac:dyDescent="0.25">
      <c r="A1553" s="2"/>
      <c r="C1553" t="s">
        <v>28</v>
      </c>
      <c r="D1553" t="s">
        <v>547</v>
      </c>
      <c r="E1553" t="s">
        <v>3994</v>
      </c>
      <c r="F1553" t="s">
        <v>3996</v>
      </c>
      <c r="G1553" t="s">
        <v>3998</v>
      </c>
      <c r="H1553" s="3">
        <v>1003.77</v>
      </c>
      <c r="I1553">
        <v>853</v>
      </c>
      <c r="J1553">
        <v>0</v>
      </c>
      <c r="K1553">
        <v>3</v>
      </c>
      <c r="L1553" s="4">
        <v>0.27953105806468298</v>
      </c>
      <c r="M1553" s="4">
        <v>0.72046894193531696</v>
      </c>
      <c r="N1553">
        <v>0</v>
      </c>
    </row>
    <row r="1554" spans="1:14" x14ac:dyDescent="0.25">
      <c r="A1554" s="2"/>
      <c r="C1554" t="s">
        <v>28</v>
      </c>
      <c r="D1554" t="s">
        <v>547</v>
      </c>
      <c r="E1554" t="s">
        <v>3994</v>
      </c>
      <c r="F1554" t="s">
        <v>3996</v>
      </c>
      <c r="G1554" t="s">
        <v>3999</v>
      </c>
      <c r="H1554" s="3">
        <v>1011.8</v>
      </c>
      <c r="I1554">
        <v>403</v>
      </c>
      <c r="K1554">
        <v>37</v>
      </c>
      <c r="L1554" s="4">
        <v>0.33068894268990101</v>
      </c>
      <c r="M1554" s="4">
        <v>0.66931105731009899</v>
      </c>
      <c r="N1554">
        <v>0</v>
      </c>
    </row>
    <row r="1555" spans="1:14" x14ac:dyDescent="0.25">
      <c r="A1555" s="2"/>
      <c r="C1555" t="s">
        <v>28</v>
      </c>
      <c r="D1555" t="s">
        <v>547</v>
      </c>
      <c r="E1555" t="s">
        <v>3994</v>
      </c>
      <c r="F1555" t="s">
        <v>3996</v>
      </c>
      <c r="G1555" t="s">
        <v>4000</v>
      </c>
      <c r="H1555" s="3">
        <v>1021.09</v>
      </c>
      <c r="I1555">
        <v>32</v>
      </c>
      <c r="J1555">
        <v>1</v>
      </c>
      <c r="K1555">
        <v>44</v>
      </c>
      <c r="L1555" s="4">
        <v>0.49237226838297998</v>
      </c>
      <c r="M1555" s="4">
        <v>0.50762773161702002</v>
      </c>
      <c r="N1555">
        <v>0</v>
      </c>
    </row>
    <row r="1556" spans="1:14" x14ac:dyDescent="0.25">
      <c r="A1556" s="2"/>
      <c r="C1556" t="s">
        <v>28</v>
      </c>
      <c r="D1556" t="s">
        <v>547</v>
      </c>
      <c r="E1556" t="s">
        <v>3994</v>
      </c>
      <c r="F1556" t="s">
        <v>3996</v>
      </c>
      <c r="G1556" t="s">
        <v>4001</v>
      </c>
      <c r="H1556" s="3">
        <v>1035.52</v>
      </c>
      <c r="I1556">
        <v>109</v>
      </c>
      <c r="J1556">
        <v>0</v>
      </c>
      <c r="K1556">
        <v>39</v>
      </c>
      <c r="L1556" s="4">
        <v>0.44525597636367298</v>
      </c>
      <c r="M1556" s="4">
        <v>0.55474402363632802</v>
      </c>
      <c r="N1556">
        <v>0</v>
      </c>
    </row>
    <row r="1557" spans="1:14" x14ac:dyDescent="0.25">
      <c r="A1557" s="2"/>
      <c r="C1557" t="s">
        <v>28</v>
      </c>
      <c r="D1557" t="s">
        <v>547</v>
      </c>
      <c r="E1557" t="s">
        <v>3994</v>
      </c>
      <c r="F1557" t="s">
        <v>3996</v>
      </c>
      <c r="G1557" t="s">
        <v>4002</v>
      </c>
      <c r="H1557" s="3">
        <v>1065.9000000000001</v>
      </c>
      <c r="I1557">
        <v>927</v>
      </c>
      <c r="J1557">
        <v>0</v>
      </c>
      <c r="K1557">
        <v>38</v>
      </c>
      <c r="L1557" s="4">
        <v>0.19724038904761201</v>
      </c>
      <c r="M1557" s="4">
        <v>0.80275961095238801</v>
      </c>
      <c r="N1557">
        <v>0</v>
      </c>
    </row>
    <row r="1558" spans="1:14" x14ac:dyDescent="0.25">
      <c r="A1558" s="2"/>
      <c r="C1558" t="s">
        <v>28</v>
      </c>
      <c r="D1558" t="s">
        <v>547</v>
      </c>
      <c r="E1558" t="s">
        <v>3994</v>
      </c>
      <c r="F1558" t="s">
        <v>3996</v>
      </c>
      <c r="G1558" t="s">
        <v>4003</v>
      </c>
      <c r="H1558" s="3">
        <v>1073.268</v>
      </c>
      <c r="I1558">
        <v>423</v>
      </c>
      <c r="J1558">
        <v>1</v>
      </c>
      <c r="K1558">
        <v>27</v>
      </c>
      <c r="L1558" s="4">
        <v>0.17376787816470601</v>
      </c>
      <c r="M1558" s="4">
        <v>0.82623212183529404</v>
      </c>
      <c r="N1558">
        <v>0</v>
      </c>
    </row>
    <row r="1559" spans="1:14" x14ac:dyDescent="0.25">
      <c r="A1559" s="2">
        <v>23049479</v>
      </c>
      <c r="C1559" t="s">
        <v>0</v>
      </c>
      <c r="D1559" t="s">
        <v>547</v>
      </c>
      <c r="E1559" t="s">
        <v>4004</v>
      </c>
      <c r="F1559" t="s">
        <v>4005</v>
      </c>
      <c r="G1559" t="s">
        <v>4006</v>
      </c>
      <c r="H1559" s="3">
        <v>343.51</v>
      </c>
      <c r="I1559">
        <v>792</v>
      </c>
      <c r="J1559">
        <v>1</v>
      </c>
      <c r="K1559">
        <v>48</v>
      </c>
      <c r="L1559" s="4">
        <v>3.6169170250702799E-3</v>
      </c>
      <c r="M1559" s="4">
        <v>0.99638308297492995</v>
      </c>
      <c r="N1559">
        <v>0</v>
      </c>
    </row>
    <row r="1560" spans="1:14" x14ac:dyDescent="0.25">
      <c r="A1560" s="2"/>
      <c r="B1560" t="s">
        <v>4007</v>
      </c>
      <c r="C1560" t="s">
        <v>16</v>
      </c>
      <c r="D1560" t="s">
        <v>547</v>
      </c>
      <c r="E1560" t="s">
        <v>4004</v>
      </c>
      <c r="F1560" t="s">
        <v>4005</v>
      </c>
      <c r="G1560" t="s">
        <v>4008</v>
      </c>
      <c r="H1560" s="3">
        <v>1429.98</v>
      </c>
      <c r="I1560">
        <v>173</v>
      </c>
      <c r="J1560">
        <v>1</v>
      </c>
      <c r="K1560">
        <v>27</v>
      </c>
      <c r="L1560" s="4">
        <v>0.65497899068145704</v>
      </c>
      <c r="M1560" s="4">
        <v>0.34502100931854401</v>
      </c>
      <c r="N1560">
        <v>0</v>
      </c>
    </row>
    <row r="1561" spans="1:14" x14ac:dyDescent="0.25">
      <c r="A1561" s="2"/>
      <c r="B1561" t="s">
        <v>4009</v>
      </c>
      <c r="C1561" t="s">
        <v>16</v>
      </c>
      <c r="D1561" t="s">
        <v>547</v>
      </c>
      <c r="E1561" t="s">
        <v>3992</v>
      </c>
      <c r="F1561" t="s">
        <v>4005</v>
      </c>
      <c r="G1561" t="s">
        <v>4010</v>
      </c>
      <c r="H1561" s="3">
        <v>1429.13</v>
      </c>
      <c r="I1561">
        <v>83</v>
      </c>
      <c r="J1561">
        <v>1</v>
      </c>
      <c r="K1561">
        <v>39</v>
      </c>
      <c r="L1561" s="4">
        <v>0.49389285841279601</v>
      </c>
      <c r="M1561" s="4">
        <v>0.50610714158720405</v>
      </c>
      <c r="N1561">
        <v>0</v>
      </c>
    </row>
    <row r="1562" spans="1:14" x14ac:dyDescent="0.25">
      <c r="A1562" s="2"/>
      <c r="C1562" t="s">
        <v>28</v>
      </c>
      <c r="D1562" t="s">
        <v>547</v>
      </c>
      <c r="E1562" t="s">
        <v>3992</v>
      </c>
      <c r="F1562" t="s">
        <v>4005</v>
      </c>
      <c r="G1562" t="s">
        <v>4011</v>
      </c>
      <c r="H1562" s="3">
        <v>1445.74</v>
      </c>
      <c r="I1562">
        <v>69</v>
      </c>
      <c r="J1562">
        <v>0</v>
      </c>
      <c r="K1562">
        <v>33</v>
      </c>
      <c r="L1562" s="4">
        <v>0.94429880466932503</v>
      </c>
      <c r="M1562" s="4">
        <v>5.5701195330674601E-2</v>
      </c>
      <c r="N1562">
        <v>0</v>
      </c>
    </row>
    <row r="1563" spans="1:14" x14ac:dyDescent="0.25">
      <c r="A1563" s="2"/>
      <c r="B1563" t="s">
        <v>4012</v>
      </c>
      <c r="C1563" t="s">
        <v>16</v>
      </c>
      <c r="D1563" t="s">
        <v>547</v>
      </c>
      <c r="E1563" t="s">
        <v>3992</v>
      </c>
      <c r="F1563" t="s">
        <v>4005</v>
      </c>
      <c r="G1563" t="s">
        <v>4013</v>
      </c>
      <c r="H1563" s="3">
        <v>1461.82</v>
      </c>
      <c r="I1563">
        <v>340</v>
      </c>
      <c r="K1563">
        <v>8</v>
      </c>
      <c r="L1563" s="4">
        <v>6.7822530117543897E-2</v>
      </c>
      <c r="M1563" s="4">
        <v>0.93217746988245598</v>
      </c>
      <c r="N1563">
        <v>0</v>
      </c>
    </row>
    <row r="1564" spans="1:14" x14ac:dyDescent="0.25">
      <c r="A1564" s="2"/>
      <c r="B1564" t="s">
        <v>4014</v>
      </c>
      <c r="C1564" t="s">
        <v>16</v>
      </c>
      <c r="D1564" t="s">
        <v>547</v>
      </c>
      <c r="E1564" t="s">
        <v>3992</v>
      </c>
      <c r="F1564" t="s">
        <v>4005</v>
      </c>
      <c r="G1564" t="s">
        <v>4015</v>
      </c>
      <c r="H1564" s="3">
        <v>1476.43</v>
      </c>
      <c r="I1564">
        <v>92</v>
      </c>
      <c r="J1564">
        <v>0</v>
      </c>
      <c r="K1564">
        <v>42</v>
      </c>
      <c r="L1564" s="4">
        <v>0.44163894824629102</v>
      </c>
      <c r="M1564" s="4">
        <v>0.55836105175370898</v>
      </c>
      <c r="N1564">
        <v>0</v>
      </c>
    </row>
    <row r="1565" spans="1:14" x14ac:dyDescent="0.25">
      <c r="A1565" s="2"/>
      <c r="B1565" t="s">
        <v>4016</v>
      </c>
      <c r="C1565" t="s">
        <v>16</v>
      </c>
      <c r="D1565" t="s">
        <v>547</v>
      </c>
      <c r="E1565" t="s">
        <v>3992</v>
      </c>
      <c r="F1565" t="s">
        <v>4005</v>
      </c>
      <c r="G1565" t="s">
        <v>4017</v>
      </c>
      <c r="H1565" s="3">
        <v>1476.43</v>
      </c>
      <c r="I1565">
        <v>273</v>
      </c>
      <c r="J1565">
        <v>1</v>
      </c>
      <c r="K1565">
        <v>20</v>
      </c>
      <c r="L1565" s="4">
        <v>0.17642000852944401</v>
      </c>
      <c r="M1565" s="4">
        <v>0.82357999147055605</v>
      </c>
      <c r="N1565">
        <v>0</v>
      </c>
    </row>
    <row r="1566" spans="1:14" x14ac:dyDescent="0.25">
      <c r="A1566" s="2"/>
      <c r="B1566" t="s">
        <v>4018</v>
      </c>
      <c r="C1566" t="s">
        <v>16</v>
      </c>
      <c r="D1566" t="s">
        <v>547</v>
      </c>
      <c r="E1566" t="s">
        <v>3992</v>
      </c>
      <c r="F1566" t="s">
        <v>4005</v>
      </c>
      <c r="G1566" t="s">
        <v>4019</v>
      </c>
      <c r="H1566" s="3">
        <v>1658.18</v>
      </c>
      <c r="J1566">
        <v>1</v>
      </c>
      <c r="L1566" s="4">
        <v>0.13629873775476301</v>
      </c>
      <c r="M1566" s="4">
        <v>0.86370126224523702</v>
      </c>
      <c r="N1566">
        <v>0</v>
      </c>
    </row>
    <row r="1567" spans="1:14" x14ac:dyDescent="0.25">
      <c r="A1567" s="2"/>
      <c r="B1567" t="s">
        <v>4020</v>
      </c>
      <c r="C1567" t="s">
        <v>16</v>
      </c>
      <c r="D1567" t="s">
        <v>547</v>
      </c>
      <c r="E1567" t="s">
        <v>3992</v>
      </c>
      <c r="F1567" t="s">
        <v>4005</v>
      </c>
      <c r="G1567" t="s">
        <v>4021</v>
      </c>
      <c r="H1567" s="3">
        <v>1684.67</v>
      </c>
      <c r="I1567">
        <v>274</v>
      </c>
      <c r="J1567">
        <v>0</v>
      </c>
      <c r="K1567">
        <v>13</v>
      </c>
      <c r="L1567" s="4">
        <v>0.443312190043476</v>
      </c>
      <c r="M1567" s="4">
        <v>0.556687809956524</v>
      </c>
      <c r="N1567">
        <v>0</v>
      </c>
    </row>
    <row r="1568" spans="1:14" x14ac:dyDescent="0.25">
      <c r="A1568" s="2"/>
      <c r="B1568" t="s">
        <v>4022</v>
      </c>
      <c r="C1568" t="s">
        <v>16</v>
      </c>
      <c r="D1568" t="s">
        <v>547</v>
      </c>
      <c r="E1568" t="s">
        <v>3992</v>
      </c>
      <c r="F1568" t="s">
        <v>4005</v>
      </c>
      <c r="G1568" t="s">
        <v>4023</v>
      </c>
      <c r="H1568" s="3">
        <v>1685.62</v>
      </c>
      <c r="I1568">
        <v>836</v>
      </c>
      <c r="J1568">
        <v>1</v>
      </c>
      <c r="K1568">
        <v>9</v>
      </c>
      <c r="L1568" s="4">
        <v>0.567855430800278</v>
      </c>
      <c r="M1568" s="4">
        <v>0.432144569199722</v>
      </c>
      <c r="N1568">
        <v>0</v>
      </c>
    </row>
    <row r="1569" spans="1:14" x14ac:dyDescent="0.25">
      <c r="A1569" s="2"/>
      <c r="B1569" t="s">
        <v>4024</v>
      </c>
      <c r="C1569" t="s">
        <v>16</v>
      </c>
      <c r="D1569" t="s">
        <v>547</v>
      </c>
      <c r="E1569" t="s">
        <v>3992</v>
      </c>
      <c r="F1569" t="s">
        <v>4005</v>
      </c>
      <c r="G1569" t="s">
        <v>4025</v>
      </c>
      <c r="H1569" s="3">
        <v>1783.84</v>
      </c>
      <c r="J1569">
        <v>0</v>
      </c>
      <c r="K1569">
        <v>11</v>
      </c>
      <c r="L1569" s="4">
        <v>0.51459898561758699</v>
      </c>
      <c r="M1569" s="4">
        <v>0.48540101438241301</v>
      </c>
      <c r="N1569">
        <v>0</v>
      </c>
    </row>
    <row r="1570" spans="1:14" x14ac:dyDescent="0.25">
      <c r="A1570" s="2"/>
      <c r="B1570" t="s">
        <v>4026</v>
      </c>
      <c r="C1570" t="s">
        <v>16</v>
      </c>
      <c r="D1570" t="s">
        <v>547</v>
      </c>
      <c r="E1570" t="s">
        <v>4027</v>
      </c>
      <c r="F1570" t="s">
        <v>4028</v>
      </c>
      <c r="G1570" t="s">
        <v>4029</v>
      </c>
      <c r="H1570" s="3">
        <v>1494.42</v>
      </c>
      <c r="I1570">
        <v>780</v>
      </c>
      <c r="J1570">
        <v>1</v>
      </c>
      <c r="K1570">
        <v>34</v>
      </c>
      <c r="L1570" s="4">
        <v>7.8247469786151103E-2</v>
      </c>
      <c r="M1570" s="4">
        <v>0.92175253021384895</v>
      </c>
      <c r="N1570">
        <v>0</v>
      </c>
    </row>
    <row r="1571" spans="1:14" x14ac:dyDescent="0.25">
      <c r="A1571" s="2"/>
      <c r="B1571" t="s">
        <v>4030</v>
      </c>
      <c r="C1571" t="s">
        <v>16</v>
      </c>
      <c r="D1571" t="s">
        <v>547</v>
      </c>
      <c r="E1571" t="s">
        <v>4027</v>
      </c>
      <c r="F1571" t="s">
        <v>4028</v>
      </c>
      <c r="G1571" t="s">
        <v>4031</v>
      </c>
      <c r="H1571" s="3">
        <v>1761.48</v>
      </c>
      <c r="I1571">
        <v>255</v>
      </c>
      <c r="J1571">
        <v>1</v>
      </c>
      <c r="K1571">
        <v>17</v>
      </c>
      <c r="L1571" s="4">
        <v>0.88289246086801398</v>
      </c>
      <c r="M1571" s="4">
        <v>0.117107539131986</v>
      </c>
      <c r="N1571">
        <v>0</v>
      </c>
    </row>
    <row r="1572" spans="1:14" x14ac:dyDescent="0.25">
      <c r="A1572" s="2"/>
      <c r="B1572" t="s">
        <v>4032</v>
      </c>
      <c r="C1572" t="s">
        <v>16</v>
      </c>
      <c r="D1572" t="s">
        <v>547</v>
      </c>
      <c r="E1572" t="s">
        <v>4027</v>
      </c>
      <c r="F1572" t="s">
        <v>4028</v>
      </c>
      <c r="G1572" t="s">
        <v>4033</v>
      </c>
      <c r="H1572" s="3">
        <v>1774.83</v>
      </c>
      <c r="I1572">
        <v>592</v>
      </c>
      <c r="J1572">
        <v>0</v>
      </c>
      <c r="K1572">
        <v>29</v>
      </c>
      <c r="L1572" s="4">
        <v>0.29418297177036701</v>
      </c>
      <c r="M1572" s="4">
        <v>0.70581702822963299</v>
      </c>
      <c r="N1572">
        <v>0</v>
      </c>
    </row>
    <row r="1573" spans="1:14" x14ac:dyDescent="0.25">
      <c r="A1573" s="2"/>
      <c r="B1573" t="s">
        <v>4034</v>
      </c>
      <c r="C1573" t="s">
        <v>16</v>
      </c>
      <c r="D1573" t="s">
        <v>547</v>
      </c>
      <c r="E1573" t="s">
        <v>4027</v>
      </c>
      <c r="F1573" t="s">
        <v>4028</v>
      </c>
      <c r="G1573" t="s">
        <v>4035</v>
      </c>
      <c r="H1573" s="3">
        <v>1676.06</v>
      </c>
      <c r="I1573">
        <v>577</v>
      </c>
      <c r="J1573">
        <v>0</v>
      </c>
      <c r="K1573">
        <v>17</v>
      </c>
      <c r="L1573" s="4">
        <v>0.79160822454281699</v>
      </c>
      <c r="M1573" s="4">
        <v>0.20839177545718299</v>
      </c>
      <c r="N1573">
        <v>0</v>
      </c>
    </row>
    <row r="1574" spans="1:14" x14ac:dyDescent="0.25">
      <c r="A1574" s="2"/>
      <c r="B1574" t="s">
        <v>4036</v>
      </c>
      <c r="C1574" t="s">
        <v>16</v>
      </c>
      <c r="D1574" t="s">
        <v>547</v>
      </c>
      <c r="E1574" t="s">
        <v>4027</v>
      </c>
      <c r="F1574" t="s">
        <v>4028</v>
      </c>
      <c r="G1574" t="s">
        <v>4037</v>
      </c>
      <c r="H1574" s="3">
        <v>750.71</v>
      </c>
      <c r="I1574">
        <v>715</v>
      </c>
      <c r="J1574">
        <v>1</v>
      </c>
      <c r="K1574">
        <v>44</v>
      </c>
      <c r="L1574" s="4">
        <v>0.394268273146132</v>
      </c>
      <c r="M1574" s="4">
        <v>0.605731726853868</v>
      </c>
      <c r="N1574">
        <v>0</v>
      </c>
    </row>
    <row r="1575" spans="1:14" x14ac:dyDescent="0.25">
      <c r="A1575" s="2"/>
      <c r="B1575" t="s">
        <v>4038</v>
      </c>
      <c r="C1575" t="s">
        <v>16</v>
      </c>
      <c r="D1575" t="s">
        <v>547</v>
      </c>
      <c r="E1575" t="s">
        <v>4027</v>
      </c>
      <c r="F1575" t="s">
        <v>4028</v>
      </c>
      <c r="G1575" t="s">
        <v>4039</v>
      </c>
      <c r="H1575" s="3">
        <v>1394.05</v>
      </c>
      <c r="I1575">
        <v>825</v>
      </c>
      <c r="J1575">
        <v>1</v>
      </c>
      <c r="K1575">
        <v>49</v>
      </c>
      <c r="L1575" s="4">
        <v>0.82912575069319905</v>
      </c>
      <c r="M1575" s="4">
        <v>0.17087424930680101</v>
      </c>
      <c r="N1575">
        <v>0</v>
      </c>
    </row>
    <row r="1576" spans="1:14" x14ac:dyDescent="0.25">
      <c r="A1576" s="2"/>
      <c r="B1576" t="s">
        <v>4040</v>
      </c>
      <c r="C1576" t="s">
        <v>16</v>
      </c>
      <c r="D1576" t="s">
        <v>547</v>
      </c>
      <c r="E1576" t="s">
        <v>4027</v>
      </c>
      <c r="F1576" t="s">
        <v>4028</v>
      </c>
      <c r="G1576" t="s">
        <v>4041</v>
      </c>
      <c r="H1576" s="3">
        <v>1418.13</v>
      </c>
      <c r="J1576">
        <v>1</v>
      </c>
      <c r="L1576" s="4">
        <v>0.52215685181268101</v>
      </c>
      <c r="M1576" s="4">
        <v>0.47784314818731899</v>
      </c>
      <c r="N1576">
        <v>0</v>
      </c>
    </row>
    <row r="1577" spans="1:14" x14ac:dyDescent="0.25">
      <c r="A1577" s="2"/>
      <c r="B1577" t="s">
        <v>4042</v>
      </c>
      <c r="C1577" t="s">
        <v>16</v>
      </c>
      <c r="D1577" t="s">
        <v>547</v>
      </c>
      <c r="E1577" t="s">
        <v>4027</v>
      </c>
      <c r="F1577" t="s">
        <v>4028</v>
      </c>
      <c r="G1577" t="s">
        <v>4043</v>
      </c>
      <c r="H1577" s="3">
        <v>1431.21</v>
      </c>
      <c r="I1577">
        <v>287</v>
      </c>
      <c r="J1577">
        <v>0</v>
      </c>
      <c r="L1577" s="4">
        <v>0.66204196767033097</v>
      </c>
      <c r="M1577" s="4">
        <v>0.33795803232966898</v>
      </c>
      <c r="N1577">
        <v>0</v>
      </c>
    </row>
    <row r="1578" spans="1:14" x14ac:dyDescent="0.25">
      <c r="A1578" s="2"/>
      <c r="B1578" t="s">
        <v>4044</v>
      </c>
      <c r="C1578" t="s">
        <v>16</v>
      </c>
      <c r="D1578" t="s">
        <v>547</v>
      </c>
      <c r="E1578" t="s">
        <v>4027</v>
      </c>
      <c r="F1578" t="s">
        <v>4028</v>
      </c>
      <c r="G1578" t="s">
        <v>4045</v>
      </c>
      <c r="H1578" s="3">
        <v>1447.48</v>
      </c>
      <c r="I1578">
        <v>905</v>
      </c>
      <c r="J1578">
        <v>1</v>
      </c>
      <c r="K1578">
        <v>14</v>
      </c>
      <c r="L1578" s="4">
        <v>0.33995876395992902</v>
      </c>
      <c r="M1578" s="4">
        <v>0.66004123604007103</v>
      </c>
      <c r="N1578">
        <v>0</v>
      </c>
    </row>
    <row r="1579" spans="1:14" x14ac:dyDescent="0.25">
      <c r="A1579" s="2"/>
      <c r="B1579" t="s">
        <v>4046</v>
      </c>
      <c r="C1579" t="s">
        <v>16</v>
      </c>
      <c r="D1579" t="s">
        <v>547</v>
      </c>
      <c r="E1579" t="s">
        <v>4027</v>
      </c>
      <c r="F1579" t="s">
        <v>4028</v>
      </c>
      <c r="G1579" t="s">
        <v>4047</v>
      </c>
      <c r="H1579" s="3">
        <v>1456.19</v>
      </c>
      <c r="J1579">
        <v>0</v>
      </c>
      <c r="K1579">
        <v>8</v>
      </c>
      <c r="L1579" s="4">
        <v>0.34498371338971301</v>
      </c>
      <c r="M1579" s="4">
        <v>0.65501628661028699</v>
      </c>
      <c r="N1579">
        <v>0</v>
      </c>
    </row>
    <row r="1580" spans="1:14" x14ac:dyDescent="0.25">
      <c r="A1580" s="2"/>
      <c r="B1580" t="s">
        <v>4048</v>
      </c>
      <c r="C1580" t="s">
        <v>16</v>
      </c>
      <c r="D1580" t="s">
        <v>547</v>
      </c>
      <c r="E1580" t="s">
        <v>4027</v>
      </c>
      <c r="F1580" t="s">
        <v>4028</v>
      </c>
      <c r="G1580" t="s">
        <v>4049</v>
      </c>
      <c r="H1580" s="3">
        <v>1456.19</v>
      </c>
      <c r="I1580">
        <v>155</v>
      </c>
      <c r="J1580">
        <v>1</v>
      </c>
      <c r="K1580">
        <v>33</v>
      </c>
      <c r="L1580" s="4">
        <v>0.72599270756090095</v>
      </c>
      <c r="M1580" s="4">
        <v>0.27400729243909899</v>
      </c>
      <c r="N1580">
        <v>0</v>
      </c>
    </row>
    <row r="1581" spans="1:14" x14ac:dyDescent="0.25">
      <c r="A1581" s="2"/>
      <c r="B1581" t="s">
        <v>4050</v>
      </c>
      <c r="C1581" t="s">
        <v>16</v>
      </c>
      <c r="D1581" t="s">
        <v>547</v>
      </c>
      <c r="E1581" t="s">
        <v>4027</v>
      </c>
      <c r="F1581" t="s">
        <v>4028</v>
      </c>
      <c r="G1581" t="s">
        <v>4051</v>
      </c>
      <c r="H1581" s="3">
        <v>1525</v>
      </c>
      <c r="I1581">
        <v>17</v>
      </c>
      <c r="J1581">
        <v>0</v>
      </c>
      <c r="K1581">
        <v>49</v>
      </c>
      <c r="L1581" s="4">
        <v>0.17428847927118901</v>
      </c>
      <c r="M1581" s="4">
        <v>0.82571152072881104</v>
      </c>
      <c r="N1581">
        <v>0</v>
      </c>
    </row>
    <row r="1582" spans="1:14" x14ac:dyDescent="0.25">
      <c r="A1582" s="2"/>
      <c r="B1582" t="s">
        <v>4052</v>
      </c>
      <c r="C1582" t="s">
        <v>16</v>
      </c>
      <c r="D1582" t="s">
        <v>547</v>
      </c>
      <c r="E1582" t="s">
        <v>4027</v>
      </c>
      <c r="F1582" t="s">
        <v>4028</v>
      </c>
      <c r="G1582" t="s">
        <v>4053</v>
      </c>
      <c r="H1582" s="3">
        <v>1682.94</v>
      </c>
      <c r="I1582">
        <v>783</v>
      </c>
      <c r="J1582">
        <v>0</v>
      </c>
      <c r="K1582">
        <v>25</v>
      </c>
      <c r="L1582" s="4">
        <v>0.56262268467936205</v>
      </c>
      <c r="M1582" s="4">
        <v>0.437377315320638</v>
      </c>
      <c r="N1582">
        <v>0</v>
      </c>
    </row>
    <row r="1583" spans="1:14" x14ac:dyDescent="0.25">
      <c r="A1583" s="2">
        <v>23341772</v>
      </c>
      <c r="C1583" t="s">
        <v>0</v>
      </c>
      <c r="D1583" t="s">
        <v>547</v>
      </c>
      <c r="E1583" t="s">
        <v>4027</v>
      </c>
      <c r="F1583" t="s">
        <v>4028</v>
      </c>
      <c r="G1583" t="s">
        <v>4054</v>
      </c>
      <c r="H1583" s="3">
        <v>1710.4</v>
      </c>
      <c r="J1583">
        <v>1</v>
      </c>
      <c r="K1583">
        <v>26</v>
      </c>
      <c r="L1583" s="4">
        <v>0.556954777535831</v>
      </c>
      <c r="M1583" s="4">
        <v>0.443045222464169</v>
      </c>
      <c r="N1583">
        <v>0</v>
      </c>
    </row>
    <row r="1584" spans="1:14" x14ac:dyDescent="0.25">
      <c r="A1584" s="2"/>
      <c r="B1584" t="s">
        <v>4055</v>
      </c>
      <c r="C1584" t="s">
        <v>16</v>
      </c>
      <c r="D1584" t="s">
        <v>547</v>
      </c>
      <c r="E1584" t="s">
        <v>4027</v>
      </c>
      <c r="F1584" t="s">
        <v>4028</v>
      </c>
      <c r="G1584" t="s">
        <v>4056</v>
      </c>
      <c r="H1584" s="3">
        <v>1715.06</v>
      </c>
      <c r="J1584">
        <v>0</v>
      </c>
      <c r="K1584">
        <v>18</v>
      </c>
      <c r="L1584" s="4">
        <v>0.15314539291604301</v>
      </c>
      <c r="M1584" s="4">
        <v>0.84685460708395699</v>
      </c>
      <c r="N1584">
        <v>0</v>
      </c>
    </row>
    <row r="1585" spans="1:14" x14ac:dyDescent="0.25">
      <c r="A1585" s="2"/>
      <c r="B1585" t="s">
        <v>4057</v>
      </c>
      <c r="C1585" t="s">
        <v>16</v>
      </c>
      <c r="D1585" t="s">
        <v>547</v>
      </c>
      <c r="E1585" t="s">
        <v>4027</v>
      </c>
      <c r="F1585" t="s">
        <v>4028</v>
      </c>
      <c r="G1585" t="s">
        <v>4058</v>
      </c>
      <c r="H1585" s="3">
        <v>1721.72</v>
      </c>
      <c r="I1585">
        <v>103</v>
      </c>
      <c r="J1585">
        <v>0</v>
      </c>
      <c r="K1585">
        <v>17</v>
      </c>
      <c r="L1585" s="4">
        <v>0.124758546659061</v>
      </c>
      <c r="M1585" s="4">
        <v>0.87524145334093895</v>
      </c>
      <c r="N1585">
        <v>0</v>
      </c>
    </row>
    <row r="1586" spans="1:14" x14ac:dyDescent="0.25">
      <c r="A1586" s="2"/>
      <c r="C1586" t="s">
        <v>28</v>
      </c>
      <c r="D1586" t="s">
        <v>547</v>
      </c>
      <c r="E1586" t="s">
        <v>4027</v>
      </c>
      <c r="F1586" t="s">
        <v>4028</v>
      </c>
      <c r="G1586" t="s">
        <v>4059</v>
      </c>
      <c r="H1586" s="3">
        <v>1736.45</v>
      </c>
      <c r="I1586">
        <v>473</v>
      </c>
      <c r="J1586">
        <v>0</v>
      </c>
      <c r="K1586">
        <v>37</v>
      </c>
      <c r="L1586" s="4">
        <v>0.445999846415367</v>
      </c>
      <c r="M1586" s="4">
        <v>0.55400015358463295</v>
      </c>
      <c r="N1586">
        <v>0</v>
      </c>
    </row>
    <row r="1587" spans="1:14" x14ac:dyDescent="0.25">
      <c r="A1587" s="2"/>
      <c r="B1587" t="s">
        <v>4060</v>
      </c>
      <c r="C1587" t="s">
        <v>16</v>
      </c>
      <c r="D1587" t="s">
        <v>547</v>
      </c>
      <c r="E1587" t="s">
        <v>4027</v>
      </c>
      <c r="F1587" t="s">
        <v>4028</v>
      </c>
      <c r="G1587" t="s">
        <v>4061</v>
      </c>
      <c r="H1587" s="3">
        <v>1737.68</v>
      </c>
      <c r="I1587">
        <v>691</v>
      </c>
      <c r="J1587">
        <v>1</v>
      </c>
      <c r="K1587">
        <v>5</v>
      </c>
      <c r="L1587" s="4">
        <v>0.58852382911134304</v>
      </c>
      <c r="M1587" s="4">
        <v>0.41147617088865701</v>
      </c>
      <c r="N1587">
        <v>0</v>
      </c>
    </row>
    <row r="1588" spans="1:14" x14ac:dyDescent="0.25">
      <c r="A1588" s="2">
        <v>23818873</v>
      </c>
      <c r="C1588" t="s">
        <v>0</v>
      </c>
      <c r="D1588" t="s">
        <v>547</v>
      </c>
      <c r="E1588" t="s">
        <v>4027</v>
      </c>
      <c r="F1588" t="s">
        <v>4028</v>
      </c>
      <c r="G1588" t="s">
        <v>4062</v>
      </c>
      <c r="H1588" s="3">
        <v>1759.38</v>
      </c>
      <c r="I1588">
        <v>855</v>
      </c>
      <c r="J1588">
        <v>0</v>
      </c>
      <c r="K1588">
        <v>16</v>
      </c>
      <c r="L1588" s="4">
        <v>0.96973869442132798</v>
      </c>
      <c r="M1588" s="4">
        <v>3.0261305578671901E-2</v>
      </c>
      <c r="N1588">
        <v>0</v>
      </c>
    </row>
    <row r="1589" spans="1:14" x14ac:dyDescent="0.25">
      <c r="A1589" s="2"/>
      <c r="B1589" t="s">
        <v>4063</v>
      </c>
      <c r="C1589" t="s">
        <v>16</v>
      </c>
      <c r="D1589" t="s">
        <v>547</v>
      </c>
      <c r="E1589" t="s">
        <v>4027</v>
      </c>
      <c r="F1589" t="s">
        <v>4028</v>
      </c>
      <c r="G1589" t="s">
        <v>4064</v>
      </c>
      <c r="H1589" s="3">
        <v>1773.1</v>
      </c>
      <c r="I1589">
        <v>110</v>
      </c>
      <c r="J1589">
        <v>0</v>
      </c>
      <c r="K1589">
        <v>4</v>
      </c>
      <c r="L1589" s="4">
        <v>0.24886139920836201</v>
      </c>
      <c r="M1589" s="4">
        <v>0.75113860079163797</v>
      </c>
      <c r="N1589">
        <v>0</v>
      </c>
    </row>
    <row r="1590" spans="1:14" x14ac:dyDescent="0.25">
      <c r="A1590" s="2"/>
      <c r="B1590" t="s">
        <v>4065</v>
      </c>
      <c r="C1590" t="s">
        <v>16</v>
      </c>
      <c r="D1590" t="s">
        <v>547</v>
      </c>
      <c r="E1590" t="s">
        <v>4027</v>
      </c>
      <c r="F1590" t="s">
        <v>4028</v>
      </c>
      <c r="G1590" t="s">
        <v>4066</v>
      </c>
      <c r="H1590" s="3">
        <v>1788.41</v>
      </c>
      <c r="I1590">
        <v>644</v>
      </c>
      <c r="J1590">
        <v>1</v>
      </c>
      <c r="K1590">
        <v>29</v>
      </c>
      <c r="L1590" s="4">
        <v>0.80304511890826402</v>
      </c>
      <c r="M1590" s="4">
        <v>0.19695488109173601</v>
      </c>
      <c r="N1590">
        <v>0</v>
      </c>
    </row>
    <row r="1591" spans="1:14" x14ac:dyDescent="0.25">
      <c r="A1591" s="2"/>
      <c r="B1591" t="s">
        <v>4067</v>
      </c>
      <c r="C1591" t="s">
        <v>16</v>
      </c>
      <c r="D1591" t="s">
        <v>547</v>
      </c>
      <c r="E1591" t="s">
        <v>4027</v>
      </c>
      <c r="F1591" t="s">
        <v>4028</v>
      </c>
      <c r="G1591" t="s">
        <v>4068</v>
      </c>
      <c r="H1591" s="3">
        <v>1807.6</v>
      </c>
      <c r="I1591">
        <v>485</v>
      </c>
      <c r="J1591">
        <v>0</v>
      </c>
      <c r="K1591">
        <v>41</v>
      </c>
      <c r="L1591" s="4">
        <v>0.80050336760523799</v>
      </c>
      <c r="M1591" s="4">
        <v>0.19949663239476201</v>
      </c>
      <c r="N1591">
        <v>0</v>
      </c>
    </row>
    <row r="1592" spans="1:14" x14ac:dyDescent="0.25">
      <c r="A1592" s="2"/>
      <c r="B1592" t="s">
        <v>4069</v>
      </c>
      <c r="C1592" t="s">
        <v>16</v>
      </c>
      <c r="D1592" t="s">
        <v>547</v>
      </c>
      <c r="E1592" t="s">
        <v>4027</v>
      </c>
      <c r="F1592" t="s">
        <v>4028</v>
      </c>
      <c r="G1592" t="s">
        <v>4070</v>
      </c>
      <c r="H1592" s="3">
        <v>1807.6</v>
      </c>
      <c r="I1592">
        <v>728</v>
      </c>
      <c r="J1592">
        <v>1</v>
      </c>
      <c r="L1592" s="4">
        <v>0.51577942705526703</v>
      </c>
      <c r="M1592" s="4">
        <v>0.48422057294473297</v>
      </c>
      <c r="N1592">
        <v>0</v>
      </c>
    </row>
    <row r="1593" spans="1:14" x14ac:dyDescent="0.25">
      <c r="A1593" s="2">
        <v>24039607</v>
      </c>
      <c r="B1593" t="s">
        <v>4071</v>
      </c>
      <c r="C1593" t="s">
        <v>31</v>
      </c>
      <c r="D1593" t="s">
        <v>547</v>
      </c>
      <c r="E1593" t="s">
        <v>4027</v>
      </c>
      <c r="F1593" t="s">
        <v>4028</v>
      </c>
      <c r="G1593" t="s">
        <v>4072</v>
      </c>
      <c r="H1593" s="3">
        <v>1809.51</v>
      </c>
      <c r="I1593">
        <v>86</v>
      </c>
      <c r="J1593">
        <v>1</v>
      </c>
      <c r="K1593">
        <v>37</v>
      </c>
      <c r="L1593" s="4">
        <v>0.74954575086047903</v>
      </c>
      <c r="M1593" s="4">
        <v>0.25045424913952102</v>
      </c>
      <c r="N1593">
        <v>0</v>
      </c>
    </row>
    <row r="1594" spans="1:14" x14ac:dyDescent="0.25">
      <c r="A1594" s="2"/>
      <c r="B1594" t="s">
        <v>4073</v>
      </c>
      <c r="C1594" t="s">
        <v>16</v>
      </c>
      <c r="D1594" t="s">
        <v>547</v>
      </c>
      <c r="E1594" t="s">
        <v>4074</v>
      </c>
      <c r="F1594" t="s">
        <v>4075</v>
      </c>
      <c r="G1594" t="s">
        <v>4076</v>
      </c>
      <c r="H1594" s="3">
        <v>327.72</v>
      </c>
      <c r="I1594">
        <v>73</v>
      </c>
      <c r="J1594">
        <v>1</v>
      </c>
      <c r="K1594">
        <v>15</v>
      </c>
      <c r="L1594" s="4">
        <v>0.66846641888415204</v>
      </c>
      <c r="M1594" s="4">
        <v>0.33153358111584802</v>
      </c>
      <c r="N1594">
        <v>0</v>
      </c>
    </row>
    <row r="1595" spans="1:14" x14ac:dyDescent="0.25">
      <c r="A1595" s="2"/>
      <c r="B1595" t="s">
        <v>4077</v>
      </c>
      <c r="C1595" t="s">
        <v>16</v>
      </c>
      <c r="D1595" t="s">
        <v>547</v>
      </c>
      <c r="E1595" t="s">
        <v>4074</v>
      </c>
      <c r="F1595" t="s">
        <v>4075</v>
      </c>
      <c r="G1595" t="s">
        <v>4078</v>
      </c>
      <c r="H1595" s="3">
        <v>1110.04</v>
      </c>
      <c r="I1595">
        <v>557</v>
      </c>
      <c r="J1595">
        <v>1</v>
      </c>
      <c r="K1595">
        <v>18</v>
      </c>
      <c r="L1595" s="4">
        <v>0.15489917371745501</v>
      </c>
      <c r="M1595" s="4">
        <v>0.84510082628254501</v>
      </c>
      <c r="N1595">
        <v>0</v>
      </c>
    </row>
    <row r="1596" spans="1:14" x14ac:dyDescent="0.25">
      <c r="A1596" s="2"/>
      <c r="B1596" t="s">
        <v>4079</v>
      </c>
      <c r="C1596" t="s">
        <v>16</v>
      </c>
      <c r="D1596" t="s">
        <v>547</v>
      </c>
      <c r="E1596" t="s">
        <v>4074</v>
      </c>
      <c r="F1596" t="s">
        <v>4075</v>
      </c>
      <c r="G1596" t="s">
        <v>4080</v>
      </c>
      <c r="H1596" s="3">
        <v>1814.92</v>
      </c>
      <c r="I1596">
        <v>111</v>
      </c>
      <c r="J1596">
        <v>1</v>
      </c>
      <c r="K1596">
        <v>38</v>
      </c>
      <c r="L1596" s="4">
        <v>0.140839548267506</v>
      </c>
      <c r="M1596" s="4">
        <v>0.859160451732494</v>
      </c>
      <c r="N1596">
        <v>0</v>
      </c>
    </row>
    <row r="1597" spans="1:14" x14ac:dyDescent="0.25">
      <c r="A1597" s="2"/>
      <c r="B1597" t="s">
        <v>4081</v>
      </c>
      <c r="C1597" t="s">
        <v>16</v>
      </c>
      <c r="D1597" t="s">
        <v>547</v>
      </c>
      <c r="E1597" t="s">
        <v>4074</v>
      </c>
      <c r="F1597" t="s">
        <v>4075</v>
      </c>
      <c r="G1597" t="s">
        <v>4082</v>
      </c>
      <c r="H1597" s="3">
        <v>1889</v>
      </c>
      <c r="I1597">
        <v>683</v>
      </c>
      <c r="J1597">
        <v>1</v>
      </c>
      <c r="K1597">
        <v>15</v>
      </c>
      <c r="L1597" s="4">
        <v>0.67379611809805096</v>
      </c>
      <c r="M1597" s="4">
        <v>0.32620388190194899</v>
      </c>
      <c r="N1597">
        <v>0</v>
      </c>
    </row>
    <row r="1598" spans="1:14" x14ac:dyDescent="0.25">
      <c r="A1598" s="2"/>
      <c r="B1598" t="s">
        <v>4083</v>
      </c>
      <c r="C1598" t="s">
        <v>16</v>
      </c>
      <c r="D1598" t="s">
        <v>547</v>
      </c>
      <c r="E1598" t="s">
        <v>4074</v>
      </c>
      <c r="F1598" t="s">
        <v>4084</v>
      </c>
      <c r="G1598" t="s">
        <v>4085</v>
      </c>
      <c r="H1598" s="3">
        <v>957.04</v>
      </c>
      <c r="I1598">
        <v>638</v>
      </c>
      <c r="J1598">
        <v>1</v>
      </c>
      <c r="K1598">
        <v>27</v>
      </c>
      <c r="L1598" s="4">
        <v>0.26222199148744502</v>
      </c>
      <c r="M1598" s="4">
        <v>0.73777800851255504</v>
      </c>
      <c r="N1598">
        <v>0</v>
      </c>
    </row>
    <row r="1599" spans="1:14" x14ac:dyDescent="0.25">
      <c r="A1599" s="2"/>
      <c r="B1599" t="s">
        <v>4086</v>
      </c>
      <c r="C1599" t="s">
        <v>16</v>
      </c>
      <c r="D1599" t="s">
        <v>547</v>
      </c>
      <c r="E1599" t="s">
        <v>4087</v>
      </c>
      <c r="F1599" t="s">
        <v>4088</v>
      </c>
      <c r="G1599" t="s">
        <v>4089</v>
      </c>
      <c r="H1599" s="3">
        <v>1570.87</v>
      </c>
      <c r="J1599">
        <v>1</v>
      </c>
      <c r="L1599" s="4">
        <v>0.50158049476234101</v>
      </c>
      <c r="M1599" s="4">
        <v>0.49841950523765899</v>
      </c>
      <c r="N1599">
        <v>0</v>
      </c>
    </row>
    <row r="1600" spans="1:14" x14ac:dyDescent="0.25">
      <c r="A1600" s="2"/>
      <c r="B1600" t="s">
        <v>4090</v>
      </c>
      <c r="C1600" t="s">
        <v>16</v>
      </c>
      <c r="D1600" t="s">
        <v>547</v>
      </c>
      <c r="E1600" t="s">
        <v>4087</v>
      </c>
      <c r="F1600" t="s">
        <v>4088</v>
      </c>
      <c r="G1600" t="s">
        <v>4091</v>
      </c>
      <c r="H1600" s="3">
        <v>1384.96</v>
      </c>
      <c r="I1600">
        <v>769</v>
      </c>
      <c r="J1600">
        <v>0</v>
      </c>
      <c r="K1600">
        <v>14</v>
      </c>
      <c r="L1600" s="4">
        <v>0.87104483911769703</v>
      </c>
      <c r="M1600" s="4">
        <v>0.12895516088230299</v>
      </c>
      <c r="N1600">
        <v>0</v>
      </c>
    </row>
    <row r="1601" spans="1:14" x14ac:dyDescent="0.25">
      <c r="A1601" s="2"/>
      <c r="B1601" t="s">
        <v>4092</v>
      </c>
      <c r="C1601" t="s">
        <v>16</v>
      </c>
      <c r="D1601" t="s">
        <v>547</v>
      </c>
      <c r="E1601" t="s">
        <v>4087</v>
      </c>
      <c r="F1601" t="s">
        <v>4088</v>
      </c>
      <c r="G1601" t="s">
        <v>4093</v>
      </c>
      <c r="H1601" s="3">
        <v>1395</v>
      </c>
      <c r="I1601">
        <v>358</v>
      </c>
      <c r="J1601">
        <v>0</v>
      </c>
      <c r="K1601">
        <v>27</v>
      </c>
      <c r="L1601" s="4">
        <v>0.84464041032209503</v>
      </c>
      <c r="M1601" s="4">
        <v>0.155359589677905</v>
      </c>
      <c r="N1601">
        <v>0</v>
      </c>
    </row>
    <row r="1602" spans="1:14" x14ac:dyDescent="0.25">
      <c r="A1602" s="2"/>
      <c r="B1602" t="s">
        <v>4094</v>
      </c>
      <c r="C1602" t="s">
        <v>16</v>
      </c>
      <c r="D1602" t="s">
        <v>547</v>
      </c>
      <c r="E1602" t="s">
        <v>4087</v>
      </c>
      <c r="F1602" t="s">
        <v>4088</v>
      </c>
      <c r="G1602" t="s">
        <v>4095</v>
      </c>
      <c r="H1602" s="3">
        <v>1402.74</v>
      </c>
      <c r="I1602">
        <v>697</v>
      </c>
      <c r="J1602">
        <v>1</v>
      </c>
      <c r="K1602">
        <v>48</v>
      </c>
      <c r="L1602" s="4">
        <v>5.12889355476129E-2</v>
      </c>
      <c r="M1602" s="4">
        <v>0.94871106445238695</v>
      </c>
      <c r="N1602">
        <v>1328</v>
      </c>
    </row>
    <row r="1603" spans="1:14" x14ac:dyDescent="0.25">
      <c r="A1603" s="2"/>
      <c r="B1603" t="s">
        <v>4096</v>
      </c>
      <c r="C1603" t="s">
        <v>16</v>
      </c>
      <c r="D1603" t="s">
        <v>547</v>
      </c>
      <c r="E1603" t="s">
        <v>4087</v>
      </c>
      <c r="F1603" t="s">
        <v>4088</v>
      </c>
      <c r="G1603" t="s">
        <v>4097</v>
      </c>
      <c r="H1603" s="3">
        <v>1403.01</v>
      </c>
      <c r="I1603">
        <v>221</v>
      </c>
      <c r="J1603">
        <v>1</v>
      </c>
      <c r="K1603">
        <v>32</v>
      </c>
      <c r="L1603" s="4">
        <v>0.85654263586074197</v>
      </c>
      <c r="M1603" s="4">
        <v>0.143457364139258</v>
      </c>
      <c r="N1603">
        <v>0</v>
      </c>
    </row>
    <row r="1604" spans="1:14" x14ac:dyDescent="0.25">
      <c r="A1604" s="2"/>
      <c r="B1604" t="s">
        <v>4098</v>
      </c>
      <c r="C1604" t="s">
        <v>16</v>
      </c>
      <c r="D1604" t="s">
        <v>547</v>
      </c>
      <c r="E1604" t="s">
        <v>4087</v>
      </c>
      <c r="F1604" t="s">
        <v>4088</v>
      </c>
      <c r="G1604" t="s">
        <v>4099</v>
      </c>
      <c r="H1604" s="3">
        <v>1404.41</v>
      </c>
      <c r="I1604">
        <v>999</v>
      </c>
      <c r="J1604">
        <v>0</v>
      </c>
      <c r="K1604">
        <v>20</v>
      </c>
      <c r="L1604" s="4">
        <v>0.99314245317586602</v>
      </c>
      <c r="M1604" s="4">
        <v>6.8575468241340899E-3</v>
      </c>
      <c r="N1604">
        <v>0</v>
      </c>
    </row>
    <row r="1605" spans="1:14" x14ac:dyDescent="0.25">
      <c r="A1605" s="2"/>
      <c r="B1605" t="s">
        <v>4100</v>
      </c>
      <c r="C1605" t="s">
        <v>16</v>
      </c>
      <c r="D1605" t="s">
        <v>547</v>
      </c>
      <c r="E1605" t="s">
        <v>4087</v>
      </c>
      <c r="F1605" t="s">
        <v>4088</v>
      </c>
      <c r="G1605" t="s">
        <v>4101</v>
      </c>
      <c r="H1605" s="3">
        <v>1427.03</v>
      </c>
      <c r="I1605">
        <v>282</v>
      </c>
      <c r="J1605">
        <v>1</v>
      </c>
      <c r="K1605">
        <v>45</v>
      </c>
      <c r="L1605" s="4">
        <v>8.8896215083132807E-2</v>
      </c>
      <c r="M1605" s="4">
        <v>0.91110378491686705</v>
      </c>
      <c r="N1605">
        <v>0</v>
      </c>
    </row>
    <row r="1606" spans="1:14" x14ac:dyDescent="0.25">
      <c r="A1606" s="2"/>
      <c r="B1606" t="s">
        <v>3567</v>
      </c>
      <c r="C1606" t="s">
        <v>16</v>
      </c>
      <c r="D1606" t="s">
        <v>547</v>
      </c>
      <c r="E1606" t="s">
        <v>4087</v>
      </c>
      <c r="F1606" t="s">
        <v>4088</v>
      </c>
      <c r="G1606" t="s">
        <v>4102</v>
      </c>
      <c r="H1606" s="3">
        <v>1446.13</v>
      </c>
      <c r="I1606">
        <v>109</v>
      </c>
      <c r="J1606">
        <v>1</v>
      </c>
      <c r="K1606">
        <v>19</v>
      </c>
      <c r="L1606" s="4">
        <v>1.0869937028755499E-2</v>
      </c>
      <c r="M1606" s="4">
        <v>0.98913006297124495</v>
      </c>
      <c r="N1606">
        <v>0</v>
      </c>
    </row>
    <row r="1607" spans="1:14" x14ac:dyDescent="0.25">
      <c r="A1607" s="2"/>
      <c r="B1607" t="s">
        <v>4103</v>
      </c>
      <c r="C1607" t="s">
        <v>16</v>
      </c>
      <c r="D1607" t="s">
        <v>547</v>
      </c>
      <c r="E1607" t="s">
        <v>4087</v>
      </c>
      <c r="F1607" t="s">
        <v>4088</v>
      </c>
      <c r="G1607" t="s">
        <v>4104</v>
      </c>
      <c r="H1607" s="3">
        <v>1456.09</v>
      </c>
      <c r="I1607">
        <v>34</v>
      </c>
      <c r="J1607">
        <v>0</v>
      </c>
      <c r="K1607">
        <v>39</v>
      </c>
      <c r="L1607" s="4">
        <v>0.94544685645584003</v>
      </c>
      <c r="M1607" s="4">
        <v>5.4553143544160299E-2</v>
      </c>
      <c r="N1607">
        <v>0</v>
      </c>
    </row>
    <row r="1608" spans="1:14" x14ac:dyDescent="0.25">
      <c r="A1608" s="2"/>
      <c r="B1608" t="s">
        <v>4105</v>
      </c>
      <c r="C1608" t="s">
        <v>16</v>
      </c>
      <c r="D1608" t="s">
        <v>547</v>
      </c>
      <c r="E1608" t="s">
        <v>4087</v>
      </c>
      <c r="F1608" t="s">
        <v>4088</v>
      </c>
      <c r="G1608" t="s">
        <v>4106</v>
      </c>
      <c r="H1608" s="3">
        <v>1489.67</v>
      </c>
      <c r="I1608">
        <v>340</v>
      </c>
      <c r="J1608">
        <v>0</v>
      </c>
      <c r="K1608">
        <v>18</v>
      </c>
      <c r="L1608" s="4">
        <v>0.182059614203052</v>
      </c>
      <c r="M1608" s="4">
        <v>0.81794038579694806</v>
      </c>
      <c r="N1608">
        <v>0</v>
      </c>
    </row>
    <row r="1609" spans="1:14" x14ac:dyDescent="0.25">
      <c r="A1609" s="2"/>
      <c r="B1609" t="s">
        <v>4107</v>
      </c>
      <c r="C1609" t="s">
        <v>16</v>
      </c>
      <c r="D1609" t="s">
        <v>547</v>
      </c>
      <c r="E1609" t="s">
        <v>4087</v>
      </c>
      <c r="F1609" t="s">
        <v>4088</v>
      </c>
      <c r="G1609" t="s">
        <v>4108</v>
      </c>
      <c r="H1609" s="3">
        <v>1507.23</v>
      </c>
      <c r="I1609">
        <v>155</v>
      </c>
      <c r="J1609">
        <v>1</v>
      </c>
      <c r="K1609">
        <v>40</v>
      </c>
      <c r="L1609" s="4">
        <v>0.30565468166406501</v>
      </c>
      <c r="M1609" s="4">
        <v>0.69434531833593505</v>
      </c>
      <c r="N1609">
        <v>0</v>
      </c>
    </row>
    <row r="1610" spans="1:14" x14ac:dyDescent="0.25">
      <c r="A1610" s="2"/>
      <c r="B1610" t="s">
        <v>4109</v>
      </c>
      <c r="C1610" t="s">
        <v>16</v>
      </c>
      <c r="D1610" t="s">
        <v>547</v>
      </c>
      <c r="E1610" t="s">
        <v>4087</v>
      </c>
      <c r="F1610" t="s">
        <v>4088</v>
      </c>
      <c r="G1610" t="s">
        <v>4110</v>
      </c>
      <c r="H1610" s="3">
        <v>1525</v>
      </c>
      <c r="J1610">
        <v>1</v>
      </c>
      <c r="K1610">
        <v>12</v>
      </c>
      <c r="L1610" s="4">
        <v>0.92008528393237399</v>
      </c>
      <c r="M1610" s="4">
        <v>7.9914716067626193E-2</v>
      </c>
      <c r="N1610">
        <v>0</v>
      </c>
    </row>
    <row r="1611" spans="1:14" x14ac:dyDescent="0.25">
      <c r="A1611" s="2"/>
      <c r="B1611" t="s">
        <v>4111</v>
      </c>
      <c r="C1611" t="s">
        <v>16</v>
      </c>
      <c r="D1611" t="s">
        <v>547</v>
      </c>
      <c r="E1611" t="s">
        <v>4087</v>
      </c>
      <c r="F1611" t="s">
        <v>4088</v>
      </c>
      <c r="G1611" t="s">
        <v>4112</v>
      </c>
      <c r="H1611" s="3">
        <v>1561.3</v>
      </c>
      <c r="I1611">
        <v>152</v>
      </c>
      <c r="J1611">
        <v>1</v>
      </c>
      <c r="K1611">
        <v>7</v>
      </c>
      <c r="L1611" s="4">
        <v>0.53636400794142802</v>
      </c>
      <c r="M1611" s="4">
        <v>0.46363599205857198</v>
      </c>
      <c r="N1611">
        <v>0</v>
      </c>
    </row>
    <row r="1612" spans="1:14" x14ac:dyDescent="0.25">
      <c r="A1612" s="2"/>
      <c r="B1612" t="s">
        <v>4113</v>
      </c>
      <c r="C1612" t="s">
        <v>16</v>
      </c>
      <c r="D1612" t="s">
        <v>547</v>
      </c>
      <c r="E1612" t="s">
        <v>4087</v>
      </c>
      <c r="F1612" t="s">
        <v>4088</v>
      </c>
      <c r="G1612" t="s">
        <v>4114</v>
      </c>
      <c r="H1612" s="3">
        <v>1600.25</v>
      </c>
      <c r="I1612">
        <v>136</v>
      </c>
      <c r="J1612">
        <v>0</v>
      </c>
      <c r="L1612" s="4">
        <v>0.83683221710241695</v>
      </c>
      <c r="M1612" s="4">
        <v>0.16316778289758399</v>
      </c>
      <c r="N1612">
        <v>0</v>
      </c>
    </row>
    <row r="1613" spans="1:14" x14ac:dyDescent="0.25">
      <c r="A1613" s="2"/>
      <c r="B1613" t="s">
        <v>4115</v>
      </c>
      <c r="C1613" t="s">
        <v>16</v>
      </c>
      <c r="D1613" t="s">
        <v>547</v>
      </c>
      <c r="E1613" t="s">
        <v>4087</v>
      </c>
      <c r="F1613" t="s">
        <v>4088</v>
      </c>
      <c r="G1613" t="s">
        <v>4116</v>
      </c>
      <c r="H1613" s="3">
        <v>1661.04</v>
      </c>
      <c r="I1613">
        <v>459</v>
      </c>
      <c r="J1613">
        <v>0</v>
      </c>
      <c r="K1613">
        <v>18</v>
      </c>
      <c r="L1613" s="4">
        <v>0.92934122176887002</v>
      </c>
      <c r="M1613" s="4">
        <v>7.0658778231129801E-2</v>
      </c>
      <c r="N1613">
        <v>0</v>
      </c>
    </row>
    <row r="1614" spans="1:14" x14ac:dyDescent="0.25">
      <c r="A1614" s="2">
        <v>23326615</v>
      </c>
      <c r="B1614" t="s">
        <v>4117</v>
      </c>
      <c r="C1614" t="s">
        <v>31</v>
      </c>
      <c r="D1614" t="s">
        <v>547</v>
      </c>
      <c r="E1614" t="s">
        <v>4087</v>
      </c>
      <c r="F1614" t="s">
        <v>4088</v>
      </c>
      <c r="G1614" t="s">
        <v>4118</v>
      </c>
      <c r="H1614" s="3">
        <v>1685.39</v>
      </c>
      <c r="I1614">
        <v>600</v>
      </c>
      <c r="J1614">
        <v>1</v>
      </c>
      <c r="K1614">
        <v>47</v>
      </c>
      <c r="L1614" s="4">
        <v>0.88190679001554695</v>
      </c>
      <c r="M1614" s="4">
        <v>0.118093209984453</v>
      </c>
      <c r="N1614">
        <v>0</v>
      </c>
    </row>
    <row r="1615" spans="1:14" x14ac:dyDescent="0.25">
      <c r="A1615" s="2"/>
      <c r="B1615" t="s">
        <v>3563</v>
      </c>
      <c r="C1615" t="s">
        <v>16</v>
      </c>
      <c r="D1615" t="s">
        <v>547</v>
      </c>
      <c r="E1615" t="s">
        <v>4087</v>
      </c>
      <c r="F1615" t="s">
        <v>4088</v>
      </c>
      <c r="G1615" t="s">
        <v>4119</v>
      </c>
      <c r="H1615" s="3">
        <v>1750.01</v>
      </c>
      <c r="I1615">
        <v>344</v>
      </c>
      <c r="J1615">
        <v>0</v>
      </c>
      <c r="K1615">
        <v>28</v>
      </c>
      <c r="L1615" s="4">
        <v>0.51496006742894895</v>
      </c>
      <c r="M1615" s="4">
        <v>0.48503993257105099</v>
      </c>
      <c r="N1615">
        <v>0</v>
      </c>
    </row>
    <row r="1616" spans="1:14" x14ac:dyDescent="0.25">
      <c r="A1616" s="2"/>
      <c r="B1616" t="s">
        <v>4120</v>
      </c>
      <c r="C1616" t="s">
        <v>16</v>
      </c>
      <c r="D1616" t="s">
        <v>547</v>
      </c>
      <c r="E1616" t="s">
        <v>4087</v>
      </c>
      <c r="F1616" t="s">
        <v>4088</v>
      </c>
      <c r="G1616" t="s">
        <v>4121</v>
      </c>
      <c r="H1616" s="3">
        <v>1772.81</v>
      </c>
      <c r="I1616">
        <v>2</v>
      </c>
      <c r="J1616">
        <v>1</v>
      </c>
      <c r="K1616">
        <v>32</v>
      </c>
      <c r="L1616" s="4">
        <v>0.81122768958447999</v>
      </c>
      <c r="M1616" s="4">
        <v>0.18877231041552001</v>
      </c>
      <c r="N1616">
        <v>0</v>
      </c>
    </row>
    <row r="1617" spans="1:14" x14ac:dyDescent="0.25">
      <c r="A1617" s="2"/>
      <c r="B1617" t="s">
        <v>4122</v>
      </c>
      <c r="C1617" t="s">
        <v>16</v>
      </c>
      <c r="D1617" t="s">
        <v>547</v>
      </c>
      <c r="E1617" t="s">
        <v>4087</v>
      </c>
      <c r="F1617" t="s">
        <v>4088</v>
      </c>
      <c r="G1617" t="s">
        <v>4123</v>
      </c>
      <c r="H1617" s="3">
        <v>1773.69</v>
      </c>
      <c r="I1617">
        <v>662</v>
      </c>
      <c r="J1617">
        <v>1</v>
      </c>
      <c r="K1617">
        <v>4</v>
      </c>
      <c r="L1617" s="4">
        <v>0.497571553499631</v>
      </c>
      <c r="M1617" s="4">
        <v>0.502428446500369</v>
      </c>
      <c r="N1617">
        <v>0</v>
      </c>
    </row>
    <row r="1618" spans="1:14" x14ac:dyDescent="0.25">
      <c r="A1618" s="2"/>
      <c r="B1618" t="s">
        <v>4124</v>
      </c>
      <c r="C1618" t="s">
        <v>16</v>
      </c>
      <c r="D1618" t="s">
        <v>547</v>
      </c>
      <c r="E1618" t="s">
        <v>4087</v>
      </c>
      <c r="F1618" t="s">
        <v>4088</v>
      </c>
      <c r="G1618" t="s">
        <v>4125</v>
      </c>
      <c r="H1618" s="3">
        <v>1781.11</v>
      </c>
      <c r="I1618">
        <v>661</v>
      </c>
      <c r="J1618">
        <v>1</v>
      </c>
      <c r="K1618">
        <v>14</v>
      </c>
      <c r="L1618" s="4">
        <v>0.85151813581858604</v>
      </c>
      <c r="M1618" s="4">
        <v>0.14848186418141399</v>
      </c>
      <c r="N1618">
        <v>0</v>
      </c>
    </row>
    <row r="1619" spans="1:14" x14ac:dyDescent="0.25">
      <c r="A1619" s="2">
        <v>23166848</v>
      </c>
      <c r="C1619" t="s">
        <v>0</v>
      </c>
      <c r="D1619" t="s">
        <v>547</v>
      </c>
      <c r="E1619" t="s">
        <v>4087</v>
      </c>
      <c r="F1619" t="s">
        <v>4088</v>
      </c>
      <c r="G1619" t="s">
        <v>4126</v>
      </c>
      <c r="H1619" s="3">
        <v>1843.51</v>
      </c>
      <c r="I1619">
        <v>263</v>
      </c>
      <c r="J1619">
        <v>0</v>
      </c>
      <c r="K1619">
        <v>4</v>
      </c>
      <c r="L1619" s="4">
        <v>4.5872883078402003E-2</v>
      </c>
      <c r="M1619" s="4">
        <v>0.95412711692159802</v>
      </c>
      <c r="N1619">
        <v>0</v>
      </c>
    </row>
    <row r="1620" spans="1:14" x14ac:dyDescent="0.25">
      <c r="A1620" s="2"/>
      <c r="B1620" t="s">
        <v>4127</v>
      </c>
      <c r="C1620" t="s">
        <v>16</v>
      </c>
      <c r="D1620" t="s">
        <v>547</v>
      </c>
      <c r="E1620" t="s">
        <v>4087</v>
      </c>
      <c r="F1620" t="s">
        <v>4128</v>
      </c>
      <c r="G1620" t="s">
        <v>4129</v>
      </c>
      <c r="H1620" s="3">
        <v>1283.76</v>
      </c>
      <c r="I1620">
        <v>166</v>
      </c>
      <c r="J1620">
        <v>1</v>
      </c>
      <c r="L1620" s="4">
        <v>0.129843360954078</v>
      </c>
      <c r="M1620" s="4">
        <v>0.870156639045922</v>
      </c>
      <c r="N1620">
        <v>0</v>
      </c>
    </row>
    <row r="1621" spans="1:14" x14ac:dyDescent="0.25">
      <c r="A1621" s="2"/>
      <c r="B1621" t="s">
        <v>4130</v>
      </c>
      <c r="C1621" t="s">
        <v>16</v>
      </c>
      <c r="D1621" t="s">
        <v>547</v>
      </c>
      <c r="E1621" t="s">
        <v>3994</v>
      </c>
      <c r="F1621" t="s">
        <v>4131</v>
      </c>
      <c r="G1621" t="s">
        <v>4132</v>
      </c>
      <c r="H1621" s="3">
        <v>794.93</v>
      </c>
      <c r="I1621">
        <v>183</v>
      </c>
      <c r="J1621">
        <v>0</v>
      </c>
      <c r="K1621">
        <v>3</v>
      </c>
      <c r="L1621" s="4">
        <v>0.22985400809776399</v>
      </c>
      <c r="M1621" s="4">
        <v>0.77014599190223698</v>
      </c>
      <c r="N1621">
        <v>0</v>
      </c>
    </row>
    <row r="1622" spans="1:14" x14ac:dyDescent="0.25">
      <c r="A1622" s="2"/>
      <c r="B1622" t="s">
        <v>4133</v>
      </c>
      <c r="C1622" t="s">
        <v>16</v>
      </c>
      <c r="D1622" t="s">
        <v>547</v>
      </c>
      <c r="E1622" t="s">
        <v>3994</v>
      </c>
      <c r="F1622" t="s">
        <v>4131</v>
      </c>
      <c r="G1622" t="s">
        <v>4134</v>
      </c>
      <c r="H1622" s="3">
        <v>809.29</v>
      </c>
      <c r="I1622">
        <v>223</v>
      </c>
      <c r="J1622">
        <v>0</v>
      </c>
      <c r="K1622">
        <v>40</v>
      </c>
      <c r="L1622" s="4">
        <v>0.40150181296684201</v>
      </c>
      <c r="M1622" s="4">
        <v>0.59849818703315905</v>
      </c>
      <c r="N1622">
        <v>0</v>
      </c>
    </row>
    <row r="1623" spans="1:14" x14ac:dyDescent="0.25">
      <c r="A1623" s="2"/>
      <c r="B1623" t="s">
        <v>4135</v>
      </c>
      <c r="C1623" t="s">
        <v>16</v>
      </c>
      <c r="D1623" t="s">
        <v>547</v>
      </c>
      <c r="E1623" t="s">
        <v>3994</v>
      </c>
      <c r="F1623" t="s">
        <v>4131</v>
      </c>
      <c r="G1623" t="s">
        <v>4136</v>
      </c>
      <c r="H1623" s="3">
        <v>819.34</v>
      </c>
      <c r="J1623">
        <v>1</v>
      </c>
      <c r="K1623">
        <v>44</v>
      </c>
      <c r="L1623" s="4">
        <v>0.87857704011939697</v>
      </c>
      <c r="M1623" s="4">
        <v>0.121422959880603</v>
      </c>
      <c r="N1623">
        <v>0</v>
      </c>
    </row>
    <row r="1624" spans="1:14" x14ac:dyDescent="0.25">
      <c r="A1624" s="2"/>
      <c r="B1624" t="s">
        <v>4137</v>
      </c>
      <c r="C1624" t="s">
        <v>16</v>
      </c>
      <c r="D1624" t="s">
        <v>547</v>
      </c>
      <c r="E1624" t="s">
        <v>3994</v>
      </c>
      <c r="F1624" t="s">
        <v>4131</v>
      </c>
      <c r="G1624" t="s">
        <v>4138</v>
      </c>
      <c r="H1624" s="3">
        <v>854.96</v>
      </c>
      <c r="I1624">
        <v>331</v>
      </c>
      <c r="J1624">
        <v>1</v>
      </c>
      <c r="K1624">
        <v>31</v>
      </c>
      <c r="L1624" s="4">
        <v>0.27635082286395302</v>
      </c>
      <c r="M1624" s="4">
        <v>0.72364917713604704</v>
      </c>
      <c r="N1624">
        <v>0</v>
      </c>
    </row>
    <row r="1625" spans="1:14" x14ac:dyDescent="0.25">
      <c r="A1625" s="2"/>
      <c r="B1625" t="s">
        <v>4139</v>
      </c>
      <c r="C1625" t="s">
        <v>16</v>
      </c>
      <c r="D1625" t="s">
        <v>547</v>
      </c>
      <c r="E1625" t="s">
        <v>3994</v>
      </c>
      <c r="F1625" t="s">
        <v>4131</v>
      </c>
      <c r="G1625" t="s">
        <v>4140</v>
      </c>
      <c r="H1625" s="3">
        <v>901.5</v>
      </c>
      <c r="I1625">
        <v>417</v>
      </c>
      <c r="J1625">
        <v>1</v>
      </c>
      <c r="K1625">
        <v>50</v>
      </c>
      <c r="L1625" s="4">
        <v>0.60047169705519499</v>
      </c>
      <c r="M1625" s="4">
        <v>0.39952830294480601</v>
      </c>
      <c r="N1625">
        <v>0</v>
      </c>
    </row>
    <row r="1626" spans="1:14" x14ac:dyDescent="0.25">
      <c r="A1626" s="2"/>
      <c r="B1626" t="s">
        <v>4141</v>
      </c>
      <c r="C1626" t="s">
        <v>16</v>
      </c>
      <c r="D1626" t="s">
        <v>547</v>
      </c>
      <c r="E1626" t="s">
        <v>3994</v>
      </c>
      <c r="F1626" t="s">
        <v>4131</v>
      </c>
      <c r="G1626" t="s">
        <v>4142</v>
      </c>
      <c r="H1626" s="3">
        <v>902.12</v>
      </c>
      <c r="I1626">
        <v>502</v>
      </c>
      <c r="J1626">
        <v>0</v>
      </c>
      <c r="K1626">
        <v>44</v>
      </c>
      <c r="L1626" s="4">
        <v>0.26822962492790298</v>
      </c>
      <c r="M1626" s="4">
        <v>0.73177037507209697</v>
      </c>
      <c r="N1626">
        <v>0</v>
      </c>
    </row>
    <row r="1627" spans="1:14" x14ac:dyDescent="0.25">
      <c r="A1627" s="2"/>
      <c r="B1627" t="s">
        <v>4143</v>
      </c>
      <c r="C1627" t="s">
        <v>16</v>
      </c>
      <c r="D1627" t="s">
        <v>547</v>
      </c>
      <c r="E1627" t="s">
        <v>3994</v>
      </c>
      <c r="F1627" t="s">
        <v>4131</v>
      </c>
      <c r="G1627" t="s">
        <v>4144</v>
      </c>
      <c r="H1627" s="3">
        <v>903.89</v>
      </c>
      <c r="I1627">
        <v>690</v>
      </c>
      <c r="K1627">
        <v>10</v>
      </c>
      <c r="L1627" s="4">
        <v>0.92323041051310695</v>
      </c>
      <c r="M1627" s="4">
        <v>7.6769589486893303E-2</v>
      </c>
      <c r="N1627">
        <v>0</v>
      </c>
    </row>
    <row r="1628" spans="1:14" x14ac:dyDescent="0.25">
      <c r="A1628" s="2"/>
      <c r="B1628" t="s">
        <v>4145</v>
      </c>
      <c r="C1628" t="s">
        <v>16</v>
      </c>
      <c r="D1628" t="s">
        <v>547</v>
      </c>
      <c r="E1628" t="s">
        <v>3994</v>
      </c>
      <c r="F1628" t="s">
        <v>4131</v>
      </c>
      <c r="G1628" t="s">
        <v>4146</v>
      </c>
      <c r="H1628" s="3">
        <v>1001.03</v>
      </c>
      <c r="I1628">
        <v>984</v>
      </c>
      <c r="J1628">
        <v>1</v>
      </c>
      <c r="K1628">
        <v>21</v>
      </c>
      <c r="L1628" s="4">
        <v>0.17185179642680501</v>
      </c>
      <c r="M1628" s="4">
        <v>0.82814820357319496</v>
      </c>
      <c r="N1628">
        <v>0</v>
      </c>
    </row>
    <row r="1629" spans="1:14" x14ac:dyDescent="0.25">
      <c r="A1629" s="2"/>
      <c r="B1629" t="s">
        <v>4147</v>
      </c>
      <c r="C1629" t="s">
        <v>16</v>
      </c>
      <c r="D1629" t="s">
        <v>547</v>
      </c>
      <c r="E1629" t="s">
        <v>3994</v>
      </c>
      <c r="F1629" t="s">
        <v>4131</v>
      </c>
      <c r="G1629" t="s">
        <v>4148</v>
      </c>
      <c r="H1629" s="3">
        <v>1004.15</v>
      </c>
      <c r="I1629">
        <v>448</v>
      </c>
      <c r="J1629">
        <v>0</v>
      </c>
      <c r="K1629">
        <v>40</v>
      </c>
      <c r="L1629" s="4">
        <v>0.183249033939237</v>
      </c>
      <c r="M1629" s="4">
        <v>0.81675096606076303</v>
      </c>
      <c r="N1629">
        <v>0</v>
      </c>
    </row>
    <row r="1630" spans="1:14" x14ac:dyDescent="0.25">
      <c r="A1630" s="2"/>
      <c r="B1630" t="s">
        <v>4149</v>
      </c>
      <c r="C1630" t="s">
        <v>16</v>
      </c>
      <c r="D1630" t="s">
        <v>547</v>
      </c>
      <c r="E1630" t="s">
        <v>3994</v>
      </c>
      <c r="F1630" t="s">
        <v>4131</v>
      </c>
      <c r="G1630" t="s">
        <v>4150</v>
      </c>
      <c r="H1630" s="3">
        <v>1011.45</v>
      </c>
      <c r="I1630">
        <v>787</v>
      </c>
      <c r="J1630">
        <v>0</v>
      </c>
      <c r="K1630">
        <v>14</v>
      </c>
      <c r="L1630" s="4">
        <v>0.73475905507277695</v>
      </c>
      <c r="M1630" s="4">
        <v>0.265240944927224</v>
      </c>
      <c r="N1630">
        <v>0</v>
      </c>
    </row>
    <row r="1631" spans="1:14" x14ac:dyDescent="0.25">
      <c r="A1631" s="2"/>
      <c r="B1631" t="s">
        <v>4151</v>
      </c>
      <c r="C1631" t="s">
        <v>16</v>
      </c>
      <c r="D1631" t="s">
        <v>547</v>
      </c>
      <c r="E1631" t="s">
        <v>3994</v>
      </c>
      <c r="F1631" t="s">
        <v>4131</v>
      </c>
      <c r="G1631" t="s">
        <v>4152</v>
      </c>
      <c r="H1631" s="3">
        <v>1011.45</v>
      </c>
      <c r="I1631">
        <v>647</v>
      </c>
      <c r="J1631">
        <v>0</v>
      </c>
      <c r="K1631">
        <v>8</v>
      </c>
      <c r="L1631" s="4">
        <v>0.65105934014073397</v>
      </c>
      <c r="M1631" s="4">
        <v>0.34894065985926598</v>
      </c>
      <c r="N1631">
        <v>0</v>
      </c>
    </row>
    <row r="1632" spans="1:14" x14ac:dyDescent="0.25">
      <c r="A1632" s="2"/>
      <c r="B1632" t="s">
        <v>4153</v>
      </c>
      <c r="C1632" t="s">
        <v>16</v>
      </c>
      <c r="D1632" t="s">
        <v>547</v>
      </c>
      <c r="E1632" t="s">
        <v>3994</v>
      </c>
      <c r="F1632" t="s">
        <v>4131</v>
      </c>
      <c r="G1632" t="s">
        <v>4154</v>
      </c>
      <c r="H1632" s="3">
        <v>1015.73</v>
      </c>
      <c r="I1632">
        <v>338</v>
      </c>
      <c r="J1632">
        <v>1</v>
      </c>
      <c r="K1632">
        <v>22</v>
      </c>
      <c r="L1632" s="4">
        <v>0.55905823029897395</v>
      </c>
      <c r="M1632" s="4">
        <v>0.440941769701026</v>
      </c>
      <c r="N1632">
        <v>0</v>
      </c>
    </row>
    <row r="1633" spans="1:14" x14ac:dyDescent="0.25">
      <c r="A1633" s="2"/>
      <c r="B1633" t="s">
        <v>4155</v>
      </c>
      <c r="C1633" t="s">
        <v>16</v>
      </c>
      <c r="D1633" t="s">
        <v>547</v>
      </c>
      <c r="E1633" t="s">
        <v>3994</v>
      </c>
      <c r="F1633" t="s">
        <v>4131</v>
      </c>
      <c r="G1633" t="s">
        <v>4156</v>
      </c>
      <c r="H1633" s="3">
        <v>1023.41</v>
      </c>
      <c r="I1633">
        <v>208</v>
      </c>
      <c r="J1633">
        <v>0</v>
      </c>
      <c r="K1633">
        <v>45</v>
      </c>
      <c r="L1633" s="4">
        <v>0.81274065932005801</v>
      </c>
      <c r="M1633" s="4">
        <v>0.18725934067994199</v>
      </c>
      <c r="N1633">
        <v>0</v>
      </c>
    </row>
    <row r="1634" spans="1:14" x14ac:dyDescent="0.25">
      <c r="A1634" s="2"/>
      <c r="B1634" t="s">
        <v>4157</v>
      </c>
      <c r="C1634" t="s">
        <v>16</v>
      </c>
      <c r="D1634" t="s">
        <v>547</v>
      </c>
      <c r="E1634" t="s">
        <v>3994</v>
      </c>
      <c r="F1634" t="s">
        <v>4131</v>
      </c>
      <c r="G1634" t="s">
        <v>4158</v>
      </c>
      <c r="H1634" s="3">
        <v>1039.8699999999999</v>
      </c>
      <c r="I1634">
        <v>880</v>
      </c>
      <c r="J1634">
        <v>0</v>
      </c>
      <c r="K1634">
        <v>7</v>
      </c>
      <c r="L1634" s="4">
        <v>0.106431812028337</v>
      </c>
      <c r="M1634" s="4">
        <v>0.89356818797166304</v>
      </c>
      <c r="N1634">
        <v>0</v>
      </c>
    </row>
    <row r="1635" spans="1:14" x14ac:dyDescent="0.25">
      <c r="A1635" s="2"/>
      <c r="B1635" t="s">
        <v>4159</v>
      </c>
      <c r="C1635" t="s">
        <v>16</v>
      </c>
      <c r="D1635" t="s">
        <v>547</v>
      </c>
      <c r="E1635" t="s">
        <v>3994</v>
      </c>
      <c r="F1635" t="s">
        <v>4131</v>
      </c>
      <c r="G1635" t="s">
        <v>4160</v>
      </c>
      <c r="H1635" s="3">
        <v>1061.24</v>
      </c>
      <c r="I1635">
        <v>803</v>
      </c>
      <c r="J1635">
        <v>0</v>
      </c>
      <c r="K1635">
        <v>17</v>
      </c>
      <c r="L1635" s="4">
        <v>0.19648618060371001</v>
      </c>
      <c r="M1635" s="4">
        <v>0.80351381939628996</v>
      </c>
      <c r="N1635">
        <v>0</v>
      </c>
    </row>
    <row r="1636" spans="1:14" x14ac:dyDescent="0.25">
      <c r="A1636" s="2"/>
      <c r="B1636" t="s">
        <v>4161</v>
      </c>
      <c r="C1636" t="s">
        <v>16</v>
      </c>
      <c r="D1636" t="s">
        <v>547</v>
      </c>
      <c r="E1636" t="s">
        <v>3994</v>
      </c>
      <c r="F1636" t="s">
        <v>4131</v>
      </c>
      <c r="G1636" t="s">
        <v>4162</v>
      </c>
      <c r="H1636" s="3">
        <v>1061.24</v>
      </c>
      <c r="I1636">
        <v>668</v>
      </c>
      <c r="J1636">
        <v>0</v>
      </c>
      <c r="K1636">
        <v>41</v>
      </c>
      <c r="L1636" s="4">
        <v>9.3789519678413799E-2</v>
      </c>
      <c r="M1636" s="4">
        <v>0.90621048032158602</v>
      </c>
      <c r="N1636">
        <v>0</v>
      </c>
    </row>
    <row r="1637" spans="1:14" x14ac:dyDescent="0.25">
      <c r="A1637" s="2"/>
      <c r="B1637" t="s">
        <v>4163</v>
      </c>
      <c r="C1637" t="s">
        <v>16</v>
      </c>
      <c r="D1637" t="s">
        <v>547</v>
      </c>
      <c r="E1637" t="s">
        <v>3994</v>
      </c>
      <c r="F1637" t="s">
        <v>4131</v>
      </c>
      <c r="G1637" t="s">
        <v>4164</v>
      </c>
      <c r="H1637" s="3">
        <v>1061.24</v>
      </c>
      <c r="I1637">
        <v>223</v>
      </c>
      <c r="K1637">
        <v>22</v>
      </c>
      <c r="L1637" s="4">
        <v>0.92969632094486498</v>
      </c>
      <c r="M1637" s="4">
        <v>7.0303679055134793E-2</v>
      </c>
      <c r="N1637">
        <v>0</v>
      </c>
    </row>
    <row r="1638" spans="1:14" x14ac:dyDescent="0.25">
      <c r="A1638" s="2"/>
      <c r="B1638" t="s">
        <v>4165</v>
      </c>
      <c r="C1638" t="s">
        <v>16</v>
      </c>
      <c r="D1638" t="s">
        <v>547</v>
      </c>
      <c r="E1638" t="s">
        <v>3994</v>
      </c>
      <c r="F1638" t="s">
        <v>4131</v>
      </c>
      <c r="G1638" t="s">
        <v>4166</v>
      </c>
      <c r="H1638" s="3">
        <v>1080</v>
      </c>
      <c r="I1638">
        <v>253</v>
      </c>
      <c r="J1638">
        <v>0</v>
      </c>
      <c r="K1638">
        <v>14</v>
      </c>
      <c r="L1638" s="4">
        <v>0.284451851817695</v>
      </c>
      <c r="M1638" s="4">
        <v>0.71554814818230605</v>
      </c>
      <c r="N1638">
        <v>0</v>
      </c>
    </row>
    <row r="1639" spans="1:14" x14ac:dyDescent="0.25">
      <c r="A1639" s="2"/>
      <c r="B1639" t="s">
        <v>4167</v>
      </c>
      <c r="C1639" t="s">
        <v>16</v>
      </c>
      <c r="D1639" t="s">
        <v>547</v>
      </c>
      <c r="E1639" t="s">
        <v>3994</v>
      </c>
      <c r="F1639" t="s">
        <v>4131</v>
      </c>
      <c r="G1639" t="s">
        <v>4168</v>
      </c>
      <c r="H1639" s="3">
        <v>389.73</v>
      </c>
      <c r="J1639">
        <v>0</v>
      </c>
      <c r="K1639">
        <v>31</v>
      </c>
      <c r="L1639" s="4">
        <v>0.720528299552606</v>
      </c>
      <c r="M1639" s="4">
        <v>0.279471700447394</v>
      </c>
      <c r="N1639">
        <v>0</v>
      </c>
    </row>
    <row r="1640" spans="1:14" x14ac:dyDescent="0.25">
      <c r="A1640" s="2"/>
      <c r="B1640" t="s">
        <v>4169</v>
      </c>
      <c r="C1640" t="s">
        <v>16</v>
      </c>
      <c r="D1640" t="s">
        <v>547</v>
      </c>
      <c r="E1640" t="s">
        <v>3994</v>
      </c>
      <c r="F1640" t="s">
        <v>4131</v>
      </c>
      <c r="G1640" t="s">
        <v>4170</v>
      </c>
      <c r="H1640" s="3">
        <v>443.38</v>
      </c>
      <c r="I1640">
        <v>333</v>
      </c>
      <c r="J1640">
        <v>0</v>
      </c>
      <c r="K1640">
        <v>14</v>
      </c>
      <c r="L1640" s="4">
        <v>0.68174994627330099</v>
      </c>
      <c r="M1640" s="4">
        <v>0.31825005372669901</v>
      </c>
      <c r="N1640">
        <v>0</v>
      </c>
    </row>
    <row r="1641" spans="1:14" x14ac:dyDescent="0.25">
      <c r="A1641" s="2"/>
      <c r="B1641" t="s">
        <v>4171</v>
      </c>
      <c r="C1641" t="s">
        <v>16</v>
      </c>
      <c r="D1641" t="s">
        <v>547</v>
      </c>
      <c r="E1641" t="s">
        <v>3994</v>
      </c>
      <c r="F1641" t="s">
        <v>4131</v>
      </c>
      <c r="G1641" t="s">
        <v>4172</v>
      </c>
      <c r="H1641" s="3">
        <v>1061.93</v>
      </c>
      <c r="I1641">
        <v>282</v>
      </c>
      <c r="K1641">
        <v>21</v>
      </c>
      <c r="L1641" s="4">
        <v>0.86737188454159397</v>
      </c>
      <c r="M1641" s="4">
        <v>0.132628115458406</v>
      </c>
      <c r="N1641">
        <v>0</v>
      </c>
    </row>
    <row r="1642" spans="1:14" x14ac:dyDescent="0.25">
      <c r="A1642" s="2"/>
      <c r="B1642" t="s">
        <v>4173</v>
      </c>
      <c r="C1642" t="s">
        <v>16</v>
      </c>
      <c r="D1642" t="s">
        <v>547</v>
      </c>
      <c r="E1642" t="s">
        <v>3994</v>
      </c>
      <c r="F1642" t="s">
        <v>4131</v>
      </c>
      <c r="G1642" t="s">
        <v>4174</v>
      </c>
      <c r="H1642" s="3">
        <v>122.31</v>
      </c>
      <c r="I1642">
        <v>702</v>
      </c>
      <c r="J1642">
        <v>0</v>
      </c>
      <c r="K1642">
        <v>46</v>
      </c>
      <c r="L1642" s="4">
        <v>6.7851526564384396E-2</v>
      </c>
      <c r="M1642" s="4">
        <v>0.93214847343561602</v>
      </c>
      <c r="N1642">
        <v>0</v>
      </c>
    </row>
    <row r="1643" spans="1:14" x14ac:dyDescent="0.25">
      <c r="A1643" s="2"/>
      <c r="B1643" t="s">
        <v>4175</v>
      </c>
      <c r="C1643" t="s">
        <v>16</v>
      </c>
      <c r="D1643" t="s">
        <v>547</v>
      </c>
      <c r="E1643" t="s">
        <v>3994</v>
      </c>
      <c r="F1643" t="s">
        <v>4131</v>
      </c>
      <c r="G1643" t="s">
        <v>4176</v>
      </c>
      <c r="H1643" s="3">
        <v>214.74</v>
      </c>
      <c r="I1643">
        <v>814</v>
      </c>
      <c r="J1643">
        <v>1</v>
      </c>
      <c r="K1643">
        <v>46</v>
      </c>
      <c r="L1643" s="4">
        <v>0.38146806171313102</v>
      </c>
      <c r="M1643" s="4">
        <v>0.61853193828686903</v>
      </c>
      <c r="N1643">
        <v>0</v>
      </c>
    </row>
    <row r="1644" spans="1:14" x14ac:dyDescent="0.25">
      <c r="A1644" s="2"/>
      <c r="B1644" t="s">
        <v>4177</v>
      </c>
      <c r="C1644" t="s">
        <v>16</v>
      </c>
      <c r="D1644" t="s">
        <v>547</v>
      </c>
      <c r="E1644" t="s">
        <v>3994</v>
      </c>
      <c r="F1644" t="s">
        <v>4131</v>
      </c>
      <c r="G1644" t="s">
        <v>4178</v>
      </c>
      <c r="H1644" s="3">
        <v>329.79</v>
      </c>
      <c r="I1644">
        <v>410</v>
      </c>
      <c r="K1644">
        <v>30</v>
      </c>
      <c r="L1644" s="4">
        <v>0.44964110221953602</v>
      </c>
      <c r="M1644" s="4">
        <v>0.55035889778046398</v>
      </c>
      <c r="N1644">
        <v>0</v>
      </c>
    </row>
    <row r="1645" spans="1:14" x14ac:dyDescent="0.25">
      <c r="A1645" s="2"/>
      <c r="B1645" t="s">
        <v>4179</v>
      </c>
      <c r="C1645" t="s">
        <v>16</v>
      </c>
      <c r="D1645" t="s">
        <v>547</v>
      </c>
      <c r="E1645" t="s">
        <v>3994</v>
      </c>
      <c r="F1645" t="s">
        <v>4131</v>
      </c>
      <c r="G1645" t="s">
        <v>4180</v>
      </c>
      <c r="H1645" s="3">
        <v>424.95</v>
      </c>
      <c r="I1645">
        <v>920</v>
      </c>
      <c r="J1645">
        <v>1</v>
      </c>
      <c r="K1645">
        <v>36</v>
      </c>
      <c r="L1645" s="4">
        <v>0.51707213105675798</v>
      </c>
      <c r="M1645" s="4">
        <v>0.48292786894324202</v>
      </c>
      <c r="N1645">
        <v>0</v>
      </c>
    </row>
    <row r="1646" spans="1:14" x14ac:dyDescent="0.25">
      <c r="A1646" s="2"/>
      <c r="B1646" t="s">
        <v>4181</v>
      </c>
      <c r="C1646" t="s">
        <v>16</v>
      </c>
      <c r="D1646" t="s">
        <v>547</v>
      </c>
      <c r="E1646" t="s">
        <v>3994</v>
      </c>
      <c r="F1646" t="s">
        <v>4131</v>
      </c>
      <c r="G1646" t="s">
        <v>4182</v>
      </c>
      <c r="H1646" s="3">
        <v>534.26</v>
      </c>
      <c r="J1646">
        <v>1</v>
      </c>
      <c r="K1646">
        <v>12</v>
      </c>
      <c r="L1646" s="4">
        <v>8.1288739053440501E-2</v>
      </c>
      <c r="M1646" s="4">
        <v>0.91871126094655997</v>
      </c>
      <c r="N1646">
        <v>0</v>
      </c>
    </row>
    <row r="1647" spans="1:14" x14ac:dyDescent="0.25">
      <c r="A1647" s="2"/>
      <c r="B1647" t="s">
        <v>4183</v>
      </c>
      <c r="C1647" t="s">
        <v>16</v>
      </c>
      <c r="D1647" t="s">
        <v>547</v>
      </c>
      <c r="E1647" t="s">
        <v>3994</v>
      </c>
      <c r="F1647" t="s">
        <v>4131</v>
      </c>
      <c r="G1647" t="s">
        <v>4184</v>
      </c>
      <c r="H1647" s="3">
        <v>741.35</v>
      </c>
      <c r="I1647">
        <v>285</v>
      </c>
      <c r="J1647">
        <v>0</v>
      </c>
      <c r="K1647">
        <v>47</v>
      </c>
      <c r="L1647" s="4">
        <v>3.5948251870549598E-2</v>
      </c>
      <c r="M1647" s="4">
        <v>0.96405174812945005</v>
      </c>
      <c r="N1647">
        <v>0</v>
      </c>
    </row>
    <row r="1648" spans="1:14" x14ac:dyDescent="0.25">
      <c r="A1648" s="2">
        <v>23326315</v>
      </c>
      <c r="B1648" t="s">
        <v>4185</v>
      </c>
      <c r="C1648" t="s">
        <v>31</v>
      </c>
      <c r="D1648" t="s">
        <v>547</v>
      </c>
      <c r="E1648" t="s">
        <v>3994</v>
      </c>
      <c r="F1648" t="s">
        <v>4131</v>
      </c>
      <c r="G1648" t="s">
        <v>4186</v>
      </c>
      <c r="H1648" s="3">
        <v>747.05</v>
      </c>
      <c r="I1648">
        <v>288</v>
      </c>
      <c r="J1648">
        <v>1</v>
      </c>
      <c r="K1648">
        <v>21</v>
      </c>
      <c r="L1648" s="4">
        <v>0.84775376679058501</v>
      </c>
      <c r="M1648" s="4">
        <v>0.15224623320941599</v>
      </c>
      <c r="N1648">
        <v>0</v>
      </c>
    </row>
    <row r="1649" spans="1:14" x14ac:dyDescent="0.25">
      <c r="A1649" s="2"/>
      <c r="B1649" t="s">
        <v>4187</v>
      </c>
      <c r="C1649" t="s">
        <v>16</v>
      </c>
      <c r="D1649" t="s">
        <v>547</v>
      </c>
      <c r="E1649" t="s">
        <v>3994</v>
      </c>
      <c r="F1649" t="s">
        <v>4131</v>
      </c>
      <c r="G1649" t="s">
        <v>4188</v>
      </c>
      <c r="H1649" s="3">
        <v>773.45</v>
      </c>
      <c r="I1649">
        <v>639</v>
      </c>
      <c r="J1649">
        <v>1</v>
      </c>
      <c r="K1649">
        <v>32</v>
      </c>
      <c r="L1649" s="4">
        <v>0.90671276541009704</v>
      </c>
      <c r="M1649" s="4">
        <v>9.3287234589903095E-2</v>
      </c>
      <c r="N1649">
        <v>0</v>
      </c>
    </row>
    <row r="1650" spans="1:14" x14ac:dyDescent="0.25">
      <c r="A1650" s="2"/>
      <c r="B1650" t="s">
        <v>4189</v>
      </c>
      <c r="C1650" t="s">
        <v>16</v>
      </c>
      <c r="D1650" t="s">
        <v>547</v>
      </c>
      <c r="E1650" t="s">
        <v>3994</v>
      </c>
      <c r="F1650" t="s">
        <v>4131</v>
      </c>
      <c r="G1650" t="s">
        <v>4190</v>
      </c>
      <c r="H1650" s="3">
        <v>825.68</v>
      </c>
      <c r="I1650">
        <v>950</v>
      </c>
      <c r="J1650">
        <v>1</v>
      </c>
      <c r="K1650">
        <v>29</v>
      </c>
      <c r="L1650" s="4">
        <v>0.81638486439157698</v>
      </c>
      <c r="M1650" s="4">
        <v>0.18361513560842399</v>
      </c>
      <c r="N1650">
        <v>0</v>
      </c>
    </row>
    <row r="1651" spans="1:14" x14ac:dyDescent="0.25">
      <c r="A1651" s="2"/>
      <c r="B1651" t="s">
        <v>4191</v>
      </c>
      <c r="C1651" t="s">
        <v>16</v>
      </c>
      <c r="D1651" t="s">
        <v>547</v>
      </c>
      <c r="E1651" t="s">
        <v>3994</v>
      </c>
      <c r="F1651" t="s">
        <v>4131</v>
      </c>
      <c r="G1651" t="s">
        <v>4192</v>
      </c>
      <c r="H1651" s="3">
        <v>825.68</v>
      </c>
      <c r="I1651">
        <v>341</v>
      </c>
      <c r="K1651">
        <v>49</v>
      </c>
      <c r="L1651" s="4">
        <v>0.67484026021533206</v>
      </c>
      <c r="M1651" s="4">
        <v>0.325159739784668</v>
      </c>
      <c r="N1651">
        <v>0</v>
      </c>
    </row>
    <row r="1652" spans="1:14" x14ac:dyDescent="0.25">
      <c r="A1652" s="2"/>
      <c r="B1652" t="s">
        <v>4193</v>
      </c>
      <c r="C1652" t="s">
        <v>16</v>
      </c>
      <c r="D1652" t="s">
        <v>547</v>
      </c>
      <c r="E1652" t="s">
        <v>3994</v>
      </c>
      <c r="F1652" t="s">
        <v>4131</v>
      </c>
      <c r="G1652" t="s">
        <v>4194</v>
      </c>
      <c r="H1652" s="3">
        <v>825.68</v>
      </c>
      <c r="I1652">
        <v>27</v>
      </c>
      <c r="J1652">
        <v>1</v>
      </c>
      <c r="K1652">
        <v>3</v>
      </c>
      <c r="L1652" s="4">
        <v>0.24565800455009201</v>
      </c>
      <c r="M1652" s="4">
        <v>0.75434199544990799</v>
      </c>
      <c r="N1652">
        <v>0</v>
      </c>
    </row>
    <row r="1653" spans="1:14" x14ac:dyDescent="0.25">
      <c r="A1653" s="2"/>
      <c r="B1653" t="s">
        <v>4195</v>
      </c>
      <c r="C1653" t="s">
        <v>16</v>
      </c>
      <c r="D1653" t="s">
        <v>547</v>
      </c>
      <c r="E1653" t="s">
        <v>3994</v>
      </c>
      <c r="F1653" t="s">
        <v>4131</v>
      </c>
      <c r="G1653" t="s">
        <v>4196</v>
      </c>
      <c r="H1653" s="3">
        <v>825.68</v>
      </c>
      <c r="I1653">
        <v>556</v>
      </c>
      <c r="J1653">
        <v>0</v>
      </c>
      <c r="L1653" s="4">
        <v>0.182953450574348</v>
      </c>
      <c r="M1653" s="4">
        <v>0.81704654942565202</v>
      </c>
      <c r="N1653">
        <v>0</v>
      </c>
    </row>
    <row r="1654" spans="1:14" x14ac:dyDescent="0.25">
      <c r="A1654" s="2"/>
      <c r="B1654" t="s">
        <v>4197</v>
      </c>
      <c r="C1654" t="s">
        <v>16</v>
      </c>
      <c r="D1654" t="s">
        <v>547</v>
      </c>
      <c r="E1654" t="s">
        <v>3994</v>
      </c>
      <c r="F1654" t="s">
        <v>4131</v>
      </c>
      <c r="G1654" t="s">
        <v>4198</v>
      </c>
      <c r="H1654" s="3">
        <v>825.68</v>
      </c>
      <c r="I1654">
        <v>343</v>
      </c>
      <c r="J1654">
        <v>1</v>
      </c>
      <c r="K1654">
        <v>38</v>
      </c>
      <c r="L1654" s="4">
        <v>0.374629848963492</v>
      </c>
      <c r="M1654" s="4">
        <v>0.62537015103650795</v>
      </c>
      <c r="N1654">
        <v>0</v>
      </c>
    </row>
    <row r="1655" spans="1:14" x14ac:dyDescent="0.25">
      <c r="A1655" s="2"/>
      <c r="C1655" t="s">
        <v>28</v>
      </c>
      <c r="D1655" t="s">
        <v>547</v>
      </c>
      <c r="E1655" t="s">
        <v>3994</v>
      </c>
      <c r="F1655" t="s">
        <v>4131</v>
      </c>
      <c r="G1655" t="s">
        <v>4199</v>
      </c>
      <c r="H1655" s="3">
        <v>825.68</v>
      </c>
      <c r="I1655">
        <v>459</v>
      </c>
      <c r="J1655">
        <v>1</v>
      </c>
      <c r="L1655" s="4">
        <v>0.17571484136718199</v>
      </c>
      <c r="M1655" s="4">
        <v>0.82428515863281804</v>
      </c>
      <c r="N1655">
        <v>0</v>
      </c>
    </row>
    <row r="1656" spans="1:14" x14ac:dyDescent="0.25">
      <c r="A1656" s="2"/>
      <c r="B1656" t="s">
        <v>4200</v>
      </c>
      <c r="C1656" t="s">
        <v>16</v>
      </c>
      <c r="D1656" t="s">
        <v>547</v>
      </c>
      <c r="E1656" t="s">
        <v>3994</v>
      </c>
      <c r="F1656" t="s">
        <v>4131</v>
      </c>
      <c r="G1656" t="s">
        <v>4201</v>
      </c>
      <c r="H1656" s="3">
        <v>825.68</v>
      </c>
      <c r="I1656">
        <v>841</v>
      </c>
      <c r="J1656">
        <v>1</v>
      </c>
      <c r="K1656">
        <v>48</v>
      </c>
      <c r="L1656" s="4">
        <v>0.51408229386681603</v>
      </c>
      <c r="M1656" s="4">
        <v>0.48591770613318402</v>
      </c>
      <c r="N1656">
        <v>0</v>
      </c>
    </row>
    <row r="1657" spans="1:14" x14ac:dyDescent="0.25">
      <c r="A1657" s="2"/>
      <c r="C1657" t="s">
        <v>28</v>
      </c>
      <c r="D1657" t="s">
        <v>547</v>
      </c>
      <c r="E1657" t="s">
        <v>3994</v>
      </c>
      <c r="F1657" t="s">
        <v>4131</v>
      </c>
      <c r="G1657" t="s">
        <v>4199</v>
      </c>
      <c r="H1657" s="3">
        <v>825.68</v>
      </c>
      <c r="I1657">
        <v>794</v>
      </c>
      <c r="J1657">
        <v>0</v>
      </c>
      <c r="K1657">
        <v>9</v>
      </c>
      <c r="L1657" s="4">
        <v>0.41564630602533398</v>
      </c>
      <c r="M1657" s="4">
        <v>0.58435369397466597</v>
      </c>
      <c r="N1657">
        <v>0</v>
      </c>
    </row>
    <row r="1658" spans="1:14" x14ac:dyDescent="0.25">
      <c r="A1658" s="2"/>
      <c r="B1658" t="s">
        <v>4202</v>
      </c>
      <c r="C1658" t="s">
        <v>16</v>
      </c>
      <c r="D1658" t="s">
        <v>547</v>
      </c>
      <c r="E1658" t="s">
        <v>3994</v>
      </c>
      <c r="F1658" t="s">
        <v>4131</v>
      </c>
      <c r="G1658" t="s">
        <v>4203</v>
      </c>
      <c r="H1658" s="3">
        <v>825.68</v>
      </c>
      <c r="J1658">
        <v>1</v>
      </c>
      <c r="K1658">
        <v>30</v>
      </c>
      <c r="L1658" s="4">
        <v>0.66057026433443999</v>
      </c>
      <c r="M1658" s="4">
        <v>0.33942973566556001</v>
      </c>
      <c r="N1658">
        <v>0</v>
      </c>
    </row>
    <row r="1659" spans="1:14" x14ac:dyDescent="0.25">
      <c r="A1659" s="2"/>
      <c r="B1659" t="s">
        <v>4204</v>
      </c>
      <c r="C1659" t="s">
        <v>16</v>
      </c>
      <c r="D1659" t="s">
        <v>547</v>
      </c>
      <c r="E1659" t="s">
        <v>3994</v>
      </c>
      <c r="F1659" t="s">
        <v>4131</v>
      </c>
      <c r="G1659" t="s">
        <v>4205</v>
      </c>
      <c r="H1659" s="3">
        <v>825.68</v>
      </c>
      <c r="I1659">
        <v>934</v>
      </c>
      <c r="J1659">
        <v>0</v>
      </c>
      <c r="K1659">
        <v>1</v>
      </c>
      <c r="L1659" s="4">
        <v>0.59766889576234505</v>
      </c>
      <c r="M1659" s="4">
        <v>0.402331104237655</v>
      </c>
      <c r="N1659">
        <v>0</v>
      </c>
    </row>
    <row r="1660" spans="1:14" x14ac:dyDescent="0.25">
      <c r="A1660" s="2"/>
      <c r="B1660" t="s">
        <v>4206</v>
      </c>
      <c r="C1660" t="s">
        <v>16</v>
      </c>
      <c r="D1660" t="s">
        <v>547</v>
      </c>
      <c r="E1660" t="s">
        <v>3994</v>
      </c>
      <c r="F1660" t="s">
        <v>4131</v>
      </c>
      <c r="G1660" t="s">
        <v>4207</v>
      </c>
      <c r="H1660" s="3">
        <v>825.68</v>
      </c>
      <c r="I1660">
        <v>201</v>
      </c>
      <c r="J1660">
        <v>0</v>
      </c>
      <c r="K1660">
        <v>20</v>
      </c>
      <c r="L1660" s="4">
        <v>0.40916575831652402</v>
      </c>
      <c r="M1660" s="4">
        <v>0.59083424168347598</v>
      </c>
      <c r="N1660">
        <v>0</v>
      </c>
    </row>
    <row r="1661" spans="1:14" x14ac:dyDescent="0.25">
      <c r="A1661" s="2"/>
      <c r="B1661" t="s">
        <v>4208</v>
      </c>
      <c r="C1661" t="s">
        <v>16</v>
      </c>
      <c r="D1661" t="s">
        <v>547</v>
      </c>
      <c r="E1661" t="s">
        <v>3994</v>
      </c>
      <c r="F1661" t="s">
        <v>4131</v>
      </c>
      <c r="G1661" t="s">
        <v>4209</v>
      </c>
      <c r="H1661" s="3">
        <v>825.68</v>
      </c>
      <c r="I1661">
        <v>662</v>
      </c>
      <c r="J1661">
        <v>0</v>
      </c>
      <c r="K1661">
        <v>12</v>
      </c>
      <c r="L1661" s="4">
        <v>4.1069286403038897E-2</v>
      </c>
      <c r="M1661" s="4">
        <v>0.95893071359696103</v>
      </c>
      <c r="N1661">
        <v>0</v>
      </c>
    </row>
    <row r="1662" spans="1:14" x14ac:dyDescent="0.25">
      <c r="A1662" s="2"/>
      <c r="B1662" t="s">
        <v>4210</v>
      </c>
      <c r="C1662" t="s">
        <v>16</v>
      </c>
      <c r="D1662" t="s">
        <v>547</v>
      </c>
      <c r="E1662" t="s">
        <v>3994</v>
      </c>
      <c r="F1662" t="s">
        <v>4131</v>
      </c>
      <c r="G1662" t="s">
        <v>4211</v>
      </c>
      <c r="H1662" s="3">
        <v>825.68</v>
      </c>
      <c r="I1662">
        <v>890</v>
      </c>
      <c r="J1662">
        <v>0</v>
      </c>
      <c r="K1662">
        <v>5</v>
      </c>
      <c r="L1662" s="4">
        <v>0.57081211460061099</v>
      </c>
      <c r="M1662" s="4">
        <v>0.42918788539938901</v>
      </c>
      <c r="N1662">
        <v>0</v>
      </c>
    </row>
    <row r="1663" spans="1:14" x14ac:dyDescent="0.25">
      <c r="A1663" s="2"/>
      <c r="B1663" t="s">
        <v>4212</v>
      </c>
      <c r="C1663" t="s">
        <v>16</v>
      </c>
      <c r="D1663" t="s">
        <v>547</v>
      </c>
      <c r="E1663" t="s">
        <v>3994</v>
      </c>
      <c r="F1663" t="s">
        <v>4131</v>
      </c>
      <c r="G1663" t="s">
        <v>4213</v>
      </c>
      <c r="H1663" s="3">
        <v>825.68</v>
      </c>
      <c r="L1663" s="4">
        <v>5.78172611763174E-2</v>
      </c>
      <c r="M1663" s="4">
        <v>0.94218273882368297</v>
      </c>
      <c r="N1663">
        <v>0</v>
      </c>
    </row>
    <row r="1664" spans="1:14" x14ac:dyDescent="0.25">
      <c r="A1664" s="2"/>
      <c r="B1664" t="s">
        <v>4214</v>
      </c>
      <c r="C1664" t="s">
        <v>16</v>
      </c>
      <c r="D1664" t="s">
        <v>547</v>
      </c>
      <c r="E1664" t="s">
        <v>3994</v>
      </c>
      <c r="F1664" t="s">
        <v>4131</v>
      </c>
      <c r="G1664" t="s">
        <v>4215</v>
      </c>
      <c r="H1664" s="3">
        <v>825.68</v>
      </c>
      <c r="I1664">
        <v>938</v>
      </c>
      <c r="K1664">
        <v>21</v>
      </c>
      <c r="L1664" s="4">
        <v>0.75525477556298704</v>
      </c>
      <c r="M1664" s="4">
        <v>0.24474522443701299</v>
      </c>
      <c r="N1664">
        <v>0</v>
      </c>
    </row>
    <row r="1665" spans="1:14" x14ac:dyDescent="0.25">
      <c r="A1665" s="2"/>
      <c r="B1665" t="s">
        <v>4216</v>
      </c>
      <c r="C1665" t="s">
        <v>16</v>
      </c>
      <c r="D1665" t="s">
        <v>547</v>
      </c>
      <c r="E1665" t="s">
        <v>3994</v>
      </c>
      <c r="F1665" t="s">
        <v>4131</v>
      </c>
      <c r="G1665" t="s">
        <v>4217</v>
      </c>
      <c r="H1665" s="3">
        <v>825.68</v>
      </c>
      <c r="I1665">
        <v>357</v>
      </c>
      <c r="J1665">
        <v>0</v>
      </c>
      <c r="K1665">
        <v>44</v>
      </c>
      <c r="L1665" s="4">
        <v>0.81559489876592195</v>
      </c>
      <c r="M1665" s="4">
        <v>0.18440510123407799</v>
      </c>
      <c r="N1665">
        <v>0</v>
      </c>
    </row>
    <row r="1666" spans="1:14" x14ac:dyDescent="0.25">
      <c r="A1666" s="2"/>
      <c r="B1666" t="s">
        <v>4218</v>
      </c>
      <c r="C1666" t="s">
        <v>16</v>
      </c>
      <c r="D1666" t="s">
        <v>547</v>
      </c>
      <c r="E1666" t="s">
        <v>3994</v>
      </c>
      <c r="F1666" t="s">
        <v>4131</v>
      </c>
      <c r="G1666" t="s">
        <v>4219</v>
      </c>
      <c r="H1666" s="3">
        <v>825.68</v>
      </c>
      <c r="J1666">
        <v>0</v>
      </c>
      <c r="L1666" s="4">
        <v>0.32688786015141302</v>
      </c>
      <c r="M1666" s="4">
        <v>0.67311213984858698</v>
      </c>
      <c r="N1666">
        <v>0</v>
      </c>
    </row>
    <row r="1667" spans="1:14" x14ac:dyDescent="0.25">
      <c r="A1667" s="2"/>
      <c r="B1667" t="s">
        <v>4220</v>
      </c>
      <c r="C1667" t="s">
        <v>16</v>
      </c>
      <c r="D1667" t="s">
        <v>547</v>
      </c>
      <c r="E1667" t="s">
        <v>3994</v>
      </c>
      <c r="F1667" t="s">
        <v>4131</v>
      </c>
      <c r="G1667" t="s">
        <v>4221</v>
      </c>
      <c r="H1667" s="3">
        <v>825.68</v>
      </c>
      <c r="I1667">
        <v>442</v>
      </c>
      <c r="J1667">
        <v>1</v>
      </c>
      <c r="K1667">
        <v>3</v>
      </c>
      <c r="L1667" s="4">
        <v>0.62288187377568605</v>
      </c>
      <c r="M1667" s="4">
        <v>0.37711812622431401</v>
      </c>
      <c r="N1667">
        <v>0</v>
      </c>
    </row>
    <row r="1668" spans="1:14" x14ac:dyDescent="0.25">
      <c r="A1668" s="2"/>
      <c r="B1668" t="s">
        <v>4222</v>
      </c>
      <c r="C1668" t="s">
        <v>16</v>
      </c>
      <c r="D1668" t="s">
        <v>547</v>
      </c>
      <c r="E1668" t="s">
        <v>3994</v>
      </c>
      <c r="F1668" t="s">
        <v>4131</v>
      </c>
      <c r="G1668" t="s">
        <v>4223</v>
      </c>
      <c r="H1668" s="3">
        <v>825.68</v>
      </c>
      <c r="J1668">
        <v>0</v>
      </c>
      <c r="K1668">
        <v>36</v>
      </c>
      <c r="L1668" s="4">
        <v>0.30899339716702101</v>
      </c>
      <c r="M1668" s="4">
        <v>0.69100660283297899</v>
      </c>
      <c r="N1668">
        <v>0</v>
      </c>
    </row>
    <row r="1669" spans="1:14" x14ac:dyDescent="0.25">
      <c r="A1669" s="2"/>
      <c r="B1669" t="s">
        <v>4224</v>
      </c>
      <c r="C1669" t="s">
        <v>16</v>
      </c>
      <c r="D1669" t="s">
        <v>547</v>
      </c>
      <c r="E1669" t="s">
        <v>3994</v>
      </c>
      <c r="F1669" t="s">
        <v>4131</v>
      </c>
      <c r="G1669" t="s">
        <v>4225</v>
      </c>
      <c r="H1669" s="3">
        <v>825.68</v>
      </c>
      <c r="J1669">
        <v>0</v>
      </c>
      <c r="K1669">
        <v>17</v>
      </c>
      <c r="L1669" s="4">
        <v>0.187252301131039</v>
      </c>
      <c r="M1669" s="4">
        <v>0.81274769886896103</v>
      </c>
      <c r="N1669">
        <v>0</v>
      </c>
    </row>
    <row r="1670" spans="1:14" x14ac:dyDescent="0.25">
      <c r="A1670" s="2"/>
      <c r="B1670" t="s">
        <v>4226</v>
      </c>
      <c r="C1670" t="s">
        <v>16</v>
      </c>
      <c r="D1670" t="s">
        <v>547</v>
      </c>
      <c r="E1670" t="s">
        <v>3994</v>
      </c>
      <c r="F1670" t="s">
        <v>4131</v>
      </c>
      <c r="G1670" t="s">
        <v>4227</v>
      </c>
      <c r="H1670" s="3">
        <v>825.68</v>
      </c>
      <c r="I1670">
        <v>618</v>
      </c>
      <c r="J1670">
        <v>1</v>
      </c>
      <c r="K1670">
        <v>14</v>
      </c>
      <c r="L1670" s="4">
        <v>0.95611872130505904</v>
      </c>
      <c r="M1670" s="4">
        <v>4.3881278694941198E-2</v>
      </c>
      <c r="N1670">
        <v>0</v>
      </c>
    </row>
    <row r="1671" spans="1:14" x14ac:dyDescent="0.25">
      <c r="A1671" s="2">
        <v>23383015</v>
      </c>
      <c r="B1671" t="s">
        <v>4228</v>
      </c>
      <c r="C1671" t="s">
        <v>31</v>
      </c>
      <c r="D1671" t="s">
        <v>547</v>
      </c>
      <c r="E1671" t="s">
        <v>3994</v>
      </c>
      <c r="F1671" t="s">
        <v>4131</v>
      </c>
      <c r="G1671" t="s">
        <v>4229</v>
      </c>
      <c r="H1671" s="3">
        <v>830.05</v>
      </c>
      <c r="I1671">
        <v>418</v>
      </c>
      <c r="J1671">
        <v>1</v>
      </c>
      <c r="K1671">
        <v>43</v>
      </c>
      <c r="L1671" s="4">
        <v>3.59653641516133E-4</v>
      </c>
      <c r="M1671" s="4">
        <v>0.99964034635848398</v>
      </c>
      <c r="N1671">
        <v>0</v>
      </c>
    </row>
    <row r="1672" spans="1:14" x14ac:dyDescent="0.25">
      <c r="A1672" s="2"/>
      <c r="B1672" t="s">
        <v>4230</v>
      </c>
      <c r="C1672" t="s">
        <v>16</v>
      </c>
      <c r="D1672" t="s">
        <v>547</v>
      </c>
      <c r="E1672" t="s">
        <v>3994</v>
      </c>
      <c r="F1672" t="s">
        <v>4131</v>
      </c>
      <c r="G1672" t="s">
        <v>4231</v>
      </c>
      <c r="H1672" s="3">
        <v>830.97</v>
      </c>
      <c r="I1672">
        <v>751</v>
      </c>
      <c r="K1672">
        <v>8</v>
      </c>
      <c r="L1672" s="4">
        <v>0.40899074557418003</v>
      </c>
      <c r="M1672" s="4">
        <v>0.59100925442581997</v>
      </c>
      <c r="N1672">
        <v>0</v>
      </c>
    </row>
    <row r="1673" spans="1:14" x14ac:dyDescent="0.25">
      <c r="A1673" s="2"/>
      <c r="B1673" t="s">
        <v>4232</v>
      </c>
      <c r="C1673" t="s">
        <v>16</v>
      </c>
      <c r="D1673" t="s">
        <v>547</v>
      </c>
      <c r="E1673" t="s">
        <v>3994</v>
      </c>
      <c r="F1673" t="s">
        <v>4131</v>
      </c>
      <c r="G1673" t="s">
        <v>4233</v>
      </c>
      <c r="H1673" s="3">
        <v>836.02</v>
      </c>
      <c r="J1673">
        <v>0</v>
      </c>
      <c r="K1673">
        <v>21</v>
      </c>
      <c r="L1673" s="4">
        <v>0.21393492116894999</v>
      </c>
      <c r="M1673" s="4">
        <v>0.78606507883105003</v>
      </c>
      <c r="N1673">
        <v>0</v>
      </c>
    </row>
    <row r="1674" spans="1:14" x14ac:dyDescent="0.25">
      <c r="A1674" s="2"/>
      <c r="B1674" t="s">
        <v>4234</v>
      </c>
      <c r="C1674" t="s">
        <v>16</v>
      </c>
      <c r="D1674" t="s">
        <v>547</v>
      </c>
      <c r="E1674" t="s">
        <v>3994</v>
      </c>
      <c r="F1674" t="s">
        <v>4131</v>
      </c>
      <c r="G1674" t="s">
        <v>4235</v>
      </c>
      <c r="H1674" s="3">
        <v>836.43</v>
      </c>
      <c r="I1674">
        <v>795</v>
      </c>
      <c r="K1674">
        <v>36</v>
      </c>
      <c r="L1674" s="4">
        <v>0.98381252083359505</v>
      </c>
      <c r="M1674" s="4">
        <v>1.6187479166405502E-2</v>
      </c>
      <c r="N1674">
        <v>0</v>
      </c>
    </row>
    <row r="1675" spans="1:14" x14ac:dyDescent="0.25">
      <c r="A1675" s="2"/>
      <c r="B1675" t="s">
        <v>4236</v>
      </c>
      <c r="C1675" t="s">
        <v>16</v>
      </c>
      <c r="D1675" t="s">
        <v>547</v>
      </c>
      <c r="E1675" t="s">
        <v>3994</v>
      </c>
      <c r="F1675" t="s">
        <v>4131</v>
      </c>
      <c r="G1675" t="s">
        <v>4237</v>
      </c>
      <c r="H1675" s="3">
        <v>836.43</v>
      </c>
      <c r="I1675">
        <v>198</v>
      </c>
      <c r="J1675">
        <v>0</v>
      </c>
      <c r="K1675">
        <v>23</v>
      </c>
      <c r="L1675" s="4">
        <v>0.10355739323924</v>
      </c>
      <c r="M1675" s="4">
        <v>0.89644260676076004</v>
      </c>
      <c r="N1675">
        <v>0</v>
      </c>
    </row>
    <row r="1676" spans="1:14" x14ac:dyDescent="0.25">
      <c r="A1676" s="2"/>
      <c r="B1676" t="s">
        <v>4238</v>
      </c>
      <c r="C1676" t="s">
        <v>16</v>
      </c>
      <c r="D1676" t="s">
        <v>547</v>
      </c>
      <c r="E1676" t="s">
        <v>3994</v>
      </c>
      <c r="F1676" t="s">
        <v>4131</v>
      </c>
      <c r="G1676" t="s">
        <v>4239</v>
      </c>
      <c r="H1676" s="3">
        <v>841.65</v>
      </c>
      <c r="I1676">
        <v>893</v>
      </c>
      <c r="J1676">
        <v>1</v>
      </c>
      <c r="K1676">
        <v>32</v>
      </c>
      <c r="L1676" s="4">
        <v>0.88472533323739899</v>
      </c>
      <c r="M1676" s="4">
        <v>0.11527466676260099</v>
      </c>
      <c r="N1676">
        <v>0</v>
      </c>
    </row>
    <row r="1677" spans="1:14" x14ac:dyDescent="0.25">
      <c r="A1677" s="2"/>
      <c r="B1677" t="s">
        <v>4240</v>
      </c>
      <c r="C1677" t="s">
        <v>16</v>
      </c>
      <c r="D1677" t="s">
        <v>547</v>
      </c>
      <c r="E1677" t="s">
        <v>3994</v>
      </c>
      <c r="F1677" t="s">
        <v>4131</v>
      </c>
      <c r="G1677" t="s">
        <v>4241</v>
      </c>
      <c r="H1677" s="3">
        <v>841.65</v>
      </c>
      <c r="I1677">
        <v>376</v>
      </c>
      <c r="J1677">
        <v>0</v>
      </c>
      <c r="L1677" s="4">
        <v>0.57055667465747495</v>
      </c>
      <c r="M1677" s="4">
        <v>0.429443325342525</v>
      </c>
      <c r="N1677">
        <v>0</v>
      </c>
    </row>
    <row r="1678" spans="1:14" x14ac:dyDescent="0.25">
      <c r="A1678" s="2"/>
      <c r="B1678" t="s">
        <v>4242</v>
      </c>
      <c r="C1678" t="s">
        <v>16</v>
      </c>
      <c r="D1678" t="s">
        <v>547</v>
      </c>
      <c r="E1678" t="s">
        <v>3994</v>
      </c>
      <c r="F1678" t="s">
        <v>4131</v>
      </c>
      <c r="G1678" t="s">
        <v>4243</v>
      </c>
      <c r="H1678" s="3">
        <v>842.17</v>
      </c>
      <c r="I1678">
        <v>666</v>
      </c>
      <c r="J1678">
        <v>0</v>
      </c>
      <c r="K1678">
        <v>21</v>
      </c>
      <c r="L1678" s="4">
        <v>0.71299940829303499</v>
      </c>
      <c r="M1678" s="4">
        <v>0.28700059170696501</v>
      </c>
      <c r="N1678">
        <v>0</v>
      </c>
    </row>
    <row r="1679" spans="1:14" x14ac:dyDescent="0.25">
      <c r="A1679" s="2"/>
      <c r="B1679" t="s">
        <v>4244</v>
      </c>
      <c r="C1679" t="s">
        <v>16</v>
      </c>
      <c r="D1679" t="s">
        <v>547</v>
      </c>
      <c r="E1679" t="s">
        <v>3994</v>
      </c>
      <c r="F1679" t="s">
        <v>4131</v>
      </c>
      <c r="G1679" t="s">
        <v>4245</v>
      </c>
      <c r="H1679" s="3">
        <v>843.72</v>
      </c>
      <c r="I1679">
        <v>74</v>
      </c>
      <c r="J1679">
        <v>1</v>
      </c>
      <c r="K1679">
        <v>2</v>
      </c>
      <c r="L1679" s="4">
        <v>0.97394549643843398</v>
      </c>
      <c r="M1679" s="4">
        <v>2.6054503561566199E-2</v>
      </c>
      <c r="N1679">
        <v>0</v>
      </c>
    </row>
    <row r="1680" spans="1:14" x14ac:dyDescent="0.25">
      <c r="A1680" s="2">
        <v>23300533</v>
      </c>
      <c r="C1680" t="s">
        <v>0</v>
      </c>
      <c r="D1680" t="s">
        <v>547</v>
      </c>
      <c r="E1680" t="s">
        <v>3994</v>
      </c>
      <c r="F1680" t="s">
        <v>4131</v>
      </c>
      <c r="G1680" t="s">
        <v>4246</v>
      </c>
      <c r="H1680" s="3">
        <v>843.78</v>
      </c>
      <c r="I1680">
        <v>39</v>
      </c>
      <c r="J1680">
        <v>0</v>
      </c>
      <c r="K1680">
        <v>37</v>
      </c>
      <c r="L1680" s="4">
        <v>0.77277708174387405</v>
      </c>
      <c r="M1680" s="4">
        <v>0.22722291825612601</v>
      </c>
      <c r="N1680">
        <v>0</v>
      </c>
    </row>
    <row r="1681" spans="1:14" x14ac:dyDescent="0.25">
      <c r="A1681" s="2"/>
      <c r="B1681" t="s">
        <v>4247</v>
      </c>
      <c r="C1681" t="s">
        <v>16</v>
      </c>
      <c r="D1681" t="s">
        <v>547</v>
      </c>
      <c r="E1681" t="s">
        <v>3994</v>
      </c>
      <c r="F1681" t="s">
        <v>4131</v>
      </c>
      <c r="G1681" t="s">
        <v>4248</v>
      </c>
      <c r="H1681" s="3">
        <v>844.52</v>
      </c>
      <c r="I1681">
        <v>236</v>
      </c>
      <c r="J1681">
        <v>0</v>
      </c>
      <c r="K1681">
        <v>44</v>
      </c>
      <c r="L1681" s="4">
        <v>0.50935606936601696</v>
      </c>
      <c r="M1681" s="4">
        <v>0.49064393063398298</v>
      </c>
      <c r="N1681">
        <v>0</v>
      </c>
    </row>
    <row r="1682" spans="1:14" x14ac:dyDescent="0.25">
      <c r="A1682" s="2"/>
      <c r="B1682" t="s">
        <v>4249</v>
      </c>
      <c r="C1682" t="s">
        <v>16</v>
      </c>
      <c r="D1682" t="s">
        <v>547</v>
      </c>
      <c r="E1682" t="s">
        <v>3994</v>
      </c>
      <c r="F1682" t="s">
        <v>4131</v>
      </c>
      <c r="G1682" t="s">
        <v>4250</v>
      </c>
      <c r="H1682" s="3">
        <v>846.32</v>
      </c>
      <c r="I1682">
        <v>1</v>
      </c>
      <c r="J1682">
        <v>0</v>
      </c>
      <c r="K1682">
        <v>20</v>
      </c>
      <c r="L1682" s="4">
        <v>0.47945600557722301</v>
      </c>
      <c r="M1682" s="4">
        <v>0.52054399442277699</v>
      </c>
      <c r="N1682">
        <v>0</v>
      </c>
    </row>
    <row r="1683" spans="1:14" x14ac:dyDescent="0.25">
      <c r="A1683" s="2"/>
      <c r="B1683" t="s">
        <v>4251</v>
      </c>
      <c r="C1683" t="s">
        <v>16</v>
      </c>
      <c r="D1683" t="s">
        <v>547</v>
      </c>
      <c r="E1683" t="s">
        <v>3994</v>
      </c>
      <c r="F1683" t="s">
        <v>4131</v>
      </c>
      <c r="G1683" t="s">
        <v>4252</v>
      </c>
      <c r="H1683" s="3">
        <v>847.73</v>
      </c>
      <c r="I1683">
        <v>834</v>
      </c>
      <c r="J1683">
        <v>1</v>
      </c>
      <c r="K1683">
        <v>30</v>
      </c>
      <c r="L1683" s="4">
        <v>7.1056140642306906E-2</v>
      </c>
      <c r="M1683" s="4">
        <v>0.92894385935769297</v>
      </c>
      <c r="N1683">
        <v>0</v>
      </c>
    </row>
    <row r="1684" spans="1:14" x14ac:dyDescent="0.25">
      <c r="A1684" s="2">
        <v>20975956</v>
      </c>
      <c r="C1684" t="s">
        <v>0</v>
      </c>
      <c r="D1684" t="s">
        <v>547</v>
      </c>
      <c r="E1684" t="s">
        <v>3994</v>
      </c>
      <c r="F1684" t="s">
        <v>4131</v>
      </c>
      <c r="G1684" t="s">
        <v>4253</v>
      </c>
      <c r="H1684" s="3">
        <v>850</v>
      </c>
      <c r="I1684">
        <v>255</v>
      </c>
      <c r="J1684">
        <v>0</v>
      </c>
      <c r="L1684" s="4">
        <v>0.89417287051743199</v>
      </c>
      <c r="M1684" s="4">
        <v>0.10582712948256801</v>
      </c>
      <c r="N1684">
        <v>0</v>
      </c>
    </row>
    <row r="1685" spans="1:14" x14ac:dyDescent="0.25">
      <c r="A1685" s="2"/>
      <c r="C1685" t="s">
        <v>28</v>
      </c>
      <c r="D1685" t="s">
        <v>547</v>
      </c>
      <c r="E1685" t="s">
        <v>3994</v>
      </c>
      <c r="F1685" t="s">
        <v>4131</v>
      </c>
      <c r="G1685" t="s">
        <v>4254</v>
      </c>
      <c r="H1685" s="3">
        <v>850.5</v>
      </c>
      <c r="I1685">
        <v>847</v>
      </c>
      <c r="J1685">
        <v>0</v>
      </c>
      <c r="K1685">
        <v>49</v>
      </c>
      <c r="L1685" s="4">
        <v>0.31489708167544</v>
      </c>
      <c r="M1685" s="4">
        <v>0.68510291832456005</v>
      </c>
      <c r="N1685">
        <v>0</v>
      </c>
    </row>
    <row r="1686" spans="1:14" x14ac:dyDescent="0.25">
      <c r="A1686" s="2"/>
      <c r="B1686" t="s">
        <v>4255</v>
      </c>
      <c r="C1686" t="s">
        <v>16</v>
      </c>
      <c r="D1686" t="s">
        <v>547</v>
      </c>
      <c r="E1686" t="s">
        <v>3994</v>
      </c>
      <c r="F1686" t="s">
        <v>4131</v>
      </c>
      <c r="G1686" t="s">
        <v>4256</v>
      </c>
      <c r="H1686" s="3">
        <v>852.43</v>
      </c>
      <c r="I1686">
        <v>678</v>
      </c>
      <c r="J1686">
        <v>1</v>
      </c>
      <c r="K1686">
        <v>46</v>
      </c>
      <c r="L1686" s="4">
        <v>6.3357280437739499E-2</v>
      </c>
      <c r="M1686" s="4">
        <v>0.93664271956226097</v>
      </c>
      <c r="N1686">
        <v>0</v>
      </c>
    </row>
    <row r="1687" spans="1:14" x14ac:dyDescent="0.25">
      <c r="A1687" s="2"/>
      <c r="B1687" t="s">
        <v>4257</v>
      </c>
      <c r="C1687" t="s">
        <v>16</v>
      </c>
      <c r="D1687" t="s">
        <v>547</v>
      </c>
      <c r="E1687" t="s">
        <v>3994</v>
      </c>
      <c r="F1687" t="s">
        <v>4131</v>
      </c>
      <c r="G1687" t="s">
        <v>4258</v>
      </c>
      <c r="H1687" s="3">
        <v>852.53</v>
      </c>
      <c r="I1687">
        <v>963</v>
      </c>
      <c r="J1687">
        <v>0</v>
      </c>
      <c r="K1687">
        <v>5</v>
      </c>
      <c r="L1687" s="4">
        <v>0.66394701972033099</v>
      </c>
      <c r="M1687" s="4">
        <v>0.33605298027966901</v>
      </c>
      <c r="N1687">
        <v>0</v>
      </c>
    </row>
    <row r="1688" spans="1:14" x14ac:dyDescent="0.25">
      <c r="A1688" s="2"/>
      <c r="B1688" t="s">
        <v>4259</v>
      </c>
      <c r="C1688" t="s">
        <v>16</v>
      </c>
      <c r="D1688" t="s">
        <v>547</v>
      </c>
      <c r="E1688" t="s">
        <v>3994</v>
      </c>
      <c r="F1688" t="s">
        <v>4131</v>
      </c>
      <c r="G1688" t="s">
        <v>4260</v>
      </c>
      <c r="H1688" s="3">
        <v>852.95</v>
      </c>
      <c r="I1688">
        <v>983</v>
      </c>
      <c r="J1688">
        <v>1</v>
      </c>
      <c r="K1688">
        <v>30</v>
      </c>
      <c r="L1688" s="4">
        <v>0.94076148225281297</v>
      </c>
      <c r="M1688" s="4">
        <v>5.9238517747187303E-2</v>
      </c>
      <c r="N1688">
        <v>0</v>
      </c>
    </row>
    <row r="1689" spans="1:14" x14ac:dyDescent="0.25">
      <c r="A1689" s="2">
        <v>24124519</v>
      </c>
      <c r="B1689" t="s">
        <v>4261</v>
      </c>
      <c r="C1689" t="s">
        <v>31</v>
      </c>
      <c r="D1689" t="s">
        <v>547</v>
      </c>
      <c r="E1689" t="s">
        <v>3994</v>
      </c>
      <c r="F1689" t="s">
        <v>4131</v>
      </c>
      <c r="G1689" t="s">
        <v>4262</v>
      </c>
      <c r="H1689" s="3">
        <v>854.43</v>
      </c>
      <c r="I1689">
        <v>384</v>
      </c>
      <c r="J1689">
        <v>1</v>
      </c>
      <c r="K1689">
        <v>5</v>
      </c>
      <c r="L1689" s="4">
        <v>0.89886840768055498</v>
      </c>
      <c r="M1689" s="4">
        <v>0.101131592319445</v>
      </c>
      <c r="N1689">
        <v>0</v>
      </c>
    </row>
    <row r="1690" spans="1:14" x14ac:dyDescent="0.25">
      <c r="A1690" s="2"/>
      <c r="B1690" t="s">
        <v>4263</v>
      </c>
      <c r="C1690" t="s">
        <v>16</v>
      </c>
      <c r="D1690" t="s">
        <v>547</v>
      </c>
      <c r="E1690" t="s">
        <v>3994</v>
      </c>
      <c r="F1690" t="s">
        <v>4131</v>
      </c>
      <c r="G1690" t="s">
        <v>4264</v>
      </c>
      <c r="H1690" s="3">
        <v>855.4</v>
      </c>
      <c r="I1690">
        <v>708</v>
      </c>
      <c r="J1690">
        <v>1</v>
      </c>
      <c r="L1690" s="4">
        <v>0.38802664483607802</v>
      </c>
      <c r="M1690" s="4">
        <v>0.61197335516392204</v>
      </c>
      <c r="N1690">
        <v>0</v>
      </c>
    </row>
    <row r="1691" spans="1:14" x14ac:dyDescent="0.25">
      <c r="A1691" s="2"/>
      <c r="B1691" t="s">
        <v>4265</v>
      </c>
      <c r="C1691" t="s">
        <v>16</v>
      </c>
      <c r="D1691" t="s">
        <v>547</v>
      </c>
      <c r="E1691" t="s">
        <v>3994</v>
      </c>
      <c r="F1691" t="s">
        <v>4131</v>
      </c>
      <c r="G1691" t="s">
        <v>4266</v>
      </c>
      <c r="H1691" s="3">
        <v>855.4</v>
      </c>
      <c r="I1691">
        <v>976</v>
      </c>
      <c r="J1691">
        <v>0</v>
      </c>
      <c r="K1691">
        <v>34</v>
      </c>
      <c r="L1691" s="4">
        <v>0.452343106114237</v>
      </c>
      <c r="M1691" s="4">
        <v>0.547656893885763</v>
      </c>
      <c r="N1691">
        <v>0</v>
      </c>
    </row>
    <row r="1692" spans="1:14" x14ac:dyDescent="0.25">
      <c r="A1692" s="2"/>
      <c r="B1692" t="s">
        <v>4267</v>
      </c>
      <c r="C1692" t="s">
        <v>16</v>
      </c>
      <c r="D1692" t="s">
        <v>547</v>
      </c>
      <c r="E1692" t="s">
        <v>3994</v>
      </c>
      <c r="F1692" t="s">
        <v>4131</v>
      </c>
      <c r="G1692" t="s">
        <v>4268</v>
      </c>
      <c r="H1692" s="3">
        <v>855.4</v>
      </c>
      <c r="I1692">
        <v>222</v>
      </c>
      <c r="J1692">
        <v>0</v>
      </c>
      <c r="K1692">
        <v>24</v>
      </c>
      <c r="L1692" s="4">
        <v>0.55063085539235601</v>
      </c>
      <c r="M1692" s="4">
        <v>0.44936914460764399</v>
      </c>
      <c r="N1692">
        <v>0</v>
      </c>
    </row>
    <row r="1693" spans="1:14" x14ac:dyDescent="0.25">
      <c r="A1693" s="2"/>
      <c r="B1693" t="s">
        <v>4269</v>
      </c>
      <c r="C1693" t="s">
        <v>16</v>
      </c>
      <c r="D1693" t="s">
        <v>547</v>
      </c>
      <c r="E1693" t="s">
        <v>3994</v>
      </c>
      <c r="F1693" t="s">
        <v>4131</v>
      </c>
      <c r="G1693" t="s">
        <v>4270</v>
      </c>
      <c r="H1693" s="3">
        <v>858.15</v>
      </c>
      <c r="I1693">
        <v>426</v>
      </c>
      <c r="J1693">
        <v>0</v>
      </c>
      <c r="K1693">
        <v>48</v>
      </c>
      <c r="L1693" s="4">
        <v>9.6945139768396596E-2</v>
      </c>
      <c r="M1693" s="4">
        <v>0.90305486023160297</v>
      </c>
      <c r="N1693">
        <v>0</v>
      </c>
    </row>
    <row r="1694" spans="1:14" x14ac:dyDescent="0.25">
      <c r="A1694" s="2"/>
      <c r="B1694" t="s">
        <v>4271</v>
      </c>
      <c r="C1694" t="s">
        <v>16</v>
      </c>
      <c r="D1694" t="s">
        <v>547</v>
      </c>
      <c r="E1694" t="s">
        <v>3994</v>
      </c>
      <c r="F1694" t="s">
        <v>4131</v>
      </c>
      <c r="G1694" t="s">
        <v>4272</v>
      </c>
      <c r="H1694" s="3">
        <v>860.51</v>
      </c>
      <c r="I1694">
        <v>119</v>
      </c>
      <c r="J1694">
        <v>0</v>
      </c>
      <c r="K1694">
        <v>5</v>
      </c>
      <c r="L1694" s="4">
        <v>0.49534352948069799</v>
      </c>
      <c r="M1694" s="4">
        <v>0.50465647051930196</v>
      </c>
      <c r="N1694">
        <v>0</v>
      </c>
    </row>
    <row r="1695" spans="1:14" x14ac:dyDescent="0.25">
      <c r="A1695" s="2"/>
      <c r="B1695" t="s">
        <v>4273</v>
      </c>
      <c r="C1695" t="s">
        <v>16</v>
      </c>
      <c r="D1695" t="s">
        <v>547</v>
      </c>
      <c r="E1695" t="s">
        <v>3994</v>
      </c>
      <c r="F1695" t="s">
        <v>4131</v>
      </c>
      <c r="G1695" t="s">
        <v>4274</v>
      </c>
      <c r="H1695" s="3">
        <v>861.35</v>
      </c>
      <c r="I1695">
        <v>125</v>
      </c>
      <c r="J1695">
        <v>0</v>
      </c>
      <c r="K1695">
        <v>22</v>
      </c>
      <c r="L1695" s="4">
        <v>0.35595195724427398</v>
      </c>
      <c r="M1695" s="4">
        <v>0.64404804275572602</v>
      </c>
      <c r="N1695">
        <v>0</v>
      </c>
    </row>
    <row r="1696" spans="1:14" x14ac:dyDescent="0.25">
      <c r="A1696" s="2"/>
      <c r="B1696" t="s">
        <v>4275</v>
      </c>
      <c r="C1696" t="s">
        <v>16</v>
      </c>
      <c r="D1696" t="s">
        <v>547</v>
      </c>
      <c r="E1696" t="s">
        <v>3994</v>
      </c>
      <c r="F1696" t="s">
        <v>4131</v>
      </c>
      <c r="G1696" t="s">
        <v>4276</v>
      </c>
      <c r="H1696" s="3">
        <v>861.35</v>
      </c>
      <c r="J1696">
        <v>1</v>
      </c>
      <c r="K1696">
        <v>23</v>
      </c>
      <c r="L1696" s="4">
        <v>0.42547979931262703</v>
      </c>
      <c r="M1696" s="4">
        <v>0.57452020068737297</v>
      </c>
      <c r="N1696">
        <v>0</v>
      </c>
    </row>
    <row r="1697" spans="1:14" x14ac:dyDescent="0.25">
      <c r="A1697" s="2"/>
      <c r="B1697" t="s">
        <v>4277</v>
      </c>
      <c r="C1697" t="s">
        <v>16</v>
      </c>
      <c r="D1697" t="s">
        <v>547</v>
      </c>
      <c r="E1697" t="s">
        <v>3994</v>
      </c>
      <c r="F1697" t="s">
        <v>4131</v>
      </c>
      <c r="G1697" t="s">
        <v>4278</v>
      </c>
      <c r="H1697" s="3">
        <v>861.35</v>
      </c>
      <c r="I1697">
        <v>71</v>
      </c>
      <c r="J1697">
        <v>0</v>
      </c>
      <c r="K1697">
        <v>3</v>
      </c>
      <c r="L1697" s="4">
        <v>0.34000628751057199</v>
      </c>
      <c r="M1697" s="4">
        <v>0.65999371248942795</v>
      </c>
      <c r="N1697">
        <v>0</v>
      </c>
    </row>
    <row r="1698" spans="1:14" x14ac:dyDescent="0.25">
      <c r="A1698" s="2"/>
      <c r="B1698" t="s">
        <v>4279</v>
      </c>
      <c r="C1698" t="s">
        <v>16</v>
      </c>
      <c r="D1698" t="s">
        <v>547</v>
      </c>
      <c r="E1698" t="s">
        <v>3994</v>
      </c>
      <c r="F1698" t="s">
        <v>4131</v>
      </c>
      <c r="G1698" t="s">
        <v>4280</v>
      </c>
      <c r="H1698" s="3">
        <v>863.78</v>
      </c>
      <c r="I1698">
        <v>34</v>
      </c>
      <c r="J1698">
        <v>1</v>
      </c>
      <c r="K1698">
        <v>41</v>
      </c>
      <c r="L1698" s="4">
        <v>0.89117073988693896</v>
      </c>
      <c r="M1698" s="4">
        <v>0.108829260113061</v>
      </c>
      <c r="N1698">
        <v>0</v>
      </c>
    </row>
    <row r="1699" spans="1:14" x14ac:dyDescent="0.25">
      <c r="A1699" s="2"/>
      <c r="B1699" t="s">
        <v>1881</v>
      </c>
      <c r="C1699" t="s">
        <v>16</v>
      </c>
      <c r="D1699" t="s">
        <v>547</v>
      </c>
      <c r="E1699" t="s">
        <v>3994</v>
      </c>
      <c r="F1699" t="s">
        <v>4131</v>
      </c>
      <c r="G1699" t="s">
        <v>4281</v>
      </c>
      <c r="H1699" s="3">
        <v>867.3</v>
      </c>
      <c r="I1699">
        <v>879</v>
      </c>
      <c r="J1699">
        <v>0</v>
      </c>
      <c r="K1699">
        <v>30</v>
      </c>
      <c r="L1699" s="4">
        <v>0.57205631805268198</v>
      </c>
      <c r="M1699" s="4">
        <v>0.42794368194731802</v>
      </c>
      <c r="N1699">
        <v>0</v>
      </c>
    </row>
    <row r="1700" spans="1:14" x14ac:dyDescent="0.25">
      <c r="A1700" s="2"/>
      <c r="B1700" t="s">
        <v>4282</v>
      </c>
      <c r="C1700" t="s">
        <v>16</v>
      </c>
      <c r="D1700" t="s">
        <v>547</v>
      </c>
      <c r="E1700" t="s">
        <v>3994</v>
      </c>
      <c r="F1700" t="s">
        <v>4131</v>
      </c>
      <c r="G1700" t="s">
        <v>4283</v>
      </c>
      <c r="H1700" s="3">
        <v>867.72</v>
      </c>
      <c r="I1700">
        <v>944</v>
      </c>
      <c r="J1700">
        <v>0</v>
      </c>
      <c r="K1700">
        <v>33</v>
      </c>
      <c r="L1700" s="4">
        <v>7.5366293448470498E-2</v>
      </c>
      <c r="M1700" s="4">
        <v>0.92463370655152999</v>
      </c>
      <c r="N1700">
        <v>0</v>
      </c>
    </row>
    <row r="1701" spans="1:14" x14ac:dyDescent="0.25">
      <c r="A1701" s="2"/>
      <c r="B1701" t="s">
        <v>4284</v>
      </c>
      <c r="C1701" t="s">
        <v>16</v>
      </c>
      <c r="D1701" t="s">
        <v>547</v>
      </c>
      <c r="E1701" t="s">
        <v>3994</v>
      </c>
      <c r="F1701" t="s">
        <v>4131</v>
      </c>
      <c r="G1701" t="s">
        <v>4285</v>
      </c>
      <c r="H1701" s="3">
        <v>870.13</v>
      </c>
      <c r="I1701">
        <v>463</v>
      </c>
      <c r="J1701">
        <v>1</v>
      </c>
      <c r="L1701" s="4">
        <v>0.84967683665442795</v>
      </c>
      <c r="M1701" s="4">
        <v>0.150323163345572</v>
      </c>
      <c r="N1701">
        <v>0</v>
      </c>
    </row>
    <row r="1702" spans="1:14" x14ac:dyDescent="0.25">
      <c r="A1702" s="2"/>
      <c r="B1702" t="s">
        <v>4286</v>
      </c>
      <c r="C1702" t="s">
        <v>16</v>
      </c>
      <c r="D1702" t="s">
        <v>547</v>
      </c>
      <c r="E1702" t="s">
        <v>3994</v>
      </c>
      <c r="F1702" t="s">
        <v>4131</v>
      </c>
      <c r="G1702" t="s">
        <v>4287</v>
      </c>
      <c r="H1702" s="3">
        <v>870.13</v>
      </c>
      <c r="I1702">
        <v>37</v>
      </c>
      <c r="J1702">
        <v>0</v>
      </c>
      <c r="K1702">
        <v>49</v>
      </c>
      <c r="L1702" s="4">
        <v>0.73794370941107201</v>
      </c>
      <c r="M1702" s="4">
        <v>0.26205629058892799</v>
      </c>
      <c r="N1702">
        <v>0</v>
      </c>
    </row>
    <row r="1703" spans="1:14" x14ac:dyDescent="0.25">
      <c r="A1703" s="2"/>
      <c r="C1703" t="s">
        <v>28</v>
      </c>
      <c r="D1703" t="s">
        <v>547</v>
      </c>
      <c r="E1703" t="s">
        <v>3994</v>
      </c>
      <c r="F1703" t="s">
        <v>4131</v>
      </c>
      <c r="G1703" t="s">
        <v>4288</v>
      </c>
      <c r="H1703" s="3">
        <v>870.13</v>
      </c>
      <c r="I1703">
        <v>112</v>
      </c>
      <c r="J1703">
        <v>0</v>
      </c>
      <c r="K1703">
        <v>21</v>
      </c>
      <c r="L1703" s="4">
        <v>0.80147485873353896</v>
      </c>
      <c r="M1703" s="4">
        <v>0.19852514126646101</v>
      </c>
      <c r="N1703">
        <v>0</v>
      </c>
    </row>
    <row r="1704" spans="1:14" x14ac:dyDescent="0.25">
      <c r="A1704" s="2"/>
      <c r="B1704" t="s">
        <v>4289</v>
      </c>
      <c r="C1704" t="s">
        <v>16</v>
      </c>
      <c r="D1704" t="s">
        <v>547</v>
      </c>
      <c r="E1704" t="s">
        <v>3994</v>
      </c>
      <c r="F1704" t="s">
        <v>4131</v>
      </c>
      <c r="G1704" t="s">
        <v>4290</v>
      </c>
      <c r="H1704" s="3">
        <v>871.45</v>
      </c>
      <c r="I1704">
        <v>639</v>
      </c>
      <c r="J1704">
        <v>1</v>
      </c>
      <c r="L1704" s="4">
        <v>0.89815778304106197</v>
      </c>
      <c r="M1704" s="4">
        <v>0.101842216958938</v>
      </c>
      <c r="N1704">
        <v>0</v>
      </c>
    </row>
    <row r="1705" spans="1:14" x14ac:dyDescent="0.25">
      <c r="A1705" s="2"/>
      <c r="B1705" t="s">
        <v>4291</v>
      </c>
      <c r="C1705" t="s">
        <v>16</v>
      </c>
      <c r="D1705" t="s">
        <v>547</v>
      </c>
      <c r="E1705" t="s">
        <v>3994</v>
      </c>
      <c r="F1705" t="s">
        <v>4131</v>
      </c>
      <c r="G1705" t="s">
        <v>4292</v>
      </c>
      <c r="H1705" s="3">
        <v>874.61</v>
      </c>
      <c r="I1705">
        <v>205</v>
      </c>
      <c r="J1705">
        <v>0</v>
      </c>
      <c r="K1705">
        <v>15</v>
      </c>
      <c r="L1705" s="4">
        <v>0.58954709206821299</v>
      </c>
      <c r="M1705" s="4">
        <v>0.41045290793178701</v>
      </c>
      <c r="N1705">
        <v>1065</v>
      </c>
    </row>
    <row r="1706" spans="1:14" x14ac:dyDescent="0.25">
      <c r="A1706" s="2"/>
      <c r="B1706" t="s">
        <v>4293</v>
      </c>
      <c r="C1706" t="s">
        <v>16</v>
      </c>
      <c r="D1706" t="s">
        <v>547</v>
      </c>
      <c r="E1706" t="s">
        <v>3994</v>
      </c>
      <c r="F1706" t="s">
        <v>4131</v>
      </c>
      <c r="G1706" t="s">
        <v>4294</v>
      </c>
      <c r="H1706" s="3">
        <v>874.61</v>
      </c>
      <c r="I1706">
        <v>691</v>
      </c>
      <c r="J1706">
        <v>1</v>
      </c>
      <c r="K1706">
        <v>37</v>
      </c>
      <c r="L1706" s="4">
        <v>2.62336437572541E-3</v>
      </c>
      <c r="M1706" s="4">
        <v>0.99737663562427503</v>
      </c>
      <c r="N1706">
        <v>0</v>
      </c>
    </row>
    <row r="1707" spans="1:14" x14ac:dyDescent="0.25">
      <c r="A1707" s="2"/>
      <c r="B1707" t="s">
        <v>4295</v>
      </c>
      <c r="C1707" t="s">
        <v>16</v>
      </c>
      <c r="D1707" t="s">
        <v>547</v>
      </c>
      <c r="E1707" t="s">
        <v>3994</v>
      </c>
      <c r="F1707" t="s">
        <v>4131</v>
      </c>
      <c r="G1707" t="s">
        <v>4296</v>
      </c>
      <c r="H1707" s="3">
        <v>877.09</v>
      </c>
      <c r="I1707">
        <v>631</v>
      </c>
      <c r="J1707">
        <v>1</v>
      </c>
      <c r="K1707">
        <v>41</v>
      </c>
      <c r="L1707" s="4">
        <v>0.86970176055044901</v>
      </c>
      <c r="M1707" s="4">
        <v>0.13029823944955099</v>
      </c>
      <c r="N1707">
        <v>0</v>
      </c>
    </row>
    <row r="1708" spans="1:14" x14ac:dyDescent="0.25">
      <c r="A1708" s="2"/>
      <c r="B1708" t="s">
        <v>4297</v>
      </c>
      <c r="C1708" t="s">
        <v>16</v>
      </c>
      <c r="D1708" t="s">
        <v>547</v>
      </c>
      <c r="E1708" t="s">
        <v>3994</v>
      </c>
      <c r="F1708" t="s">
        <v>4131</v>
      </c>
      <c r="G1708" t="s">
        <v>4298</v>
      </c>
      <c r="H1708" s="3">
        <v>877.09</v>
      </c>
      <c r="I1708">
        <v>994</v>
      </c>
      <c r="J1708">
        <v>0</v>
      </c>
      <c r="L1708" s="4">
        <v>0.737248851947368</v>
      </c>
      <c r="M1708" s="4">
        <v>0.262751148052632</v>
      </c>
      <c r="N1708">
        <v>0</v>
      </c>
    </row>
    <row r="1709" spans="1:14" x14ac:dyDescent="0.25">
      <c r="A1709" s="2">
        <v>22970197</v>
      </c>
      <c r="C1709" t="s">
        <v>0</v>
      </c>
      <c r="D1709" t="s">
        <v>547</v>
      </c>
      <c r="E1709" t="s">
        <v>3994</v>
      </c>
      <c r="F1709" t="s">
        <v>4131</v>
      </c>
      <c r="G1709" t="s">
        <v>4299</v>
      </c>
      <c r="H1709" s="3">
        <v>878.44</v>
      </c>
      <c r="I1709">
        <v>802</v>
      </c>
      <c r="J1709">
        <v>0</v>
      </c>
      <c r="K1709">
        <v>3</v>
      </c>
      <c r="L1709" s="4">
        <v>0.67103881146579003</v>
      </c>
      <c r="M1709" s="4">
        <v>0.32896118853421003</v>
      </c>
      <c r="N1709">
        <v>0</v>
      </c>
    </row>
    <row r="1710" spans="1:14" x14ac:dyDescent="0.25">
      <c r="A1710" s="2"/>
      <c r="B1710" t="s">
        <v>4300</v>
      </c>
      <c r="C1710" t="s">
        <v>16</v>
      </c>
      <c r="D1710" t="s">
        <v>547</v>
      </c>
      <c r="E1710" t="s">
        <v>3994</v>
      </c>
      <c r="F1710" t="s">
        <v>4131</v>
      </c>
      <c r="G1710" t="s">
        <v>4301</v>
      </c>
      <c r="H1710" s="3">
        <v>878.72</v>
      </c>
      <c r="I1710">
        <v>699</v>
      </c>
      <c r="J1710">
        <v>1</v>
      </c>
      <c r="K1710">
        <v>49</v>
      </c>
      <c r="L1710" s="4">
        <v>0.71744397380133895</v>
      </c>
      <c r="M1710" s="4">
        <v>0.28255602619866099</v>
      </c>
      <c r="N1710">
        <v>0</v>
      </c>
    </row>
    <row r="1711" spans="1:14" x14ac:dyDescent="0.25">
      <c r="A1711" s="2"/>
      <c r="B1711" t="s">
        <v>2674</v>
      </c>
      <c r="C1711" t="s">
        <v>16</v>
      </c>
      <c r="D1711" t="s">
        <v>547</v>
      </c>
      <c r="E1711" t="s">
        <v>3994</v>
      </c>
      <c r="F1711" t="s">
        <v>4131</v>
      </c>
      <c r="G1711" t="s">
        <v>4302</v>
      </c>
      <c r="H1711" s="3">
        <v>879.33</v>
      </c>
      <c r="I1711">
        <v>685</v>
      </c>
      <c r="J1711">
        <v>1</v>
      </c>
      <c r="K1711">
        <v>29</v>
      </c>
      <c r="L1711" s="4">
        <v>0.26625655187846098</v>
      </c>
      <c r="M1711" s="4">
        <v>0.73374344812153902</v>
      </c>
      <c r="N1711">
        <v>0</v>
      </c>
    </row>
    <row r="1712" spans="1:14" x14ac:dyDescent="0.25">
      <c r="A1712" s="2"/>
      <c r="B1712" t="s">
        <v>4303</v>
      </c>
      <c r="C1712" t="s">
        <v>16</v>
      </c>
      <c r="D1712" t="s">
        <v>547</v>
      </c>
      <c r="E1712" t="s">
        <v>3994</v>
      </c>
      <c r="F1712" t="s">
        <v>4131</v>
      </c>
      <c r="G1712" t="s">
        <v>4304</v>
      </c>
      <c r="H1712" s="3">
        <v>879.33</v>
      </c>
      <c r="I1712">
        <v>358</v>
      </c>
      <c r="J1712">
        <v>1</v>
      </c>
      <c r="K1712">
        <v>42</v>
      </c>
      <c r="L1712" s="4">
        <v>7.8609894885310005E-2</v>
      </c>
      <c r="M1712" s="4">
        <v>0.92139010511468999</v>
      </c>
      <c r="N1712">
        <v>0</v>
      </c>
    </row>
    <row r="1713" spans="1:14" x14ac:dyDescent="0.25">
      <c r="A1713" s="2"/>
      <c r="B1713" t="s">
        <v>4305</v>
      </c>
      <c r="C1713" t="s">
        <v>16</v>
      </c>
      <c r="D1713" t="s">
        <v>547</v>
      </c>
      <c r="E1713" t="s">
        <v>3994</v>
      </c>
      <c r="F1713" t="s">
        <v>4131</v>
      </c>
      <c r="G1713" t="s">
        <v>4306</v>
      </c>
      <c r="H1713" s="3">
        <v>884.32</v>
      </c>
      <c r="I1713">
        <v>863</v>
      </c>
      <c r="J1713">
        <v>0</v>
      </c>
      <c r="K1713">
        <v>16</v>
      </c>
      <c r="L1713" s="4">
        <v>0.65066054937701501</v>
      </c>
      <c r="M1713" s="4">
        <v>0.34933945062298499</v>
      </c>
      <c r="N1713">
        <v>0</v>
      </c>
    </row>
    <row r="1714" spans="1:14" x14ac:dyDescent="0.25">
      <c r="A1714" s="2">
        <v>23840536</v>
      </c>
      <c r="C1714" t="s">
        <v>0</v>
      </c>
      <c r="D1714" t="s">
        <v>547</v>
      </c>
      <c r="E1714" t="s">
        <v>3994</v>
      </c>
      <c r="F1714" t="s">
        <v>4131</v>
      </c>
      <c r="G1714" t="s">
        <v>4307</v>
      </c>
      <c r="H1714" s="3">
        <v>886.18</v>
      </c>
      <c r="I1714">
        <v>195</v>
      </c>
      <c r="J1714">
        <v>1</v>
      </c>
      <c r="K1714">
        <v>36</v>
      </c>
      <c r="L1714" s="4">
        <v>0.49979720914842202</v>
      </c>
      <c r="M1714" s="4">
        <v>0.50020279085157904</v>
      </c>
      <c r="N1714">
        <v>0</v>
      </c>
    </row>
    <row r="1715" spans="1:14" x14ac:dyDescent="0.25">
      <c r="A1715" s="2"/>
      <c r="B1715" t="s">
        <v>4308</v>
      </c>
      <c r="C1715" t="s">
        <v>16</v>
      </c>
      <c r="D1715" t="s">
        <v>547</v>
      </c>
      <c r="E1715" t="s">
        <v>3994</v>
      </c>
      <c r="F1715" t="s">
        <v>4131</v>
      </c>
      <c r="G1715" t="s">
        <v>4309</v>
      </c>
      <c r="H1715" s="3">
        <v>886.23</v>
      </c>
      <c r="I1715">
        <v>111</v>
      </c>
      <c r="J1715">
        <v>1</v>
      </c>
      <c r="K1715">
        <v>4</v>
      </c>
      <c r="L1715" s="4">
        <v>0.41889363374628003</v>
      </c>
      <c r="M1715" s="4">
        <v>0.58110636625372003</v>
      </c>
      <c r="N1715">
        <v>0</v>
      </c>
    </row>
    <row r="1716" spans="1:14" x14ac:dyDescent="0.25">
      <c r="A1716" s="2"/>
      <c r="B1716" t="s">
        <v>4310</v>
      </c>
      <c r="C1716" t="s">
        <v>16</v>
      </c>
      <c r="D1716" t="s">
        <v>547</v>
      </c>
      <c r="E1716" t="s">
        <v>3994</v>
      </c>
      <c r="F1716" t="s">
        <v>4131</v>
      </c>
      <c r="G1716" t="s">
        <v>4311</v>
      </c>
      <c r="H1716" s="3">
        <v>886.23</v>
      </c>
      <c r="I1716">
        <v>905</v>
      </c>
      <c r="J1716">
        <v>0</v>
      </c>
      <c r="K1716">
        <v>38</v>
      </c>
      <c r="L1716" s="4">
        <v>0.85397211522830496</v>
      </c>
      <c r="M1716" s="4">
        <v>0.14602788477169501</v>
      </c>
      <c r="N1716">
        <v>0</v>
      </c>
    </row>
    <row r="1717" spans="1:14" x14ac:dyDescent="0.25">
      <c r="A1717" s="2"/>
      <c r="C1717" t="s">
        <v>28</v>
      </c>
      <c r="D1717" t="s">
        <v>547</v>
      </c>
      <c r="E1717" t="s">
        <v>3994</v>
      </c>
      <c r="F1717" t="s">
        <v>4131</v>
      </c>
      <c r="G1717" t="s">
        <v>4312</v>
      </c>
      <c r="H1717" s="3">
        <v>886.3</v>
      </c>
      <c r="I1717">
        <v>517</v>
      </c>
      <c r="J1717">
        <v>0</v>
      </c>
      <c r="K1717">
        <v>48</v>
      </c>
      <c r="L1717" s="4">
        <v>0.75205426817832199</v>
      </c>
      <c r="M1717" s="4">
        <v>0.24794573182167801</v>
      </c>
      <c r="N1717">
        <v>0</v>
      </c>
    </row>
    <row r="1718" spans="1:14" x14ac:dyDescent="0.25">
      <c r="A1718" s="2"/>
      <c r="B1718" t="s">
        <v>4313</v>
      </c>
      <c r="C1718" t="s">
        <v>16</v>
      </c>
      <c r="D1718" t="s">
        <v>547</v>
      </c>
      <c r="E1718" t="s">
        <v>3994</v>
      </c>
      <c r="F1718" t="s">
        <v>4131</v>
      </c>
      <c r="G1718" t="s">
        <v>4314</v>
      </c>
      <c r="H1718" s="3">
        <v>886.76</v>
      </c>
      <c r="I1718">
        <v>512</v>
      </c>
      <c r="J1718">
        <v>1</v>
      </c>
      <c r="K1718">
        <v>17</v>
      </c>
      <c r="L1718" s="4">
        <v>0.17953684265235001</v>
      </c>
      <c r="M1718" s="4">
        <v>0.82046315734764996</v>
      </c>
      <c r="N1718">
        <v>0</v>
      </c>
    </row>
    <row r="1719" spans="1:14" x14ac:dyDescent="0.25">
      <c r="A1719" s="2">
        <v>23940704</v>
      </c>
      <c r="B1719" t="s">
        <v>4315</v>
      </c>
      <c r="C1719" t="s">
        <v>31</v>
      </c>
      <c r="D1719" t="s">
        <v>547</v>
      </c>
      <c r="E1719" t="s">
        <v>3994</v>
      </c>
      <c r="F1719" t="s">
        <v>4131</v>
      </c>
      <c r="G1719" t="s">
        <v>4316</v>
      </c>
      <c r="H1719" s="3">
        <v>886.95</v>
      </c>
      <c r="I1719">
        <v>991</v>
      </c>
      <c r="J1719">
        <v>1</v>
      </c>
      <c r="K1719">
        <v>37</v>
      </c>
      <c r="L1719" s="4">
        <v>0.134112811121646</v>
      </c>
      <c r="M1719" s="4">
        <v>0.86588718887835403</v>
      </c>
      <c r="N1719">
        <v>0</v>
      </c>
    </row>
    <row r="1720" spans="1:14" x14ac:dyDescent="0.25">
      <c r="A1720" s="2">
        <v>23894442</v>
      </c>
      <c r="B1720" t="s">
        <v>4317</v>
      </c>
      <c r="C1720" t="s">
        <v>31</v>
      </c>
      <c r="D1720" t="s">
        <v>547</v>
      </c>
      <c r="E1720" t="s">
        <v>3994</v>
      </c>
      <c r="F1720" t="s">
        <v>4131</v>
      </c>
      <c r="G1720" t="s">
        <v>4318</v>
      </c>
      <c r="H1720" s="3">
        <v>886.95</v>
      </c>
      <c r="I1720">
        <v>170</v>
      </c>
      <c r="J1720">
        <v>1</v>
      </c>
      <c r="K1720">
        <v>3</v>
      </c>
      <c r="L1720" s="4">
        <v>0.434419887144122</v>
      </c>
      <c r="M1720" s="4">
        <v>0.56558011285587795</v>
      </c>
      <c r="N1720">
        <v>0</v>
      </c>
    </row>
    <row r="1721" spans="1:14" x14ac:dyDescent="0.25">
      <c r="A1721" s="2"/>
      <c r="B1721" t="s">
        <v>4319</v>
      </c>
      <c r="C1721" t="s">
        <v>16</v>
      </c>
      <c r="D1721" t="s">
        <v>547</v>
      </c>
      <c r="E1721" t="s">
        <v>3994</v>
      </c>
      <c r="F1721" t="s">
        <v>4131</v>
      </c>
      <c r="G1721" t="s">
        <v>4320</v>
      </c>
      <c r="H1721" s="3">
        <v>887.31</v>
      </c>
      <c r="I1721">
        <v>789</v>
      </c>
      <c r="J1721">
        <v>1</v>
      </c>
      <c r="K1721">
        <v>43</v>
      </c>
      <c r="L1721" s="4">
        <v>0.76660960054179506</v>
      </c>
      <c r="M1721" s="4">
        <v>0.233390399458206</v>
      </c>
      <c r="N1721">
        <v>0</v>
      </c>
    </row>
    <row r="1722" spans="1:14" x14ac:dyDescent="0.25">
      <c r="A1722" s="2"/>
      <c r="B1722" t="s">
        <v>4321</v>
      </c>
      <c r="C1722" t="s">
        <v>16</v>
      </c>
      <c r="D1722" t="s">
        <v>547</v>
      </c>
      <c r="E1722" t="s">
        <v>3994</v>
      </c>
      <c r="F1722" t="s">
        <v>4131</v>
      </c>
      <c r="G1722" t="s">
        <v>4322</v>
      </c>
      <c r="H1722" s="3">
        <v>889.97</v>
      </c>
      <c r="I1722">
        <v>711</v>
      </c>
      <c r="J1722">
        <v>0</v>
      </c>
      <c r="K1722">
        <v>20</v>
      </c>
      <c r="L1722" s="4">
        <v>0.618145715191186</v>
      </c>
      <c r="M1722" s="4">
        <v>0.381854284808814</v>
      </c>
      <c r="N1722">
        <v>0</v>
      </c>
    </row>
    <row r="1723" spans="1:14" x14ac:dyDescent="0.25">
      <c r="A1723" s="2"/>
      <c r="B1723" t="s">
        <v>4323</v>
      </c>
      <c r="C1723" t="s">
        <v>16</v>
      </c>
      <c r="D1723" t="s">
        <v>547</v>
      </c>
      <c r="E1723" t="s">
        <v>3994</v>
      </c>
      <c r="F1723" t="s">
        <v>4131</v>
      </c>
      <c r="G1723" t="s">
        <v>4324</v>
      </c>
      <c r="H1723" s="3">
        <v>891.74</v>
      </c>
      <c r="I1723">
        <v>756</v>
      </c>
      <c r="J1723">
        <v>0</v>
      </c>
      <c r="K1723">
        <v>5</v>
      </c>
      <c r="L1723" s="4">
        <v>0.62959107271044901</v>
      </c>
      <c r="M1723" s="4">
        <v>0.37040892728955099</v>
      </c>
      <c r="N1723">
        <v>0</v>
      </c>
    </row>
    <row r="1724" spans="1:14" x14ac:dyDescent="0.25">
      <c r="A1724" s="2"/>
      <c r="B1724" t="s">
        <v>4325</v>
      </c>
      <c r="C1724" t="s">
        <v>16</v>
      </c>
      <c r="D1724" t="s">
        <v>547</v>
      </c>
      <c r="E1724" t="s">
        <v>3994</v>
      </c>
      <c r="F1724" t="s">
        <v>4131</v>
      </c>
      <c r="G1724" t="s">
        <v>4326</v>
      </c>
      <c r="H1724" s="3">
        <v>892.12</v>
      </c>
      <c r="I1724">
        <v>665</v>
      </c>
      <c r="J1724">
        <v>0</v>
      </c>
      <c r="K1724">
        <v>3</v>
      </c>
      <c r="L1724" s="4">
        <v>0.87309386780863896</v>
      </c>
      <c r="M1724" s="4">
        <v>0.12690613219136099</v>
      </c>
      <c r="N1724">
        <v>0</v>
      </c>
    </row>
    <row r="1725" spans="1:14" x14ac:dyDescent="0.25">
      <c r="A1725" s="2"/>
      <c r="B1725" t="s">
        <v>4327</v>
      </c>
      <c r="C1725" t="s">
        <v>16</v>
      </c>
      <c r="D1725" t="s">
        <v>547</v>
      </c>
      <c r="E1725" t="s">
        <v>3994</v>
      </c>
      <c r="F1725" t="s">
        <v>4131</v>
      </c>
      <c r="G1725" t="s">
        <v>4328</v>
      </c>
      <c r="H1725" s="3">
        <v>893.43</v>
      </c>
      <c r="I1725">
        <v>327</v>
      </c>
      <c r="J1725">
        <v>0</v>
      </c>
      <c r="K1725">
        <v>8</v>
      </c>
      <c r="L1725" s="4">
        <v>0.77900985982312598</v>
      </c>
      <c r="M1725" s="4">
        <v>0.22099014017687399</v>
      </c>
      <c r="N1725">
        <v>0</v>
      </c>
    </row>
    <row r="1726" spans="1:14" x14ac:dyDescent="0.25">
      <c r="A1726" s="2"/>
      <c r="B1726" t="s">
        <v>4329</v>
      </c>
      <c r="C1726" t="s">
        <v>16</v>
      </c>
      <c r="D1726" t="s">
        <v>547</v>
      </c>
      <c r="E1726" t="s">
        <v>3994</v>
      </c>
      <c r="F1726" t="s">
        <v>4131</v>
      </c>
      <c r="G1726" t="s">
        <v>4330</v>
      </c>
      <c r="H1726" s="3">
        <v>894.71</v>
      </c>
      <c r="I1726">
        <v>342</v>
      </c>
      <c r="J1726">
        <v>0</v>
      </c>
      <c r="K1726">
        <v>49</v>
      </c>
      <c r="L1726" s="4">
        <v>0.53730866629796104</v>
      </c>
      <c r="M1726" s="4">
        <v>0.46269133370203902</v>
      </c>
      <c r="N1726">
        <v>0</v>
      </c>
    </row>
    <row r="1727" spans="1:14" x14ac:dyDescent="0.25">
      <c r="A1727" s="2"/>
      <c r="B1727" t="s">
        <v>4331</v>
      </c>
      <c r="C1727" t="s">
        <v>16</v>
      </c>
      <c r="D1727" t="s">
        <v>547</v>
      </c>
      <c r="E1727" t="s">
        <v>3994</v>
      </c>
      <c r="F1727" t="s">
        <v>4131</v>
      </c>
      <c r="G1727" t="s">
        <v>4332</v>
      </c>
      <c r="H1727" s="3">
        <v>896.18</v>
      </c>
      <c r="I1727">
        <v>292</v>
      </c>
      <c r="J1727">
        <v>0</v>
      </c>
      <c r="K1727">
        <v>5</v>
      </c>
      <c r="L1727" s="4">
        <v>0.22869729390627799</v>
      </c>
      <c r="M1727" s="4">
        <v>0.77130270609372198</v>
      </c>
      <c r="N1727">
        <v>0</v>
      </c>
    </row>
    <row r="1728" spans="1:14" x14ac:dyDescent="0.25">
      <c r="A1728" s="2"/>
      <c r="B1728" t="s">
        <v>4333</v>
      </c>
      <c r="C1728" t="s">
        <v>16</v>
      </c>
      <c r="D1728" t="s">
        <v>547</v>
      </c>
      <c r="E1728" t="s">
        <v>3994</v>
      </c>
      <c r="F1728" t="s">
        <v>4131</v>
      </c>
      <c r="G1728" t="s">
        <v>4334</v>
      </c>
      <c r="H1728" s="3">
        <v>896.32</v>
      </c>
      <c r="I1728">
        <v>243</v>
      </c>
      <c r="J1728">
        <v>0</v>
      </c>
      <c r="K1728">
        <v>33</v>
      </c>
      <c r="L1728" s="4">
        <v>0.63204412474923399</v>
      </c>
      <c r="M1728" s="4">
        <v>0.36795587525076701</v>
      </c>
      <c r="N1728">
        <v>0</v>
      </c>
    </row>
    <row r="1729" spans="1:14" x14ac:dyDescent="0.25">
      <c r="A1729" s="2"/>
      <c r="B1729" t="s">
        <v>4335</v>
      </c>
      <c r="C1729" t="s">
        <v>16</v>
      </c>
      <c r="D1729" t="s">
        <v>547</v>
      </c>
      <c r="E1729" t="s">
        <v>3994</v>
      </c>
      <c r="F1729" t="s">
        <v>4131</v>
      </c>
      <c r="G1729" t="s">
        <v>4336</v>
      </c>
      <c r="H1729" s="3">
        <v>896.96</v>
      </c>
      <c r="I1729">
        <v>430</v>
      </c>
      <c r="J1729">
        <v>0</v>
      </c>
      <c r="K1729">
        <v>24</v>
      </c>
      <c r="L1729" s="4">
        <v>0.30018007218961101</v>
      </c>
      <c r="M1729" s="4">
        <v>0.69981992781038904</v>
      </c>
      <c r="N1729">
        <v>0</v>
      </c>
    </row>
    <row r="1730" spans="1:14" x14ac:dyDescent="0.25">
      <c r="A1730" s="2"/>
      <c r="B1730" t="s">
        <v>4337</v>
      </c>
      <c r="C1730" t="s">
        <v>16</v>
      </c>
      <c r="D1730" t="s">
        <v>547</v>
      </c>
      <c r="E1730" t="s">
        <v>3994</v>
      </c>
      <c r="F1730" t="s">
        <v>4131</v>
      </c>
      <c r="G1730" t="s">
        <v>4338</v>
      </c>
      <c r="H1730" s="3">
        <v>896.99</v>
      </c>
      <c r="I1730">
        <v>620</v>
      </c>
      <c r="J1730">
        <v>0</v>
      </c>
      <c r="K1730">
        <v>29</v>
      </c>
      <c r="L1730" s="4">
        <v>0.16541680393503799</v>
      </c>
      <c r="M1730" s="4">
        <v>0.83458319606496201</v>
      </c>
      <c r="N1730">
        <v>0</v>
      </c>
    </row>
    <row r="1731" spans="1:14" x14ac:dyDescent="0.25">
      <c r="A1731" s="2"/>
      <c r="B1731" t="s">
        <v>4339</v>
      </c>
      <c r="C1731" t="s">
        <v>16</v>
      </c>
      <c r="D1731" t="s">
        <v>547</v>
      </c>
      <c r="E1731" t="s">
        <v>3994</v>
      </c>
      <c r="F1731" t="s">
        <v>4131</v>
      </c>
      <c r="G1731" t="s">
        <v>4340</v>
      </c>
      <c r="H1731" s="3">
        <v>897.19</v>
      </c>
      <c r="I1731">
        <v>288</v>
      </c>
      <c r="J1731">
        <v>0</v>
      </c>
      <c r="K1731">
        <v>44</v>
      </c>
      <c r="L1731" s="4">
        <v>0.59276601182737299</v>
      </c>
      <c r="M1731" s="4">
        <v>0.40723398817262701</v>
      </c>
      <c r="N1731">
        <v>0</v>
      </c>
    </row>
    <row r="1732" spans="1:14" x14ac:dyDescent="0.25">
      <c r="A1732" s="2"/>
      <c r="B1732" t="s">
        <v>4341</v>
      </c>
      <c r="C1732" t="s">
        <v>16</v>
      </c>
      <c r="D1732" t="s">
        <v>547</v>
      </c>
      <c r="E1732" t="s">
        <v>3994</v>
      </c>
      <c r="F1732" t="s">
        <v>4131</v>
      </c>
      <c r="G1732" t="s">
        <v>4342</v>
      </c>
      <c r="H1732" s="3">
        <v>897.61</v>
      </c>
      <c r="I1732">
        <v>322</v>
      </c>
      <c r="J1732">
        <v>0</v>
      </c>
      <c r="K1732">
        <v>41</v>
      </c>
      <c r="L1732" s="4">
        <v>0.89719333363836096</v>
      </c>
      <c r="M1732" s="4">
        <v>0.102806666361639</v>
      </c>
      <c r="N1732">
        <v>0</v>
      </c>
    </row>
    <row r="1733" spans="1:14" x14ac:dyDescent="0.25">
      <c r="A1733" s="2"/>
      <c r="B1733" t="s">
        <v>4343</v>
      </c>
      <c r="C1733" t="s">
        <v>16</v>
      </c>
      <c r="D1733" t="s">
        <v>547</v>
      </c>
      <c r="E1733" t="s">
        <v>3994</v>
      </c>
      <c r="F1733" t="s">
        <v>4131</v>
      </c>
      <c r="G1733" t="s">
        <v>4344</v>
      </c>
      <c r="H1733" s="3">
        <v>897.61</v>
      </c>
      <c r="I1733">
        <v>93</v>
      </c>
      <c r="J1733">
        <v>0</v>
      </c>
      <c r="K1733">
        <v>5</v>
      </c>
      <c r="L1733" s="4">
        <v>0.33085683900379598</v>
      </c>
      <c r="M1733" s="4">
        <v>0.66914316099620397</v>
      </c>
      <c r="N1733">
        <v>0</v>
      </c>
    </row>
    <row r="1734" spans="1:14" x14ac:dyDescent="0.25">
      <c r="A1734" s="2"/>
      <c r="B1734" t="s">
        <v>4345</v>
      </c>
      <c r="C1734" t="s">
        <v>16</v>
      </c>
      <c r="D1734" t="s">
        <v>547</v>
      </c>
      <c r="E1734" t="s">
        <v>3994</v>
      </c>
      <c r="F1734" t="s">
        <v>4131</v>
      </c>
      <c r="G1734" t="s">
        <v>4346</v>
      </c>
      <c r="H1734" s="3">
        <v>899.34</v>
      </c>
      <c r="I1734">
        <v>346</v>
      </c>
      <c r="J1734">
        <v>1</v>
      </c>
      <c r="K1734">
        <v>27</v>
      </c>
      <c r="L1734" s="4">
        <v>0.62251308516969595</v>
      </c>
      <c r="M1734" s="4">
        <v>0.377486914830304</v>
      </c>
      <c r="N1734">
        <v>0</v>
      </c>
    </row>
    <row r="1735" spans="1:14" x14ac:dyDescent="0.25">
      <c r="A1735" s="2"/>
      <c r="B1735" t="s">
        <v>4347</v>
      </c>
      <c r="C1735" t="s">
        <v>16</v>
      </c>
      <c r="D1735" t="s">
        <v>547</v>
      </c>
      <c r="E1735" t="s">
        <v>3994</v>
      </c>
      <c r="F1735" t="s">
        <v>4131</v>
      </c>
      <c r="G1735" t="s">
        <v>4348</v>
      </c>
      <c r="H1735" s="3">
        <v>900.14</v>
      </c>
      <c r="I1735">
        <v>494</v>
      </c>
      <c r="J1735">
        <v>0</v>
      </c>
      <c r="K1735">
        <v>6</v>
      </c>
      <c r="L1735" s="4">
        <v>0.49036241879203801</v>
      </c>
      <c r="M1735" s="4">
        <v>0.50963758120796199</v>
      </c>
      <c r="N1735">
        <v>0</v>
      </c>
    </row>
    <row r="1736" spans="1:14" x14ac:dyDescent="0.25">
      <c r="A1736" s="2"/>
      <c r="B1736" t="s">
        <v>4349</v>
      </c>
      <c r="C1736" t="s">
        <v>16</v>
      </c>
      <c r="D1736" t="s">
        <v>547</v>
      </c>
      <c r="E1736" t="s">
        <v>3994</v>
      </c>
      <c r="F1736" t="s">
        <v>4131</v>
      </c>
      <c r="G1736" t="s">
        <v>4350</v>
      </c>
      <c r="H1736" s="3">
        <v>904.34</v>
      </c>
      <c r="I1736">
        <v>783</v>
      </c>
      <c r="J1736">
        <v>1</v>
      </c>
      <c r="L1736" s="4">
        <v>0.48484165793866701</v>
      </c>
      <c r="M1736" s="4">
        <v>0.51515834206133404</v>
      </c>
      <c r="N1736">
        <v>0</v>
      </c>
    </row>
    <row r="1737" spans="1:14" x14ac:dyDescent="0.25">
      <c r="A1737" s="2"/>
      <c r="B1737" t="s">
        <v>4351</v>
      </c>
      <c r="C1737" t="s">
        <v>16</v>
      </c>
      <c r="D1737" t="s">
        <v>547</v>
      </c>
      <c r="E1737" t="s">
        <v>3994</v>
      </c>
      <c r="F1737" t="s">
        <v>4131</v>
      </c>
      <c r="G1737" t="s">
        <v>4352</v>
      </c>
      <c r="H1737" s="3">
        <v>907.08</v>
      </c>
      <c r="I1737">
        <v>411</v>
      </c>
      <c r="J1737">
        <v>1</v>
      </c>
      <c r="K1737">
        <v>26</v>
      </c>
      <c r="L1737" s="4">
        <v>0.25931523665519801</v>
      </c>
      <c r="M1737" s="4">
        <v>0.74068476334480204</v>
      </c>
      <c r="N1737">
        <v>0</v>
      </c>
    </row>
    <row r="1738" spans="1:14" x14ac:dyDescent="0.25">
      <c r="A1738" s="2"/>
      <c r="B1738" t="s">
        <v>4353</v>
      </c>
      <c r="C1738" t="s">
        <v>16</v>
      </c>
      <c r="D1738" t="s">
        <v>547</v>
      </c>
      <c r="E1738" t="s">
        <v>3994</v>
      </c>
      <c r="F1738" t="s">
        <v>4131</v>
      </c>
      <c r="G1738" t="s">
        <v>4354</v>
      </c>
      <c r="H1738" s="3">
        <v>908.01</v>
      </c>
      <c r="I1738">
        <v>668</v>
      </c>
      <c r="J1738">
        <v>1</v>
      </c>
      <c r="K1738">
        <v>24</v>
      </c>
      <c r="L1738" s="4">
        <v>6.5897331739578097E-2</v>
      </c>
      <c r="M1738" s="4">
        <v>0.93410266826042199</v>
      </c>
      <c r="N1738">
        <v>0</v>
      </c>
    </row>
    <row r="1739" spans="1:14" x14ac:dyDescent="0.25">
      <c r="A1739" s="2"/>
      <c r="B1739" t="s">
        <v>4355</v>
      </c>
      <c r="C1739" t="s">
        <v>16</v>
      </c>
      <c r="D1739" t="s">
        <v>547</v>
      </c>
      <c r="E1739" t="s">
        <v>3994</v>
      </c>
      <c r="F1739" t="s">
        <v>4131</v>
      </c>
      <c r="G1739" t="s">
        <v>4356</v>
      </c>
      <c r="H1739" s="3">
        <v>909.99</v>
      </c>
      <c r="I1739">
        <v>673</v>
      </c>
      <c r="J1739">
        <v>0</v>
      </c>
      <c r="K1739">
        <v>39</v>
      </c>
      <c r="L1739" s="4">
        <v>0.15294586941073601</v>
      </c>
      <c r="M1739" s="4">
        <v>0.84705413058926404</v>
      </c>
      <c r="N1739">
        <v>0</v>
      </c>
    </row>
    <row r="1740" spans="1:14" x14ac:dyDescent="0.25">
      <c r="A1740" s="2"/>
      <c r="B1740" t="s">
        <v>4357</v>
      </c>
      <c r="C1740" t="s">
        <v>16</v>
      </c>
      <c r="D1740" t="s">
        <v>547</v>
      </c>
      <c r="E1740" t="s">
        <v>3994</v>
      </c>
      <c r="F1740" t="s">
        <v>4131</v>
      </c>
      <c r="G1740" t="s">
        <v>4358</v>
      </c>
      <c r="H1740" s="3">
        <v>910.2</v>
      </c>
      <c r="I1740">
        <v>674</v>
      </c>
      <c r="J1740">
        <v>0</v>
      </c>
      <c r="K1740">
        <v>33</v>
      </c>
      <c r="L1740" s="4">
        <v>0.36803849856225102</v>
      </c>
      <c r="M1740" s="4">
        <v>0.63196150143774898</v>
      </c>
      <c r="N1740">
        <v>0</v>
      </c>
    </row>
    <row r="1741" spans="1:14" x14ac:dyDescent="0.25">
      <c r="A1741" s="2"/>
      <c r="B1741" t="s">
        <v>4359</v>
      </c>
      <c r="C1741" t="s">
        <v>16</v>
      </c>
      <c r="D1741" t="s">
        <v>547</v>
      </c>
      <c r="E1741" t="s">
        <v>3994</v>
      </c>
      <c r="F1741" t="s">
        <v>4131</v>
      </c>
      <c r="G1741" t="s">
        <v>4360</v>
      </c>
      <c r="H1741" s="3">
        <v>913.36</v>
      </c>
      <c r="I1741">
        <v>541</v>
      </c>
      <c r="J1741">
        <v>1</v>
      </c>
      <c r="K1741">
        <v>23</v>
      </c>
      <c r="L1741" s="4">
        <v>0.22749163852243601</v>
      </c>
      <c r="M1741" s="4">
        <v>0.77250836147756397</v>
      </c>
      <c r="N1741">
        <v>0</v>
      </c>
    </row>
    <row r="1742" spans="1:14" x14ac:dyDescent="0.25">
      <c r="A1742" s="2"/>
      <c r="B1742" t="s">
        <v>4361</v>
      </c>
      <c r="C1742" t="s">
        <v>16</v>
      </c>
      <c r="D1742" t="s">
        <v>547</v>
      </c>
      <c r="E1742" t="s">
        <v>3994</v>
      </c>
      <c r="F1742" t="s">
        <v>4131</v>
      </c>
      <c r="G1742" t="s">
        <v>4362</v>
      </c>
      <c r="H1742" s="3">
        <v>915.53</v>
      </c>
      <c r="I1742">
        <v>338</v>
      </c>
      <c r="J1742">
        <v>0</v>
      </c>
      <c r="L1742" s="4">
        <v>0.54509583339999701</v>
      </c>
      <c r="M1742" s="4">
        <v>0.45490416660000299</v>
      </c>
      <c r="N1742">
        <v>0</v>
      </c>
    </row>
    <row r="1743" spans="1:14" x14ac:dyDescent="0.25">
      <c r="A1743" s="2">
        <v>23805259</v>
      </c>
      <c r="B1743" t="s">
        <v>4363</v>
      </c>
      <c r="C1743" t="s">
        <v>31</v>
      </c>
      <c r="D1743" t="s">
        <v>547</v>
      </c>
      <c r="E1743" t="s">
        <v>3994</v>
      </c>
      <c r="F1743" t="s">
        <v>4131</v>
      </c>
      <c r="G1743" t="s">
        <v>4364</v>
      </c>
      <c r="H1743" s="3">
        <v>918.62</v>
      </c>
      <c r="I1743">
        <v>27</v>
      </c>
      <c r="J1743">
        <v>0</v>
      </c>
      <c r="L1743" s="4">
        <v>0.89528680302311203</v>
      </c>
      <c r="M1743" s="4">
        <v>0.104713196976888</v>
      </c>
      <c r="N1743">
        <v>0</v>
      </c>
    </row>
    <row r="1744" spans="1:14" x14ac:dyDescent="0.25">
      <c r="A1744" s="2"/>
      <c r="B1744" t="s">
        <v>4365</v>
      </c>
      <c r="C1744" t="s">
        <v>16</v>
      </c>
      <c r="D1744" t="s">
        <v>547</v>
      </c>
      <c r="E1744" t="s">
        <v>3994</v>
      </c>
      <c r="F1744" t="s">
        <v>4131</v>
      </c>
      <c r="G1744" t="s">
        <v>4366</v>
      </c>
      <c r="H1744" s="3">
        <v>953.48</v>
      </c>
      <c r="I1744">
        <v>201</v>
      </c>
      <c r="J1744">
        <v>0</v>
      </c>
      <c r="K1744">
        <v>23</v>
      </c>
      <c r="L1744" s="4">
        <v>0.73592141056371196</v>
      </c>
      <c r="M1744" s="4">
        <v>0.26407858943628798</v>
      </c>
      <c r="N1744">
        <v>0</v>
      </c>
    </row>
    <row r="1745" spans="1:14" x14ac:dyDescent="0.25">
      <c r="A1745" s="2"/>
      <c r="B1745" t="s">
        <v>4367</v>
      </c>
      <c r="C1745" t="s">
        <v>16</v>
      </c>
      <c r="D1745" t="s">
        <v>547</v>
      </c>
      <c r="E1745" t="s">
        <v>3994</v>
      </c>
      <c r="F1745" t="s">
        <v>4131</v>
      </c>
      <c r="G1745" t="s">
        <v>4368</v>
      </c>
      <c r="H1745" s="3">
        <v>960.16</v>
      </c>
      <c r="I1745">
        <v>319</v>
      </c>
      <c r="J1745">
        <v>0</v>
      </c>
      <c r="K1745">
        <v>26</v>
      </c>
      <c r="L1745" s="4">
        <v>1.36618431361861E-2</v>
      </c>
      <c r="M1745" s="4">
        <v>0.98633815686381399</v>
      </c>
      <c r="N1745">
        <v>0</v>
      </c>
    </row>
    <row r="1746" spans="1:14" x14ac:dyDescent="0.25">
      <c r="A1746" s="2"/>
      <c r="B1746" t="s">
        <v>4369</v>
      </c>
      <c r="C1746" t="s">
        <v>16</v>
      </c>
      <c r="D1746" t="s">
        <v>547</v>
      </c>
      <c r="E1746" t="s">
        <v>3994</v>
      </c>
      <c r="F1746" t="s">
        <v>4131</v>
      </c>
      <c r="G1746" t="s">
        <v>4370</v>
      </c>
      <c r="H1746" s="3">
        <v>960.47</v>
      </c>
      <c r="I1746">
        <v>807</v>
      </c>
      <c r="J1746">
        <v>0</v>
      </c>
      <c r="L1746" s="4">
        <v>0.241264421419872</v>
      </c>
      <c r="M1746" s="4">
        <v>0.75873557858012897</v>
      </c>
      <c r="N1746">
        <v>0</v>
      </c>
    </row>
    <row r="1747" spans="1:14" x14ac:dyDescent="0.25">
      <c r="A1747" s="2"/>
      <c r="B1747" t="s">
        <v>4371</v>
      </c>
      <c r="C1747" t="s">
        <v>16</v>
      </c>
      <c r="D1747" t="s">
        <v>547</v>
      </c>
      <c r="E1747" t="s">
        <v>3994</v>
      </c>
      <c r="F1747" t="s">
        <v>4131</v>
      </c>
      <c r="G1747" t="s">
        <v>4372</v>
      </c>
      <c r="H1747" s="3">
        <v>961.31</v>
      </c>
      <c r="I1747">
        <v>245</v>
      </c>
      <c r="J1747">
        <v>0</v>
      </c>
      <c r="K1747">
        <v>46</v>
      </c>
      <c r="L1747" s="4">
        <v>0.60610060204858995</v>
      </c>
      <c r="M1747" s="4">
        <v>0.39389939795140999</v>
      </c>
      <c r="N1747">
        <v>0</v>
      </c>
    </row>
    <row r="1748" spans="1:14" x14ac:dyDescent="0.25">
      <c r="A1748" s="2"/>
      <c r="B1748" t="s">
        <v>4373</v>
      </c>
      <c r="C1748" t="s">
        <v>16</v>
      </c>
      <c r="D1748" t="s">
        <v>547</v>
      </c>
      <c r="E1748" t="s">
        <v>3994</v>
      </c>
      <c r="F1748" t="s">
        <v>4131</v>
      </c>
      <c r="G1748" t="s">
        <v>4374</v>
      </c>
      <c r="H1748" s="3">
        <v>961.31</v>
      </c>
      <c r="I1748">
        <v>65</v>
      </c>
      <c r="J1748">
        <v>1</v>
      </c>
      <c r="K1748">
        <v>7</v>
      </c>
      <c r="L1748" s="4">
        <v>0.242021050473472</v>
      </c>
      <c r="M1748" s="4">
        <v>0.757978949526528</v>
      </c>
      <c r="N1748">
        <v>0</v>
      </c>
    </row>
    <row r="1749" spans="1:14" x14ac:dyDescent="0.25">
      <c r="A1749" s="2"/>
      <c r="B1749" t="s">
        <v>127</v>
      </c>
      <c r="C1749" t="s">
        <v>16</v>
      </c>
      <c r="D1749" t="s">
        <v>547</v>
      </c>
      <c r="E1749" t="s">
        <v>3994</v>
      </c>
      <c r="F1749" t="s">
        <v>4131</v>
      </c>
      <c r="G1749" t="s">
        <v>4375</v>
      </c>
      <c r="H1749" s="3">
        <v>961.68</v>
      </c>
      <c r="I1749">
        <v>933</v>
      </c>
      <c r="J1749">
        <v>1</v>
      </c>
      <c r="K1749">
        <v>6</v>
      </c>
      <c r="L1749" s="4">
        <v>0.91234160722060398</v>
      </c>
      <c r="M1749" s="4">
        <v>8.7658392779396493E-2</v>
      </c>
      <c r="N1749">
        <v>0</v>
      </c>
    </row>
    <row r="1750" spans="1:14" x14ac:dyDescent="0.25">
      <c r="A1750" s="2"/>
      <c r="B1750" t="s">
        <v>4376</v>
      </c>
      <c r="C1750" t="s">
        <v>16</v>
      </c>
      <c r="D1750" t="s">
        <v>547</v>
      </c>
      <c r="E1750" t="s">
        <v>3994</v>
      </c>
      <c r="F1750" t="s">
        <v>4131</v>
      </c>
      <c r="G1750" t="s">
        <v>4377</v>
      </c>
      <c r="H1750" s="3">
        <v>961.68</v>
      </c>
      <c r="I1750">
        <v>191</v>
      </c>
      <c r="J1750">
        <v>0</v>
      </c>
      <c r="K1750">
        <v>38</v>
      </c>
      <c r="L1750" s="4">
        <v>0.32271420743698298</v>
      </c>
      <c r="M1750" s="4">
        <v>0.67728579256301702</v>
      </c>
      <c r="N1750">
        <v>0</v>
      </c>
    </row>
    <row r="1751" spans="1:14" x14ac:dyDescent="0.25">
      <c r="A1751" s="2"/>
      <c r="B1751" t="s">
        <v>4378</v>
      </c>
      <c r="C1751" t="s">
        <v>16</v>
      </c>
      <c r="D1751" t="s">
        <v>547</v>
      </c>
      <c r="E1751" t="s">
        <v>3994</v>
      </c>
      <c r="F1751" t="s">
        <v>4131</v>
      </c>
      <c r="G1751" t="s">
        <v>4379</v>
      </c>
      <c r="H1751" s="3">
        <v>961.68</v>
      </c>
      <c r="I1751">
        <v>52</v>
      </c>
      <c r="J1751">
        <v>0</v>
      </c>
      <c r="K1751">
        <v>11</v>
      </c>
      <c r="L1751" s="4">
        <v>0.96131154478649505</v>
      </c>
      <c r="M1751" s="4">
        <v>3.8688455213505099E-2</v>
      </c>
      <c r="N1751">
        <v>0</v>
      </c>
    </row>
    <row r="1752" spans="1:14" x14ac:dyDescent="0.25">
      <c r="A1752" s="2"/>
      <c r="B1752" t="s">
        <v>4380</v>
      </c>
      <c r="C1752" t="s">
        <v>16</v>
      </c>
      <c r="D1752" t="s">
        <v>547</v>
      </c>
      <c r="E1752" t="s">
        <v>3994</v>
      </c>
      <c r="F1752" t="s">
        <v>4131</v>
      </c>
      <c r="G1752" t="s">
        <v>4381</v>
      </c>
      <c r="H1752" s="3">
        <v>986.72</v>
      </c>
      <c r="I1752">
        <v>265</v>
      </c>
      <c r="J1752">
        <v>0</v>
      </c>
      <c r="K1752">
        <v>10</v>
      </c>
      <c r="L1752" s="4">
        <v>0.57410556121913603</v>
      </c>
      <c r="M1752" s="4">
        <v>0.42589443878086403</v>
      </c>
      <c r="N1752">
        <v>0</v>
      </c>
    </row>
    <row r="1753" spans="1:14" x14ac:dyDescent="0.25">
      <c r="A1753" s="2">
        <v>23372785</v>
      </c>
      <c r="B1753" t="s">
        <v>4382</v>
      </c>
      <c r="C1753" t="s">
        <v>31</v>
      </c>
      <c r="D1753" t="s">
        <v>547</v>
      </c>
      <c r="E1753" t="s">
        <v>3994</v>
      </c>
      <c r="F1753" t="s">
        <v>4131</v>
      </c>
      <c r="G1753" t="s">
        <v>4383</v>
      </c>
      <c r="H1753" s="3">
        <v>996.06</v>
      </c>
      <c r="I1753">
        <v>180</v>
      </c>
      <c r="J1753">
        <v>0</v>
      </c>
      <c r="K1753">
        <v>2</v>
      </c>
      <c r="L1753" s="4">
        <v>0.88218038477959104</v>
      </c>
      <c r="M1753" s="4">
        <v>0.11781961522041</v>
      </c>
      <c r="N1753">
        <v>0</v>
      </c>
    </row>
    <row r="1754" spans="1:14" x14ac:dyDescent="0.25">
      <c r="A1754" s="2"/>
      <c r="B1754" t="s">
        <v>4384</v>
      </c>
      <c r="C1754" t="s">
        <v>16</v>
      </c>
      <c r="D1754" t="s">
        <v>547</v>
      </c>
      <c r="E1754" t="s">
        <v>3994</v>
      </c>
      <c r="F1754" t="s">
        <v>4131</v>
      </c>
      <c r="G1754" t="s">
        <v>4385</v>
      </c>
      <c r="H1754" s="3">
        <v>1002.86</v>
      </c>
      <c r="I1754">
        <v>750</v>
      </c>
      <c r="J1754">
        <v>1</v>
      </c>
      <c r="L1754" s="4">
        <v>0.32510538008073597</v>
      </c>
      <c r="M1754" s="4">
        <v>0.67489461991926403</v>
      </c>
      <c r="N1754">
        <v>0</v>
      </c>
    </row>
    <row r="1755" spans="1:14" x14ac:dyDescent="0.25">
      <c r="A1755" s="2"/>
      <c r="B1755" t="s">
        <v>4386</v>
      </c>
      <c r="C1755" t="s">
        <v>16</v>
      </c>
      <c r="D1755" t="s">
        <v>547</v>
      </c>
      <c r="E1755" t="s">
        <v>3994</v>
      </c>
      <c r="F1755" t="s">
        <v>4131</v>
      </c>
      <c r="G1755" t="s">
        <v>4387</v>
      </c>
      <c r="H1755" s="3">
        <v>1005.86</v>
      </c>
      <c r="I1755">
        <v>99</v>
      </c>
      <c r="J1755">
        <v>0</v>
      </c>
      <c r="K1755">
        <v>25</v>
      </c>
      <c r="L1755" s="4">
        <v>0.97293477525084004</v>
      </c>
      <c r="M1755" s="4">
        <v>2.7065224749159601E-2</v>
      </c>
      <c r="N1755">
        <v>0</v>
      </c>
    </row>
    <row r="1756" spans="1:14" x14ac:dyDescent="0.25">
      <c r="A1756" s="2"/>
      <c r="B1756" t="s">
        <v>4388</v>
      </c>
      <c r="C1756" t="s">
        <v>16</v>
      </c>
      <c r="D1756" t="s">
        <v>547</v>
      </c>
      <c r="E1756" t="s">
        <v>3994</v>
      </c>
      <c r="F1756" t="s">
        <v>4131</v>
      </c>
      <c r="G1756" t="s">
        <v>4389</v>
      </c>
      <c r="H1756" s="3">
        <v>1005.96</v>
      </c>
      <c r="I1756">
        <v>883</v>
      </c>
      <c r="J1756">
        <v>0</v>
      </c>
      <c r="K1756">
        <v>13</v>
      </c>
      <c r="L1756" s="4">
        <v>0.438860960868661</v>
      </c>
      <c r="M1756" s="4">
        <v>0.561139039131339</v>
      </c>
      <c r="N1756">
        <v>0</v>
      </c>
    </row>
    <row r="1757" spans="1:14" x14ac:dyDescent="0.25">
      <c r="A1757" s="2"/>
      <c r="B1757" t="s">
        <v>4390</v>
      </c>
      <c r="C1757" t="s">
        <v>16</v>
      </c>
      <c r="D1757" t="s">
        <v>547</v>
      </c>
      <c r="E1757" t="s">
        <v>3994</v>
      </c>
      <c r="F1757" t="s">
        <v>4131</v>
      </c>
      <c r="G1757" t="s">
        <v>4391</v>
      </c>
      <c r="H1757" s="3">
        <v>1008.97</v>
      </c>
      <c r="I1757">
        <v>506</v>
      </c>
      <c r="J1757">
        <v>0</v>
      </c>
      <c r="K1757">
        <v>37</v>
      </c>
      <c r="L1757" s="4">
        <v>0.20430890030729901</v>
      </c>
      <c r="M1757" s="4">
        <v>0.79569109969270102</v>
      </c>
      <c r="N1757">
        <v>0</v>
      </c>
    </row>
    <row r="1758" spans="1:14" x14ac:dyDescent="0.25">
      <c r="A1758" s="2"/>
      <c r="B1758" t="s">
        <v>4392</v>
      </c>
      <c r="C1758" t="s">
        <v>16</v>
      </c>
      <c r="D1758" t="s">
        <v>547</v>
      </c>
      <c r="E1758" t="s">
        <v>3994</v>
      </c>
      <c r="F1758" t="s">
        <v>4131</v>
      </c>
      <c r="G1758" t="s">
        <v>4393</v>
      </c>
      <c r="H1758" s="3">
        <v>1009.98</v>
      </c>
      <c r="I1758">
        <v>171</v>
      </c>
      <c r="J1758">
        <v>1</v>
      </c>
      <c r="K1758">
        <v>23</v>
      </c>
      <c r="L1758" s="4">
        <v>0.45696411577836898</v>
      </c>
      <c r="M1758" s="4">
        <v>0.54303588422163096</v>
      </c>
      <c r="N1758">
        <v>0</v>
      </c>
    </row>
    <row r="1759" spans="1:14" x14ac:dyDescent="0.25">
      <c r="A1759" s="2"/>
      <c r="B1759" t="s">
        <v>4394</v>
      </c>
      <c r="C1759" t="s">
        <v>16</v>
      </c>
      <c r="D1759" t="s">
        <v>547</v>
      </c>
      <c r="E1759" t="s">
        <v>3994</v>
      </c>
      <c r="F1759" t="s">
        <v>4131</v>
      </c>
      <c r="G1759" t="s">
        <v>4395</v>
      </c>
      <c r="H1759" s="3">
        <v>1010.8</v>
      </c>
      <c r="I1759">
        <v>148</v>
      </c>
      <c r="J1759">
        <v>1</v>
      </c>
      <c r="K1759">
        <v>28</v>
      </c>
      <c r="L1759" s="4">
        <v>0.43513696939880597</v>
      </c>
      <c r="M1759" s="4">
        <v>0.56486303060119403</v>
      </c>
      <c r="N1759">
        <v>0</v>
      </c>
    </row>
    <row r="1760" spans="1:14" x14ac:dyDescent="0.25">
      <c r="A1760" s="2"/>
      <c r="B1760" t="s">
        <v>4396</v>
      </c>
      <c r="C1760" t="s">
        <v>16</v>
      </c>
      <c r="D1760" t="s">
        <v>547</v>
      </c>
      <c r="E1760" t="s">
        <v>3994</v>
      </c>
      <c r="F1760" t="s">
        <v>4131</v>
      </c>
      <c r="G1760" t="s">
        <v>4397</v>
      </c>
      <c r="H1760" s="3">
        <v>1013.03</v>
      </c>
      <c r="I1760">
        <v>513</v>
      </c>
      <c r="J1760">
        <v>1</v>
      </c>
      <c r="K1760">
        <v>43</v>
      </c>
      <c r="L1760" s="4">
        <v>0.36283112060634198</v>
      </c>
      <c r="M1760" s="4">
        <v>0.63716887939365796</v>
      </c>
      <c r="N1760">
        <v>0</v>
      </c>
    </row>
    <row r="1761" spans="1:14" x14ac:dyDescent="0.25">
      <c r="A1761" s="2"/>
      <c r="B1761" t="s">
        <v>4398</v>
      </c>
      <c r="C1761" t="s">
        <v>16</v>
      </c>
      <c r="D1761" t="s">
        <v>547</v>
      </c>
      <c r="E1761" t="s">
        <v>3994</v>
      </c>
      <c r="F1761" t="s">
        <v>4131</v>
      </c>
      <c r="G1761" t="s">
        <v>4399</v>
      </c>
      <c r="H1761" s="3">
        <v>1019.76</v>
      </c>
      <c r="I1761">
        <v>630</v>
      </c>
      <c r="J1761">
        <v>1</v>
      </c>
      <c r="K1761">
        <v>26</v>
      </c>
      <c r="L1761" s="4">
        <v>0.43027059224242997</v>
      </c>
      <c r="M1761" s="4">
        <v>0.56972940775756997</v>
      </c>
      <c r="N1761">
        <v>0</v>
      </c>
    </row>
    <row r="1762" spans="1:14" x14ac:dyDescent="0.25">
      <c r="A1762" s="2">
        <v>23285115</v>
      </c>
      <c r="C1762" t="s">
        <v>0</v>
      </c>
      <c r="D1762" t="s">
        <v>547</v>
      </c>
      <c r="E1762" t="s">
        <v>3994</v>
      </c>
      <c r="F1762" t="s">
        <v>4131</v>
      </c>
      <c r="G1762" t="s">
        <v>4400</v>
      </c>
      <c r="H1762" s="3">
        <v>1027.73</v>
      </c>
      <c r="I1762">
        <v>734</v>
      </c>
      <c r="J1762">
        <v>1</v>
      </c>
      <c r="K1762">
        <v>40</v>
      </c>
      <c r="L1762" s="4">
        <v>0.79074446205492499</v>
      </c>
      <c r="M1762" s="4">
        <v>0.20925553794507501</v>
      </c>
      <c r="N1762">
        <v>0</v>
      </c>
    </row>
    <row r="1763" spans="1:14" x14ac:dyDescent="0.25">
      <c r="A1763" s="2">
        <v>23285297</v>
      </c>
      <c r="C1763" t="s">
        <v>0</v>
      </c>
      <c r="D1763" t="s">
        <v>547</v>
      </c>
      <c r="E1763" t="s">
        <v>3994</v>
      </c>
      <c r="F1763" t="s">
        <v>4131</v>
      </c>
      <c r="G1763" t="s">
        <v>4401</v>
      </c>
      <c r="H1763" s="3">
        <v>1027.73</v>
      </c>
      <c r="I1763">
        <v>681</v>
      </c>
      <c r="J1763">
        <v>0</v>
      </c>
      <c r="K1763">
        <v>16</v>
      </c>
      <c r="L1763" s="4">
        <v>0.59624536422112195</v>
      </c>
      <c r="M1763" s="4">
        <v>0.40375463577887899</v>
      </c>
      <c r="N1763">
        <v>0</v>
      </c>
    </row>
    <row r="1764" spans="1:14" x14ac:dyDescent="0.25">
      <c r="A1764" s="2">
        <v>23251490</v>
      </c>
      <c r="B1764" t="s">
        <v>4402</v>
      </c>
      <c r="C1764" t="s">
        <v>31</v>
      </c>
      <c r="D1764" t="s">
        <v>547</v>
      </c>
      <c r="E1764" t="s">
        <v>3994</v>
      </c>
      <c r="F1764" t="s">
        <v>4131</v>
      </c>
      <c r="G1764" t="s">
        <v>4403</v>
      </c>
      <c r="H1764" s="3">
        <v>1034.95</v>
      </c>
      <c r="I1764">
        <v>545</v>
      </c>
      <c r="J1764">
        <v>0</v>
      </c>
      <c r="K1764">
        <v>14</v>
      </c>
      <c r="L1764" s="4">
        <v>0.92093913809450001</v>
      </c>
      <c r="M1764" s="4">
        <v>7.9060861905500601E-2</v>
      </c>
      <c r="N1764">
        <v>0</v>
      </c>
    </row>
    <row r="1765" spans="1:14" x14ac:dyDescent="0.25">
      <c r="A1765" s="2"/>
      <c r="B1765" t="s">
        <v>4404</v>
      </c>
      <c r="C1765" t="s">
        <v>16</v>
      </c>
      <c r="D1765" t="s">
        <v>547</v>
      </c>
      <c r="E1765" t="s">
        <v>3994</v>
      </c>
      <c r="F1765" t="s">
        <v>4131</v>
      </c>
      <c r="G1765" t="s">
        <v>4405</v>
      </c>
      <c r="H1765" s="3">
        <v>1036.3800000000001</v>
      </c>
      <c r="I1765">
        <v>712</v>
      </c>
      <c r="J1765">
        <v>0</v>
      </c>
      <c r="K1765">
        <v>14</v>
      </c>
      <c r="L1765" s="4">
        <v>0.61478680747058401</v>
      </c>
      <c r="M1765" s="4">
        <v>0.38521319252941599</v>
      </c>
      <c r="N1765">
        <v>0</v>
      </c>
    </row>
    <row r="1766" spans="1:14" x14ac:dyDescent="0.25">
      <c r="A1766" s="2"/>
      <c r="B1766" t="s">
        <v>4406</v>
      </c>
      <c r="C1766" t="s">
        <v>16</v>
      </c>
      <c r="D1766" t="s">
        <v>547</v>
      </c>
      <c r="E1766" t="s">
        <v>3994</v>
      </c>
      <c r="F1766" t="s">
        <v>4131</v>
      </c>
      <c r="G1766" t="s">
        <v>4407</v>
      </c>
      <c r="H1766" s="3">
        <v>1036.78</v>
      </c>
      <c r="I1766">
        <v>923</v>
      </c>
      <c r="J1766">
        <v>0</v>
      </c>
      <c r="L1766" s="4">
        <v>0.87253117254979695</v>
      </c>
      <c r="M1766" s="4">
        <v>0.12746882745020399</v>
      </c>
      <c r="N1766">
        <v>0</v>
      </c>
    </row>
    <row r="1767" spans="1:14" x14ac:dyDescent="0.25">
      <c r="A1767" s="2"/>
      <c r="B1767" t="s">
        <v>4408</v>
      </c>
      <c r="C1767" t="s">
        <v>16</v>
      </c>
      <c r="D1767" t="s">
        <v>547</v>
      </c>
      <c r="E1767" t="s">
        <v>3994</v>
      </c>
      <c r="F1767" t="s">
        <v>4131</v>
      </c>
      <c r="G1767" t="s">
        <v>4409</v>
      </c>
      <c r="H1767" s="3">
        <v>1040.21</v>
      </c>
      <c r="I1767">
        <v>37</v>
      </c>
      <c r="J1767">
        <v>1</v>
      </c>
      <c r="K1767">
        <v>10</v>
      </c>
      <c r="L1767" s="4">
        <v>0.25654336104351799</v>
      </c>
      <c r="M1767" s="4">
        <v>0.74345663895648195</v>
      </c>
      <c r="N1767">
        <v>0</v>
      </c>
    </row>
    <row r="1768" spans="1:14" x14ac:dyDescent="0.25">
      <c r="A1768" s="2">
        <v>23613774</v>
      </c>
      <c r="B1768" t="s">
        <v>4410</v>
      </c>
      <c r="C1768" t="s">
        <v>31</v>
      </c>
      <c r="D1768" t="s">
        <v>547</v>
      </c>
      <c r="E1768" t="s">
        <v>3994</v>
      </c>
      <c r="F1768" t="s">
        <v>4131</v>
      </c>
      <c r="G1768" t="s">
        <v>4411</v>
      </c>
      <c r="H1768" s="3">
        <v>1040.7</v>
      </c>
      <c r="I1768">
        <v>999</v>
      </c>
      <c r="J1768">
        <v>1</v>
      </c>
      <c r="K1768">
        <v>27</v>
      </c>
      <c r="L1768" s="4">
        <v>0.77919253566081004</v>
      </c>
      <c r="M1768" s="4">
        <v>0.22080746433918999</v>
      </c>
      <c r="N1768">
        <v>0</v>
      </c>
    </row>
    <row r="1769" spans="1:14" x14ac:dyDescent="0.25">
      <c r="A1769" s="2"/>
      <c r="B1769" t="s">
        <v>4412</v>
      </c>
      <c r="C1769" t="s">
        <v>16</v>
      </c>
      <c r="D1769" t="s">
        <v>547</v>
      </c>
      <c r="E1769" t="s">
        <v>3994</v>
      </c>
      <c r="F1769" t="s">
        <v>4131</v>
      </c>
      <c r="G1769" t="s">
        <v>4413</v>
      </c>
      <c r="H1769" s="3">
        <v>1040.75</v>
      </c>
      <c r="I1769">
        <v>238</v>
      </c>
      <c r="J1769">
        <v>1</v>
      </c>
      <c r="K1769">
        <v>28</v>
      </c>
      <c r="L1769" s="4">
        <v>0.76808040497848495</v>
      </c>
      <c r="M1769" s="4">
        <v>0.23191959502151499</v>
      </c>
      <c r="N1769">
        <v>0</v>
      </c>
    </row>
    <row r="1770" spans="1:14" x14ac:dyDescent="0.25">
      <c r="A1770" s="2"/>
      <c r="B1770" t="s">
        <v>4414</v>
      </c>
      <c r="C1770" t="s">
        <v>16</v>
      </c>
      <c r="D1770" t="s">
        <v>547</v>
      </c>
      <c r="E1770" t="s">
        <v>3994</v>
      </c>
      <c r="F1770" t="s">
        <v>4131</v>
      </c>
      <c r="G1770" t="s">
        <v>4415</v>
      </c>
      <c r="H1770" s="3">
        <v>1040.8699999999999</v>
      </c>
      <c r="I1770">
        <v>94</v>
      </c>
      <c r="K1770">
        <v>21</v>
      </c>
      <c r="L1770" s="4">
        <v>0.28379625444569401</v>
      </c>
      <c r="M1770" s="4">
        <v>0.71620374555430599</v>
      </c>
      <c r="N1770">
        <v>0</v>
      </c>
    </row>
    <row r="1771" spans="1:14" x14ac:dyDescent="0.25">
      <c r="A1771" s="2"/>
      <c r="B1771" t="s">
        <v>4416</v>
      </c>
      <c r="C1771" t="s">
        <v>16</v>
      </c>
      <c r="D1771" t="s">
        <v>547</v>
      </c>
      <c r="E1771" t="s">
        <v>3994</v>
      </c>
      <c r="F1771" t="s">
        <v>4131</v>
      </c>
      <c r="G1771" t="s">
        <v>4417</v>
      </c>
      <c r="H1771" s="3">
        <v>1041.6600000000001</v>
      </c>
      <c r="J1771">
        <v>0</v>
      </c>
      <c r="K1771">
        <v>11</v>
      </c>
      <c r="L1771" s="4">
        <v>1.0549253382101401E-2</v>
      </c>
      <c r="M1771" s="4">
        <v>0.989450746617899</v>
      </c>
      <c r="N1771">
        <v>0</v>
      </c>
    </row>
    <row r="1772" spans="1:14" x14ac:dyDescent="0.25">
      <c r="A1772" s="2">
        <v>23840430</v>
      </c>
      <c r="B1772" t="s">
        <v>4418</v>
      </c>
      <c r="C1772" t="s">
        <v>31</v>
      </c>
      <c r="D1772" t="s">
        <v>547</v>
      </c>
      <c r="E1772" t="s">
        <v>3994</v>
      </c>
      <c r="F1772" t="s">
        <v>4131</v>
      </c>
      <c r="G1772" t="s">
        <v>4419</v>
      </c>
      <c r="H1772" s="3">
        <v>1044.3499999999999</v>
      </c>
      <c r="I1772">
        <v>153</v>
      </c>
      <c r="J1772">
        <v>0</v>
      </c>
      <c r="K1772">
        <v>46</v>
      </c>
      <c r="L1772" s="4">
        <v>0.96495526812434396</v>
      </c>
      <c r="M1772" s="4">
        <v>3.5044731875655898E-2</v>
      </c>
      <c r="N1772">
        <v>0</v>
      </c>
    </row>
    <row r="1773" spans="1:14" x14ac:dyDescent="0.25">
      <c r="A1773" s="2"/>
      <c r="B1773" t="s">
        <v>4420</v>
      </c>
      <c r="C1773" t="s">
        <v>16</v>
      </c>
      <c r="D1773" t="s">
        <v>547</v>
      </c>
      <c r="E1773" t="s">
        <v>3994</v>
      </c>
      <c r="F1773" t="s">
        <v>4131</v>
      </c>
      <c r="G1773" t="s">
        <v>4421</v>
      </c>
      <c r="H1773" s="3">
        <v>1044.55</v>
      </c>
      <c r="I1773">
        <v>299</v>
      </c>
      <c r="J1773">
        <v>0</v>
      </c>
      <c r="K1773">
        <v>49</v>
      </c>
      <c r="L1773" s="4">
        <v>0.40504335541484998</v>
      </c>
      <c r="M1773" s="4">
        <v>0.59495664458514996</v>
      </c>
      <c r="N1773">
        <v>0</v>
      </c>
    </row>
    <row r="1774" spans="1:14" x14ac:dyDescent="0.25">
      <c r="A1774" s="2">
        <v>23613963</v>
      </c>
      <c r="C1774" t="s">
        <v>0</v>
      </c>
      <c r="D1774" t="s">
        <v>547</v>
      </c>
      <c r="E1774" t="s">
        <v>3994</v>
      </c>
      <c r="F1774" t="s">
        <v>4131</v>
      </c>
      <c r="G1774" t="s">
        <v>4422</v>
      </c>
      <c r="H1774" s="3">
        <v>1044.73</v>
      </c>
      <c r="I1774">
        <v>493</v>
      </c>
      <c r="J1774">
        <v>1</v>
      </c>
      <c r="K1774">
        <v>37</v>
      </c>
      <c r="L1774" s="4">
        <v>0.109826704192911</v>
      </c>
      <c r="M1774" s="4">
        <v>0.89017329580709004</v>
      </c>
      <c r="N1774">
        <v>0</v>
      </c>
    </row>
    <row r="1775" spans="1:14" x14ac:dyDescent="0.25">
      <c r="A1775" s="2"/>
      <c r="B1775" t="s">
        <v>4423</v>
      </c>
      <c r="C1775" t="s">
        <v>16</v>
      </c>
      <c r="D1775" t="s">
        <v>547</v>
      </c>
      <c r="E1775" t="s">
        <v>3994</v>
      </c>
      <c r="F1775" t="s">
        <v>4131</v>
      </c>
      <c r="G1775" t="s">
        <v>4424</v>
      </c>
      <c r="H1775" s="3">
        <v>1044.74</v>
      </c>
      <c r="J1775">
        <v>1</v>
      </c>
      <c r="K1775">
        <v>3</v>
      </c>
      <c r="L1775" s="4">
        <v>9.5548972301483497E-3</v>
      </c>
      <c r="M1775" s="4">
        <v>0.99044510276985198</v>
      </c>
      <c r="N1775">
        <v>0</v>
      </c>
    </row>
    <row r="1776" spans="1:14" x14ac:dyDescent="0.25">
      <c r="A1776" s="2"/>
      <c r="B1776" t="s">
        <v>4425</v>
      </c>
      <c r="C1776" t="s">
        <v>16</v>
      </c>
      <c r="D1776" t="s">
        <v>547</v>
      </c>
      <c r="E1776" t="s">
        <v>3994</v>
      </c>
      <c r="F1776" t="s">
        <v>4131</v>
      </c>
      <c r="G1776" t="s">
        <v>4426</v>
      </c>
      <c r="H1776" s="3">
        <v>1046.74</v>
      </c>
      <c r="I1776">
        <v>54</v>
      </c>
      <c r="J1776">
        <v>0</v>
      </c>
      <c r="K1776">
        <v>6</v>
      </c>
      <c r="L1776" s="4">
        <v>0.78345903712899601</v>
      </c>
      <c r="M1776" s="4">
        <v>0.21654096287100399</v>
      </c>
      <c r="N1776">
        <v>0</v>
      </c>
    </row>
    <row r="1777" spans="1:14" x14ac:dyDescent="0.25">
      <c r="A1777" s="2"/>
      <c r="B1777" t="s">
        <v>4427</v>
      </c>
      <c r="C1777" t="s">
        <v>16</v>
      </c>
      <c r="D1777" t="s">
        <v>547</v>
      </c>
      <c r="E1777" t="s">
        <v>3994</v>
      </c>
      <c r="F1777" t="s">
        <v>4131</v>
      </c>
      <c r="G1777" t="s">
        <v>4428</v>
      </c>
      <c r="H1777" s="3">
        <v>1047.02</v>
      </c>
      <c r="I1777">
        <v>830</v>
      </c>
      <c r="J1777">
        <v>0</v>
      </c>
      <c r="K1777">
        <v>38</v>
      </c>
      <c r="L1777" s="4">
        <v>0.26384123133755299</v>
      </c>
      <c r="M1777" s="4">
        <v>0.73615876866244701</v>
      </c>
      <c r="N1777">
        <v>0</v>
      </c>
    </row>
    <row r="1778" spans="1:14" x14ac:dyDescent="0.25">
      <c r="A1778" s="2"/>
      <c r="B1778" t="s">
        <v>4429</v>
      </c>
      <c r="C1778" t="s">
        <v>16</v>
      </c>
      <c r="D1778" t="s">
        <v>547</v>
      </c>
      <c r="E1778" t="s">
        <v>3994</v>
      </c>
      <c r="F1778" t="s">
        <v>4131</v>
      </c>
      <c r="G1778" t="s">
        <v>4430</v>
      </c>
      <c r="H1778" s="3">
        <v>1047.25</v>
      </c>
      <c r="I1778">
        <v>311</v>
      </c>
      <c r="J1778">
        <v>1</v>
      </c>
      <c r="K1778">
        <v>33</v>
      </c>
      <c r="L1778" s="4">
        <v>0.52196354183920601</v>
      </c>
      <c r="M1778" s="4">
        <v>0.47803645816079399</v>
      </c>
      <c r="N1778">
        <v>0</v>
      </c>
    </row>
    <row r="1779" spans="1:14" x14ac:dyDescent="0.25">
      <c r="A1779" s="2"/>
      <c r="B1779" t="s">
        <v>4431</v>
      </c>
      <c r="C1779" t="s">
        <v>16</v>
      </c>
      <c r="D1779" t="s">
        <v>547</v>
      </c>
      <c r="E1779" t="s">
        <v>3994</v>
      </c>
      <c r="F1779" t="s">
        <v>4131</v>
      </c>
      <c r="G1779" t="s">
        <v>4432</v>
      </c>
      <c r="H1779" s="3">
        <v>1047.25</v>
      </c>
      <c r="I1779">
        <v>130</v>
      </c>
      <c r="J1779">
        <v>1</v>
      </c>
      <c r="K1779">
        <v>4</v>
      </c>
      <c r="L1779" s="4">
        <v>0.31204650784643101</v>
      </c>
      <c r="M1779" s="4">
        <v>0.68795349215356905</v>
      </c>
      <c r="N1779">
        <v>0</v>
      </c>
    </row>
    <row r="1780" spans="1:14" x14ac:dyDescent="0.25">
      <c r="A1780" s="2"/>
      <c r="B1780" t="s">
        <v>4433</v>
      </c>
      <c r="C1780" t="s">
        <v>16</v>
      </c>
      <c r="D1780" t="s">
        <v>547</v>
      </c>
      <c r="E1780" t="s">
        <v>3994</v>
      </c>
      <c r="F1780" t="s">
        <v>4131</v>
      </c>
      <c r="G1780" t="s">
        <v>4434</v>
      </c>
      <c r="H1780" s="3">
        <v>1048.79</v>
      </c>
      <c r="I1780">
        <v>663</v>
      </c>
      <c r="J1780">
        <v>1</v>
      </c>
      <c r="K1780">
        <v>35</v>
      </c>
      <c r="L1780" s="4">
        <v>0.60412165665904505</v>
      </c>
      <c r="M1780" s="4">
        <v>0.39587834334095501</v>
      </c>
      <c r="N1780">
        <v>0</v>
      </c>
    </row>
    <row r="1781" spans="1:14" x14ac:dyDescent="0.25">
      <c r="A1781" s="2"/>
      <c r="B1781" t="s">
        <v>4435</v>
      </c>
      <c r="C1781" t="s">
        <v>16</v>
      </c>
      <c r="D1781" t="s">
        <v>547</v>
      </c>
      <c r="E1781" t="s">
        <v>3994</v>
      </c>
      <c r="F1781" t="s">
        <v>4131</v>
      </c>
      <c r="G1781" t="s">
        <v>4436</v>
      </c>
      <c r="H1781" s="3">
        <v>1056.24</v>
      </c>
      <c r="I1781">
        <v>805</v>
      </c>
      <c r="J1781">
        <v>0</v>
      </c>
      <c r="K1781">
        <v>32</v>
      </c>
      <c r="L1781" s="4">
        <v>9.2734256586647898E-2</v>
      </c>
      <c r="M1781" s="4">
        <v>0.90726574341335198</v>
      </c>
      <c r="N1781">
        <v>0</v>
      </c>
    </row>
    <row r="1782" spans="1:14" x14ac:dyDescent="0.25">
      <c r="A1782" s="2"/>
      <c r="B1782" t="s">
        <v>4437</v>
      </c>
      <c r="C1782" t="s">
        <v>16</v>
      </c>
      <c r="D1782" t="s">
        <v>547</v>
      </c>
      <c r="E1782" t="s">
        <v>3994</v>
      </c>
      <c r="F1782" t="s">
        <v>4131</v>
      </c>
      <c r="G1782" t="s">
        <v>4438</v>
      </c>
      <c r="H1782" s="3">
        <v>1057.92</v>
      </c>
      <c r="I1782">
        <v>281</v>
      </c>
      <c r="J1782">
        <v>0</v>
      </c>
      <c r="K1782">
        <v>5</v>
      </c>
      <c r="L1782" s="4">
        <v>0.97317760739889103</v>
      </c>
      <c r="M1782" s="4">
        <v>2.6822392601109201E-2</v>
      </c>
      <c r="N1782">
        <v>0</v>
      </c>
    </row>
    <row r="1783" spans="1:14" x14ac:dyDescent="0.25">
      <c r="A1783" s="2">
        <v>23505454</v>
      </c>
      <c r="C1783" t="s">
        <v>0</v>
      </c>
      <c r="D1783" t="s">
        <v>547</v>
      </c>
      <c r="E1783" t="s">
        <v>3994</v>
      </c>
      <c r="F1783" t="s">
        <v>4131</v>
      </c>
      <c r="G1783" t="s">
        <v>4439</v>
      </c>
      <c r="H1783" s="3">
        <v>1060</v>
      </c>
      <c r="I1783">
        <v>159</v>
      </c>
      <c r="J1783">
        <v>0</v>
      </c>
      <c r="K1783">
        <v>20</v>
      </c>
      <c r="L1783" s="4">
        <v>0.96766624051502903</v>
      </c>
      <c r="M1783" s="4">
        <v>3.2333759484971303E-2</v>
      </c>
      <c r="N1783">
        <v>0</v>
      </c>
    </row>
    <row r="1784" spans="1:14" x14ac:dyDescent="0.25">
      <c r="A1784" s="2"/>
      <c r="B1784" t="s">
        <v>4440</v>
      </c>
      <c r="C1784" t="s">
        <v>16</v>
      </c>
      <c r="D1784" t="s">
        <v>547</v>
      </c>
      <c r="E1784" t="s">
        <v>3994</v>
      </c>
      <c r="F1784" t="s">
        <v>4131</v>
      </c>
      <c r="G1784" t="s">
        <v>4441</v>
      </c>
      <c r="H1784" s="3">
        <v>1060.06</v>
      </c>
      <c r="I1784">
        <v>470</v>
      </c>
      <c r="J1784">
        <v>0</v>
      </c>
      <c r="K1784">
        <v>23</v>
      </c>
      <c r="L1784" s="4">
        <v>0.100020501022862</v>
      </c>
      <c r="M1784" s="4">
        <v>0.89997949897713803</v>
      </c>
      <c r="N1784">
        <v>0</v>
      </c>
    </row>
    <row r="1785" spans="1:14" x14ac:dyDescent="0.25">
      <c r="A1785" s="2"/>
      <c r="B1785" t="s">
        <v>4442</v>
      </c>
      <c r="C1785" t="s">
        <v>16</v>
      </c>
      <c r="D1785" t="s">
        <v>547</v>
      </c>
      <c r="E1785" t="s">
        <v>3994</v>
      </c>
      <c r="F1785" t="s">
        <v>4131</v>
      </c>
      <c r="G1785" t="s">
        <v>4443</v>
      </c>
      <c r="H1785" s="3">
        <v>1063.55</v>
      </c>
      <c r="I1785">
        <v>717</v>
      </c>
      <c r="J1785">
        <v>0</v>
      </c>
      <c r="K1785">
        <v>21</v>
      </c>
      <c r="L1785" s="4">
        <v>0.74509611621818095</v>
      </c>
      <c r="M1785" s="4">
        <v>0.254903883781819</v>
      </c>
      <c r="N1785">
        <v>0</v>
      </c>
    </row>
    <row r="1786" spans="1:14" x14ac:dyDescent="0.25">
      <c r="A1786" s="2"/>
      <c r="B1786" t="s">
        <v>4444</v>
      </c>
      <c r="C1786" t="s">
        <v>16</v>
      </c>
      <c r="D1786" t="s">
        <v>547</v>
      </c>
      <c r="E1786" t="s">
        <v>3994</v>
      </c>
      <c r="F1786" t="s">
        <v>4131</v>
      </c>
      <c r="G1786" t="s">
        <v>4445</v>
      </c>
      <c r="H1786" s="3">
        <v>1063.69</v>
      </c>
      <c r="I1786">
        <v>433</v>
      </c>
      <c r="J1786">
        <v>0</v>
      </c>
      <c r="K1786">
        <v>27</v>
      </c>
      <c r="L1786" s="4">
        <v>0.63456444440481197</v>
      </c>
      <c r="M1786" s="4">
        <v>0.36543555559518798</v>
      </c>
      <c r="N1786">
        <v>0</v>
      </c>
    </row>
    <row r="1787" spans="1:14" x14ac:dyDescent="0.25">
      <c r="A1787" s="2">
        <v>24023766</v>
      </c>
      <c r="B1787" t="s">
        <v>4446</v>
      </c>
      <c r="C1787" t="s">
        <v>31</v>
      </c>
      <c r="D1787" t="s">
        <v>547</v>
      </c>
      <c r="E1787" t="s">
        <v>3994</v>
      </c>
      <c r="F1787" t="s">
        <v>4131</v>
      </c>
      <c r="G1787" t="s">
        <v>4447</v>
      </c>
      <c r="H1787" s="3">
        <v>1063.69</v>
      </c>
      <c r="I1787">
        <v>874</v>
      </c>
      <c r="J1787">
        <v>1</v>
      </c>
      <c r="K1787">
        <v>11</v>
      </c>
      <c r="L1787" s="4">
        <v>0.40933648631898101</v>
      </c>
      <c r="M1787" s="4">
        <v>0.59066351368101899</v>
      </c>
      <c r="N1787">
        <v>0</v>
      </c>
    </row>
    <row r="1788" spans="1:14" x14ac:dyDescent="0.25">
      <c r="A1788" s="2"/>
      <c r="B1788" t="s">
        <v>4448</v>
      </c>
      <c r="C1788" t="s">
        <v>16</v>
      </c>
      <c r="D1788" t="s">
        <v>547</v>
      </c>
      <c r="E1788" t="s">
        <v>3994</v>
      </c>
      <c r="F1788" t="s">
        <v>4131</v>
      </c>
      <c r="G1788" t="s">
        <v>4449</v>
      </c>
      <c r="H1788" s="3">
        <v>1064.04</v>
      </c>
      <c r="I1788">
        <v>808</v>
      </c>
      <c r="J1788">
        <v>1</v>
      </c>
      <c r="K1788">
        <v>29</v>
      </c>
      <c r="L1788" s="4">
        <v>0.41011226631849501</v>
      </c>
      <c r="M1788" s="4">
        <v>0.58988773368150504</v>
      </c>
      <c r="N1788">
        <v>0</v>
      </c>
    </row>
    <row r="1789" spans="1:14" x14ac:dyDescent="0.25">
      <c r="A1789" s="2"/>
      <c r="B1789" t="s">
        <v>4450</v>
      </c>
      <c r="C1789" t="s">
        <v>16</v>
      </c>
      <c r="D1789" t="s">
        <v>547</v>
      </c>
      <c r="E1789" t="s">
        <v>3994</v>
      </c>
      <c r="F1789" t="s">
        <v>4131</v>
      </c>
      <c r="G1789" t="s">
        <v>4451</v>
      </c>
      <c r="H1789" s="3">
        <v>1064.04</v>
      </c>
      <c r="I1789">
        <v>218</v>
      </c>
      <c r="J1789">
        <v>1</v>
      </c>
      <c r="K1789">
        <v>23</v>
      </c>
      <c r="L1789" s="4">
        <v>0.25572823575115</v>
      </c>
      <c r="M1789" s="4">
        <v>0.74427176424885</v>
      </c>
      <c r="N1789">
        <v>0</v>
      </c>
    </row>
    <row r="1790" spans="1:14" x14ac:dyDescent="0.25">
      <c r="A1790" s="2"/>
      <c r="B1790" t="s">
        <v>4452</v>
      </c>
      <c r="C1790" t="s">
        <v>16</v>
      </c>
      <c r="D1790" t="s">
        <v>547</v>
      </c>
      <c r="E1790" t="s">
        <v>3994</v>
      </c>
      <c r="F1790" t="s">
        <v>4131</v>
      </c>
      <c r="G1790" t="s">
        <v>4453</v>
      </c>
      <c r="H1790" s="3">
        <v>1064.22</v>
      </c>
      <c r="I1790">
        <v>668</v>
      </c>
      <c r="J1790">
        <v>1</v>
      </c>
      <c r="K1790">
        <v>36</v>
      </c>
      <c r="L1790" s="4">
        <v>6.4806225906863496E-2</v>
      </c>
      <c r="M1790" s="4">
        <v>0.93519377409313698</v>
      </c>
      <c r="N1790">
        <v>0</v>
      </c>
    </row>
    <row r="1791" spans="1:14" x14ac:dyDescent="0.25">
      <c r="A1791" s="2"/>
      <c r="B1791" t="s">
        <v>4454</v>
      </c>
      <c r="C1791" t="s">
        <v>16</v>
      </c>
      <c r="D1791" t="s">
        <v>547</v>
      </c>
      <c r="E1791" t="s">
        <v>3994</v>
      </c>
      <c r="F1791" t="s">
        <v>4131</v>
      </c>
      <c r="G1791" t="s">
        <v>4455</v>
      </c>
      <c r="H1791" s="3">
        <v>1065.58</v>
      </c>
      <c r="I1791">
        <v>361</v>
      </c>
      <c r="J1791">
        <v>1</v>
      </c>
      <c r="K1791">
        <v>14</v>
      </c>
      <c r="L1791" s="4">
        <v>0.56567857541154998</v>
      </c>
      <c r="M1791" s="4">
        <v>0.43432142458845002</v>
      </c>
      <c r="N1791">
        <v>0</v>
      </c>
    </row>
    <row r="1792" spans="1:14" x14ac:dyDescent="0.25">
      <c r="A1792" s="2"/>
      <c r="B1792" t="s">
        <v>4456</v>
      </c>
      <c r="C1792" t="s">
        <v>16</v>
      </c>
      <c r="D1792" t="s">
        <v>547</v>
      </c>
      <c r="E1792" t="s">
        <v>3994</v>
      </c>
      <c r="F1792" t="s">
        <v>4131</v>
      </c>
      <c r="G1792" t="s">
        <v>4457</v>
      </c>
      <c r="H1792" s="3">
        <v>1068.1099999999999</v>
      </c>
      <c r="I1792">
        <v>127</v>
      </c>
      <c r="J1792">
        <v>1</v>
      </c>
      <c r="L1792" s="4">
        <v>0.576737088805924</v>
      </c>
      <c r="M1792" s="4">
        <v>0.423262911194076</v>
      </c>
      <c r="N1792">
        <v>0</v>
      </c>
    </row>
    <row r="1793" spans="1:14" x14ac:dyDescent="0.25">
      <c r="A1793" s="2"/>
      <c r="B1793" t="s">
        <v>4458</v>
      </c>
      <c r="C1793" t="s">
        <v>16</v>
      </c>
      <c r="D1793" t="s">
        <v>547</v>
      </c>
      <c r="E1793" t="s">
        <v>3994</v>
      </c>
      <c r="F1793" t="s">
        <v>4131</v>
      </c>
      <c r="G1793" t="s">
        <v>4459</v>
      </c>
      <c r="H1793" s="3">
        <v>1068.1199999999999</v>
      </c>
      <c r="I1793">
        <v>976</v>
      </c>
      <c r="J1793">
        <v>0</v>
      </c>
      <c r="K1793">
        <v>12</v>
      </c>
      <c r="L1793" s="4">
        <v>0.21085857380678699</v>
      </c>
      <c r="M1793" s="4">
        <v>0.78914142619321304</v>
      </c>
      <c r="N1793">
        <v>0</v>
      </c>
    </row>
    <row r="1794" spans="1:14" x14ac:dyDescent="0.25">
      <c r="A1794" s="2"/>
      <c r="B1794" t="s">
        <v>4460</v>
      </c>
      <c r="C1794" t="s">
        <v>16</v>
      </c>
      <c r="D1794" t="s">
        <v>547</v>
      </c>
      <c r="E1794" t="s">
        <v>3994</v>
      </c>
      <c r="F1794" t="s">
        <v>4131</v>
      </c>
      <c r="G1794" t="s">
        <v>4461</v>
      </c>
      <c r="H1794" s="3">
        <v>1068.1199999999999</v>
      </c>
      <c r="I1794">
        <v>602</v>
      </c>
      <c r="J1794">
        <v>0</v>
      </c>
      <c r="K1794">
        <v>18</v>
      </c>
      <c r="L1794" s="4">
        <v>0.22711351270830299</v>
      </c>
      <c r="M1794" s="4">
        <v>0.77288648729169696</v>
      </c>
      <c r="N1794">
        <v>0</v>
      </c>
    </row>
    <row r="1795" spans="1:14" x14ac:dyDescent="0.25">
      <c r="A1795" s="2"/>
      <c r="B1795" t="s">
        <v>4462</v>
      </c>
      <c r="C1795" t="s">
        <v>16</v>
      </c>
      <c r="D1795" t="s">
        <v>547</v>
      </c>
      <c r="E1795" t="s">
        <v>3994</v>
      </c>
      <c r="F1795" t="s">
        <v>4131</v>
      </c>
      <c r="G1795" t="s">
        <v>4463</v>
      </c>
      <c r="H1795" s="3">
        <v>1068.19</v>
      </c>
      <c r="I1795">
        <v>436</v>
      </c>
      <c r="J1795">
        <v>1</v>
      </c>
      <c r="K1795">
        <v>16</v>
      </c>
      <c r="L1795" s="4">
        <v>0.85720200667444302</v>
      </c>
      <c r="M1795" s="4">
        <v>0.14279799332555701</v>
      </c>
      <c r="N1795">
        <v>0</v>
      </c>
    </row>
    <row r="1796" spans="1:14" x14ac:dyDescent="0.25">
      <c r="A1796" s="2"/>
      <c r="B1796" t="s">
        <v>4464</v>
      </c>
      <c r="C1796" t="s">
        <v>16</v>
      </c>
      <c r="D1796" t="s">
        <v>547</v>
      </c>
      <c r="E1796" t="s">
        <v>3994</v>
      </c>
      <c r="F1796" t="s">
        <v>4131</v>
      </c>
      <c r="G1796" t="s">
        <v>4465</v>
      </c>
      <c r="H1796" s="3">
        <v>1068.23</v>
      </c>
      <c r="I1796">
        <v>842</v>
      </c>
      <c r="J1796">
        <v>0</v>
      </c>
      <c r="K1796">
        <v>16</v>
      </c>
      <c r="L1796" s="4">
        <v>4.4306012426176301E-3</v>
      </c>
      <c r="M1796" s="4">
        <v>0.99556939875738204</v>
      </c>
      <c r="N1796">
        <v>0</v>
      </c>
    </row>
    <row r="1797" spans="1:14" x14ac:dyDescent="0.25">
      <c r="A1797" s="2"/>
      <c r="B1797" t="s">
        <v>4466</v>
      </c>
      <c r="C1797" t="s">
        <v>16</v>
      </c>
      <c r="D1797" t="s">
        <v>547</v>
      </c>
      <c r="E1797" t="s">
        <v>3994</v>
      </c>
      <c r="F1797" t="s">
        <v>4131</v>
      </c>
      <c r="G1797" t="s">
        <v>4467</v>
      </c>
      <c r="H1797" s="3">
        <v>1072.8499999999999</v>
      </c>
      <c r="I1797">
        <v>820</v>
      </c>
      <c r="J1797">
        <v>0</v>
      </c>
      <c r="K1797">
        <v>18</v>
      </c>
      <c r="L1797" s="4">
        <v>0.98892899323299899</v>
      </c>
      <c r="M1797" s="4">
        <v>1.10710067670009E-2</v>
      </c>
      <c r="N1797">
        <v>0</v>
      </c>
    </row>
    <row r="1798" spans="1:14" x14ac:dyDescent="0.25">
      <c r="A1798" s="2"/>
      <c r="B1798" t="s">
        <v>4468</v>
      </c>
      <c r="C1798" t="s">
        <v>16</v>
      </c>
      <c r="D1798" t="s">
        <v>547</v>
      </c>
      <c r="E1798" t="s">
        <v>3994</v>
      </c>
      <c r="F1798" t="s">
        <v>4131</v>
      </c>
      <c r="G1798" t="s">
        <v>4469</v>
      </c>
      <c r="H1798" s="3">
        <v>1072.92</v>
      </c>
      <c r="I1798">
        <v>274</v>
      </c>
      <c r="J1798">
        <v>0</v>
      </c>
      <c r="K1798">
        <v>27</v>
      </c>
      <c r="L1798" s="4">
        <v>0.43190722297767697</v>
      </c>
      <c r="M1798" s="4">
        <v>0.56809277702232297</v>
      </c>
      <c r="N1798">
        <v>0</v>
      </c>
    </row>
    <row r="1799" spans="1:14" x14ac:dyDescent="0.25">
      <c r="A1799" s="2">
        <v>23922795</v>
      </c>
      <c r="C1799" t="s">
        <v>0</v>
      </c>
      <c r="D1799" t="s">
        <v>547</v>
      </c>
      <c r="E1799" t="s">
        <v>3994</v>
      </c>
      <c r="F1799" t="s">
        <v>4131</v>
      </c>
      <c r="G1799" t="s">
        <v>4470</v>
      </c>
      <c r="H1799" s="3">
        <v>1075.98</v>
      </c>
      <c r="I1799">
        <v>315</v>
      </c>
      <c r="J1799">
        <v>0</v>
      </c>
      <c r="K1799">
        <v>14</v>
      </c>
      <c r="L1799" s="4">
        <v>0.97788104819184796</v>
      </c>
      <c r="M1799" s="4">
        <v>2.2118951808152001E-2</v>
      </c>
      <c r="N1799">
        <v>0</v>
      </c>
    </row>
    <row r="1800" spans="1:14" x14ac:dyDescent="0.25">
      <c r="A1800" s="2"/>
      <c r="B1800" t="s">
        <v>4471</v>
      </c>
      <c r="C1800" t="s">
        <v>16</v>
      </c>
      <c r="D1800" t="s">
        <v>547</v>
      </c>
      <c r="E1800" t="s">
        <v>3994</v>
      </c>
      <c r="F1800" t="s">
        <v>4131</v>
      </c>
      <c r="G1800" t="s">
        <v>4472</v>
      </c>
      <c r="H1800" s="3">
        <v>1076.94</v>
      </c>
      <c r="I1800">
        <v>294</v>
      </c>
      <c r="J1800">
        <v>0</v>
      </c>
      <c r="K1800">
        <v>2</v>
      </c>
      <c r="L1800" s="4">
        <v>0.44995695716189099</v>
      </c>
      <c r="M1800" s="4">
        <v>0.55004304283810901</v>
      </c>
      <c r="N1800">
        <v>0</v>
      </c>
    </row>
    <row r="1801" spans="1:14" x14ac:dyDescent="0.25">
      <c r="A1801" s="2">
        <v>23451279</v>
      </c>
      <c r="C1801" t="s">
        <v>0</v>
      </c>
      <c r="D1801" t="s">
        <v>547</v>
      </c>
      <c r="E1801" t="s">
        <v>3994</v>
      </c>
      <c r="F1801" t="s">
        <v>4131</v>
      </c>
      <c r="G1801" t="s">
        <v>4473</v>
      </c>
      <c r="H1801" s="3">
        <v>1079.6400000000001</v>
      </c>
      <c r="J1801">
        <v>0</v>
      </c>
      <c r="K1801">
        <v>27</v>
      </c>
      <c r="L1801" s="4">
        <v>8.8667192414358907E-3</v>
      </c>
      <c r="M1801" s="4">
        <v>0.99113328075856399</v>
      </c>
      <c r="N1801">
        <v>0</v>
      </c>
    </row>
    <row r="1802" spans="1:14" x14ac:dyDescent="0.25">
      <c r="A1802" s="2">
        <v>23805333</v>
      </c>
      <c r="C1802" t="s">
        <v>0</v>
      </c>
      <c r="D1802" t="s">
        <v>547</v>
      </c>
      <c r="E1802" t="s">
        <v>3994</v>
      </c>
      <c r="F1802" t="s">
        <v>4131</v>
      </c>
      <c r="G1802" t="s">
        <v>4474</v>
      </c>
      <c r="H1802" s="3">
        <v>1085.6099999999999</v>
      </c>
      <c r="I1802">
        <v>552</v>
      </c>
      <c r="J1802">
        <v>1</v>
      </c>
      <c r="K1802">
        <v>10</v>
      </c>
      <c r="L1802" s="4">
        <v>0.93751391130692596</v>
      </c>
      <c r="M1802" s="4">
        <v>6.2486088693073802E-2</v>
      </c>
      <c r="N1802">
        <v>0</v>
      </c>
    </row>
    <row r="1803" spans="1:14" x14ac:dyDescent="0.25">
      <c r="A1803" s="2"/>
      <c r="B1803" t="s">
        <v>4475</v>
      </c>
      <c r="C1803" t="s">
        <v>16</v>
      </c>
      <c r="D1803" t="s">
        <v>547</v>
      </c>
      <c r="E1803" t="s">
        <v>3994</v>
      </c>
      <c r="F1803" t="s">
        <v>4131</v>
      </c>
      <c r="G1803" t="s">
        <v>4476</v>
      </c>
      <c r="H1803" s="3">
        <v>1331.13</v>
      </c>
      <c r="I1803">
        <v>878</v>
      </c>
      <c r="J1803">
        <v>0</v>
      </c>
      <c r="K1803">
        <v>22</v>
      </c>
      <c r="L1803" s="4">
        <v>0.83640285234689904</v>
      </c>
      <c r="M1803" s="4">
        <v>0.16359714765310099</v>
      </c>
      <c r="N1803">
        <v>0</v>
      </c>
    </row>
    <row r="1804" spans="1:14" x14ac:dyDescent="0.25">
      <c r="A1804" s="2">
        <v>23967111</v>
      </c>
      <c r="C1804" t="s">
        <v>0</v>
      </c>
      <c r="D1804" t="s">
        <v>547</v>
      </c>
      <c r="E1804" t="s">
        <v>3994</v>
      </c>
      <c r="F1804" t="s">
        <v>4131</v>
      </c>
      <c r="G1804" t="s">
        <v>4477</v>
      </c>
      <c r="H1804" s="3">
        <v>1395.78</v>
      </c>
      <c r="I1804">
        <v>124</v>
      </c>
      <c r="J1804">
        <v>0</v>
      </c>
      <c r="L1804" s="4">
        <v>0.51053164096047998</v>
      </c>
      <c r="M1804" s="4">
        <v>0.48946835903952102</v>
      </c>
      <c r="N1804">
        <v>0</v>
      </c>
    </row>
    <row r="1805" spans="1:14" x14ac:dyDescent="0.25">
      <c r="A1805" s="2"/>
      <c r="B1805" t="s">
        <v>4478</v>
      </c>
      <c r="C1805" t="s">
        <v>16</v>
      </c>
      <c r="D1805" t="s">
        <v>547</v>
      </c>
      <c r="E1805" t="s">
        <v>3994</v>
      </c>
      <c r="F1805" t="s">
        <v>4131</v>
      </c>
      <c r="G1805" t="s">
        <v>4479</v>
      </c>
      <c r="H1805" s="3">
        <v>1541.48</v>
      </c>
      <c r="I1805">
        <v>732</v>
      </c>
      <c r="J1805">
        <v>1</v>
      </c>
      <c r="K1805">
        <v>42</v>
      </c>
      <c r="L1805" s="4">
        <v>0.85941264388445504</v>
      </c>
      <c r="M1805" s="4">
        <v>0.14058735611554499</v>
      </c>
      <c r="N1805">
        <v>0</v>
      </c>
    </row>
    <row r="1806" spans="1:14" x14ac:dyDescent="0.25">
      <c r="A1806" s="2">
        <v>23991236</v>
      </c>
      <c r="C1806" t="s">
        <v>0</v>
      </c>
      <c r="D1806" t="s">
        <v>547</v>
      </c>
      <c r="E1806" t="s">
        <v>3994</v>
      </c>
      <c r="F1806" t="s">
        <v>4131</v>
      </c>
      <c r="G1806" t="s">
        <v>4480</v>
      </c>
      <c r="H1806" s="3">
        <v>1692</v>
      </c>
      <c r="I1806">
        <v>823</v>
      </c>
      <c r="J1806">
        <v>0</v>
      </c>
      <c r="K1806">
        <v>48</v>
      </c>
      <c r="L1806" s="4">
        <v>0.52359884547368896</v>
      </c>
      <c r="M1806" s="4">
        <v>0.47640115452631099</v>
      </c>
      <c r="N1806">
        <v>0</v>
      </c>
    </row>
    <row r="1807" spans="1:14" x14ac:dyDescent="0.25">
      <c r="A1807" s="2">
        <v>23853603</v>
      </c>
      <c r="C1807" t="s">
        <v>0</v>
      </c>
      <c r="D1807" t="s">
        <v>547</v>
      </c>
      <c r="E1807" t="s">
        <v>3994</v>
      </c>
      <c r="F1807" t="s">
        <v>4131</v>
      </c>
      <c r="G1807" t="s">
        <v>4481</v>
      </c>
      <c r="H1807" s="3">
        <v>1745</v>
      </c>
      <c r="I1807">
        <v>101</v>
      </c>
      <c r="J1807">
        <v>0</v>
      </c>
      <c r="K1807">
        <v>4</v>
      </c>
      <c r="L1807" s="4">
        <v>0.53697223324903098</v>
      </c>
      <c r="M1807" s="4">
        <v>0.46302776675096902</v>
      </c>
      <c r="N1807">
        <v>0</v>
      </c>
    </row>
    <row r="1808" spans="1:14" x14ac:dyDescent="0.25">
      <c r="A1808" s="2"/>
      <c r="B1808" t="s">
        <v>4482</v>
      </c>
      <c r="C1808" t="s">
        <v>16</v>
      </c>
      <c r="D1808" t="s">
        <v>547</v>
      </c>
      <c r="E1808" t="s">
        <v>3994</v>
      </c>
      <c r="F1808" t="s">
        <v>4131</v>
      </c>
      <c r="G1808" t="s">
        <v>4483</v>
      </c>
      <c r="H1808" s="3">
        <v>1775.5</v>
      </c>
      <c r="I1808">
        <v>142</v>
      </c>
      <c r="J1808">
        <v>0</v>
      </c>
      <c r="K1808">
        <v>48</v>
      </c>
      <c r="L1808" s="4">
        <v>0.21554321280747499</v>
      </c>
      <c r="M1808" s="4">
        <v>0.78445678719252498</v>
      </c>
      <c r="N1808">
        <v>0</v>
      </c>
    </row>
    <row r="1809" spans="1:14" x14ac:dyDescent="0.25">
      <c r="A1809" s="2"/>
      <c r="B1809" t="s">
        <v>4484</v>
      </c>
      <c r="C1809" t="s">
        <v>16</v>
      </c>
      <c r="D1809" t="s">
        <v>547</v>
      </c>
      <c r="E1809" t="s">
        <v>3994</v>
      </c>
      <c r="F1809" t="s">
        <v>4131</v>
      </c>
      <c r="G1809" t="s">
        <v>4485</v>
      </c>
      <c r="H1809" s="3">
        <v>1785.36</v>
      </c>
      <c r="I1809">
        <v>176</v>
      </c>
      <c r="J1809">
        <v>0</v>
      </c>
      <c r="K1809">
        <v>29</v>
      </c>
      <c r="L1809" s="4">
        <v>0.64737693147856001</v>
      </c>
      <c r="M1809" s="4">
        <v>0.35262306852143999</v>
      </c>
      <c r="N1809">
        <v>0</v>
      </c>
    </row>
    <row r="1810" spans="1:14" x14ac:dyDescent="0.25">
      <c r="A1810" s="2"/>
      <c r="B1810" t="s">
        <v>4486</v>
      </c>
      <c r="C1810" t="s">
        <v>16</v>
      </c>
      <c r="D1810" t="s">
        <v>547</v>
      </c>
      <c r="E1810" t="s">
        <v>3994</v>
      </c>
      <c r="F1810" t="s">
        <v>4131</v>
      </c>
      <c r="G1810" t="s">
        <v>4487</v>
      </c>
      <c r="H1810" s="3">
        <v>1926.45</v>
      </c>
      <c r="I1810">
        <v>371</v>
      </c>
      <c r="J1810">
        <v>1</v>
      </c>
      <c r="K1810">
        <v>37</v>
      </c>
      <c r="L1810" s="4">
        <v>5.9094612543528102E-2</v>
      </c>
      <c r="M1810" s="4">
        <v>0.94090538745647201</v>
      </c>
      <c r="N1810">
        <v>0</v>
      </c>
    </row>
    <row r="1811" spans="1:14" x14ac:dyDescent="0.25">
      <c r="A1811" s="2"/>
      <c r="B1811" t="s">
        <v>4488</v>
      </c>
      <c r="C1811" t="s">
        <v>16</v>
      </c>
      <c r="D1811" t="s">
        <v>547</v>
      </c>
      <c r="E1811" t="s">
        <v>4489</v>
      </c>
      <c r="F1811" t="s">
        <v>4490</v>
      </c>
      <c r="G1811" t="s">
        <v>4491</v>
      </c>
      <c r="H1811" s="3">
        <v>1343.73</v>
      </c>
      <c r="I1811">
        <v>492</v>
      </c>
      <c r="J1811">
        <v>1</v>
      </c>
      <c r="K1811">
        <v>6</v>
      </c>
      <c r="L1811" s="4">
        <v>0.96081752496391404</v>
      </c>
      <c r="M1811" s="4">
        <v>3.9182475036086302E-2</v>
      </c>
      <c r="N1811">
        <v>0</v>
      </c>
    </row>
    <row r="1812" spans="1:14" x14ac:dyDescent="0.25">
      <c r="A1812" s="2"/>
      <c r="B1812" t="s">
        <v>4492</v>
      </c>
      <c r="C1812" t="s">
        <v>16</v>
      </c>
      <c r="D1812" t="s">
        <v>547</v>
      </c>
      <c r="E1812" t="s">
        <v>4489</v>
      </c>
      <c r="F1812" t="s">
        <v>4490</v>
      </c>
      <c r="G1812" t="s">
        <v>4493</v>
      </c>
      <c r="H1812" s="3">
        <v>1438.45</v>
      </c>
      <c r="I1812">
        <v>848</v>
      </c>
      <c r="J1812">
        <v>1</v>
      </c>
      <c r="K1812">
        <v>20</v>
      </c>
      <c r="L1812" s="4">
        <v>0.38953265845069901</v>
      </c>
      <c r="M1812" s="4">
        <v>0.61046734154930204</v>
      </c>
      <c r="N1812">
        <v>0</v>
      </c>
    </row>
    <row r="1813" spans="1:14" x14ac:dyDescent="0.25">
      <c r="A1813" s="2"/>
      <c r="B1813" t="s">
        <v>4494</v>
      </c>
      <c r="C1813" t="s">
        <v>16</v>
      </c>
      <c r="D1813" t="s">
        <v>547</v>
      </c>
      <c r="E1813" t="s">
        <v>4489</v>
      </c>
      <c r="F1813" t="s">
        <v>4490</v>
      </c>
      <c r="G1813" t="s">
        <v>4495</v>
      </c>
      <c r="H1813" s="3">
        <v>1254.02</v>
      </c>
      <c r="I1813">
        <v>55</v>
      </c>
      <c r="J1813">
        <v>0</v>
      </c>
      <c r="K1813">
        <v>12</v>
      </c>
      <c r="L1813" s="4">
        <v>0.74816417375789401</v>
      </c>
      <c r="M1813" s="4">
        <v>0.25183582624210699</v>
      </c>
      <c r="N1813">
        <v>0</v>
      </c>
    </row>
    <row r="1814" spans="1:14" x14ac:dyDescent="0.25">
      <c r="A1814" s="2">
        <v>23326235</v>
      </c>
      <c r="C1814" t="s">
        <v>0</v>
      </c>
      <c r="D1814" t="s">
        <v>547</v>
      </c>
      <c r="E1814" t="s">
        <v>4489</v>
      </c>
      <c r="F1814" t="s">
        <v>4490</v>
      </c>
      <c r="G1814" t="s">
        <v>4496</v>
      </c>
      <c r="H1814" s="3">
        <v>1397</v>
      </c>
      <c r="I1814">
        <v>341</v>
      </c>
      <c r="J1814">
        <v>0</v>
      </c>
      <c r="K1814">
        <v>29</v>
      </c>
      <c r="L1814" s="4">
        <v>0.51695010121565999</v>
      </c>
      <c r="M1814" s="4">
        <v>0.48304989878434001</v>
      </c>
      <c r="N1814">
        <v>0</v>
      </c>
    </row>
    <row r="1815" spans="1:14" x14ac:dyDescent="0.25">
      <c r="A1815" s="2">
        <v>21483485</v>
      </c>
      <c r="C1815" t="s">
        <v>0</v>
      </c>
      <c r="D1815" t="s">
        <v>547</v>
      </c>
      <c r="E1815" t="s">
        <v>4489</v>
      </c>
      <c r="F1815" t="s">
        <v>4490</v>
      </c>
      <c r="G1815" t="s">
        <v>4497</v>
      </c>
      <c r="H1815" s="3">
        <v>1404</v>
      </c>
      <c r="J1815">
        <v>1</v>
      </c>
      <c r="K1815">
        <v>5</v>
      </c>
      <c r="L1815" s="4">
        <v>0.19127226881196299</v>
      </c>
      <c r="M1815" s="4">
        <v>0.80872773118803698</v>
      </c>
      <c r="N1815">
        <v>0</v>
      </c>
    </row>
    <row r="1816" spans="1:14" x14ac:dyDescent="0.25">
      <c r="A1816" s="2">
        <v>22241985</v>
      </c>
      <c r="C1816" t="s">
        <v>0</v>
      </c>
      <c r="D1816" t="s">
        <v>547</v>
      </c>
      <c r="E1816" t="s">
        <v>4489</v>
      </c>
      <c r="F1816" t="s">
        <v>4490</v>
      </c>
      <c r="G1816" t="s">
        <v>4498</v>
      </c>
      <c r="H1816" s="3">
        <v>1440</v>
      </c>
      <c r="I1816">
        <v>36</v>
      </c>
      <c r="L1816" s="4">
        <v>0.52762167212558098</v>
      </c>
      <c r="M1816" s="4">
        <v>0.47237832787441902</v>
      </c>
      <c r="N1816">
        <v>0</v>
      </c>
    </row>
    <row r="1817" spans="1:14" x14ac:dyDescent="0.25">
      <c r="A1817" s="2">
        <v>23308065</v>
      </c>
      <c r="C1817" t="s">
        <v>0</v>
      </c>
      <c r="D1817" t="s">
        <v>547</v>
      </c>
      <c r="E1817" t="s">
        <v>4489</v>
      </c>
      <c r="F1817" t="s">
        <v>4490</v>
      </c>
      <c r="G1817" t="s">
        <v>4499</v>
      </c>
      <c r="H1817" s="3">
        <v>1440</v>
      </c>
      <c r="I1817">
        <v>404</v>
      </c>
      <c r="J1817">
        <v>1</v>
      </c>
      <c r="K1817">
        <v>35</v>
      </c>
      <c r="L1817" s="4">
        <v>6.12170039131682E-2</v>
      </c>
      <c r="M1817" s="4">
        <v>0.93878299608683202</v>
      </c>
      <c r="N1817">
        <v>0</v>
      </c>
    </row>
    <row r="1818" spans="1:14" x14ac:dyDescent="0.25">
      <c r="A1818" s="2">
        <v>23633946</v>
      </c>
      <c r="C1818" t="s">
        <v>0</v>
      </c>
      <c r="D1818" t="s">
        <v>547</v>
      </c>
      <c r="E1818" t="s">
        <v>4489</v>
      </c>
      <c r="F1818" t="s">
        <v>4490</v>
      </c>
      <c r="G1818" t="s">
        <v>4500</v>
      </c>
      <c r="H1818" s="3">
        <v>1460.3</v>
      </c>
      <c r="I1818">
        <v>220</v>
      </c>
      <c r="J1818">
        <v>1</v>
      </c>
      <c r="K1818">
        <v>9</v>
      </c>
      <c r="L1818" s="4">
        <v>9.3852451605901804E-2</v>
      </c>
      <c r="M1818" s="4">
        <v>0.90614754839409795</v>
      </c>
      <c r="N1818">
        <v>0</v>
      </c>
    </row>
    <row r="1819" spans="1:14" x14ac:dyDescent="0.25">
      <c r="A1819" s="2"/>
      <c r="B1819" t="s">
        <v>4501</v>
      </c>
      <c r="C1819" t="s">
        <v>16</v>
      </c>
      <c r="D1819" t="s">
        <v>547</v>
      </c>
      <c r="E1819" t="s">
        <v>4489</v>
      </c>
      <c r="F1819" t="s">
        <v>4490</v>
      </c>
      <c r="G1819" t="s">
        <v>4502</v>
      </c>
      <c r="H1819" s="3">
        <v>1476.47</v>
      </c>
      <c r="I1819">
        <v>79</v>
      </c>
      <c r="J1819">
        <v>0</v>
      </c>
      <c r="K1819">
        <v>45</v>
      </c>
      <c r="L1819" s="4">
        <v>0.49637114848776898</v>
      </c>
      <c r="M1819" s="4">
        <v>0.50362885151223102</v>
      </c>
      <c r="N1819">
        <v>0</v>
      </c>
    </row>
    <row r="1820" spans="1:14" x14ac:dyDescent="0.25">
      <c r="A1820" s="2"/>
      <c r="B1820" t="s">
        <v>4503</v>
      </c>
      <c r="C1820" t="s">
        <v>16</v>
      </c>
      <c r="D1820" t="s">
        <v>547</v>
      </c>
      <c r="E1820" t="s">
        <v>4489</v>
      </c>
      <c r="F1820" t="s">
        <v>4490</v>
      </c>
      <c r="G1820" t="s">
        <v>4504</v>
      </c>
      <c r="H1820" s="3">
        <v>1570.87</v>
      </c>
      <c r="J1820">
        <v>0</v>
      </c>
      <c r="K1820">
        <v>48</v>
      </c>
      <c r="L1820" s="4">
        <v>0.75099927430958902</v>
      </c>
      <c r="M1820" s="4">
        <v>0.24900072569041101</v>
      </c>
      <c r="N1820">
        <v>0</v>
      </c>
    </row>
    <row r="1821" spans="1:14" x14ac:dyDescent="0.25">
      <c r="A1821" s="2"/>
      <c r="B1821" t="s">
        <v>4505</v>
      </c>
      <c r="C1821" t="s">
        <v>16</v>
      </c>
      <c r="D1821" t="s">
        <v>547</v>
      </c>
      <c r="E1821" t="s">
        <v>4489</v>
      </c>
      <c r="F1821" t="s">
        <v>4490</v>
      </c>
      <c r="G1821" t="s">
        <v>4506</v>
      </c>
      <c r="H1821" s="3">
        <v>1600.25</v>
      </c>
      <c r="I1821">
        <v>834</v>
      </c>
      <c r="J1821">
        <v>0</v>
      </c>
      <c r="K1821">
        <v>22</v>
      </c>
      <c r="L1821" s="4">
        <v>0.13631613495710099</v>
      </c>
      <c r="M1821" s="4">
        <v>0.86368386504289896</v>
      </c>
      <c r="N1821">
        <v>0</v>
      </c>
    </row>
    <row r="1822" spans="1:14" x14ac:dyDescent="0.25">
      <c r="A1822" s="2"/>
      <c r="B1822" t="s">
        <v>4507</v>
      </c>
      <c r="C1822" t="s">
        <v>16</v>
      </c>
      <c r="D1822" t="s">
        <v>547</v>
      </c>
      <c r="E1822" t="s">
        <v>4489</v>
      </c>
      <c r="F1822" t="s">
        <v>4490</v>
      </c>
      <c r="G1822" t="s">
        <v>4508</v>
      </c>
      <c r="H1822" s="3">
        <v>1600.25</v>
      </c>
      <c r="I1822">
        <v>288</v>
      </c>
      <c r="J1822">
        <v>1</v>
      </c>
      <c r="K1822">
        <v>42</v>
      </c>
      <c r="L1822" s="4">
        <v>0.21509582512643899</v>
      </c>
      <c r="M1822" s="4">
        <v>0.78490417487356101</v>
      </c>
      <c r="N1822">
        <v>0</v>
      </c>
    </row>
    <row r="1823" spans="1:14" x14ac:dyDescent="0.25">
      <c r="A1823" s="2"/>
      <c r="B1823" t="s">
        <v>4509</v>
      </c>
      <c r="C1823" t="s">
        <v>16</v>
      </c>
      <c r="D1823" t="s">
        <v>547</v>
      </c>
      <c r="E1823" t="s">
        <v>4489</v>
      </c>
      <c r="F1823" t="s">
        <v>4490</v>
      </c>
      <c r="G1823" t="s">
        <v>4510</v>
      </c>
      <c r="H1823" s="3">
        <v>1600.79</v>
      </c>
      <c r="I1823">
        <v>174</v>
      </c>
      <c r="J1823">
        <v>0</v>
      </c>
      <c r="K1823">
        <v>1</v>
      </c>
      <c r="L1823" s="4">
        <v>0.70299181719482895</v>
      </c>
      <c r="M1823" s="4">
        <v>0.29700818280517099</v>
      </c>
      <c r="N1823">
        <v>0</v>
      </c>
    </row>
    <row r="1824" spans="1:14" x14ac:dyDescent="0.25">
      <c r="A1824" s="2"/>
      <c r="B1824" t="s">
        <v>4511</v>
      </c>
      <c r="C1824" t="s">
        <v>16</v>
      </c>
      <c r="D1824" t="s">
        <v>547</v>
      </c>
      <c r="E1824" t="s">
        <v>4489</v>
      </c>
      <c r="F1824" t="s">
        <v>4490</v>
      </c>
      <c r="G1824" t="s">
        <v>4512</v>
      </c>
      <c r="H1824" s="3">
        <v>1602.17</v>
      </c>
      <c r="I1824">
        <v>504</v>
      </c>
      <c r="J1824">
        <v>0</v>
      </c>
      <c r="K1824">
        <v>8</v>
      </c>
      <c r="L1824" s="4">
        <v>0.16334938850609801</v>
      </c>
      <c r="M1824" s="4">
        <v>0.83665061149390296</v>
      </c>
      <c r="N1824">
        <v>0</v>
      </c>
    </row>
    <row r="1825" spans="1:14" x14ac:dyDescent="0.25">
      <c r="A1825" s="2"/>
      <c r="B1825" t="s">
        <v>4513</v>
      </c>
      <c r="C1825" t="s">
        <v>16</v>
      </c>
      <c r="D1825" t="s">
        <v>547</v>
      </c>
      <c r="E1825" t="s">
        <v>4489</v>
      </c>
      <c r="F1825" t="s">
        <v>4490</v>
      </c>
      <c r="G1825" t="s">
        <v>4514</v>
      </c>
      <c r="H1825" s="3">
        <v>1602.8</v>
      </c>
      <c r="J1825">
        <v>0</v>
      </c>
      <c r="K1825">
        <v>3</v>
      </c>
      <c r="L1825" s="4">
        <v>8.1313824672159002E-2</v>
      </c>
      <c r="M1825" s="4">
        <v>0.91868617532784103</v>
      </c>
      <c r="N1825">
        <v>0</v>
      </c>
    </row>
    <row r="1826" spans="1:14" x14ac:dyDescent="0.25">
      <c r="A1826" s="2"/>
      <c r="B1826" t="s">
        <v>4515</v>
      </c>
      <c r="C1826" t="s">
        <v>16</v>
      </c>
      <c r="D1826" t="s">
        <v>547</v>
      </c>
      <c r="E1826" t="s">
        <v>4489</v>
      </c>
      <c r="F1826" t="s">
        <v>4490</v>
      </c>
      <c r="G1826" t="s">
        <v>4516</v>
      </c>
      <c r="H1826" s="3">
        <v>1644.84</v>
      </c>
      <c r="I1826">
        <v>491</v>
      </c>
      <c r="J1826">
        <v>0</v>
      </c>
      <c r="K1826">
        <v>23</v>
      </c>
      <c r="L1826" s="4">
        <v>0.66416915496090601</v>
      </c>
      <c r="M1826" s="4">
        <v>0.33583084503909399</v>
      </c>
      <c r="N1826">
        <v>0</v>
      </c>
    </row>
    <row r="1827" spans="1:14" x14ac:dyDescent="0.25">
      <c r="A1827" s="2">
        <v>23468629</v>
      </c>
      <c r="B1827" t="s">
        <v>4517</v>
      </c>
      <c r="C1827" t="s">
        <v>31</v>
      </c>
      <c r="D1827" t="s">
        <v>547</v>
      </c>
      <c r="E1827" t="s">
        <v>4489</v>
      </c>
      <c r="F1827" t="s">
        <v>4490</v>
      </c>
      <c r="G1827" t="s">
        <v>4518</v>
      </c>
      <c r="H1827" s="3">
        <v>1723.16</v>
      </c>
      <c r="I1827">
        <v>57</v>
      </c>
      <c r="J1827">
        <v>1</v>
      </c>
      <c r="K1827">
        <v>37</v>
      </c>
      <c r="L1827" s="4">
        <v>0.59474726924787402</v>
      </c>
      <c r="M1827" s="4">
        <v>0.40525273075212598</v>
      </c>
      <c r="N1827">
        <v>0</v>
      </c>
    </row>
    <row r="1828" spans="1:14" x14ac:dyDescent="0.25">
      <c r="A1828" s="2">
        <v>24098129</v>
      </c>
      <c r="C1828" t="s">
        <v>0</v>
      </c>
      <c r="D1828" t="s">
        <v>547</v>
      </c>
      <c r="E1828" t="s">
        <v>4489</v>
      </c>
      <c r="F1828" t="s">
        <v>4490</v>
      </c>
      <c r="G1828" t="s">
        <v>4519</v>
      </c>
      <c r="H1828" s="3">
        <v>1735.2</v>
      </c>
      <c r="I1828">
        <v>111</v>
      </c>
      <c r="J1828">
        <v>1</v>
      </c>
      <c r="K1828">
        <v>9</v>
      </c>
      <c r="L1828" s="4">
        <v>0.30311450639384002</v>
      </c>
      <c r="M1828" s="4">
        <v>0.69688549360616003</v>
      </c>
      <c r="N1828">
        <v>0</v>
      </c>
    </row>
    <row r="1829" spans="1:14" x14ac:dyDescent="0.25">
      <c r="A1829" s="2"/>
      <c r="B1829" t="s">
        <v>4520</v>
      </c>
      <c r="C1829" t="s">
        <v>16</v>
      </c>
      <c r="D1829" t="s">
        <v>547</v>
      </c>
      <c r="E1829" t="s">
        <v>4489</v>
      </c>
      <c r="F1829" t="s">
        <v>4490</v>
      </c>
      <c r="G1829" t="s">
        <v>4521</v>
      </c>
      <c r="H1829" s="3">
        <v>1758.16</v>
      </c>
      <c r="I1829">
        <v>371</v>
      </c>
      <c r="J1829">
        <v>0</v>
      </c>
      <c r="K1829">
        <v>28</v>
      </c>
      <c r="L1829" s="4">
        <v>0.59921843915661199</v>
      </c>
      <c r="M1829" s="4">
        <v>0.40078156084338801</v>
      </c>
      <c r="N1829">
        <v>0</v>
      </c>
    </row>
    <row r="1830" spans="1:14" x14ac:dyDescent="0.25">
      <c r="A1830" s="2"/>
      <c r="B1830" t="s">
        <v>4522</v>
      </c>
      <c r="C1830" t="s">
        <v>16</v>
      </c>
      <c r="D1830" t="s">
        <v>547</v>
      </c>
      <c r="E1830" t="s">
        <v>4489</v>
      </c>
      <c r="F1830" t="s">
        <v>4490</v>
      </c>
      <c r="G1830" t="s">
        <v>4523</v>
      </c>
      <c r="H1830" s="3">
        <v>1766.76</v>
      </c>
      <c r="I1830">
        <v>21</v>
      </c>
      <c r="J1830">
        <v>1</v>
      </c>
      <c r="L1830" s="4">
        <v>0.13375893907799999</v>
      </c>
      <c r="M1830" s="4">
        <v>0.86624106092200104</v>
      </c>
      <c r="N1830">
        <v>0</v>
      </c>
    </row>
    <row r="1831" spans="1:14" x14ac:dyDescent="0.25">
      <c r="A1831" s="2"/>
      <c r="B1831" t="s">
        <v>4524</v>
      </c>
      <c r="C1831" t="s">
        <v>16</v>
      </c>
      <c r="D1831" t="s">
        <v>547</v>
      </c>
      <c r="E1831" t="s">
        <v>4489</v>
      </c>
      <c r="F1831" t="s">
        <v>4490</v>
      </c>
      <c r="G1831" t="s">
        <v>4525</v>
      </c>
      <c r="H1831" s="3">
        <v>1780</v>
      </c>
      <c r="I1831">
        <v>314</v>
      </c>
      <c r="J1831">
        <v>0</v>
      </c>
      <c r="K1831">
        <v>6</v>
      </c>
      <c r="L1831" s="4">
        <v>7.3897360664610598E-2</v>
      </c>
      <c r="M1831" s="4">
        <v>0.92610263933538906</v>
      </c>
      <c r="N1831">
        <v>0</v>
      </c>
    </row>
    <row r="1832" spans="1:14" x14ac:dyDescent="0.25">
      <c r="A1832" s="2">
        <v>23505371</v>
      </c>
      <c r="C1832" t="s">
        <v>0</v>
      </c>
      <c r="D1832" t="s">
        <v>547</v>
      </c>
      <c r="E1832" t="s">
        <v>4489</v>
      </c>
      <c r="F1832" t="s">
        <v>4490</v>
      </c>
      <c r="G1832" t="s">
        <v>4526</v>
      </c>
      <c r="H1832" s="3">
        <v>1782</v>
      </c>
      <c r="I1832">
        <v>118</v>
      </c>
      <c r="J1832">
        <v>0</v>
      </c>
      <c r="K1832">
        <v>11</v>
      </c>
      <c r="L1832" s="4">
        <v>0.212044468824061</v>
      </c>
      <c r="M1832" s="4">
        <v>0.78795553117593897</v>
      </c>
      <c r="N1832">
        <v>0</v>
      </c>
    </row>
    <row r="1833" spans="1:14" x14ac:dyDescent="0.25">
      <c r="A1833" s="2"/>
      <c r="B1833" t="s">
        <v>4527</v>
      </c>
      <c r="C1833" t="s">
        <v>16</v>
      </c>
      <c r="D1833" t="s">
        <v>547</v>
      </c>
      <c r="E1833" t="s">
        <v>4489</v>
      </c>
      <c r="F1833" t="s">
        <v>4490</v>
      </c>
      <c r="G1833" t="s">
        <v>4528</v>
      </c>
      <c r="H1833" s="3">
        <v>1784.65</v>
      </c>
      <c r="I1833">
        <v>446</v>
      </c>
      <c r="J1833">
        <v>1</v>
      </c>
      <c r="K1833">
        <v>6</v>
      </c>
      <c r="L1833" s="4">
        <v>0.17228310396636001</v>
      </c>
      <c r="M1833" s="4">
        <v>0.82771689603363996</v>
      </c>
      <c r="N1833">
        <v>0</v>
      </c>
    </row>
    <row r="1834" spans="1:14" x14ac:dyDescent="0.25">
      <c r="A1834" s="2"/>
      <c r="B1834" t="s">
        <v>4529</v>
      </c>
      <c r="C1834" t="s">
        <v>16</v>
      </c>
      <c r="D1834" t="s">
        <v>547</v>
      </c>
      <c r="E1834" t="s">
        <v>4489</v>
      </c>
      <c r="F1834" t="s">
        <v>4490</v>
      </c>
      <c r="G1834" t="s">
        <v>4530</v>
      </c>
      <c r="H1834" s="3">
        <v>1817.87</v>
      </c>
      <c r="J1834">
        <v>0</v>
      </c>
      <c r="K1834">
        <v>49</v>
      </c>
      <c r="L1834" s="4">
        <v>0.58377028584455504</v>
      </c>
      <c r="M1834" s="4">
        <v>0.41622971415544502</v>
      </c>
      <c r="N1834">
        <v>0</v>
      </c>
    </row>
    <row r="1835" spans="1:14" x14ac:dyDescent="0.25">
      <c r="A1835" s="2"/>
      <c r="B1835" t="s">
        <v>4531</v>
      </c>
      <c r="C1835" t="s">
        <v>16</v>
      </c>
      <c r="D1835" t="s">
        <v>547</v>
      </c>
      <c r="E1835" t="s">
        <v>3994</v>
      </c>
      <c r="F1835" t="s">
        <v>4532</v>
      </c>
      <c r="G1835" t="s">
        <v>4533</v>
      </c>
      <c r="H1835" s="3">
        <v>842.54</v>
      </c>
      <c r="I1835">
        <v>798</v>
      </c>
      <c r="J1835">
        <v>1</v>
      </c>
      <c r="L1835" s="4">
        <v>0.38263041524057401</v>
      </c>
      <c r="M1835" s="4">
        <v>0.61736958475942605</v>
      </c>
      <c r="N1835">
        <v>0</v>
      </c>
    </row>
    <row r="1836" spans="1:14" x14ac:dyDescent="0.25">
      <c r="A1836" s="2"/>
      <c r="B1836" t="s">
        <v>4534</v>
      </c>
      <c r="C1836" t="s">
        <v>16</v>
      </c>
      <c r="D1836" t="s">
        <v>547</v>
      </c>
      <c r="E1836" t="s">
        <v>3994</v>
      </c>
      <c r="F1836" t="s">
        <v>4532</v>
      </c>
      <c r="G1836" t="s">
        <v>4535</v>
      </c>
      <c r="H1836" s="3">
        <v>842.54</v>
      </c>
      <c r="I1836">
        <v>506</v>
      </c>
      <c r="J1836">
        <v>0</v>
      </c>
      <c r="K1836">
        <v>29</v>
      </c>
      <c r="L1836" s="4">
        <v>0.25630346616055499</v>
      </c>
      <c r="M1836" s="4">
        <v>0.74369653383944501</v>
      </c>
      <c r="N1836">
        <v>0</v>
      </c>
    </row>
    <row r="1837" spans="1:14" x14ac:dyDescent="0.25">
      <c r="A1837" s="2"/>
      <c r="B1837" t="s">
        <v>4536</v>
      </c>
      <c r="C1837" t="s">
        <v>16</v>
      </c>
      <c r="D1837" t="s">
        <v>547</v>
      </c>
      <c r="E1837" t="s">
        <v>3994</v>
      </c>
      <c r="F1837" t="s">
        <v>4532</v>
      </c>
      <c r="G1837" t="s">
        <v>4537</v>
      </c>
      <c r="H1837" s="3">
        <v>850.88</v>
      </c>
      <c r="I1837">
        <v>468</v>
      </c>
      <c r="J1837">
        <v>0</v>
      </c>
      <c r="K1837">
        <v>40</v>
      </c>
      <c r="L1837" s="4">
        <v>0.41703867068866801</v>
      </c>
      <c r="M1837" s="4">
        <v>0.58296132931133204</v>
      </c>
      <c r="N1837">
        <v>0</v>
      </c>
    </row>
    <row r="1838" spans="1:14" x14ac:dyDescent="0.25">
      <c r="A1838" s="2"/>
      <c r="B1838" t="s">
        <v>4538</v>
      </c>
      <c r="C1838" t="s">
        <v>16</v>
      </c>
      <c r="D1838" t="s">
        <v>547</v>
      </c>
      <c r="E1838" t="s">
        <v>3994</v>
      </c>
      <c r="F1838" t="s">
        <v>4532</v>
      </c>
      <c r="G1838" t="s">
        <v>4539</v>
      </c>
      <c r="H1838" s="3">
        <v>871.42</v>
      </c>
      <c r="I1838">
        <v>654</v>
      </c>
      <c r="J1838">
        <v>0</v>
      </c>
      <c r="K1838">
        <v>46</v>
      </c>
      <c r="L1838" s="4">
        <v>0.76569279274597402</v>
      </c>
      <c r="M1838" s="4">
        <v>0.23430720725402601</v>
      </c>
      <c r="N1838">
        <v>0</v>
      </c>
    </row>
    <row r="1839" spans="1:14" x14ac:dyDescent="0.25">
      <c r="A1839" s="2"/>
      <c r="B1839" t="s">
        <v>4540</v>
      </c>
      <c r="C1839" t="s">
        <v>16</v>
      </c>
      <c r="D1839" t="s">
        <v>547</v>
      </c>
      <c r="E1839" t="s">
        <v>3994</v>
      </c>
      <c r="F1839" t="s">
        <v>4532</v>
      </c>
      <c r="G1839" t="s">
        <v>4541</v>
      </c>
      <c r="H1839" s="3">
        <v>878.28</v>
      </c>
      <c r="I1839">
        <v>199</v>
      </c>
      <c r="J1839">
        <v>0</v>
      </c>
      <c r="K1839">
        <v>48</v>
      </c>
      <c r="L1839" s="4">
        <v>7.8716551237216804E-3</v>
      </c>
      <c r="M1839" s="4">
        <v>0.99212834487627799</v>
      </c>
      <c r="N1839">
        <v>0</v>
      </c>
    </row>
    <row r="1840" spans="1:14" x14ac:dyDescent="0.25">
      <c r="A1840" s="2"/>
      <c r="B1840" t="s">
        <v>4542</v>
      </c>
      <c r="C1840" t="s">
        <v>16</v>
      </c>
      <c r="D1840" t="s">
        <v>547</v>
      </c>
      <c r="E1840" t="s">
        <v>3994</v>
      </c>
      <c r="F1840" t="s">
        <v>4532</v>
      </c>
      <c r="G1840" t="s">
        <v>4543</v>
      </c>
      <c r="H1840" s="3">
        <v>879.36</v>
      </c>
      <c r="J1840">
        <v>0</v>
      </c>
      <c r="K1840">
        <v>5</v>
      </c>
      <c r="L1840" s="4">
        <v>0.731159435930826</v>
      </c>
      <c r="M1840" s="4">
        <v>0.268840564069174</v>
      </c>
      <c r="N1840">
        <v>0</v>
      </c>
    </row>
    <row r="1841" spans="1:14" x14ac:dyDescent="0.25">
      <c r="A1841" s="2"/>
      <c r="B1841" t="s">
        <v>4544</v>
      </c>
      <c r="C1841" t="s">
        <v>16</v>
      </c>
      <c r="D1841" t="s">
        <v>547</v>
      </c>
      <c r="E1841" t="s">
        <v>3994</v>
      </c>
      <c r="F1841" t="s">
        <v>4532</v>
      </c>
      <c r="G1841" t="s">
        <v>4545</v>
      </c>
      <c r="H1841" s="3">
        <v>879.36</v>
      </c>
      <c r="I1841">
        <v>38</v>
      </c>
      <c r="J1841">
        <v>0</v>
      </c>
      <c r="L1841" s="4">
        <v>5.57527957596042E-2</v>
      </c>
      <c r="M1841" s="4">
        <v>0.94424720424039599</v>
      </c>
      <c r="N1841">
        <v>0</v>
      </c>
    </row>
    <row r="1842" spans="1:14" x14ac:dyDescent="0.25">
      <c r="A1842" s="2"/>
      <c r="B1842" t="s">
        <v>4546</v>
      </c>
      <c r="C1842" t="s">
        <v>16</v>
      </c>
      <c r="D1842" t="s">
        <v>547</v>
      </c>
      <c r="E1842" t="s">
        <v>3994</v>
      </c>
      <c r="F1842" t="s">
        <v>4532</v>
      </c>
      <c r="G1842" t="s">
        <v>4547</v>
      </c>
      <c r="H1842" s="3">
        <v>884.67</v>
      </c>
      <c r="I1842">
        <v>352</v>
      </c>
      <c r="J1842">
        <v>1</v>
      </c>
      <c r="K1842">
        <v>14</v>
      </c>
      <c r="L1842" s="4">
        <v>9.7511997159801505E-3</v>
      </c>
      <c r="M1842" s="4">
        <v>0.99024880028401996</v>
      </c>
      <c r="N1842">
        <v>0</v>
      </c>
    </row>
    <row r="1843" spans="1:14" x14ac:dyDescent="0.25">
      <c r="A1843" s="2"/>
      <c r="B1843" t="s">
        <v>4548</v>
      </c>
      <c r="C1843" t="s">
        <v>16</v>
      </c>
      <c r="D1843" t="s">
        <v>547</v>
      </c>
      <c r="E1843" t="s">
        <v>3994</v>
      </c>
      <c r="F1843" t="s">
        <v>4532</v>
      </c>
      <c r="G1843" t="s">
        <v>4549</v>
      </c>
      <c r="H1843" s="3">
        <v>904.34</v>
      </c>
      <c r="I1843">
        <v>413</v>
      </c>
      <c r="J1843">
        <v>1</v>
      </c>
      <c r="K1843">
        <v>32</v>
      </c>
      <c r="L1843" s="4">
        <v>0.72503531412966404</v>
      </c>
      <c r="M1843" s="4">
        <v>0.27496468587033601</v>
      </c>
      <c r="N1843">
        <v>0</v>
      </c>
    </row>
    <row r="1844" spans="1:14" x14ac:dyDescent="0.25">
      <c r="A1844" s="2"/>
      <c r="B1844" t="s">
        <v>4550</v>
      </c>
      <c r="C1844" t="s">
        <v>16</v>
      </c>
      <c r="D1844" t="s">
        <v>547</v>
      </c>
      <c r="E1844" t="s">
        <v>4074</v>
      </c>
      <c r="G1844" t="s">
        <v>4551</v>
      </c>
      <c r="H1844" s="3">
        <v>1919.88</v>
      </c>
      <c r="I1844">
        <v>115</v>
      </c>
      <c r="J1844">
        <v>1</v>
      </c>
      <c r="K1844">
        <v>37</v>
      </c>
      <c r="L1844" s="4">
        <v>0.50621511970237099</v>
      </c>
      <c r="M1844" s="4">
        <v>0.49378488029762901</v>
      </c>
      <c r="N1844">
        <v>0</v>
      </c>
    </row>
    <row r="1845" spans="1:14" x14ac:dyDescent="0.25">
      <c r="A1845" s="2"/>
      <c r="B1845" t="s">
        <v>4552</v>
      </c>
      <c r="C1845" t="s">
        <v>16</v>
      </c>
      <c r="D1845" t="s">
        <v>191</v>
      </c>
      <c r="E1845" t="s">
        <v>4553</v>
      </c>
      <c r="F1845" t="s">
        <v>4554</v>
      </c>
      <c r="G1845" t="s">
        <v>4555</v>
      </c>
      <c r="H1845" s="3">
        <v>625</v>
      </c>
      <c r="I1845">
        <v>627</v>
      </c>
      <c r="J1845">
        <v>0</v>
      </c>
      <c r="K1845">
        <v>8</v>
      </c>
      <c r="L1845" s="4">
        <v>0.18356893856230899</v>
      </c>
      <c r="M1845" s="4">
        <v>0.81643106143769095</v>
      </c>
      <c r="N1845">
        <v>0</v>
      </c>
    </row>
    <row r="1846" spans="1:14" x14ac:dyDescent="0.25">
      <c r="A1846" s="2"/>
      <c r="B1846" t="s">
        <v>4556</v>
      </c>
      <c r="C1846" t="s">
        <v>16</v>
      </c>
      <c r="D1846" t="s">
        <v>3510</v>
      </c>
      <c r="E1846" t="s">
        <v>4553</v>
      </c>
      <c r="F1846" t="s">
        <v>4554</v>
      </c>
      <c r="G1846" t="s">
        <v>4557</v>
      </c>
      <c r="H1846" s="3">
        <v>667.74</v>
      </c>
      <c r="I1846">
        <v>243</v>
      </c>
      <c r="J1846">
        <v>1</v>
      </c>
      <c r="K1846">
        <v>46</v>
      </c>
      <c r="L1846" s="4">
        <v>0.41117421276417998</v>
      </c>
      <c r="M1846" s="4">
        <v>0.58882578723582002</v>
      </c>
      <c r="N1846">
        <v>0</v>
      </c>
    </row>
    <row r="1847" spans="1:14" x14ac:dyDescent="0.25">
      <c r="A1847" s="2"/>
      <c r="B1847" t="s">
        <v>4558</v>
      </c>
      <c r="C1847" t="s">
        <v>16</v>
      </c>
      <c r="D1847" t="s">
        <v>3510</v>
      </c>
      <c r="E1847" t="s">
        <v>4553</v>
      </c>
      <c r="F1847" t="s">
        <v>4554</v>
      </c>
      <c r="G1847" t="s">
        <v>4559</v>
      </c>
      <c r="H1847" s="3">
        <v>725.4</v>
      </c>
      <c r="I1847">
        <v>301</v>
      </c>
      <c r="J1847">
        <v>0</v>
      </c>
      <c r="K1847">
        <v>38</v>
      </c>
      <c r="L1847" s="4">
        <v>0.32094026441764401</v>
      </c>
      <c r="M1847" s="4">
        <v>0.67905973558235699</v>
      </c>
      <c r="N1847">
        <v>0</v>
      </c>
    </row>
    <row r="1848" spans="1:14" x14ac:dyDescent="0.25">
      <c r="A1848" s="2"/>
      <c r="B1848" t="s">
        <v>4560</v>
      </c>
      <c r="C1848" t="s">
        <v>16</v>
      </c>
      <c r="D1848" t="s">
        <v>3510</v>
      </c>
      <c r="E1848" t="s">
        <v>4553</v>
      </c>
      <c r="F1848" t="s">
        <v>4554</v>
      </c>
      <c r="G1848" t="s">
        <v>4561</v>
      </c>
      <c r="H1848" s="3">
        <v>1069.8</v>
      </c>
      <c r="I1848">
        <v>787</v>
      </c>
      <c r="J1848">
        <v>0</v>
      </c>
      <c r="K1848">
        <v>25</v>
      </c>
      <c r="L1848" s="4">
        <v>0.32166566076064801</v>
      </c>
      <c r="M1848" s="4">
        <v>0.67833433923935205</v>
      </c>
      <c r="N1848">
        <v>0</v>
      </c>
    </row>
    <row r="1849" spans="1:14" x14ac:dyDescent="0.25">
      <c r="A1849" s="2"/>
      <c r="B1849" t="s">
        <v>4562</v>
      </c>
      <c r="C1849" t="s">
        <v>16</v>
      </c>
      <c r="D1849" t="s">
        <v>3510</v>
      </c>
      <c r="E1849" t="s">
        <v>4553</v>
      </c>
      <c r="F1849" t="s">
        <v>4554</v>
      </c>
      <c r="G1849" t="s">
        <v>4563</v>
      </c>
      <c r="H1849" s="3">
        <v>734</v>
      </c>
      <c r="I1849">
        <v>716</v>
      </c>
      <c r="J1849">
        <v>1</v>
      </c>
      <c r="K1849">
        <v>16</v>
      </c>
      <c r="L1849" s="4">
        <v>0.598522767674187</v>
      </c>
      <c r="M1849" s="4">
        <v>0.401477232325813</v>
      </c>
      <c r="N1849">
        <v>0</v>
      </c>
    </row>
    <row r="1850" spans="1:14" x14ac:dyDescent="0.25">
      <c r="A1850" s="2"/>
      <c r="B1850" t="s">
        <v>4564</v>
      </c>
      <c r="C1850" t="s">
        <v>16</v>
      </c>
      <c r="D1850" t="s">
        <v>3510</v>
      </c>
      <c r="E1850" t="s">
        <v>4553</v>
      </c>
      <c r="F1850" t="s">
        <v>4554</v>
      </c>
      <c r="G1850" t="s">
        <v>4565</v>
      </c>
      <c r="H1850" s="3">
        <v>1420</v>
      </c>
      <c r="I1850">
        <v>336</v>
      </c>
      <c r="J1850">
        <v>1</v>
      </c>
      <c r="K1850">
        <v>37</v>
      </c>
      <c r="L1850" s="4">
        <v>0.98155366842027603</v>
      </c>
      <c r="M1850" s="4">
        <v>1.8446331579723599E-2</v>
      </c>
      <c r="N1850">
        <v>0</v>
      </c>
    </row>
    <row r="1851" spans="1:14" x14ac:dyDescent="0.25">
      <c r="A1851" s="2"/>
      <c r="B1851" t="s">
        <v>4566</v>
      </c>
      <c r="C1851" t="s">
        <v>16</v>
      </c>
      <c r="D1851" t="s">
        <v>3510</v>
      </c>
      <c r="E1851" t="s">
        <v>4553</v>
      </c>
      <c r="F1851" t="s">
        <v>4567</v>
      </c>
      <c r="G1851" t="s">
        <v>4568</v>
      </c>
      <c r="H1851" s="3">
        <v>853.64</v>
      </c>
      <c r="I1851">
        <v>12</v>
      </c>
      <c r="J1851">
        <v>1</v>
      </c>
      <c r="K1851">
        <v>41</v>
      </c>
      <c r="L1851" s="4">
        <v>0.50590420197516295</v>
      </c>
      <c r="M1851" s="4">
        <v>0.494095798024837</v>
      </c>
      <c r="N1851">
        <v>0</v>
      </c>
    </row>
    <row r="1852" spans="1:14" x14ac:dyDescent="0.25">
      <c r="A1852" s="2"/>
      <c r="B1852" t="s">
        <v>4569</v>
      </c>
      <c r="C1852" t="s">
        <v>16</v>
      </c>
      <c r="D1852" t="s">
        <v>3510</v>
      </c>
      <c r="E1852" t="s">
        <v>4553</v>
      </c>
      <c r="F1852" t="s">
        <v>4570</v>
      </c>
      <c r="G1852" t="s">
        <v>4571</v>
      </c>
      <c r="H1852" s="3">
        <v>651.58000000000004</v>
      </c>
      <c r="I1852">
        <v>922</v>
      </c>
      <c r="J1852">
        <v>1</v>
      </c>
      <c r="K1852">
        <v>40</v>
      </c>
      <c r="L1852" s="4">
        <v>0.62563989767880901</v>
      </c>
      <c r="M1852" s="4">
        <v>0.37436010232119099</v>
      </c>
      <c r="N1852">
        <v>0</v>
      </c>
    </row>
    <row r="1853" spans="1:14" x14ac:dyDescent="0.25">
      <c r="A1853" s="2"/>
      <c r="B1853" t="s">
        <v>4572</v>
      </c>
      <c r="C1853" t="s">
        <v>16</v>
      </c>
      <c r="D1853" t="s">
        <v>547</v>
      </c>
      <c r="E1853" t="s">
        <v>4087</v>
      </c>
      <c r="F1853" t="s">
        <v>4573</v>
      </c>
      <c r="G1853" t="s">
        <v>4574</v>
      </c>
      <c r="H1853" s="3">
        <v>1488.29</v>
      </c>
      <c r="I1853">
        <v>955</v>
      </c>
      <c r="J1853">
        <v>0</v>
      </c>
      <c r="K1853">
        <v>17</v>
      </c>
      <c r="L1853" s="4">
        <v>0.61370523360488305</v>
      </c>
      <c r="M1853" s="4">
        <v>0.38629476639511701</v>
      </c>
      <c r="N1853">
        <v>0</v>
      </c>
    </row>
    <row r="1854" spans="1:14" x14ac:dyDescent="0.25">
      <c r="A1854" s="2"/>
      <c r="B1854" t="s">
        <v>4575</v>
      </c>
      <c r="C1854" t="s">
        <v>16</v>
      </c>
      <c r="D1854" t="s">
        <v>547</v>
      </c>
      <c r="E1854" t="s">
        <v>3994</v>
      </c>
      <c r="F1854" t="s">
        <v>4576</v>
      </c>
      <c r="G1854" t="s">
        <v>4577</v>
      </c>
      <c r="H1854" s="3">
        <v>852.04</v>
      </c>
      <c r="I1854">
        <v>783</v>
      </c>
      <c r="J1854">
        <v>1</v>
      </c>
      <c r="K1854">
        <v>40</v>
      </c>
      <c r="L1854" s="4">
        <v>0.44530843351590099</v>
      </c>
      <c r="M1854" s="4">
        <v>0.55469156648409901</v>
      </c>
      <c r="N1854">
        <v>0</v>
      </c>
    </row>
    <row r="1855" spans="1:14" x14ac:dyDescent="0.25">
      <c r="A1855" s="2"/>
      <c r="C1855" t="s">
        <v>28</v>
      </c>
      <c r="D1855" t="s">
        <v>86</v>
      </c>
      <c r="E1855" t="s">
        <v>4578</v>
      </c>
      <c r="F1855" t="s">
        <v>4579</v>
      </c>
      <c r="G1855" t="s">
        <v>4580</v>
      </c>
      <c r="H1855" s="3">
        <v>1836.92</v>
      </c>
      <c r="I1855">
        <v>167</v>
      </c>
      <c r="J1855">
        <v>0</v>
      </c>
      <c r="K1855">
        <v>20</v>
      </c>
      <c r="L1855" s="4">
        <v>0.47418519499619799</v>
      </c>
      <c r="M1855" s="4">
        <v>0.52581480500380195</v>
      </c>
      <c r="N1855">
        <v>0</v>
      </c>
    </row>
    <row r="1856" spans="1:14" x14ac:dyDescent="0.25">
      <c r="A1856" s="2">
        <v>23924687</v>
      </c>
      <c r="B1856" t="s">
        <v>4581</v>
      </c>
      <c r="C1856" t="s">
        <v>31</v>
      </c>
      <c r="D1856" t="s">
        <v>352</v>
      </c>
      <c r="E1856" t="s">
        <v>4582</v>
      </c>
      <c r="F1856" t="s">
        <v>4583</v>
      </c>
      <c r="G1856" t="s">
        <v>4584</v>
      </c>
      <c r="H1856" s="3">
        <v>2040</v>
      </c>
      <c r="I1856">
        <v>31</v>
      </c>
      <c r="J1856">
        <v>1</v>
      </c>
      <c r="K1856">
        <v>15</v>
      </c>
      <c r="L1856" s="4">
        <v>3.1235798415777401E-2</v>
      </c>
      <c r="M1856" s="4">
        <v>0.96876420158422305</v>
      </c>
      <c r="N1856">
        <v>0</v>
      </c>
    </row>
    <row r="1857" spans="1:14" x14ac:dyDescent="0.25">
      <c r="A1857" s="2"/>
      <c r="B1857" t="s">
        <v>4585</v>
      </c>
      <c r="C1857" t="s">
        <v>16</v>
      </c>
      <c r="D1857" t="s">
        <v>352</v>
      </c>
      <c r="E1857" t="s">
        <v>4582</v>
      </c>
      <c r="F1857" t="s">
        <v>4583</v>
      </c>
      <c r="G1857" t="s">
        <v>4586</v>
      </c>
      <c r="H1857" s="3">
        <v>2040</v>
      </c>
      <c r="I1857">
        <v>170</v>
      </c>
      <c r="J1857">
        <v>0</v>
      </c>
      <c r="K1857">
        <v>42</v>
      </c>
      <c r="L1857" s="4">
        <v>0.61438216144209701</v>
      </c>
      <c r="M1857" s="4">
        <v>0.38561783855790299</v>
      </c>
      <c r="N1857">
        <v>0</v>
      </c>
    </row>
    <row r="1858" spans="1:14" x14ac:dyDescent="0.25">
      <c r="A1858" s="2">
        <v>23375993</v>
      </c>
      <c r="B1858" t="s">
        <v>4587</v>
      </c>
      <c r="C1858" t="s">
        <v>31</v>
      </c>
      <c r="D1858" t="s">
        <v>17</v>
      </c>
      <c r="E1858" t="s">
        <v>4588</v>
      </c>
      <c r="F1858" t="s">
        <v>4589</v>
      </c>
      <c r="G1858" t="s">
        <v>4590</v>
      </c>
      <c r="H1858" s="3">
        <v>1160.6199999999999</v>
      </c>
      <c r="I1858">
        <v>785</v>
      </c>
      <c r="J1858">
        <v>0</v>
      </c>
      <c r="K1858">
        <v>23</v>
      </c>
      <c r="L1858" s="4">
        <v>0.39393044359152901</v>
      </c>
      <c r="M1858" s="4">
        <v>0.60606955640847104</v>
      </c>
      <c r="N1858">
        <v>0</v>
      </c>
    </row>
    <row r="1859" spans="1:14" x14ac:dyDescent="0.25">
      <c r="A1859" s="2">
        <v>22964003</v>
      </c>
      <c r="C1859" t="s">
        <v>0</v>
      </c>
      <c r="D1859" t="s">
        <v>17</v>
      </c>
      <c r="E1859" t="s">
        <v>4588</v>
      </c>
      <c r="F1859" t="s">
        <v>4589</v>
      </c>
      <c r="G1859" t="s">
        <v>4591</v>
      </c>
      <c r="H1859" s="3">
        <v>1188.83</v>
      </c>
      <c r="I1859">
        <v>432</v>
      </c>
      <c r="J1859">
        <v>0</v>
      </c>
      <c r="L1859" s="4">
        <v>0.84015995364232199</v>
      </c>
      <c r="M1859" s="4">
        <v>0.15984004635767801</v>
      </c>
      <c r="N1859">
        <v>0</v>
      </c>
    </row>
    <row r="1860" spans="1:14" x14ac:dyDescent="0.25">
      <c r="A1860" s="2"/>
      <c r="B1860" t="s">
        <v>4592</v>
      </c>
      <c r="C1860" t="s">
        <v>16</v>
      </c>
      <c r="D1860" t="s">
        <v>17</v>
      </c>
      <c r="E1860" t="s">
        <v>4588</v>
      </c>
      <c r="F1860" t="s">
        <v>4589</v>
      </c>
      <c r="G1860" t="s">
        <v>4593</v>
      </c>
      <c r="H1860" s="3">
        <v>1273.1500000000001</v>
      </c>
      <c r="I1860">
        <v>752</v>
      </c>
      <c r="J1860">
        <v>0</v>
      </c>
      <c r="K1860">
        <v>9</v>
      </c>
      <c r="L1860" s="4">
        <v>0.86969809475719295</v>
      </c>
      <c r="M1860" s="4">
        <v>0.13030190524280699</v>
      </c>
      <c r="N1860">
        <v>0</v>
      </c>
    </row>
    <row r="1861" spans="1:14" x14ac:dyDescent="0.25">
      <c r="A1861" s="2"/>
      <c r="B1861" t="s">
        <v>4594</v>
      </c>
      <c r="C1861" t="s">
        <v>16</v>
      </c>
      <c r="D1861" t="s">
        <v>17</v>
      </c>
      <c r="E1861" t="s">
        <v>4588</v>
      </c>
      <c r="F1861" t="s">
        <v>4589</v>
      </c>
      <c r="G1861" t="s">
        <v>4595</v>
      </c>
      <c r="H1861" s="3">
        <v>2321.23</v>
      </c>
      <c r="I1861">
        <v>528</v>
      </c>
      <c r="J1861">
        <v>0</v>
      </c>
      <c r="K1861">
        <v>2</v>
      </c>
      <c r="L1861" s="4">
        <v>0.31343753902550198</v>
      </c>
      <c r="M1861" s="4">
        <v>0.68656246097449902</v>
      </c>
      <c r="N1861">
        <v>0</v>
      </c>
    </row>
    <row r="1862" spans="1:14" x14ac:dyDescent="0.25">
      <c r="A1862" s="2">
        <v>22796629</v>
      </c>
      <c r="B1862" t="s">
        <v>4596</v>
      </c>
      <c r="C1862" t="s">
        <v>31</v>
      </c>
      <c r="D1862" t="s">
        <v>17</v>
      </c>
      <c r="E1862" t="s">
        <v>4588</v>
      </c>
      <c r="F1862" t="s">
        <v>4589</v>
      </c>
      <c r="G1862" t="s">
        <v>4597</v>
      </c>
      <c r="H1862" s="3">
        <v>2377.65</v>
      </c>
      <c r="I1862">
        <v>4</v>
      </c>
      <c r="K1862">
        <v>28</v>
      </c>
      <c r="L1862" s="4">
        <v>0.426536328135458</v>
      </c>
      <c r="M1862" s="4">
        <v>0.57346367186454195</v>
      </c>
      <c r="N1862">
        <v>0</v>
      </c>
    </row>
    <row r="1863" spans="1:14" x14ac:dyDescent="0.25">
      <c r="A1863" s="2"/>
      <c r="B1863" t="s">
        <v>4598</v>
      </c>
      <c r="C1863" t="s">
        <v>16</v>
      </c>
      <c r="D1863" t="s">
        <v>17</v>
      </c>
      <c r="E1863" t="s">
        <v>4588</v>
      </c>
      <c r="F1863" t="s">
        <v>4589</v>
      </c>
      <c r="G1863" t="s">
        <v>4599</v>
      </c>
      <c r="H1863" s="3">
        <v>2475.13</v>
      </c>
      <c r="I1863">
        <v>318</v>
      </c>
      <c r="J1863">
        <v>1</v>
      </c>
      <c r="K1863">
        <v>42</v>
      </c>
      <c r="L1863" s="4">
        <v>0.48804315979198798</v>
      </c>
      <c r="M1863" s="4">
        <v>0.51195684020801202</v>
      </c>
      <c r="N1863">
        <v>0</v>
      </c>
    </row>
    <row r="1864" spans="1:14" x14ac:dyDescent="0.25">
      <c r="A1864" s="2"/>
      <c r="B1864" t="s">
        <v>4600</v>
      </c>
      <c r="C1864" t="s">
        <v>16</v>
      </c>
      <c r="D1864" t="s">
        <v>3510</v>
      </c>
      <c r="E1864" t="s">
        <v>4553</v>
      </c>
      <c r="F1864" t="s">
        <v>4601</v>
      </c>
      <c r="G1864" t="s">
        <v>4602</v>
      </c>
      <c r="H1864" s="3">
        <v>731.77</v>
      </c>
      <c r="I1864">
        <v>379</v>
      </c>
      <c r="J1864">
        <v>1</v>
      </c>
      <c r="K1864">
        <v>44</v>
      </c>
      <c r="L1864" s="4">
        <v>8.6462652547716803E-2</v>
      </c>
      <c r="M1864" s="4">
        <v>0.91353734745228299</v>
      </c>
      <c r="N1864">
        <v>0</v>
      </c>
    </row>
    <row r="1865" spans="1:14" x14ac:dyDescent="0.25">
      <c r="A1865" s="2"/>
      <c r="B1865" t="s">
        <v>4603</v>
      </c>
      <c r="C1865" t="s">
        <v>16</v>
      </c>
      <c r="D1865" t="s">
        <v>3510</v>
      </c>
      <c r="E1865" t="s">
        <v>4553</v>
      </c>
      <c r="F1865" t="s">
        <v>4601</v>
      </c>
      <c r="G1865" t="s">
        <v>4604</v>
      </c>
      <c r="H1865" s="3">
        <v>619.83000000000004</v>
      </c>
      <c r="I1865">
        <v>548</v>
      </c>
      <c r="J1865">
        <v>0</v>
      </c>
      <c r="L1865" s="4">
        <v>0.59233880440715003</v>
      </c>
      <c r="M1865" s="4">
        <v>0.40766119559285002</v>
      </c>
      <c r="N1865">
        <v>0</v>
      </c>
    </row>
    <row r="1866" spans="1:14" x14ac:dyDescent="0.25">
      <c r="A1866" s="2"/>
      <c r="B1866" t="s">
        <v>4605</v>
      </c>
      <c r="C1866" t="s">
        <v>16</v>
      </c>
      <c r="D1866" t="s">
        <v>552</v>
      </c>
      <c r="E1866" t="s">
        <v>4606</v>
      </c>
      <c r="F1866" t="s">
        <v>4607</v>
      </c>
      <c r="G1866" t="s">
        <v>4608</v>
      </c>
      <c r="H1866" s="3">
        <v>1260</v>
      </c>
      <c r="I1866">
        <v>167</v>
      </c>
      <c r="J1866">
        <v>1</v>
      </c>
      <c r="K1866">
        <v>33</v>
      </c>
      <c r="L1866" s="4">
        <v>4.8715832260761899E-2</v>
      </c>
      <c r="M1866" s="4">
        <v>0.95128416773923796</v>
      </c>
      <c r="N1866">
        <v>0</v>
      </c>
    </row>
    <row r="1867" spans="1:14" x14ac:dyDescent="0.25">
      <c r="A1867" s="2"/>
      <c r="B1867" t="s">
        <v>4609</v>
      </c>
      <c r="C1867" t="s">
        <v>16</v>
      </c>
      <c r="D1867" t="s">
        <v>552</v>
      </c>
      <c r="E1867" t="s">
        <v>4606</v>
      </c>
      <c r="F1867" t="s">
        <v>4607</v>
      </c>
      <c r="G1867" t="s">
        <v>4610</v>
      </c>
      <c r="H1867" s="3">
        <v>1680</v>
      </c>
      <c r="I1867">
        <v>133</v>
      </c>
      <c r="J1867">
        <v>1</v>
      </c>
      <c r="K1867">
        <v>7</v>
      </c>
      <c r="L1867" s="4">
        <v>0.34526469418498201</v>
      </c>
      <c r="M1867" s="4">
        <v>0.65473530581501804</v>
      </c>
      <c r="N1867">
        <v>0</v>
      </c>
    </row>
    <row r="1868" spans="1:14" x14ac:dyDescent="0.25">
      <c r="A1868" s="2">
        <v>23282992</v>
      </c>
      <c r="C1868" t="s">
        <v>0</v>
      </c>
      <c r="D1868" t="s">
        <v>552</v>
      </c>
      <c r="E1868" t="s">
        <v>4611</v>
      </c>
      <c r="F1868" t="s">
        <v>4612</v>
      </c>
      <c r="G1868" t="s">
        <v>4613</v>
      </c>
      <c r="H1868" s="3">
        <v>1296</v>
      </c>
      <c r="I1868">
        <v>201</v>
      </c>
      <c r="J1868">
        <v>0</v>
      </c>
      <c r="K1868">
        <v>2</v>
      </c>
      <c r="L1868" s="4">
        <v>0.73616321340865598</v>
      </c>
      <c r="M1868" s="4">
        <v>0.26383678659134402</v>
      </c>
      <c r="N1868">
        <v>0</v>
      </c>
    </row>
    <row r="1869" spans="1:14" x14ac:dyDescent="0.25">
      <c r="A1869" s="2"/>
      <c r="B1869" t="s">
        <v>4614</v>
      </c>
      <c r="C1869" t="s">
        <v>16</v>
      </c>
      <c r="D1869" t="s">
        <v>191</v>
      </c>
      <c r="E1869" t="s">
        <v>4553</v>
      </c>
      <c r="F1869" t="s">
        <v>4615</v>
      </c>
      <c r="G1869" t="s">
        <v>4616</v>
      </c>
      <c r="H1869" s="3">
        <v>603.41999999999996</v>
      </c>
      <c r="I1869">
        <v>34</v>
      </c>
      <c r="J1869">
        <v>1</v>
      </c>
      <c r="K1869">
        <v>28</v>
      </c>
      <c r="L1869" s="4">
        <v>0.75485142148384199</v>
      </c>
      <c r="M1869" s="4">
        <v>0.24514857851615801</v>
      </c>
      <c r="N1869">
        <v>0</v>
      </c>
    </row>
    <row r="1870" spans="1:14" x14ac:dyDescent="0.25">
      <c r="A1870" s="2"/>
      <c r="B1870" t="s">
        <v>4617</v>
      </c>
      <c r="C1870" t="s">
        <v>16</v>
      </c>
      <c r="D1870" t="s">
        <v>191</v>
      </c>
      <c r="E1870" t="s">
        <v>4553</v>
      </c>
      <c r="F1870" t="s">
        <v>4615</v>
      </c>
      <c r="G1870" t="s">
        <v>4618</v>
      </c>
      <c r="H1870" s="3">
        <v>660.59</v>
      </c>
      <c r="I1870">
        <v>794</v>
      </c>
      <c r="J1870">
        <v>0</v>
      </c>
      <c r="K1870">
        <v>46</v>
      </c>
      <c r="L1870" s="4">
        <v>0.99560110831781001</v>
      </c>
      <c r="M1870" s="4">
        <v>4.39889168219021E-3</v>
      </c>
      <c r="N1870">
        <v>0</v>
      </c>
    </row>
    <row r="1871" spans="1:14" x14ac:dyDescent="0.25">
      <c r="A1871" s="2"/>
      <c r="B1871" t="s">
        <v>4619</v>
      </c>
      <c r="C1871" t="s">
        <v>16</v>
      </c>
      <c r="D1871" t="s">
        <v>191</v>
      </c>
      <c r="E1871" t="s">
        <v>4553</v>
      </c>
      <c r="F1871" t="s">
        <v>4615</v>
      </c>
      <c r="G1871" t="s">
        <v>4620</v>
      </c>
      <c r="H1871" s="3">
        <v>1241.0999999999999</v>
      </c>
      <c r="I1871">
        <v>546</v>
      </c>
      <c r="J1871">
        <v>0</v>
      </c>
      <c r="K1871">
        <v>39</v>
      </c>
      <c r="L1871" s="4">
        <v>0.59127904788855301</v>
      </c>
      <c r="M1871" s="4">
        <v>0.40872095211144699</v>
      </c>
      <c r="N1871">
        <v>0</v>
      </c>
    </row>
    <row r="1872" spans="1:14" x14ac:dyDescent="0.25">
      <c r="A1872" s="2"/>
      <c r="B1872" t="s">
        <v>4621</v>
      </c>
      <c r="C1872" t="s">
        <v>16</v>
      </c>
      <c r="D1872" t="s">
        <v>3510</v>
      </c>
      <c r="E1872" t="s">
        <v>4553</v>
      </c>
      <c r="F1872" t="s">
        <v>4615</v>
      </c>
      <c r="G1872" t="s">
        <v>4622</v>
      </c>
      <c r="H1872" s="3">
        <v>395.6</v>
      </c>
      <c r="I1872">
        <v>558</v>
      </c>
      <c r="J1872">
        <v>1</v>
      </c>
      <c r="K1872">
        <v>12</v>
      </c>
      <c r="L1872" s="4">
        <v>5.1409412634942697E-2</v>
      </c>
      <c r="M1872" s="4">
        <v>0.94859058736505697</v>
      </c>
      <c r="N1872">
        <v>0</v>
      </c>
    </row>
    <row r="1873" spans="1:14" x14ac:dyDescent="0.25">
      <c r="A1873" s="2"/>
      <c r="B1873" t="s">
        <v>4623</v>
      </c>
      <c r="C1873" t="s">
        <v>16</v>
      </c>
      <c r="D1873" t="s">
        <v>3510</v>
      </c>
      <c r="E1873" t="s">
        <v>4553</v>
      </c>
      <c r="F1873" t="s">
        <v>4615</v>
      </c>
      <c r="G1873" t="s">
        <v>4624</v>
      </c>
      <c r="H1873" s="3">
        <v>605.16999999999996</v>
      </c>
      <c r="I1873">
        <v>49</v>
      </c>
      <c r="J1873">
        <v>1</v>
      </c>
      <c r="K1873">
        <v>20</v>
      </c>
      <c r="L1873" s="4">
        <v>0.87250391378095804</v>
      </c>
      <c r="M1873" s="4">
        <v>0.12749608621904199</v>
      </c>
      <c r="N1873">
        <v>0</v>
      </c>
    </row>
    <row r="1874" spans="1:14" x14ac:dyDescent="0.25">
      <c r="A1874" s="2"/>
      <c r="B1874" t="s">
        <v>4625</v>
      </c>
      <c r="C1874" t="s">
        <v>16</v>
      </c>
      <c r="D1874" t="s">
        <v>3510</v>
      </c>
      <c r="E1874" t="s">
        <v>4553</v>
      </c>
      <c r="F1874" t="s">
        <v>4615</v>
      </c>
      <c r="G1874" t="s">
        <v>4626</v>
      </c>
      <c r="H1874" s="3">
        <v>614.95000000000005</v>
      </c>
      <c r="I1874">
        <v>233</v>
      </c>
      <c r="J1874">
        <v>1</v>
      </c>
      <c r="K1874">
        <v>14</v>
      </c>
      <c r="L1874" s="4">
        <v>0.18324350497002101</v>
      </c>
      <c r="M1874" s="4">
        <v>0.81675649502997905</v>
      </c>
      <c r="N1874">
        <v>0</v>
      </c>
    </row>
    <row r="1875" spans="1:14" x14ac:dyDescent="0.25">
      <c r="A1875" s="2"/>
      <c r="B1875" t="s">
        <v>4627</v>
      </c>
      <c r="C1875" t="s">
        <v>16</v>
      </c>
      <c r="D1875" t="s">
        <v>3510</v>
      </c>
      <c r="E1875" t="s">
        <v>4553</v>
      </c>
      <c r="F1875" t="s">
        <v>4615</v>
      </c>
      <c r="G1875" t="s">
        <v>4628</v>
      </c>
      <c r="H1875" s="3">
        <v>617.79</v>
      </c>
      <c r="I1875">
        <v>406</v>
      </c>
      <c r="J1875">
        <v>1</v>
      </c>
      <c r="K1875">
        <v>37</v>
      </c>
      <c r="L1875" s="4">
        <v>0.98768973284821704</v>
      </c>
      <c r="M1875" s="4">
        <v>1.2310267151782701E-2</v>
      </c>
      <c r="N1875">
        <v>0</v>
      </c>
    </row>
    <row r="1876" spans="1:14" x14ac:dyDescent="0.25">
      <c r="A1876" s="2"/>
      <c r="B1876" t="s">
        <v>4629</v>
      </c>
      <c r="C1876" t="s">
        <v>16</v>
      </c>
      <c r="D1876" t="s">
        <v>3510</v>
      </c>
      <c r="E1876" t="s">
        <v>4553</v>
      </c>
      <c r="F1876" t="s">
        <v>4615</v>
      </c>
      <c r="G1876" t="s">
        <v>4630</v>
      </c>
      <c r="H1876" s="3">
        <v>662.09</v>
      </c>
      <c r="I1876">
        <v>373</v>
      </c>
      <c r="J1876">
        <v>0</v>
      </c>
      <c r="K1876">
        <v>25</v>
      </c>
      <c r="L1876" s="4">
        <v>0.86329734402625402</v>
      </c>
      <c r="M1876" s="4">
        <v>0.13670265597374601</v>
      </c>
      <c r="N1876">
        <v>0</v>
      </c>
    </row>
    <row r="1877" spans="1:14" x14ac:dyDescent="0.25">
      <c r="A1877" s="2"/>
      <c r="B1877" t="s">
        <v>4631</v>
      </c>
      <c r="C1877" t="s">
        <v>16</v>
      </c>
      <c r="D1877" t="s">
        <v>3510</v>
      </c>
      <c r="E1877" t="s">
        <v>4553</v>
      </c>
      <c r="F1877" t="s">
        <v>4615</v>
      </c>
      <c r="G1877" t="s">
        <v>4632</v>
      </c>
      <c r="H1877" s="3">
        <v>664.89</v>
      </c>
      <c r="I1877">
        <v>891</v>
      </c>
      <c r="J1877">
        <v>0</v>
      </c>
      <c r="K1877">
        <v>47</v>
      </c>
      <c r="L1877" s="4">
        <v>0.42868259499052602</v>
      </c>
      <c r="M1877" s="4">
        <v>0.57131740500947403</v>
      </c>
      <c r="N1877">
        <v>0</v>
      </c>
    </row>
    <row r="1878" spans="1:14" x14ac:dyDescent="0.25">
      <c r="A1878" s="2"/>
      <c r="B1878" t="s">
        <v>4633</v>
      </c>
      <c r="C1878" t="s">
        <v>16</v>
      </c>
      <c r="D1878" t="s">
        <v>3510</v>
      </c>
      <c r="E1878" t="s">
        <v>4553</v>
      </c>
      <c r="F1878" t="s">
        <v>4615</v>
      </c>
      <c r="G1878" t="s">
        <v>4634</v>
      </c>
      <c r="H1878" s="3">
        <v>765.36</v>
      </c>
      <c r="I1878">
        <v>244</v>
      </c>
      <c r="J1878">
        <v>0</v>
      </c>
      <c r="K1878">
        <v>3</v>
      </c>
      <c r="L1878" s="4">
        <v>0.32584603806941997</v>
      </c>
      <c r="M1878" s="4">
        <v>0.67415396193057997</v>
      </c>
      <c r="N1878">
        <v>0</v>
      </c>
    </row>
    <row r="1879" spans="1:14" x14ac:dyDescent="0.25">
      <c r="A1879" s="2"/>
      <c r="B1879" t="s">
        <v>4635</v>
      </c>
      <c r="C1879" t="s">
        <v>16</v>
      </c>
      <c r="D1879" t="s">
        <v>3510</v>
      </c>
      <c r="E1879" t="s">
        <v>4553</v>
      </c>
      <c r="F1879" t="s">
        <v>4615</v>
      </c>
      <c r="G1879" t="s">
        <v>4636</v>
      </c>
      <c r="H1879" s="3">
        <v>770.75</v>
      </c>
      <c r="I1879">
        <v>950</v>
      </c>
      <c r="J1879">
        <v>1</v>
      </c>
      <c r="K1879">
        <v>25</v>
      </c>
      <c r="L1879" s="4">
        <v>0.599935718351014</v>
      </c>
      <c r="M1879" s="4">
        <v>0.400064281648986</v>
      </c>
      <c r="N1879">
        <v>0</v>
      </c>
    </row>
    <row r="1880" spans="1:14" x14ac:dyDescent="0.25">
      <c r="A1880" s="2"/>
      <c r="B1880" t="s">
        <v>4637</v>
      </c>
      <c r="C1880" t="s">
        <v>16</v>
      </c>
      <c r="D1880" t="s">
        <v>3510</v>
      </c>
      <c r="E1880" t="s">
        <v>4553</v>
      </c>
      <c r="F1880" t="s">
        <v>4615</v>
      </c>
      <c r="G1880" t="s">
        <v>4638</v>
      </c>
      <c r="H1880" s="3">
        <v>792</v>
      </c>
      <c r="I1880">
        <v>795</v>
      </c>
      <c r="J1880">
        <v>0</v>
      </c>
      <c r="K1880">
        <v>8</v>
      </c>
      <c r="L1880" s="4">
        <v>0.24574096626581701</v>
      </c>
      <c r="M1880" s="4">
        <v>0.75425903373418302</v>
      </c>
      <c r="N1880">
        <v>0</v>
      </c>
    </row>
    <row r="1881" spans="1:14" x14ac:dyDescent="0.25">
      <c r="A1881" s="2"/>
      <c r="B1881" t="s">
        <v>4639</v>
      </c>
      <c r="C1881" t="s">
        <v>16</v>
      </c>
      <c r="D1881" t="s">
        <v>3510</v>
      </c>
      <c r="E1881" t="s">
        <v>4553</v>
      </c>
      <c r="F1881" t="s">
        <v>4615</v>
      </c>
      <c r="G1881" t="s">
        <v>4640</v>
      </c>
      <c r="H1881" s="3">
        <v>793.02</v>
      </c>
      <c r="I1881">
        <v>67</v>
      </c>
      <c r="K1881">
        <v>19</v>
      </c>
      <c r="L1881" s="4">
        <v>0.82426857192586001</v>
      </c>
      <c r="M1881" s="4">
        <v>0.17573142807413999</v>
      </c>
      <c r="N1881">
        <v>0</v>
      </c>
    </row>
    <row r="1882" spans="1:14" x14ac:dyDescent="0.25">
      <c r="A1882" s="2">
        <v>23213245</v>
      </c>
      <c r="B1882" t="s">
        <v>4641</v>
      </c>
      <c r="C1882" t="s">
        <v>31</v>
      </c>
      <c r="D1882" t="s">
        <v>3510</v>
      </c>
      <c r="E1882" t="s">
        <v>4553</v>
      </c>
      <c r="F1882" t="s">
        <v>4615</v>
      </c>
      <c r="G1882" t="s">
        <v>4642</v>
      </c>
      <c r="H1882" s="3">
        <v>751.84</v>
      </c>
      <c r="I1882">
        <v>875</v>
      </c>
      <c r="J1882">
        <v>1</v>
      </c>
      <c r="K1882">
        <v>24</v>
      </c>
      <c r="L1882" s="4">
        <v>0.80016386711939702</v>
      </c>
      <c r="M1882" s="4">
        <v>0.19983613288060301</v>
      </c>
      <c r="N1882">
        <v>0</v>
      </c>
    </row>
    <row r="1883" spans="1:14" x14ac:dyDescent="0.25">
      <c r="A1883" s="2"/>
      <c r="B1883" t="s">
        <v>4643</v>
      </c>
      <c r="C1883" t="s">
        <v>16</v>
      </c>
      <c r="D1883" t="s">
        <v>3510</v>
      </c>
      <c r="E1883" t="s">
        <v>4553</v>
      </c>
      <c r="F1883" t="s">
        <v>4615</v>
      </c>
      <c r="G1883" t="s">
        <v>4644</v>
      </c>
      <c r="H1883" s="3">
        <v>732.25</v>
      </c>
      <c r="J1883">
        <v>1</v>
      </c>
      <c r="K1883">
        <v>22</v>
      </c>
      <c r="L1883" s="4">
        <v>0.15716488778898</v>
      </c>
      <c r="M1883" s="4">
        <v>0.84283511221102003</v>
      </c>
      <c r="N1883">
        <v>0</v>
      </c>
    </row>
    <row r="1884" spans="1:14" x14ac:dyDescent="0.25">
      <c r="A1884" s="2">
        <v>23319650</v>
      </c>
      <c r="B1884" t="s">
        <v>4645</v>
      </c>
      <c r="C1884" t="s">
        <v>31</v>
      </c>
      <c r="D1884" t="s">
        <v>3510</v>
      </c>
      <c r="E1884" t="s">
        <v>4553</v>
      </c>
      <c r="F1884" t="s">
        <v>4615</v>
      </c>
      <c r="G1884" t="s">
        <v>4646</v>
      </c>
      <c r="H1884" s="3">
        <v>759.3</v>
      </c>
      <c r="I1884">
        <v>458</v>
      </c>
      <c r="K1884">
        <v>14</v>
      </c>
      <c r="L1884" s="4">
        <v>5.3758308549325402E-2</v>
      </c>
      <c r="M1884" s="4">
        <v>0.94624169145067505</v>
      </c>
      <c r="N1884">
        <v>0</v>
      </c>
    </row>
    <row r="1885" spans="1:14" x14ac:dyDescent="0.25">
      <c r="A1885" s="2">
        <v>23650371</v>
      </c>
      <c r="C1885" t="s">
        <v>0</v>
      </c>
      <c r="D1885" t="s">
        <v>3510</v>
      </c>
      <c r="E1885" t="s">
        <v>4553</v>
      </c>
      <c r="F1885" t="s">
        <v>4615</v>
      </c>
      <c r="G1885" t="s">
        <v>4647</v>
      </c>
      <c r="H1885" s="3">
        <v>786.98</v>
      </c>
      <c r="I1885">
        <v>684</v>
      </c>
      <c r="J1885">
        <v>0</v>
      </c>
      <c r="K1885">
        <v>7</v>
      </c>
      <c r="L1885" s="4">
        <v>0.90028275482487197</v>
      </c>
      <c r="M1885" s="4">
        <v>9.9717245175128297E-2</v>
      </c>
      <c r="N1885">
        <v>0</v>
      </c>
    </row>
    <row r="1886" spans="1:14" x14ac:dyDescent="0.25">
      <c r="A1886" s="2"/>
      <c r="B1886" t="s">
        <v>4648</v>
      </c>
      <c r="C1886" t="s">
        <v>16</v>
      </c>
      <c r="D1886" t="s">
        <v>3510</v>
      </c>
      <c r="E1886" t="s">
        <v>4553</v>
      </c>
      <c r="F1886" t="s">
        <v>4615</v>
      </c>
      <c r="G1886" t="s">
        <v>4649</v>
      </c>
      <c r="H1886" s="3">
        <v>206.32</v>
      </c>
      <c r="I1886">
        <v>757</v>
      </c>
      <c r="J1886">
        <v>1</v>
      </c>
      <c r="K1886">
        <v>45</v>
      </c>
      <c r="L1886" s="4">
        <v>0.41611278329060097</v>
      </c>
      <c r="M1886" s="4">
        <v>0.58388721670939903</v>
      </c>
      <c r="N1886">
        <v>0</v>
      </c>
    </row>
    <row r="1887" spans="1:14" x14ac:dyDescent="0.25">
      <c r="A1887" s="2">
        <v>23341602</v>
      </c>
      <c r="B1887" t="s">
        <v>4650</v>
      </c>
      <c r="C1887" t="s">
        <v>31</v>
      </c>
      <c r="D1887" t="s">
        <v>3510</v>
      </c>
      <c r="E1887" t="s">
        <v>4553</v>
      </c>
      <c r="F1887" t="s">
        <v>4615</v>
      </c>
      <c r="G1887" t="s">
        <v>4651</v>
      </c>
      <c r="H1887" s="3">
        <v>663.3</v>
      </c>
      <c r="I1887">
        <v>240</v>
      </c>
      <c r="J1887">
        <v>0</v>
      </c>
      <c r="K1887">
        <v>33</v>
      </c>
      <c r="L1887" s="4">
        <v>0.390696405112329</v>
      </c>
      <c r="M1887" s="4">
        <v>0.60930359488767105</v>
      </c>
      <c r="N1887">
        <v>0</v>
      </c>
    </row>
    <row r="1888" spans="1:14" x14ac:dyDescent="0.25">
      <c r="A1888" s="2"/>
      <c r="B1888" t="s">
        <v>4652</v>
      </c>
      <c r="C1888" t="s">
        <v>16</v>
      </c>
      <c r="D1888" t="s">
        <v>3510</v>
      </c>
      <c r="E1888" t="s">
        <v>4553</v>
      </c>
      <c r="F1888" t="s">
        <v>4615</v>
      </c>
      <c r="G1888" t="s">
        <v>4653</v>
      </c>
      <c r="H1888" s="3">
        <v>779.69</v>
      </c>
      <c r="I1888">
        <v>268</v>
      </c>
      <c r="J1888">
        <v>1</v>
      </c>
      <c r="L1888" s="4">
        <v>0.409689847145004</v>
      </c>
      <c r="M1888" s="4">
        <v>0.590310152854996</v>
      </c>
      <c r="N1888">
        <v>0</v>
      </c>
    </row>
    <row r="1889" spans="1:14" x14ac:dyDescent="0.25">
      <c r="A1889" s="2"/>
      <c r="B1889" t="s">
        <v>4654</v>
      </c>
      <c r="C1889" t="s">
        <v>16</v>
      </c>
      <c r="D1889" t="s">
        <v>3510</v>
      </c>
      <c r="E1889" t="s">
        <v>4553</v>
      </c>
      <c r="F1889" t="s">
        <v>4615</v>
      </c>
      <c r="G1889" t="s">
        <v>4655</v>
      </c>
      <c r="H1889" s="3">
        <v>888.18</v>
      </c>
      <c r="I1889">
        <v>366</v>
      </c>
      <c r="J1889">
        <v>1</v>
      </c>
      <c r="K1889">
        <v>13</v>
      </c>
      <c r="L1889" s="4">
        <v>0.15073787462874599</v>
      </c>
      <c r="M1889" s="4">
        <v>0.84926212537125401</v>
      </c>
      <c r="N1889">
        <v>0</v>
      </c>
    </row>
    <row r="1890" spans="1:14" x14ac:dyDescent="0.25">
      <c r="A1890" s="2"/>
      <c r="B1890" t="s">
        <v>4656</v>
      </c>
      <c r="C1890" t="s">
        <v>16</v>
      </c>
      <c r="D1890" t="s">
        <v>3510</v>
      </c>
      <c r="E1890" t="s">
        <v>4553</v>
      </c>
      <c r="F1890" t="s">
        <v>4615</v>
      </c>
      <c r="G1890" t="s">
        <v>4657</v>
      </c>
      <c r="H1890" s="3">
        <v>2691.68</v>
      </c>
      <c r="I1890">
        <v>561</v>
      </c>
      <c r="J1890">
        <v>1</v>
      </c>
      <c r="K1890">
        <v>47</v>
      </c>
      <c r="L1890" s="4">
        <v>9.5174725225689497E-2</v>
      </c>
      <c r="M1890" s="4">
        <v>0.90482527477431096</v>
      </c>
      <c r="N1890">
        <v>0</v>
      </c>
    </row>
    <row r="1891" spans="1:14" x14ac:dyDescent="0.25">
      <c r="A1891" s="2"/>
      <c r="B1891" t="s">
        <v>4658</v>
      </c>
      <c r="C1891" t="s">
        <v>16</v>
      </c>
      <c r="D1891" t="s">
        <v>3510</v>
      </c>
      <c r="E1891" t="s">
        <v>4553</v>
      </c>
      <c r="F1891" t="s">
        <v>4659</v>
      </c>
      <c r="G1891" t="s">
        <v>4660</v>
      </c>
      <c r="H1891" s="3">
        <v>831.09</v>
      </c>
      <c r="I1891">
        <v>667</v>
      </c>
      <c r="J1891">
        <v>1</v>
      </c>
      <c r="K1891">
        <v>11</v>
      </c>
      <c r="L1891" s="4">
        <v>0.98480763303287799</v>
      </c>
      <c r="M1891" s="4">
        <v>1.51923669671221E-2</v>
      </c>
      <c r="N1891">
        <v>0</v>
      </c>
    </row>
    <row r="1892" spans="1:14" x14ac:dyDescent="0.25">
      <c r="A1892" s="2"/>
      <c r="B1892" t="s">
        <v>4661</v>
      </c>
      <c r="C1892" t="s">
        <v>16</v>
      </c>
      <c r="D1892" t="s">
        <v>3510</v>
      </c>
      <c r="E1892" t="s">
        <v>4553</v>
      </c>
      <c r="F1892" t="s">
        <v>4601</v>
      </c>
      <c r="G1892" t="s">
        <v>4662</v>
      </c>
      <c r="H1892" s="3">
        <v>601.70000000000005</v>
      </c>
      <c r="I1892">
        <v>22</v>
      </c>
      <c r="J1892">
        <v>0</v>
      </c>
      <c r="K1892">
        <v>25</v>
      </c>
      <c r="L1892" s="4">
        <v>1.30291956241982E-2</v>
      </c>
      <c r="M1892" s="4">
        <v>0.98697080437580198</v>
      </c>
      <c r="N1892">
        <v>0</v>
      </c>
    </row>
    <row r="1893" spans="1:14" x14ac:dyDescent="0.25">
      <c r="A1893" s="2"/>
      <c r="B1893" t="s">
        <v>4663</v>
      </c>
      <c r="C1893" t="s">
        <v>16</v>
      </c>
      <c r="D1893" t="s">
        <v>3510</v>
      </c>
      <c r="E1893" t="s">
        <v>4553</v>
      </c>
      <c r="F1893" t="s">
        <v>4601</v>
      </c>
      <c r="G1893" t="s">
        <v>4664</v>
      </c>
      <c r="H1893" s="3">
        <v>567.65</v>
      </c>
      <c r="I1893">
        <v>439</v>
      </c>
      <c r="J1893">
        <v>0</v>
      </c>
      <c r="K1893">
        <v>50</v>
      </c>
      <c r="L1893" s="4">
        <v>0.19043971514955399</v>
      </c>
      <c r="M1893" s="4">
        <v>0.80956028485044595</v>
      </c>
      <c r="N1893">
        <v>0</v>
      </c>
    </row>
    <row r="1894" spans="1:14" x14ac:dyDescent="0.25">
      <c r="A1894" s="2">
        <v>23391734</v>
      </c>
      <c r="B1894" t="s">
        <v>4665</v>
      </c>
      <c r="C1894" t="s">
        <v>31</v>
      </c>
      <c r="D1894" t="s">
        <v>3510</v>
      </c>
      <c r="E1894" t="s">
        <v>4553</v>
      </c>
      <c r="F1894" t="s">
        <v>4601</v>
      </c>
      <c r="G1894" t="s">
        <v>4666</v>
      </c>
      <c r="H1894" s="3">
        <v>890</v>
      </c>
      <c r="I1894">
        <v>849</v>
      </c>
      <c r="J1894">
        <v>1</v>
      </c>
      <c r="K1894">
        <v>15</v>
      </c>
      <c r="L1894" s="4">
        <v>0.95071595219869698</v>
      </c>
      <c r="M1894" s="4">
        <v>4.9284047801302799E-2</v>
      </c>
      <c r="N1894">
        <v>0</v>
      </c>
    </row>
    <row r="1895" spans="1:14" x14ac:dyDescent="0.25">
      <c r="A1895" s="2"/>
      <c r="B1895" t="s">
        <v>4667</v>
      </c>
      <c r="C1895" t="s">
        <v>16</v>
      </c>
      <c r="D1895" t="s">
        <v>3510</v>
      </c>
      <c r="E1895" t="s">
        <v>4553</v>
      </c>
      <c r="F1895" t="s">
        <v>4601</v>
      </c>
      <c r="G1895" t="s">
        <v>4668</v>
      </c>
      <c r="H1895" s="3">
        <v>809.62</v>
      </c>
      <c r="I1895">
        <v>156</v>
      </c>
      <c r="J1895">
        <v>0</v>
      </c>
      <c r="K1895">
        <v>24</v>
      </c>
      <c r="L1895" s="4">
        <v>0.20228004689742801</v>
      </c>
      <c r="M1895" s="4">
        <v>0.79771995310257204</v>
      </c>
      <c r="N1895">
        <v>0</v>
      </c>
    </row>
    <row r="1896" spans="1:14" x14ac:dyDescent="0.25">
      <c r="A1896" s="2"/>
      <c r="B1896" t="s">
        <v>4669</v>
      </c>
      <c r="C1896" t="s">
        <v>16</v>
      </c>
      <c r="D1896" t="s">
        <v>552</v>
      </c>
      <c r="E1896" t="s">
        <v>4611</v>
      </c>
      <c r="F1896" t="s">
        <v>4612</v>
      </c>
      <c r="G1896" t="s">
        <v>4670</v>
      </c>
      <c r="H1896" s="3">
        <v>1260</v>
      </c>
      <c r="I1896">
        <v>716</v>
      </c>
      <c r="J1896">
        <v>0</v>
      </c>
      <c r="K1896">
        <v>16</v>
      </c>
      <c r="L1896" s="4">
        <v>0.65984231745791699</v>
      </c>
      <c r="M1896" s="4">
        <v>0.34015768254208301</v>
      </c>
      <c r="N1896">
        <v>0</v>
      </c>
    </row>
    <row r="1897" spans="1:14" x14ac:dyDescent="0.25">
      <c r="A1897" s="2"/>
      <c r="B1897" t="s">
        <v>4671</v>
      </c>
      <c r="C1897" t="s">
        <v>16</v>
      </c>
      <c r="D1897" t="s">
        <v>552</v>
      </c>
      <c r="E1897" t="s">
        <v>4606</v>
      </c>
      <c r="F1897" t="s">
        <v>4672</v>
      </c>
      <c r="G1897" t="s">
        <v>4673</v>
      </c>
      <c r="H1897" s="3">
        <v>1050</v>
      </c>
      <c r="I1897">
        <v>986</v>
      </c>
      <c r="J1897">
        <v>0</v>
      </c>
      <c r="K1897">
        <v>35</v>
      </c>
      <c r="L1897" s="4">
        <v>0.17673511467374001</v>
      </c>
      <c r="M1897" s="4">
        <v>0.82326488532625997</v>
      </c>
      <c r="N1897">
        <v>0</v>
      </c>
    </row>
    <row r="1898" spans="1:14" x14ac:dyDescent="0.25">
      <c r="A1898" s="2"/>
      <c r="B1898" t="s">
        <v>4674</v>
      </c>
      <c r="C1898" t="s">
        <v>16</v>
      </c>
      <c r="D1898" t="s">
        <v>552</v>
      </c>
      <c r="E1898" t="s">
        <v>4606</v>
      </c>
      <c r="F1898" t="s">
        <v>4672</v>
      </c>
      <c r="G1898" t="s">
        <v>4675</v>
      </c>
      <c r="H1898" s="3">
        <v>1400</v>
      </c>
      <c r="J1898">
        <v>0</v>
      </c>
      <c r="K1898">
        <v>34</v>
      </c>
      <c r="L1898" s="4">
        <v>0.91842897822599201</v>
      </c>
      <c r="M1898" s="4">
        <v>8.1571021774007907E-2</v>
      </c>
      <c r="N1898">
        <v>0</v>
      </c>
    </row>
    <row r="1899" spans="1:14" x14ac:dyDescent="0.25">
      <c r="A1899" s="2"/>
      <c r="B1899" t="s">
        <v>4676</v>
      </c>
      <c r="C1899" t="s">
        <v>16</v>
      </c>
      <c r="D1899" t="s">
        <v>552</v>
      </c>
      <c r="E1899" t="s">
        <v>4606</v>
      </c>
      <c r="F1899" t="s">
        <v>4672</v>
      </c>
      <c r="G1899" t="s">
        <v>4677</v>
      </c>
      <c r="H1899" s="3">
        <v>1680</v>
      </c>
      <c r="I1899">
        <v>93</v>
      </c>
      <c r="J1899">
        <v>1</v>
      </c>
      <c r="K1899">
        <v>19</v>
      </c>
      <c r="L1899" s="4">
        <v>0.88206104376290395</v>
      </c>
      <c r="M1899" s="4">
        <v>0.11793895623709599</v>
      </c>
      <c r="N1899">
        <v>0</v>
      </c>
    </row>
    <row r="1900" spans="1:14" x14ac:dyDescent="0.25">
      <c r="A1900" s="2"/>
      <c r="B1900" t="s">
        <v>4678</v>
      </c>
      <c r="C1900" t="s">
        <v>16</v>
      </c>
      <c r="D1900" t="s">
        <v>552</v>
      </c>
      <c r="E1900" t="s">
        <v>4606</v>
      </c>
      <c r="F1900" t="s">
        <v>4672</v>
      </c>
      <c r="G1900" t="s">
        <v>4679</v>
      </c>
      <c r="H1900" s="3">
        <v>1680</v>
      </c>
      <c r="I1900">
        <v>394</v>
      </c>
      <c r="J1900">
        <v>1</v>
      </c>
      <c r="K1900">
        <v>23</v>
      </c>
      <c r="L1900" s="4">
        <v>0.74949115362494401</v>
      </c>
      <c r="M1900" s="4">
        <v>0.25050884637505599</v>
      </c>
      <c r="N1900">
        <v>0</v>
      </c>
    </row>
    <row r="1901" spans="1:14" x14ac:dyDescent="0.25">
      <c r="A1901" s="2"/>
      <c r="B1901" t="s">
        <v>4680</v>
      </c>
      <c r="C1901" t="s">
        <v>16</v>
      </c>
      <c r="D1901" t="s">
        <v>552</v>
      </c>
      <c r="E1901" t="s">
        <v>4606</v>
      </c>
      <c r="F1901" t="s">
        <v>4672</v>
      </c>
      <c r="G1901" t="s">
        <v>4681</v>
      </c>
      <c r="H1901" s="3">
        <v>1680</v>
      </c>
      <c r="I1901">
        <v>306</v>
      </c>
      <c r="J1901">
        <v>0</v>
      </c>
      <c r="K1901">
        <v>17</v>
      </c>
      <c r="L1901" s="4">
        <v>0.104263259552325</v>
      </c>
      <c r="M1901" s="4">
        <v>0.89573674044767504</v>
      </c>
      <c r="N1901">
        <v>0</v>
      </c>
    </row>
    <row r="1902" spans="1:14" x14ac:dyDescent="0.25">
      <c r="A1902" s="2"/>
      <c r="B1902" t="s">
        <v>4682</v>
      </c>
      <c r="C1902" t="s">
        <v>16</v>
      </c>
      <c r="D1902" t="s">
        <v>552</v>
      </c>
      <c r="E1902" t="s">
        <v>4606</v>
      </c>
      <c r="F1902" t="s">
        <v>4672</v>
      </c>
      <c r="G1902" t="s">
        <v>4683</v>
      </c>
      <c r="H1902" s="3">
        <v>1260</v>
      </c>
      <c r="I1902">
        <v>70</v>
      </c>
      <c r="J1902">
        <v>0</v>
      </c>
      <c r="K1902">
        <v>38</v>
      </c>
      <c r="L1902" s="4">
        <v>0.33392939713720399</v>
      </c>
      <c r="M1902" s="4">
        <v>0.66607060286279596</v>
      </c>
      <c r="N1902">
        <v>0</v>
      </c>
    </row>
    <row r="1903" spans="1:14" x14ac:dyDescent="0.25">
      <c r="A1903" s="2"/>
      <c r="B1903" t="s">
        <v>4684</v>
      </c>
      <c r="C1903" t="s">
        <v>16</v>
      </c>
      <c r="D1903" t="s">
        <v>552</v>
      </c>
      <c r="E1903" t="s">
        <v>4606</v>
      </c>
      <c r="F1903" t="s">
        <v>4672</v>
      </c>
      <c r="G1903" t="s">
        <v>4685</v>
      </c>
      <c r="H1903" s="3">
        <v>1680</v>
      </c>
      <c r="I1903">
        <v>812</v>
      </c>
      <c r="J1903">
        <v>0</v>
      </c>
      <c r="K1903">
        <v>26</v>
      </c>
      <c r="L1903" s="4">
        <v>0.83952744256954004</v>
      </c>
      <c r="M1903" s="4">
        <v>0.16047255743045999</v>
      </c>
      <c r="N1903">
        <v>0</v>
      </c>
    </row>
    <row r="1904" spans="1:14" x14ac:dyDescent="0.25">
      <c r="A1904" s="2"/>
      <c r="B1904" t="s">
        <v>4686</v>
      </c>
      <c r="C1904" t="s">
        <v>16</v>
      </c>
      <c r="D1904" t="s">
        <v>552</v>
      </c>
      <c r="E1904" t="s">
        <v>4606</v>
      </c>
      <c r="F1904" t="s">
        <v>4672</v>
      </c>
      <c r="G1904" t="s">
        <v>4687</v>
      </c>
      <c r="H1904" s="3">
        <v>1680</v>
      </c>
      <c r="I1904">
        <v>399</v>
      </c>
      <c r="J1904">
        <v>0</v>
      </c>
      <c r="K1904">
        <v>2</v>
      </c>
      <c r="L1904" s="4">
        <v>0.754671738161385</v>
      </c>
      <c r="M1904" s="4">
        <v>0.245328261838615</v>
      </c>
      <c r="N1904">
        <v>0</v>
      </c>
    </row>
    <row r="1905" spans="1:14" x14ac:dyDescent="0.25">
      <c r="A1905" s="2"/>
      <c r="B1905" t="s">
        <v>4688</v>
      </c>
      <c r="C1905" t="s">
        <v>16</v>
      </c>
      <c r="D1905" t="s">
        <v>110</v>
      </c>
      <c r="E1905" t="s">
        <v>4689</v>
      </c>
      <c r="F1905" t="s">
        <v>4690</v>
      </c>
      <c r="G1905" t="s">
        <v>4691</v>
      </c>
      <c r="H1905" s="3">
        <v>2040</v>
      </c>
      <c r="I1905">
        <v>771</v>
      </c>
      <c r="J1905">
        <v>1</v>
      </c>
      <c r="K1905">
        <v>11</v>
      </c>
      <c r="L1905" s="4">
        <v>0.222081619218084</v>
      </c>
      <c r="M1905" s="4">
        <v>0.777918380781916</v>
      </c>
      <c r="N1905">
        <v>0</v>
      </c>
    </row>
    <row r="1906" spans="1:14" x14ac:dyDescent="0.25">
      <c r="A1906" s="2"/>
      <c r="B1906" t="s">
        <v>4692</v>
      </c>
      <c r="C1906" t="s">
        <v>16</v>
      </c>
      <c r="D1906" t="s">
        <v>17</v>
      </c>
      <c r="E1906" t="s">
        <v>4693</v>
      </c>
      <c r="F1906" t="s">
        <v>4694</v>
      </c>
      <c r="G1906" t="s">
        <v>4695</v>
      </c>
      <c r="H1906" s="3">
        <v>1938.38</v>
      </c>
      <c r="J1906">
        <v>0</v>
      </c>
      <c r="L1906" s="4">
        <v>0.30380202930581901</v>
      </c>
      <c r="M1906" s="4">
        <v>0.69619797069418099</v>
      </c>
      <c r="N1906">
        <v>0</v>
      </c>
    </row>
    <row r="1907" spans="1:14" x14ac:dyDescent="0.25">
      <c r="A1907" s="2"/>
      <c r="B1907" t="s">
        <v>4696</v>
      </c>
      <c r="C1907" t="s">
        <v>16</v>
      </c>
      <c r="D1907" t="s">
        <v>86</v>
      </c>
      <c r="E1907" t="s">
        <v>4697</v>
      </c>
      <c r="F1907" t="s">
        <v>4698</v>
      </c>
      <c r="G1907" t="s">
        <v>4699</v>
      </c>
      <c r="H1907" s="3">
        <v>1935.6</v>
      </c>
      <c r="J1907">
        <v>1</v>
      </c>
      <c r="K1907">
        <v>3</v>
      </c>
      <c r="L1907" s="4">
        <v>0.314759695132666</v>
      </c>
      <c r="M1907" s="4">
        <v>0.685240304867334</v>
      </c>
      <c r="N1907">
        <v>0</v>
      </c>
    </row>
    <row r="1908" spans="1:14" x14ac:dyDescent="0.25">
      <c r="A1908" s="2">
        <v>23184293</v>
      </c>
      <c r="C1908" t="s">
        <v>0</v>
      </c>
      <c r="D1908" t="s">
        <v>86</v>
      </c>
      <c r="E1908" t="s">
        <v>4697</v>
      </c>
      <c r="F1908" t="s">
        <v>4698</v>
      </c>
      <c r="G1908" t="s">
        <v>4700</v>
      </c>
      <c r="H1908" s="3">
        <v>1954.66</v>
      </c>
      <c r="J1908">
        <v>1</v>
      </c>
      <c r="K1908">
        <v>29</v>
      </c>
      <c r="L1908" s="4">
        <v>0.76665731148985095</v>
      </c>
      <c r="M1908" s="4">
        <v>0.233342688510149</v>
      </c>
      <c r="N1908">
        <v>0</v>
      </c>
    </row>
    <row r="1909" spans="1:14" x14ac:dyDescent="0.25">
      <c r="A1909" s="2">
        <v>22997008</v>
      </c>
      <c r="B1909" t="s">
        <v>4701</v>
      </c>
      <c r="C1909" t="s">
        <v>31</v>
      </c>
      <c r="D1909" t="s">
        <v>86</v>
      </c>
      <c r="E1909" t="s">
        <v>4702</v>
      </c>
      <c r="F1909" t="s">
        <v>4589</v>
      </c>
      <c r="G1909" t="s">
        <v>4703</v>
      </c>
      <c r="H1909" s="3">
        <v>1409.96</v>
      </c>
      <c r="I1909">
        <v>490</v>
      </c>
      <c r="J1909">
        <v>0</v>
      </c>
      <c r="K1909">
        <v>50</v>
      </c>
      <c r="L1909" s="4">
        <v>0.79264764946475497</v>
      </c>
      <c r="M1909" s="4">
        <v>0.20735235053524601</v>
      </c>
      <c r="N1909">
        <v>0</v>
      </c>
    </row>
    <row r="1910" spans="1:14" x14ac:dyDescent="0.25">
      <c r="A1910" s="2"/>
      <c r="B1910" t="s">
        <v>4704</v>
      </c>
      <c r="C1910" t="s">
        <v>16</v>
      </c>
      <c r="D1910" t="s">
        <v>17</v>
      </c>
      <c r="E1910" t="s">
        <v>4705</v>
      </c>
      <c r="F1910" t="s">
        <v>4706</v>
      </c>
      <c r="G1910" t="s">
        <v>4707</v>
      </c>
      <c r="H1910" s="3">
        <v>2177.87</v>
      </c>
      <c r="I1910">
        <v>220</v>
      </c>
      <c r="J1910">
        <v>0</v>
      </c>
      <c r="K1910">
        <v>8</v>
      </c>
      <c r="L1910" s="4">
        <v>0.60696235293782697</v>
      </c>
      <c r="M1910" s="4">
        <v>0.39303764706217298</v>
      </c>
      <c r="N1910">
        <v>0</v>
      </c>
    </row>
    <row r="1911" spans="1:14" x14ac:dyDescent="0.25">
      <c r="A1911" s="2"/>
      <c r="B1911" t="s">
        <v>4708</v>
      </c>
      <c r="C1911" t="s">
        <v>16</v>
      </c>
      <c r="D1911" t="s">
        <v>406</v>
      </c>
      <c r="E1911" t="s">
        <v>4709</v>
      </c>
      <c r="F1911" t="s">
        <v>4710</v>
      </c>
      <c r="G1911" t="s">
        <v>4711</v>
      </c>
      <c r="H1911" s="3">
        <v>2973.32</v>
      </c>
      <c r="I1911">
        <v>791</v>
      </c>
      <c r="J1911">
        <v>0</v>
      </c>
      <c r="K1911">
        <v>35</v>
      </c>
      <c r="L1911" s="4">
        <v>6.6901176005457197E-3</v>
      </c>
      <c r="M1911" s="4">
        <v>0.99330988239945395</v>
      </c>
      <c r="N1911">
        <v>0</v>
      </c>
    </row>
    <row r="1912" spans="1:14" x14ac:dyDescent="0.25">
      <c r="A1912" s="2"/>
      <c r="B1912" t="s">
        <v>4712</v>
      </c>
      <c r="C1912" t="s">
        <v>16</v>
      </c>
      <c r="D1912" t="s">
        <v>113</v>
      </c>
      <c r="E1912" t="s">
        <v>4713</v>
      </c>
      <c r="F1912" t="s">
        <v>4714</v>
      </c>
      <c r="G1912" t="s">
        <v>4715</v>
      </c>
      <c r="H1912" s="3">
        <v>1800</v>
      </c>
      <c r="I1912">
        <v>132</v>
      </c>
      <c r="J1912">
        <v>1</v>
      </c>
      <c r="K1912">
        <v>37</v>
      </c>
      <c r="L1912" s="4">
        <v>0.91614553098269802</v>
      </c>
      <c r="M1912" s="4">
        <v>8.3854469017302397E-2</v>
      </c>
      <c r="N1912">
        <v>0</v>
      </c>
    </row>
    <row r="1913" spans="1:14" x14ac:dyDescent="0.25">
      <c r="A1913" s="2"/>
      <c r="C1913" t="s">
        <v>28</v>
      </c>
      <c r="D1913" t="s">
        <v>113</v>
      </c>
      <c r="E1913" t="s">
        <v>4713</v>
      </c>
      <c r="F1913" t="s">
        <v>4714</v>
      </c>
      <c r="G1913" t="s">
        <v>4716</v>
      </c>
      <c r="H1913" s="3">
        <v>2034</v>
      </c>
      <c r="I1913">
        <v>445</v>
      </c>
      <c r="J1913">
        <v>0</v>
      </c>
      <c r="K1913">
        <v>33</v>
      </c>
      <c r="L1913" s="4">
        <v>0.35652457883951399</v>
      </c>
      <c r="M1913" s="4">
        <v>0.64347542116048695</v>
      </c>
      <c r="N1913">
        <v>0</v>
      </c>
    </row>
    <row r="1914" spans="1:14" x14ac:dyDescent="0.25">
      <c r="A1914" s="2"/>
      <c r="C1914" t="s">
        <v>28</v>
      </c>
      <c r="D1914" t="s">
        <v>113</v>
      </c>
      <c r="E1914" t="s">
        <v>4713</v>
      </c>
      <c r="F1914" t="s">
        <v>4714</v>
      </c>
      <c r="G1914" t="s">
        <v>4717</v>
      </c>
      <c r="H1914" s="3">
        <v>2034</v>
      </c>
      <c r="I1914">
        <v>26</v>
      </c>
      <c r="J1914">
        <v>1</v>
      </c>
      <c r="K1914">
        <v>49</v>
      </c>
      <c r="L1914" s="4">
        <v>0.74423782057754195</v>
      </c>
      <c r="M1914" s="4">
        <v>0.25576217942245899</v>
      </c>
      <c r="N1914">
        <v>0</v>
      </c>
    </row>
    <row r="1915" spans="1:14" x14ac:dyDescent="0.25">
      <c r="A1915" s="2"/>
      <c r="C1915" t="s">
        <v>28</v>
      </c>
      <c r="D1915" t="s">
        <v>113</v>
      </c>
      <c r="E1915" t="s">
        <v>4713</v>
      </c>
      <c r="F1915" t="s">
        <v>4714</v>
      </c>
      <c r="G1915" t="s">
        <v>4718</v>
      </c>
      <c r="H1915" s="3">
        <v>2034</v>
      </c>
      <c r="I1915">
        <v>594</v>
      </c>
      <c r="J1915">
        <v>0</v>
      </c>
      <c r="K1915">
        <v>6</v>
      </c>
      <c r="L1915" s="4">
        <v>0.357608563190009</v>
      </c>
      <c r="M1915" s="4">
        <v>0.642391436809991</v>
      </c>
      <c r="N1915">
        <v>0</v>
      </c>
    </row>
    <row r="1916" spans="1:14" x14ac:dyDescent="0.25">
      <c r="A1916" s="2"/>
      <c r="C1916" t="s">
        <v>28</v>
      </c>
      <c r="D1916" t="s">
        <v>113</v>
      </c>
      <c r="E1916" t="s">
        <v>4713</v>
      </c>
      <c r="F1916" t="s">
        <v>4714</v>
      </c>
      <c r="G1916" t="s">
        <v>4719</v>
      </c>
      <c r="H1916" s="3">
        <v>2034</v>
      </c>
      <c r="I1916">
        <v>331</v>
      </c>
      <c r="J1916">
        <v>0</v>
      </c>
      <c r="K1916">
        <v>16</v>
      </c>
      <c r="L1916" s="4">
        <v>0.98393209406503301</v>
      </c>
      <c r="M1916" s="4">
        <v>1.6067905934967201E-2</v>
      </c>
      <c r="N1916">
        <v>0</v>
      </c>
    </row>
    <row r="1917" spans="1:14" x14ac:dyDescent="0.25">
      <c r="A1917" s="2"/>
      <c r="B1917" t="s">
        <v>4720</v>
      </c>
      <c r="C1917" t="s">
        <v>16</v>
      </c>
      <c r="D1917" t="s">
        <v>406</v>
      </c>
      <c r="E1917" t="s">
        <v>4721</v>
      </c>
      <c r="F1917" t="s">
        <v>4722</v>
      </c>
      <c r="G1917" t="s">
        <v>4723</v>
      </c>
      <c r="H1917" s="3">
        <v>2534.5300000000002</v>
      </c>
      <c r="I1917">
        <v>300</v>
      </c>
      <c r="J1917">
        <v>0</v>
      </c>
      <c r="K1917">
        <v>20</v>
      </c>
      <c r="L1917" s="4">
        <v>0.35475575548649801</v>
      </c>
      <c r="M1917" s="4">
        <v>0.64524424451350204</v>
      </c>
      <c r="N1917">
        <v>0</v>
      </c>
    </row>
    <row r="1918" spans="1:14" x14ac:dyDescent="0.25">
      <c r="A1918" s="2"/>
      <c r="B1918" t="s">
        <v>4724</v>
      </c>
      <c r="C1918" t="s">
        <v>16</v>
      </c>
      <c r="D1918" t="s">
        <v>1163</v>
      </c>
      <c r="E1918" t="s">
        <v>4725</v>
      </c>
      <c r="F1918" t="s">
        <v>4726</v>
      </c>
      <c r="G1918" t="s">
        <v>4727</v>
      </c>
      <c r="H1918" s="3">
        <v>2297.8200000000002</v>
      </c>
      <c r="I1918">
        <v>172</v>
      </c>
      <c r="J1918">
        <v>0</v>
      </c>
      <c r="K1918">
        <v>40</v>
      </c>
      <c r="L1918" s="4">
        <v>0.59786913042204204</v>
      </c>
      <c r="M1918" s="4">
        <v>0.40213086957795802</v>
      </c>
      <c r="N1918">
        <v>0</v>
      </c>
    </row>
    <row r="1919" spans="1:14" x14ac:dyDescent="0.25">
      <c r="A1919" s="2"/>
      <c r="C1919" t="s">
        <v>28</v>
      </c>
      <c r="D1919" t="s">
        <v>1163</v>
      </c>
      <c r="E1919" t="s">
        <v>4725</v>
      </c>
      <c r="F1919" t="s">
        <v>4726</v>
      </c>
      <c r="G1919" t="s">
        <v>4728</v>
      </c>
      <c r="H1919" s="3">
        <v>1944.14</v>
      </c>
      <c r="I1919">
        <v>970</v>
      </c>
      <c r="J1919">
        <v>0</v>
      </c>
      <c r="K1919">
        <v>43</v>
      </c>
      <c r="L1919" s="4">
        <v>0.15011394446242299</v>
      </c>
      <c r="M1919" s="4">
        <v>0.84988605553757701</v>
      </c>
      <c r="N1919">
        <v>0</v>
      </c>
    </row>
    <row r="1920" spans="1:14" x14ac:dyDescent="0.25">
      <c r="A1920" s="2"/>
      <c r="B1920" t="s">
        <v>4729</v>
      </c>
      <c r="C1920" t="s">
        <v>16</v>
      </c>
      <c r="D1920" t="s">
        <v>406</v>
      </c>
      <c r="E1920" t="s">
        <v>4730</v>
      </c>
      <c r="F1920" t="s">
        <v>4731</v>
      </c>
      <c r="G1920" t="s">
        <v>4732</v>
      </c>
      <c r="H1920" s="3">
        <v>2973.32</v>
      </c>
      <c r="I1920">
        <v>475</v>
      </c>
      <c r="J1920">
        <v>0</v>
      </c>
      <c r="K1920">
        <v>35</v>
      </c>
      <c r="L1920" s="4">
        <v>0.14219851840331399</v>
      </c>
      <c r="M1920" s="4">
        <v>0.85780148159668601</v>
      </c>
      <c r="N1920">
        <v>0</v>
      </c>
    </row>
    <row r="1921" spans="1:15" x14ac:dyDescent="0.25">
      <c r="A1921" s="2">
        <v>23407782</v>
      </c>
      <c r="B1921" t="s">
        <v>4733</v>
      </c>
      <c r="C1921" t="s">
        <v>31</v>
      </c>
      <c r="D1921" t="s">
        <v>69</v>
      </c>
      <c r="E1921" t="s">
        <v>4734</v>
      </c>
      <c r="F1921" t="s">
        <v>4735</v>
      </c>
      <c r="G1921" t="s">
        <v>4736</v>
      </c>
      <c r="H1921" s="3">
        <v>1142.79</v>
      </c>
      <c r="I1921">
        <v>745</v>
      </c>
      <c r="J1921">
        <v>1</v>
      </c>
      <c r="K1921">
        <v>38</v>
      </c>
      <c r="L1921" s="4">
        <v>0.453078535813352</v>
      </c>
      <c r="M1921" s="4">
        <v>0.546921464186648</v>
      </c>
      <c r="N1921">
        <v>0</v>
      </c>
    </row>
    <row r="1922" spans="1:15" x14ac:dyDescent="0.25">
      <c r="A1922" s="2">
        <v>23299096</v>
      </c>
      <c r="B1922" t="s">
        <v>4737</v>
      </c>
      <c r="C1922" t="s">
        <v>31</v>
      </c>
      <c r="D1922" t="s">
        <v>69</v>
      </c>
      <c r="E1922" t="s">
        <v>4734</v>
      </c>
      <c r="F1922" t="s">
        <v>4735</v>
      </c>
      <c r="G1922" t="s">
        <v>4738</v>
      </c>
      <c r="H1922" s="3">
        <v>2075.0500000000002</v>
      </c>
      <c r="I1922">
        <v>881</v>
      </c>
      <c r="J1922">
        <v>0</v>
      </c>
      <c r="K1922">
        <v>34</v>
      </c>
      <c r="L1922" s="4">
        <v>0.56283916376006804</v>
      </c>
      <c r="M1922" s="4">
        <v>0.43716083623993202</v>
      </c>
      <c r="N1922">
        <v>0</v>
      </c>
    </row>
    <row r="1923" spans="1:15" x14ac:dyDescent="0.25">
      <c r="A1923" s="2">
        <v>23681165</v>
      </c>
      <c r="B1923" t="s">
        <v>4739</v>
      </c>
      <c r="C1923" t="s">
        <v>31</v>
      </c>
      <c r="D1923" t="s">
        <v>69</v>
      </c>
      <c r="E1923" t="s">
        <v>4734</v>
      </c>
      <c r="F1923" t="s">
        <v>4735</v>
      </c>
      <c r="G1923" t="s">
        <v>4740</v>
      </c>
      <c r="H1923" s="3">
        <v>2265.88</v>
      </c>
      <c r="I1923">
        <v>220</v>
      </c>
      <c r="J1923">
        <v>0</v>
      </c>
      <c r="K1923">
        <v>47</v>
      </c>
      <c r="L1923" s="4">
        <v>0.88953348323835302</v>
      </c>
      <c r="M1923" s="4">
        <v>0.110466516761647</v>
      </c>
      <c r="N1923">
        <v>0</v>
      </c>
    </row>
    <row r="1924" spans="1:15" x14ac:dyDescent="0.25">
      <c r="A1924" s="2"/>
      <c r="B1924" t="s">
        <v>4741</v>
      </c>
      <c r="C1924" t="s">
        <v>16</v>
      </c>
      <c r="D1924" t="s">
        <v>148</v>
      </c>
      <c r="E1924" t="s">
        <v>4742</v>
      </c>
      <c r="F1924" t="s">
        <v>4743</v>
      </c>
      <c r="G1924" t="s">
        <v>4744</v>
      </c>
      <c r="H1924" s="3">
        <v>384</v>
      </c>
      <c r="J1924">
        <v>1</v>
      </c>
      <c r="K1924">
        <v>41</v>
      </c>
      <c r="L1924" s="4">
        <v>0.67983170141400096</v>
      </c>
      <c r="M1924" s="4">
        <v>0.32016829858599899</v>
      </c>
      <c r="N1924">
        <v>0</v>
      </c>
    </row>
    <row r="1925" spans="1:15" x14ac:dyDescent="0.25">
      <c r="A1925" s="2">
        <v>23332733</v>
      </c>
      <c r="B1925" t="s">
        <v>4745</v>
      </c>
      <c r="C1925" t="s">
        <v>31</v>
      </c>
      <c r="D1925" t="s">
        <v>17</v>
      </c>
      <c r="E1925" t="s">
        <v>4742</v>
      </c>
      <c r="F1925" t="s">
        <v>4743</v>
      </c>
      <c r="G1925" t="s">
        <v>4746</v>
      </c>
      <c r="H1925" s="3">
        <v>2321.23</v>
      </c>
      <c r="J1925">
        <v>1</v>
      </c>
      <c r="K1925">
        <v>25</v>
      </c>
      <c r="L1925" s="4">
        <v>0.46228400227808403</v>
      </c>
      <c r="M1925" s="4">
        <v>0.53771599772191603</v>
      </c>
      <c r="N1925">
        <v>0</v>
      </c>
    </row>
    <row r="1926" spans="1:15" x14ac:dyDescent="0.25">
      <c r="A1926" s="2"/>
      <c r="C1926" t="s">
        <v>28</v>
      </c>
      <c r="D1926" t="s">
        <v>110</v>
      </c>
      <c r="E1926" t="s">
        <v>4747</v>
      </c>
      <c r="F1926" t="s">
        <v>4748</v>
      </c>
      <c r="G1926" t="s">
        <v>4749</v>
      </c>
      <c r="H1926" s="3">
        <v>1800</v>
      </c>
      <c r="I1926">
        <v>561</v>
      </c>
      <c r="J1926">
        <v>1</v>
      </c>
      <c r="K1926">
        <v>1</v>
      </c>
      <c r="L1926" s="4">
        <v>0.327432666753668</v>
      </c>
      <c r="M1926" s="4">
        <v>0.672567333246332</v>
      </c>
      <c r="N1926">
        <v>0</v>
      </c>
    </row>
    <row r="1927" spans="1:15" x14ac:dyDescent="0.25">
      <c r="A1927" s="2"/>
      <c r="B1927" t="s">
        <v>4750</v>
      </c>
      <c r="C1927" t="s">
        <v>16</v>
      </c>
      <c r="D1927" t="s">
        <v>113</v>
      </c>
      <c r="E1927" t="s">
        <v>4751</v>
      </c>
      <c r="F1927" t="s">
        <v>4752</v>
      </c>
      <c r="G1927" t="s">
        <v>4753</v>
      </c>
      <c r="H1927" s="3">
        <v>2034</v>
      </c>
      <c r="I1927">
        <v>19</v>
      </c>
      <c r="J1927">
        <v>1</v>
      </c>
      <c r="K1927">
        <v>28</v>
      </c>
      <c r="L1927" s="4">
        <v>0.60047926951180197</v>
      </c>
      <c r="M1927" s="4">
        <v>0.39952073048819797</v>
      </c>
      <c r="N1927">
        <v>0</v>
      </c>
    </row>
    <row r="1928" spans="1:15" x14ac:dyDescent="0.25">
      <c r="A1928" s="2"/>
      <c r="B1928" t="s">
        <v>4754</v>
      </c>
      <c r="C1928" t="s">
        <v>16</v>
      </c>
      <c r="D1928" t="s">
        <v>113</v>
      </c>
      <c r="E1928" t="s">
        <v>4751</v>
      </c>
      <c r="F1928" t="s">
        <v>4752</v>
      </c>
      <c r="G1928" t="s">
        <v>4755</v>
      </c>
      <c r="H1928" s="3">
        <v>2034</v>
      </c>
      <c r="I1928">
        <v>383</v>
      </c>
      <c r="J1928">
        <v>1</v>
      </c>
      <c r="K1928">
        <v>15</v>
      </c>
      <c r="L1928" s="4">
        <v>0.95454468835737405</v>
      </c>
      <c r="M1928" s="4">
        <v>4.5455311642625597E-2</v>
      </c>
      <c r="N1928">
        <v>0</v>
      </c>
    </row>
    <row r="1929" spans="1:15" x14ac:dyDescent="0.25">
      <c r="A1929" s="2">
        <v>23166732</v>
      </c>
      <c r="C1929" t="s">
        <v>0</v>
      </c>
      <c r="D1929" t="s">
        <v>547</v>
      </c>
      <c r="E1929" t="s">
        <v>547</v>
      </c>
      <c r="F1929" t="s">
        <v>4756</v>
      </c>
      <c r="G1929" t="s">
        <v>4757</v>
      </c>
      <c r="H1929" s="3">
        <v>1016.24</v>
      </c>
      <c r="I1929">
        <v>317</v>
      </c>
      <c r="J1929">
        <v>0</v>
      </c>
      <c r="K1929">
        <v>23</v>
      </c>
      <c r="L1929" s="4">
        <v>0.78416061817947802</v>
      </c>
      <c r="M1929" s="4">
        <v>0.21583938182052301</v>
      </c>
      <c r="N1929">
        <v>0</v>
      </c>
    </row>
    <row r="1930" spans="1:15" x14ac:dyDescent="0.25">
      <c r="A1930" s="2"/>
      <c r="B1930" t="s">
        <v>4758</v>
      </c>
      <c r="C1930" t="s">
        <v>16</v>
      </c>
      <c r="D1930" t="s">
        <v>547</v>
      </c>
      <c r="E1930" t="s">
        <v>3994</v>
      </c>
      <c r="F1930" t="s">
        <v>4759</v>
      </c>
      <c r="G1930" t="s">
        <v>4760</v>
      </c>
      <c r="H1930" s="3">
        <v>1053.4100000000001</v>
      </c>
      <c r="I1930">
        <v>933</v>
      </c>
      <c r="J1930">
        <v>0</v>
      </c>
      <c r="K1930">
        <v>41</v>
      </c>
      <c r="L1930" s="4">
        <v>0.72090539651261198</v>
      </c>
      <c r="M1930" s="4">
        <v>0.27909460348738802</v>
      </c>
      <c r="N1930">
        <v>0</v>
      </c>
    </row>
    <row r="1931" spans="1:15" x14ac:dyDescent="0.25">
      <c r="A1931" s="2"/>
      <c r="C1931" t="s">
        <v>28</v>
      </c>
      <c r="D1931" t="s">
        <v>4761</v>
      </c>
      <c r="E1931" t="s">
        <v>4762</v>
      </c>
      <c r="F1931" t="s">
        <v>4763</v>
      </c>
      <c r="G1931" t="s">
        <v>4764</v>
      </c>
      <c r="H1931" s="6">
        <v>6000</v>
      </c>
      <c r="I1931">
        <v>792</v>
      </c>
      <c r="J1931">
        <v>1</v>
      </c>
      <c r="K1931">
        <v>19</v>
      </c>
      <c r="L1931" s="4">
        <v>0.64385178665592102</v>
      </c>
      <c r="M1931" s="4">
        <v>0.35614821334407898</v>
      </c>
      <c r="N1931">
        <v>0</v>
      </c>
      <c r="O1931" s="7" t="s">
        <v>3503</v>
      </c>
    </row>
    <row r="1932" spans="1:15" x14ac:dyDescent="0.25">
      <c r="A1932" s="2"/>
      <c r="B1932" t="s">
        <v>4765</v>
      </c>
      <c r="C1932" t="s">
        <v>16</v>
      </c>
      <c r="D1932" t="s">
        <v>17</v>
      </c>
      <c r="E1932" t="s">
        <v>4766</v>
      </c>
      <c r="F1932" t="s">
        <v>4767</v>
      </c>
      <c r="G1932" t="s">
        <v>4768</v>
      </c>
      <c r="H1932" s="3">
        <v>2421.77</v>
      </c>
      <c r="I1932">
        <v>401</v>
      </c>
      <c r="J1932">
        <v>0</v>
      </c>
      <c r="K1932">
        <v>20</v>
      </c>
      <c r="L1932" s="4">
        <v>9.2548514938278398E-2</v>
      </c>
      <c r="M1932" s="4">
        <v>0.90745148506172202</v>
      </c>
      <c r="N1932">
        <v>0</v>
      </c>
    </row>
    <row r="1933" spans="1:15" x14ac:dyDescent="0.25">
      <c r="A1933" s="2"/>
      <c r="B1933" t="s">
        <v>4769</v>
      </c>
      <c r="C1933" t="s">
        <v>16</v>
      </c>
      <c r="D1933" t="s">
        <v>113</v>
      </c>
      <c r="E1933" t="s">
        <v>4713</v>
      </c>
      <c r="F1933" t="s">
        <v>4770</v>
      </c>
      <c r="G1933" t="s">
        <v>4771</v>
      </c>
      <c r="H1933" s="3">
        <v>1800</v>
      </c>
      <c r="I1933">
        <v>595</v>
      </c>
      <c r="J1933">
        <v>0</v>
      </c>
      <c r="K1933">
        <v>16</v>
      </c>
      <c r="L1933" s="4">
        <v>0.96638538297104604</v>
      </c>
      <c r="M1933" s="4">
        <v>3.36146170289542E-2</v>
      </c>
      <c r="N1933">
        <v>0</v>
      </c>
    </row>
    <row r="1934" spans="1:15" x14ac:dyDescent="0.25">
      <c r="A1934" s="2"/>
      <c r="B1934" t="s">
        <v>4772</v>
      </c>
      <c r="C1934" t="s">
        <v>16</v>
      </c>
      <c r="D1934" t="s">
        <v>110</v>
      </c>
      <c r="E1934" t="s">
        <v>4773</v>
      </c>
      <c r="F1934" t="s">
        <v>4774</v>
      </c>
      <c r="G1934" t="s">
        <v>4775</v>
      </c>
      <c r="H1934" s="3">
        <v>1700</v>
      </c>
      <c r="J1934">
        <v>0</v>
      </c>
      <c r="K1934">
        <v>14</v>
      </c>
      <c r="L1934" s="4">
        <v>0.14818798892605201</v>
      </c>
      <c r="M1934" s="4">
        <v>0.85181201107394799</v>
      </c>
      <c r="N1934">
        <v>0</v>
      </c>
    </row>
    <row r="1935" spans="1:15" x14ac:dyDescent="0.25">
      <c r="A1935" s="2">
        <v>23824939</v>
      </c>
      <c r="C1935" t="s">
        <v>0</v>
      </c>
      <c r="D1935" t="s">
        <v>110</v>
      </c>
      <c r="E1935" t="s">
        <v>4773</v>
      </c>
      <c r="F1935" t="s">
        <v>4774</v>
      </c>
      <c r="G1935" t="s">
        <v>4776</v>
      </c>
      <c r="H1935" s="3">
        <v>2400</v>
      </c>
      <c r="I1935">
        <v>589</v>
      </c>
      <c r="J1935">
        <v>0</v>
      </c>
      <c r="K1935">
        <v>30</v>
      </c>
      <c r="L1935" s="4">
        <v>0.77124058255704597</v>
      </c>
      <c r="M1935" s="4">
        <v>0.228759417442955</v>
      </c>
      <c r="N1935">
        <v>0</v>
      </c>
    </row>
    <row r="1936" spans="1:15" x14ac:dyDescent="0.25">
      <c r="A1936" s="2"/>
      <c r="C1936" t="s">
        <v>28</v>
      </c>
      <c r="D1936" t="s">
        <v>1163</v>
      </c>
      <c r="E1936" t="s">
        <v>4777</v>
      </c>
      <c r="F1936" t="s">
        <v>4778</v>
      </c>
      <c r="G1936" t="s">
        <v>4779</v>
      </c>
      <c r="H1936" s="3">
        <v>480</v>
      </c>
      <c r="I1936">
        <v>363</v>
      </c>
      <c r="J1936">
        <v>0</v>
      </c>
      <c r="K1936">
        <v>37</v>
      </c>
      <c r="L1936" s="4">
        <v>0.27720419057720402</v>
      </c>
      <c r="M1936" s="4">
        <v>0.72279580942279598</v>
      </c>
      <c r="N1936">
        <v>0</v>
      </c>
    </row>
    <row r="1937" spans="1:14" x14ac:dyDescent="0.25">
      <c r="A1937" s="2">
        <v>22777780</v>
      </c>
      <c r="B1937" t="s">
        <v>4780</v>
      </c>
      <c r="C1937" t="s">
        <v>31</v>
      </c>
      <c r="D1937" t="s">
        <v>86</v>
      </c>
      <c r="E1937" t="s">
        <v>4781</v>
      </c>
      <c r="F1937" t="s">
        <v>4782</v>
      </c>
      <c r="G1937" t="s">
        <v>4783</v>
      </c>
      <c r="H1937" s="3">
        <v>1853</v>
      </c>
      <c r="I1937">
        <v>625</v>
      </c>
      <c r="J1937">
        <v>0</v>
      </c>
      <c r="K1937">
        <v>2</v>
      </c>
      <c r="L1937" s="4">
        <v>0.17733958051871301</v>
      </c>
      <c r="M1937" s="4">
        <v>0.82266041948128699</v>
      </c>
      <c r="N1937">
        <v>0</v>
      </c>
    </row>
    <row r="1938" spans="1:14" x14ac:dyDescent="0.25">
      <c r="A1938" s="2"/>
      <c r="B1938" t="s">
        <v>4784</v>
      </c>
      <c r="C1938" t="s">
        <v>16</v>
      </c>
      <c r="D1938" t="s">
        <v>1593</v>
      </c>
      <c r="E1938" t="s">
        <v>4785</v>
      </c>
      <c r="F1938" t="s">
        <v>4786</v>
      </c>
      <c r="G1938" t="s">
        <v>4787</v>
      </c>
      <c r="H1938" s="3">
        <v>1200</v>
      </c>
      <c r="I1938">
        <v>594</v>
      </c>
      <c r="J1938">
        <v>1</v>
      </c>
      <c r="L1938" s="4">
        <v>0.50128327862902899</v>
      </c>
      <c r="M1938" s="4">
        <v>0.49871672137097101</v>
      </c>
      <c r="N1938">
        <v>0</v>
      </c>
    </row>
    <row r="1939" spans="1:14" x14ac:dyDescent="0.25">
      <c r="A1939" s="2"/>
      <c r="B1939" t="s">
        <v>4788</v>
      </c>
      <c r="C1939" t="s">
        <v>16</v>
      </c>
      <c r="D1939" t="s">
        <v>69</v>
      </c>
      <c r="E1939" t="s">
        <v>4789</v>
      </c>
      <c r="F1939" t="s">
        <v>4790</v>
      </c>
      <c r="G1939" t="s">
        <v>4791</v>
      </c>
      <c r="H1939" s="3">
        <v>2242.9899999999998</v>
      </c>
      <c r="I1939">
        <v>28</v>
      </c>
      <c r="J1939">
        <v>0</v>
      </c>
      <c r="K1939">
        <v>32</v>
      </c>
      <c r="L1939" s="4">
        <v>0.43296294206040897</v>
      </c>
      <c r="M1939" s="4">
        <v>0.56703705793959203</v>
      </c>
      <c r="N1939">
        <v>0</v>
      </c>
    </row>
    <row r="1940" spans="1:14" x14ac:dyDescent="0.25">
      <c r="A1940" s="2"/>
      <c r="B1940" t="s">
        <v>4792</v>
      </c>
      <c r="C1940" t="s">
        <v>16</v>
      </c>
      <c r="D1940" t="s">
        <v>1163</v>
      </c>
      <c r="E1940" t="s">
        <v>4793</v>
      </c>
      <c r="F1940" t="s">
        <v>4794</v>
      </c>
      <c r="G1940" t="s">
        <v>4795</v>
      </c>
      <c r="H1940" s="3">
        <v>2373.77</v>
      </c>
      <c r="I1940">
        <v>299</v>
      </c>
      <c r="J1940">
        <v>1</v>
      </c>
      <c r="K1940">
        <v>43</v>
      </c>
      <c r="L1940" s="4">
        <v>0.45558899838540901</v>
      </c>
      <c r="M1940" s="4">
        <v>0.54441100161459199</v>
      </c>
      <c r="N1940">
        <v>0</v>
      </c>
    </row>
    <row r="1941" spans="1:14" x14ac:dyDescent="0.25">
      <c r="A1941" s="2"/>
      <c r="B1941" t="s">
        <v>4796</v>
      </c>
      <c r="C1941" t="s">
        <v>16</v>
      </c>
      <c r="D1941" t="s">
        <v>17</v>
      </c>
      <c r="E1941" t="s">
        <v>4797</v>
      </c>
      <c r="F1941" t="s">
        <v>4798</v>
      </c>
      <c r="G1941" t="s">
        <v>4799</v>
      </c>
      <c r="H1941" s="3">
        <v>2476.85</v>
      </c>
      <c r="I1941">
        <v>738</v>
      </c>
      <c r="J1941">
        <v>1</v>
      </c>
      <c r="K1941">
        <v>16</v>
      </c>
      <c r="L1941" s="4">
        <v>0.25315570350591698</v>
      </c>
      <c r="M1941" s="4">
        <v>0.74684429649408302</v>
      </c>
      <c r="N1941">
        <v>0</v>
      </c>
    </row>
    <row r="1942" spans="1:14" x14ac:dyDescent="0.25">
      <c r="A1942" s="2"/>
      <c r="C1942" t="s">
        <v>28</v>
      </c>
      <c r="D1942" t="s">
        <v>3577</v>
      </c>
      <c r="E1942" t="s">
        <v>4800</v>
      </c>
      <c r="F1942" t="s">
        <v>4801</v>
      </c>
      <c r="G1942" t="s">
        <v>4802</v>
      </c>
      <c r="H1942" s="3">
        <v>2134.67</v>
      </c>
      <c r="I1942">
        <v>205</v>
      </c>
      <c r="J1942">
        <v>1</v>
      </c>
      <c r="K1942">
        <v>41</v>
      </c>
      <c r="L1942" s="4">
        <v>0.114687403053205</v>
      </c>
      <c r="M1942" s="4">
        <v>0.88531259694679498</v>
      </c>
      <c r="N1942">
        <v>0</v>
      </c>
    </row>
    <row r="1943" spans="1:14" x14ac:dyDescent="0.25">
      <c r="A1943" s="2"/>
      <c r="B1943" t="s">
        <v>4803</v>
      </c>
      <c r="C1943" t="s">
        <v>16</v>
      </c>
      <c r="D1943" t="s">
        <v>148</v>
      </c>
      <c r="E1943" t="s">
        <v>4804</v>
      </c>
      <c r="F1943" t="s">
        <v>4805</v>
      </c>
      <c r="G1943" t="s">
        <v>4806</v>
      </c>
      <c r="H1943" s="3">
        <v>1524.9</v>
      </c>
      <c r="I1943">
        <v>516</v>
      </c>
      <c r="J1943">
        <v>0</v>
      </c>
      <c r="K1943">
        <v>46</v>
      </c>
      <c r="L1943" s="4">
        <v>0.54389661339776996</v>
      </c>
      <c r="M1943" s="4">
        <v>0.45610338660222999</v>
      </c>
      <c r="N1943">
        <v>0</v>
      </c>
    </row>
    <row r="1944" spans="1:14" x14ac:dyDescent="0.25">
      <c r="A1944" s="2"/>
      <c r="B1944" t="s">
        <v>4807</v>
      </c>
      <c r="C1944" t="s">
        <v>16</v>
      </c>
      <c r="D1944" t="s">
        <v>148</v>
      </c>
      <c r="E1944" t="s">
        <v>4804</v>
      </c>
      <c r="F1944" t="s">
        <v>4805</v>
      </c>
      <c r="G1944" t="s">
        <v>4808</v>
      </c>
      <c r="H1944" s="3">
        <v>1902</v>
      </c>
      <c r="I1944">
        <v>593</v>
      </c>
      <c r="J1944">
        <v>1</v>
      </c>
      <c r="K1944">
        <v>27</v>
      </c>
      <c r="L1944" s="4">
        <v>0.91952883142017305</v>
      </c>
      <c r="M1944" s="4">
        <v>8.0471168579827404E-2</v>
      </c>
      <c r="N1944">
        <v>0</v>
      </c>
    </row>
    <row r="1945" spans="1:14" x14ac:dyDescent="0.25">
      <c r="A1945" s="2"/>
      <c r="B1945" t="s">
        <v>4809</v>
      </c>
      <c r="C1945" t="s">
        <v>16</v>
      </c>
      <c r="D1945" t="s">
        <v>148</v>
      </c>
      <c r="E1945" t="s">
        <v>4804</v>
      </c>
      <c r="F1945" t="s">
        <v>4805</v>
      </c>
      <c r="G1945" t="s">
        <v>4810</v>
      </c>
      <c r="H1945" s="3">
        <v>1854</v>
      </c>
      <c r="I1945">
        <v>327</v>
      </c>
      <c r="J1945">
        <v>1</v>
      </c>
      <c r="K1945">
        <v>11</v>
      </c>
      <c r="L1945" s="4">
        <v>0.85440508050123998</v>
      </c>
      <c r="M1945" s="4">
        <v>0.14559491949875999</v>
      </c>
      <c r="N1945">
        <v>0</v>
      </c>
    </row>
    <row r="1946" spans="1:14" x14ac:dyDescent="0.25">
      <c r="A1946" s="2"/>
      <c r="B1946" t="s">
        <v>4811</v>
      </c>
      <c r="C1946" t="s">
        <v>16</v>
      </c>
      <c r="D1946" t="s">
        <v>110</v>
      </c>
      <c r="E1946" t="s">
        <v>4812</v>
      </c>
      <c r="F1946" t="s">
        <v>4813</v>
      </c>
      <c r="G1946" t="s">
        <v>4814</v>
      </c>
      <c r="H1946" s="3">
        <v>2040</v>
      </c>
      <c r="I1946">
        <v>651</v>
      </c>
      <c r="J1946">
        <v>1</v>
      </c>
      <c r="K1946">
        <v>12</v>
      </c>
      <c r="L1946" s="4">
        <v>0.75807922408960604</v>
      </c>
      <c r="M1946" s="4">
        <v>0.24192077591039399</v>
      </c>
      <c r="N1946">
        <v>0</v>
      </c>
    </row>
    <row r="1947" spans="1:14" x14ac:dyDescent="0.25">
      <c r="A1947" s="2"/>
      <c r="B1947" t="s">
        <v>4815</v>
      </c>
      <c r="C1947" t="s">
        <v>16</v>
      </c>
      <c r="D1947" t="s">
        <v>110</v>
      </c>
      <c r="E1947" t="s">
        <v>4812</v>
      </c>
      <c r="F1947" t="s">
        <v>4813</v>
      </c>
      <c r="G1947" t="s">
        <v>4816</v>
      </c>
      <c r="H1947" s="3">
        <v>2040</v>
      </c>
      <c r="I1947">
        <v>196</v>
      </c>
      <c r="J1947">
        <v>0</v>
      </c>
      <c r="K1947">
        <v>38</v>
      </c>
      <c r="L1947" s="4">
        <v>0.208396849038679</v>
      </c>
      <c r="M1947" s="4">
        <v>0.79160315096132094</v>
      </c>
      <c r="N1947">
        <v>0</v>
      </c>
    </row>
    <row r="1948" spans="1:14" x14ac:dyDescent="0.25">
      <c r="A1948" s="2"/>
      <c r="B1948" t="s">
        <v>4817</v>
      </c>
      <c r="C1948" t="s">
        <v>16</v>
      </c>
      <c r="D1948" t="s">
        <v>1951</v>
      </c>
      <c r="E1948" t="s">
        <v>4818</v>
      </c>
      <c r="F1948" t="s">
        <v>4819</v>
      </c>
      <c r="G1948" t="s">
        <v>4820</v>
      </c>
      <c r="H1948" s="3">
        <v>910.05</v>
      </c>
      <c r="I1948">
        <v>242</v>
      </c>
      <c r="J1948">
        <v>1</v>
      </c>
      <c r="K1948">
        <v>44</v>
      </c>
      <c r="L1948" s="4">
        <v>0.77131110531677605</v>
      </c>
      <c r="M1948" s="4">
        <v>0.22868889468322401</v>
      </c>
      <c r="N1948">
        <v>0</v>
      </c>
    </row>
    <row r="1949" spans="1:14" x14ac:dyDescent="0.25">
      <c r="A1949" s="2"/>
      <c r="B1949" t="s">
        <v>4821</v>
      </c>
      <c r="C1949" t="s">
        <v>16</v>
      </c>
      <c r="D1949" t="s">
        <v>1951</v>
      </c>
      <c r="E1949" t="s">
        <v>4818</v>
      </c>
      <c r="F1949" t="s">
        <v>4819</v>
      </c>
      <c r="G1949" t="s">
        <v>4822</v>
      </c>
      <c r="H1949" s="3">
        <v>1107.57</v>
      </c>
      <c r="J1949">
        <v>0</v>
      </c>
      <c r="L1949" s="4">
        <v>0.86166352532962498</v>
      </c>
      <c r="M1949" s="4">
        <v>0.13833647467037499</v>
      </c>
      <c r="N1949">
        <v>0</v>
      </c>
    </row>
    <row r="1950" spans="1:14" x14ac:dyDescent="0.25">
      <c r="A1950" s="2">
        <v>23635806</v>
      </c>
      <c r="C1950" t="s">
        <v>0</v>
      </c>
      <c r="D1950" t="s">
        <v>388</v>
      </c>
      <c r="E1950" t="s">
        <v>4823</v>
      </c>
      <c r="F1950" t="s">
        <v>4824</v>
      </c>
      <c r="G1950" t="s">
        <v>4825</v>
      </c>
      <c r="H1950" s="3">
        <v>402.42</v>
      </c>
      <c r="I1950">
        <v>540</v>
      </c>
      <c r="J1950">
        <v>0</v>
      </c>
      <c r="K1950">
        <v>5</v>
      </c>
      <c r="L1950" s="4">
        <v>0.58427652434721999</v>
      </c>
      <c r="M1950" s="4">
        <v>0.41572347565278001</v>
      </c>
      <c r="N1950">
        <v>0</v>
      </c>
    </row>
    <row r="1951" spans="1:14" x14ac:dyDescent="0.25">
      <c r="A1951" s="2"/>
      <c r="B1951" t="s">
        <v>4826</v>
      </c>
      <c r="C1951" t="s">
        <v>16</v>
      </c>
      <c r="D1951" t="s">
        <v>388</v>
      </c>
      <c r="E1951" t="s">
        <v>4823</v>
      </c>
      <c r="F1951" t="s">
        <v>4824</v>
      </c>
      <c r="G1951" t="s">
        <v>4827</v>
      </c>
      <c r="H1951" s="3">
        <v>494.96</v>
      </c>
      <c r="I1951">
        <v>716</v>
      </c>
      <c r="J1951">
        <v>0</v>
      </c>
      <c r="K1951">
        <v>27</v>
      </c>
      <c r="L1951" s="4">
        <v>0.19903502494898201</v>
      </c>
      <c r="M1951" s="4">
        <v>0.80096497505101805</v>
      </c>
      <c r="N1951">
        <v>0</v>
      </c>
    </row>
    <row r="1952" spans="1:14" x14ac:dyDescent="0.25">
      <c r="A1952" s="2">
        <v>23422316</v>
      </c>
      <c r="B1952" t="s">
        <v>4828</v>
      </c>
      <c r="C1952" t="s">
        <v>31</v>
      </c>
      <c r="D1952" t="s">
        <v>388</v>
      </c>
      <c r="E1952" t="s">
        <v>4823</v>
      </c>
      <c r="F1952" t="s">
        <v>4824</v>
      </c>
      <c r="G1952" t="s">
        <v>4829</v>
      </c>
      <c r="H1952" s="3">
        <v>572.99</v>
      </c>
      <c r="I1952">
        <v>94</v>
      </c>
      <c r="J1952">
        <v>0</v>
      </c>
      <c r="K1952">
        <v>22</v>
      </c>
      <c r="L1952" s="4">
        <v>0.23440505708440601</v>
      </c>
      <c r="M1952" s="4">
        <v>0.76559494291559405</v>
      </c>
      <c r="N1952">
        <v>0</v>
      </c>
    </row>
    <row r="1953" spans="1:14" x14ac:dyDescent="0.25">
      <c r="A1953" s="2"/>
      <c r="B1953" t="s">
        <v>4830</v>
      </c>
      <c r="C1953" t="s">
        <v>16</v>
      </c>
      <c r="D1953" t="s">
        <v>552</v>
      </c>
      <c r="E1953" t="s">
        <v>3967</v>
      </c>
      <c r="F1953" t="s">
        <v>4831</v>
      </c>
      <c r="G1953" t="s">
        <v>4832</v>
      </c>
      <c r="H1953" s="3">
        <v>1680</v>
      </c>
      <c r="I1953">
        <v>821</v>
      </c>
      <c r="J1953">
        <v>0</v>
      </c>
      <c r="K1953">
        <v>18</v>
      </c>
      <c r="L1953" s="4">
        <v>0.68925322309918502</v>
      </c>
      <c r="M1953" s="4">
        <v>0.31074677690081498</v>
      </c>
      <c r="N1953">
        <v>0</v>
      </c>
    </row>
    <row r="1954" spans="1:14" x14ac:dyDescent="0.25">
      <c r="A1954" s="2"/>
      <c r="B1954" t="s">
        <v>4833</v>
      </c>
      <c r="C1954" t="s">
        <v>16</v>
      </c>
      <c r="D1954" t="s">
        <v>110</v>
      </c>
      <c r="E1954" t="s">
        <v>4834</v>
      </c>
      <c r="F1954" t="s">
        <v>4835</v>
      </c>
      <c r="G1954" t="s">
        <v>4836</v>
      </c>
      <c r="H1954" s="3">
        <v>2047.5</v>
      </c>
      <c r="I1954">
        <v>407</v>
      </c>
      <c r="J1954">
        <v>0</v>
      </c>
      <c r="K1954">
        <v>22</v>
      </c>
      <c r="L1954" s="4">
        <v>0.91516454967114003</v>
      </c>
      <c r="M1954" s="4">
        <v>8.4835450328860099E-2</v>
      </c>
      <c r="N1954">
        <v>0</v>
      </c>
    </row>
    <row r="1955" spans="1:14" x14ac:dyDescent="0.25">
      <c r="A1955" s="2">
        <v>23236081</v>
      </c>
      <c r="C1955" t="s">
        <v>0</v>
      </c>
      <c r="D1955" t="s">
        <v>110</v>
      </c>
      <c r="E1955" t="s">
        <v>4834</v>
      </c>
      <c r="F1955" t="s">
        <v>4835</v>
      </c>
      <c r="G1955" t="s">
        <v>4837</v>
      </c>
      <c r="H1955" s="3">
        <v>2040</v>
      </c>
      <c r="I1955">
        <v>544</v>
      </c>
      <c r="J1955">
        <v>0</v>
      </c>
      <c r="L1955" s="4">
        <v>0.54204053547779496</v>
      </c>
      <c r="M1955" s="4">
        <v>0.45795946452220498</v>
      </c>
      <c r="N1955">
        <v>0</v>
      </c>
    </row>
    <row r="1956" spans="1:14" x14ac:dyDescent="0.25">
      <c r="A1956" s="2"/>
      <c r="B1956" t="s">
        <v>4838</v>
      </c>
      <c r="C1956" t="s">
        <v>16</v>
      </c>
      <c r="D1956" t="s">
        <v>110</v>
      </c>
      <c r="E1956" t="s">
        <v>4834</v>
      </c>
      <c r="F1956" t="s">
        <v>4835</v>
      </c>
      <c r="G1956" t="s">
        <v>4839</v>
      </c>
      <c r="H1956" s="3">
        <v>2048</v>
      </c>
      <c r="I1956">
        <v>678</v>
      </c>
      <c r="J1956">
        <v>1</v>
      </c>
      <c r="L1956" s="4">
        <v>0.19968713168142099</v>
      </c>
      <c r="M1956" s="4">
        <v>0.80031286831857895</v>
      </c>
      <c r="N1956">
        <v>0</v>
      </c>
    </row>
    <row r="1957" spans="1:14" x14ac:dyDescent="0.25">
      <c r="A1957" s="2">
        <v>22704639</v>
      </c>
      <c r="B1957" t="s">
        <v>4840</v>
      </c>
      <c r="C1957" t="s">
        <v>31</v>
      </c>
      <c r="D1957" t="s">
        <v>17</v>
      </c>
      <c r="E1957" t="s">
        <v>4841</v>
      </c>
      <c r="F1957" t="s">
        <v>4842</v>
      </c>
      <c r="G1957" t="s">
        <v>4843</v>
      </c>
      <c r="H1957" s="3">
        <v>2222.09</v>
      </c>
      <c r="I1957">
        <v>887</v>
      </c>
      <c r="J1957">
        <v>1</v>
      </c>
      <c r="L1957" s="4">
        <v>0.111505850099839</v>
      </c>
      <c r="M1957" s="4">
        <v>0.88849414990016196</v>
      </c>
      <c r="N1957">
        <v>0</v>
      </c>
    </row>
    <row r="1958" spans="1:14" x14ac:dyDescent="0.25">
      <c r="A1958" s="2">
        <v>21764562</v>
      </c>
      <c r="B1958" t="s">
        <v>4844</v>
      </c>
      <c r="C1958" t="s">
        <v>31</v>
      </c>
      <c r="D1958" t="s">
        <v>17</v>
      </c>
      <c r="E1958" t="s">
        <v>4841</v>
      </c>
      <c r="F1958" t="s">
        <v>4842</v>
      </c>
      <c r="G1958" t="s">
        <v>4845</v>
      </c>
      <c r="H1958" s="3">
        <v>2222.09</v>
      </c>
      <c r="J1958">
        <v>0</v>
      </c>
      <c r="K1958">
        <v>7</v>
      </c>
      <c r="L1958" s="4">
        <v>4.3739736637812797E-2</v>
      </c>
      <c r="M1958" s="4">
        <v>0.95626026336218695</v>
      </c>
      <c r="N1958">
        <v>0</v>
      </c>
    </row>
    <row r="1959" spans="1:14" x14ac:dyDescent="0.25">
      <c r="A1959" s="2">
        <v>23230506</v>
      </c>
      <c r="B1959" t="s">
        <v>4846</v>
      </c>
      <c r="C1959" t="s">
        <v>31</v>
      </c>
      <c r="D1959" t="s">
        <v>607</v>
      </c>
      <c r="E1959" t="s">
        <v>3560</v>
      </c>
      <c r="F1959" t="s">
        <v>4847</v>
      </c>
      <c r="G1959" t="s">
        <v>4848</v>
      </c>
      <c r="H1959" s="3">
        <v>1068</v>
      </c>
      <c r="I1959">
        <v>839</v>
      </c>
      <c r="J1959">
        <v>1</v>
      </c>
      <c r="K1959">
        <v>35</v>
      </c>
      <c r="L1959" s="4">
        <v>0.92135865315064303</v>
      </c>
      <c r="M1959" s="4">
        <v>7.8641346849357405E-2</v>
      </c>
      <c r="N1959">
        <v>0</v>
      </c>
    </row>
    <row r="1960" spans="1:14" x14ac:dyDescent="0.25">
      <c r="A1960" s="2"/>
      <c r="C1960" t="s">
        <v>28</v>
      </c>
      <c r="D1960" t="s">
        <v>133</v>
      </c>
      <c r="E1960" t="s">
        <v>4849</v>
      </c>
      <c r="F1960" t="s">
        <v>4850</v>
      </c>
      <c r="G1960" t="s">
        <v>4851</v>
      </c>
      <c r="H1960" s="3">
        <v>2145.6</v>
      </c>
      <c r="J1960">
        <v>0</v>
      </c>
      <c r="K1960">
        <v>28</v>
      </c>
      <c r="L1960" s="4">
        <v>0.75148963521095902</v>
      </c>
      <c r="M1960" s="4">
        <v>0.24851036478904101</v>
      </c>
      <c r="N1960">
        <v>0</v>
      </c>
    </row>
    <row r="1961" spans="1:14" x14ac:dyDescent="0.25">
      <c r="A1961" s="2"/>
      <c r="C1961" t="s">
        <v>28</v>
      </c>
      <c r="D1961" t="s">
        <v>172</v>
      </c>
      <c r="E1961" t="s">
        <v>4852</v>
      </c>
      <c r="F1961" t="s">
        <v>4847</v>
      </c>
      <c r="G1961" t="s">
        <v>4853</v>
      </c>
      <c r="H1961" s="3">
        <v>949.52</v>
      </c>
      <c r="I1961">
        <v>289</v>
      </c>
      <c r="J1961">
        <v>0</v>
      </c>
      <c r="K1961">
        <v>16</v>
      </c>
      <c r="L1961" s="4">
        <v>0.287562547180022</v>
      </c>
      <c r="M1961" s="4">
        <v>0.71243745281997795</v>
      </c>
      <c r="N1961">
        <v>0</v>
      </c>
    </row>
    <row r="1962" spans="1:14" x14ac:dyDescent="0.25">
      <c r="A1962" s="2"/>
      <c r="C1962" t="s">
        <v>28</v>
      </c>
      <c r="D1962" t="s">
        <v>172</v>
      </c>
      <c r="E1962" t="s">
        <v>4852</v>
      </c>
      <c r="F1962" t="s">
        <v>4847</v>
      </c>
      <c r="G1962" t="s">
        <v>4854</v>
      </c>
      <c r="H1962" s="3">
        <v>1224.6099999999999</v>
      </c>
      <c r="I1962">
        <v>468</v>
      </c>
      <c r="J1962">
        <v>0</v>
      </c>
      <c r="K1962">
        <v>38</v>
      </c>
      <c r="L1962" s="4">
        <v>0.95746164512534504</v>
      </c>
      <c r="M1962" s="4">
        <v>4.2538354874654703E-2</v>
      </c>
      <c r="N1962">
        <v>0</v>
      </c>
    </row>
    <row r="1963" spans="1:14" x14ac:dyDescent="0.25">
      <c r="A1963" s="2"/>
      <c r="B1963" t="s">
        <v>4855</v>
      </c>
      <c r="C1963" t="s">
        <v>16</v>
      </c>
      <c r="D1963" t="s">
        <v>607</v>
      </c>
      <c r="E1963" t="s">
        <v>3560</v>
      </c>
      <c r="F1963" t="s">
        <v>4847</v>
      </c>
      <c r="G1963" t="s">
        <v>4856</v>
      </c>
      <c r="H1963" s="3">
        <v>1068</v>
      </c>
      <c r="I1963">
        <v>260</v>
      </c>
      <c r="J1963">
        <v>0</v>
      </c>
      <c r="K1963">
        <v>50</v>
      </c>
      <c r="L1963" s="4">
        <v>0.73446514373330896</v>
      </c>
      <c r="M1963" s="4">
        <v>0.26553485626669199</v>
      </c>
      <c r="N1963">
        <v>0</v>
      </c>
    </row>
    <row r="1964" spans="1:14" x14ac:dyDescent="0.25">
      <c r="A1964" s="2"/>
      <c r="B1964" t="s">
        <v>4857</v>
      </c>
      <c r="C1964" t="s">
        <v>16</v>
      </c>
      <c r="D1964" t="s">
        <v>607</v>
      </c>
      <c r="E1964" t="s">
        <v>3560</v>
      </c>
      <c r="F1964" t="s">
        <v>4847</v>
      </c>
      <c r="G1964" t="s">
        <v>4858</v>
      </c>
      <c r="H1964" s="3">
        <v>1068</v>
      </c>
      <c r="I1964">
        <v>934</v>
      </c>
      <c r="J1964">
        <v>0</v>
      </c>
      <c r="K1964">
        <v>43</v>
      </c>
      <c r="L1964" s="4">
        <v>0.58017200275290504</v>
      </c>
      <c r="M1964" s="4">
        <v>0.41982799724709502</v>
      </c>
      <c r="N1964">
        <v>0</v>
      </c>
    </row>
    <row r="1965" spans="1:14" x14ac:dyDescent="0.25">
      <c r="A1965" s="2"/>
      <c r="B1965" t="s">
        <v>4859</v>
      </c>
      <c r="C1965" t="s">
        <v>16</v>
      </c>
      <c r="D1965" t="s">
        <v>607</v>
      </c>
      <c r="E1965" t="s">
        <v>3560</v>
      </c>
      <c r="F1965" t="s">
        <v>4847</v>
      </c>
      <c r="G1965" t="s">
        <v>4860</v>
      </c>
      <c r="H1965" s="3">
        <v>1068</v>
      </c>
      <c r="I1965">
        <v>13</v>
      </c>
      <c r="J1965">
        <v>0</v>
      </c>
      <c r="L1965" s="4">
        <v>0.69592577181090998</v>
      </c>
      <c r="M1965" s="4">
        <v>0.30407422818909102</v>
      </c>
      <c r="N1965">
        <v>0</v>
      </c>
    </row>
    <row r="1966" spans="1:14" x14ac:dyDescent="0.25">
      <c r="A1966" s="2"/>
      <c r="B1966" t="s">
        <v>4861</v>
      </c>
      <c r="C1966" t="s">
        <v>16</v>
      </c>
      <c r="D1966" t="s">
        <v>607</v>
      </c>
      <c r="E1966" t="s">
        <v>3560</v>
      </c>
      <c r="F1966" t="s">
        <v>4862</v>
      </c>
      <c r="G1966" t="s">
        <v>4863</v>
      </c>
      <c r="H1966" s="3">
        <v>1068</v>
      </c>
      <c r="I1966">
        <v>680</v>
      </c>
      <c r="J1966">
        <v>1</v>
      </c>
      <c r="K1966">
        <v>48</v>
      </c>
      <c r="L1966" s="4">
        <v>0.47805546800430199</v>
      </c>
      <c r="M1966" s="4">
        <v>0.52194453199569801</v>
      </c>
      <c r="N1966">
        <v>0</v>
      </c>
    </row>
    <row r="1967" spans="1:14" x14ac:dyDescent="0.25">
      <c r="A1967" s="2"/>
      <c r="B1967" t="s">
        <v>4864</v>
      </c>
      <c r="C1967" t="s">
        <v>16</v>
      </c>
      <c r="D1967" t="s">
        <v>17</v>
      </c>
      <c r="E1967" t="s">
        <v>4865</v>
      </c>
      <c r="F1967" t="s">
        <v>4866</v>
      </c>
      <c r="G1967" t="s">
        <v>4867</v>
      </c>
      <c r="H1967" s="3">
        <v>2369.6999999999998</v>
      </c>
      <c r="I1967">
        <v>467</v>
      </c>
      <c r="J1967">
        <v>0</v>
      </c>
      <c r="K1967">
        <v>12</v>
      </c>
      <c r="L1967" s="4">
        <v>0.94165581395737297</v>
      </c>
      <c r="M1967" s="4">
        <v>5.8344186042627401E-2</v>
      </c>
      <c r="N1967">
        <v>0</v>
      </c>
    </row>
    <row r="1968" spans="1:14" x14ac:dyDescent="0.25">
      <c r="A1968" s="2"/>
      <c r="B1968" t="s">
        <v>4868</v>
      </c>
      <c r="C1968" t="s">
        <v>16</v>
      </c>
      <c r="D1968" t="s">
        <v>69</v>
      </c>
      <c r="E1968" t="s">
        <v>4869</v>
      </c>
      <c r="F1968" t="s">
        <v>4870</v>
      </c>
      <c r="G1968" t="s">
        <v>4871</v>
      </c>
      <c r="H1968" s="3">
        <v>1894.6</v>
      </c>
      <c r="I1968">
        <v>157</v>
      </c>
      <c r="J1968">
        <v>1</v>
      </c>
      <c r="K1968">
        <v>3</v>
      </c>
      <c r="L1968" s="4">
        <v>0.91292434652252696</v>
      </c>
      <c r="M1968" s="4">
        <v>8.7075653477473203E-2</v>
      </c>
      <c r="N1968">
        <v>0</v>
      </c>
    </row>
    <row r="1969" spans="1:14" x14ac:dyDescent="0.25">
      <c r="A1969" s="2"/>
      <c r="B1969" t="s">
        <v>4872</v>
      </c>
      <c r="C1969" t="s">
        <v>16</v>
      </c>
      <c r="D1969" t="s">
        <v>17</v>
      </c>
      <c r="E1969" t="s">
        <v>4873</v>
      </c>
      <c r="F1969" t="s">
        <v>4874</v>
      </c>
      <c r="G1969" t="s">
        <v>4875</v>
      </c>
      <c r="H1969" s="3">
        <v>2379.79</v>
      </c>
      <c r="I1969">
        <v>795</v>
      </c>
      <c r="J1969">
        <v>0</v>
      </c>
      <c r="K1969">
        <v>46</v>
      </c>
      <c r="L1969" s="4">
        <v>5.16273491636332E-2</v>
      </c>
      <c r="M1969" s="4">
        <v>0.94837265083636701</v>
      </c>
      <c r="N1969">
        <v>0</v>
      </c>
    </row>
    <row r="1970" spans="1:14" x14ac:dyDescent="0.25">
      <c r="A1970" s="2"/>
      <c r="B1970" t="s">
        <v>4876</v>
      </c>
      <c r="C1970" t="s">
        <v>16</v>
      </c>
      <c r="D1970" t="s">
        <v>2307</v>
      </c>
      <c r="E1970" t="s">
        <v>4877</v>
      </c>
      <c r="F1970" t="s">
        <v>4878</v>
      </c>
      <c r="G1970" t="s">
        <v>4879</v>
      </c>
      <c r="H1970" s="3">
        <v>1290.4100000000001</v>
      </c>
      <c r="I1970">
        <v>152</v>
      </c>
      <c r="J1970">
        <v>0</v>
      </c>
      <c r="K1970">
        <v>43</v>
      </c>
      <c r="L1970" s="4">
        <v>0.53710918380968098</v>
      </c>
      <c r="M1970" s="4">
        <v>0.46289081619031902</v>
      </c>
      <c r="N1970">
        <v>0</v>
      </c>
    </row>
    <row r="1971" spans="1:14" x14ac:dyDescent="0.25">
      <c r="A1971" s="2">
        <v>23698510</v>
      </c>
      <c r="B1971" t="s">
        <v>4880</v>
      </c>
      <c r="C1971" t="s">
        <v>31</v>
      </c>
      <c r="D1971" t="s">
        <v>352</v>
      </c>
      <c r="E1971" t="s">
        <v>4881</v>
      </c>
      <c r="G1971" t="s">
        <v>4882</v>
      </c>
      <c r="H1971" s="3">
        <v>1700</v>
      </c>
      <c r="I1971">
        <v>700</v>
      </c>
      <c r="J1971">
        <v>0</v>
      </c>
      <c r="K1971">
        <v>23</v>
      </c>
      <c r="L1971" s="4">
        <v>0.65549312383978098</v>
      </c>
      <c r="M1971" s="4">
        <v>0.34450687616021902</v>
      </c>
      <c r="N1971">
        <v>0</v>
      </c>
    </row>
    <row r="1972" spans="1:14" x14ac:dyDescent="0.25">
      <c r="A1972" s="2"/>
      <c r="B1972" t="s">
        <v>4883</v>
      </c>
      <c r="C1972" t="s">
        <v>16</v>
      </c>
      <c r="D1972" t="s">
        <v>352</v>
      </c>
      <c r="E1972" t="s">
        <v>4881</v>
      </c>
      <c r="F1972" t="s">
        <v>4884</v>
      </c>
      <c r="G1972" t="s">
        <v>4885</v>
      </c>
      <c r="H1972" s="3">
        <v>2340</v>
      </c>
      <c r="I1972">
        <v>566</v>
      </c>
      <c r="J1972">
        <v>0</v>
      </c>
      <c r="K1972">
        <v>12</v>
      </c>
      <c r="L1972" s="4">
        <v>0.51738311891775202</v>
      </c>
      <c r="M1972" s="4">
        <v>0.48261688108224798</v>
      </c>
      <c r="N1972">
        <v>0</v>
      </c>
    </row>
    <row r="1973" spans="1:14" x14ac:dyDescent="0.25">
      <c r="A1973" s="2"/>
      <c r="B1973" t="s">
        <v>4886</v>
      </c>
      <c r="C1973" t="s">
        <v>16</v>
      </c>
      <c r="D1973" t="s">
        <v>352</v>
      </c>
      <c r="E1973" t="s">
        <v>4881</v>
      </c>
      <c r="F1973" t="s">
        <v>4884</v>
      </c>
      <c r="G1973" t="s">
        <v>4887</v>
      </c>
      <c r="H1973" s="3">
        <v>2040</v>
      </c>
      <c r="I1973">
        <v>567</v>
      </c>
      <c r="J1973">
        <v>1</v>
      </c>
      <c r="K1973">
        <v>49</v>
      </c>
      <c r="L1973" s="4">
        <v>0.67966907148490296</v>
      </c>
      <c r="M1973" s="4">
        <v>0.32033092851509698</v>
      </c>
      <c r="N1973">
        <v>0</v>
      </c>
    </row>
    <row r="1974" spans="1:14" x14ac:dyDescent="0.25">
      <c r="A1974" s="2"/>
      <c r="B1974" t="s">
        <v>4888</v>
      </c>
      <c r="C1974" t="s">
        <v>16</v>
      </c>
      <c r="D1974" t="s">
        <v>2772</v>
      </c>
      <c r="E1974" t="s">
        <v>4889</v>
      </c>
      <c r="F1974" t="s">
        <v>4890</v>
      </c>
      <c r="G1974" t="s">
        <v>4891</v>
      </c>
      <c r="H1974" s="3">
        <v>1750</v>
      </c>
      <c r="I1974">
        <v>917</v>
      </c>
      <c r="J1974">
        <v>0</v>
      </c>
      <c r="L1974" s="4">
        <v>0.51370581084078704</v>
      </c>
      <c r="M1974" s="4">
        <v>0.48629418915921402</v>
      </c>
      <c r="N1974">
        <v>0</v>
      </c>
    </row>
    <row r="1975" spans="1:14" x14ac:dyDescent="0.25">
      <c r="A1975" s="2"/>
      <c r="C1975" t="s">
        <v>28</v>
      </c>
      <c r="D1975" t="s">
        <v>110</v>
      </c>
      <c r="E1975" t="s">
        <v>4892</v>
      </c>
      <c r="F1975" t="s">
        <v>4893</v>
      </c>
      <c r="G1975" t="s">
        <v>4894</v>
      </c>
      <c r="H1975" s="3">
        <v>1800</v>
      </c>
      <c r="I1975">
        <v>529</v>
      </c>
      <c r="J1975">
        <v>1</v>
      </c>
      <c r="K1975">
        <v>1</v>
      </c>
      <c r="L1975" s="4">
        <v>0.79251461808304002</v>
      </c>
      <c r="M1975" s="4">
        <v>0.20748538191696</v>
      </c>
      <c r="N1975">
        <v>0</v>
      </c>
    </row>
    <row r="1976" spans="1:14" x14ac:dyDescent="0.25">
      <c r="A1976" s="2"/>
      <c r="C1976" t="s">
        <v>28</v>
      </c>
      <c r="D1976" t="s">
        <v>110</v>
      </c>
      <c r="E1976" t="s">
        <v>4892</v>
      </c>
      <c r="F1976" t="s">
        <v>4893</v>
      </c>
      <c r="G1976" t="s">
        <v>4895</v>
      </c>
      <c r="H1976" s="3">
        <v>2040</v>
      </c>
      <c r="I1976">
        <v>626</v>
      </c>
      <c r="J1976">
        <v>1</v>
      </c>
      <c r="K1976">
        <v>14</v>
      </c>
      <c r="L1976" s="4">
        <v>8.6060527412365598E-2</v>
      </c>
      <c r="M1976" s="4">
        <v>0.91393947258763397</v>
      </c>
      <c r="N1976">
        <v>0</v>
      </c>
    </row>
    <row r="1977" spans="1:14" x14ac:dyDescent="0.25">
      <c r="A1977" s="2"/>
      <c r="C1977" t="s">
        <v>28</v>
      </c>
      <c r="D1977" t="s">
        <v>110</v>
      </c>
      <c r="E1977" t="s">
        <v>4892</v>
      </c>
      <c r="F1977" t="s">
        <v>4893</v>
      </c>
      <c r="G1977" t="s">
        <v>4896</v>
      </c>
      <c r="H1977" s="3">
        <v>2040</v>
      </c>
      <c r="I1977">
        <v>624</v>
      </c>
      <c r="J1977">
        <v>1</v>
      </c>
      <c r="K1977">
        <v>20</v>
      </c>
      <c r="L1977" s="4">
        <v>0.97386613924558596</v>
      </c>
      <c r="M1977" s="4">
        <v>2.6133860754414401E-2</v>
      </c>
      <c r="N1977">
        <v>0</v>
      </c>
    </row>
    <row r="1978" spans="1:14" x14ac:dyDescent="0.25">
      <c r="A1978" s="2"/>
      <c r="B1978" t="s">
        <v>4897</v>
      </c>
      <c r="C1978" t="s">
        <v>16</v>
      </c>
      <c r="D1978" t="s">
        <v>110</v>
      </c>
      <c r="E1978" t="s">
        <v>4898</v>
      </c>
      <c r="F1978" t="s">
        <v>4899</v>
      </c>
      <c r="G1978" t="s">
        <v>4900</v>
      </c>
      <c r="H1978" s="3">
        <v>2040</v>
      </c>
      <c r="J1978">
        <v>1</v>
      </c>
      <c r="K1978">
        <v>39</v>
      </c>
      <c r="L1978" s="4">
        <v>0.30541638125246801</v>
      </c>
      <c r="M1978" s="4">
        <v>0.69458361874753205</v>
      </c>
      <c r="N1978">
        <v>0</v>
      </c>
    </row>
    <row r="1979" spans="1:14" x14ac:dyDescent="0.25">
      <c r="A1979" s="2"/>
      <c r="C1979" t="s">
        <v>28</v>
      </c>
      <c r="D1979" t="s">
        <v>110</v>
      </c>
      <c r="E1979" t="s">
        <v>4898</v>
      </c>
      <c r="F1979" t="s">
        <v>4899</v>
      </c>
      <c r="G1979" t="s">
        <v>4901</v>
      </c>
      <c r="H1979" s="3">
        <v>2040</v>
      </c>
      <c r="I1979">
        <v>431</v>
      </c>
      <c r="J1979">
        <v>0</v>
      </c>
      <c r="K1979">
        <v>31</v>
      </c>
      <c r="L1979" s="4">
        <v>0.53353102917809103</v>
      </c>
      <c r="M1979" s="4">
        <v>0.46646897082191002</v>
      </c>
      <c r="N1979">
        <v>0</v>
      </c>
    </row>
    <row r="1980" spans="1:14" x14ac:dyDescent="0.25">
      <c r="A1980" s="2"/>
      <c r="B1980" t="s">
        <v>4902</v>
      </c>
      <c r="C1980" t="s">
        <v>16</v>
      </c>
      <c r="D1980" t="s">
        <v>110</v>
      </c>
      <c r="E1980" t="s">
        <v>4898</v>
      </c>
      <c r="F1980" t="s">
        <v>4899</v>
      </c>
      <c r="G1980" t="s">
        <v>4903</v>
      </c>
      <c r="H1980" s="3">
        <v>2040</v>
      </c>
      <c r="I1980">
        <v>299</v>
      </c>
      <c r="J1980">
        <v>1</v>
      </c>
      <c r="K1980">
        <v>3</v>
      </c>
      <c r="L1980" s="4">
        <v>0.83997004973834999</v>
      </c>
      <c r="M1980" s="4">
        <v>0.16002995026165001</v>
      </c>
      <c r="N1980">
        <v>0</v>
      </c>
    </row>
    <row r="1981" spans="1:14" x14ac:dyDescent="0.25">
      <c r="A1981" s="2"/>
      <c r="C1981" t="s">
        <v>28</v>
      </c>
      <c r="D1981" t="s">
        <v>110</v>
      </c>
      <c r="E1981" t="s">
        <v>4898</v>
      </c>
      <c r="F1981" t="s">
        <v>4899</v>
      </c>
      <c r="G1981" t="s">
        <v>4904</v>
      </c>
      <c r="H1981" s="3">
        <v>2100</v>
      </c>
      <c r="I1981">
        <v>891</v>
      </c>
      <c r="J1981">
        <v>0</v>
      </c>
      <c r="K1981">
        <v>3</v>
      </c>
      <c r="L1981" s="4">
        <v>0.61797434297387399</v>
      </c>
      <c r="M1981" s="4">
        <v>0.38202565702612601</v>
      </c>
      <c r="N1981">
        <v>0</v>
      </c>
    </row>
    <row r="1982" spans="1:14" x14ac:dyDescent="0.25">
      <c r="A1982" s="2"/>
      <c r="B1982" t="s">
        <v>4905</v>
      </c>
      <c r="C1982" t="s">
        <v>16</v>
      </c>
      <c r="D1982" t="s">
        <v>69</v>
      </c>
      <c r="E1982" t="s">
        <v>4906</v>
      </c>
      <c r="F1982" t="s">
        <v>4907</v>
      </c>
      <c r="G1982" t="s">
        <v>4908</v>
      </c>
      <c r="H1982" s="3">
        <v>1739.13</v>
      </c>
      <c r="I1982">
        <v>194</v>
      </c>
      <c r="J1982">
        <v>0</v>
      </c>
      <c r="K1982">
        <v>17</v>
      </c>
      <c r="L1982" s="4">
        <v>0.71132373851240704</v>
      </c>
      <c r="M1982" s="4">
        <v>0.28867626148759301</v>
      </c>
      <c r="N1982">
        <v>0</v>
      </c>
    </row>
    <row r="1983" spans="1:14" x14ac:dyDescent="0.25">
      <c r="A1983" s="2"/>
      <c r="B1983" t="s">
        <v>4909</v>
      </c>
      <c r="C1983" t="s">
        <v>16</v>
      </c>
      <c r="D1983" t="s">
        <v>69</v>
      </c>
      <c r="E1983" t="s">
        <v>4906</v>
      </c>
      <c r="F1983" t="s">
        <v>4907</v>
      </c>
      <c r="G1983" t="s">
        <v>4910</v>
      </c>
      <c r="H1983" s="3">
        <v>1739.13</v>
      </c>
      <c r="I1983">
        <v>172</v>
      </c>
      <c r="J1983">
        <v>1</v>
      </c>
      <c r="K1983">
        <v>17</v>
      </c>
      <c r="L1983" s="4">
        <v>0.96988642866610097</v>
      </c>
      <c r="M1983" s="4">
        <v>3.0113571333898598E-2</v>
      </c>
      <c r="N1983">
        <v>0</v>
      </c>
    </row>
    <row r="1984" spans="1:14" x14ac:dyDescent="0.25">
      <c r="A1984" s="2"/>
      <c r="B1984" t="s">
        <v>4911</v>
      </c>
      <c r="C1984" t="s">
        <v>16</v>
      </c>
      <c r="D1984" t="s">
        <v>69</v>
      </c>
      <c r="E1984" t="s">
        <v>4906</v>
      </c>
      <c r="F1984" t="s">
        <v>4907</v>
      </c>
      <c r="G1984" t="s">
        <v>4912</v>
      </c>
      <c r="H1984" s="3">
        <v>1739.13</v>
      </c>
      <c r="I1984">
        <v>330</v>
      </c>
      <c r="J1984">
        <v>1</v>
      </c>
      <c r="K1984">
        <v>47</v>
      </c>
      <c r="L1984" s="4">
        <v>0.427904882132846</v>
      </c>
      <c r="M1984" s="4">
        <v>0.57209511786715395</v>
      </c>
      <c r="N1984">
        <v>0</v>
      </c>
    </row>
    <row r="1985" spans="1:14" x14ac:dyDescent="0.25">
      <c r="A1985" s="2"/>
      <c r="B1985" t="s">
        <v>4905</v>
      </c>
      <c r="C1985" t="s">
        <v>16</v>
      </c>
      <c r="D1985" t="s">
        <v>69</v>
      </c>
      <c r="E1985" t="s">
        <v>4906</v>
      </c>
      <c r="F1985" t="s">
        <v>4907</v>
      </c>
      <c r="G1985" t="s">
        <v>4913</v>
      </c>
      <c r="H1985" s="3">
        <v>1905.98</v>
      </c>
      <c r="I1985">
        <v>944</v>
      </c>
      <c r="J1985">
        <v>1</v>
      </c>
      <c r="K1985">
        <v>14</v>
      </c>
      <c r="L1985" s="4">
        <v>0.93286124494397804</v>
      </c>
      <c r="M1985" s="4">
        <v>6.7138755056022098E-2</v>
      </c>
      <c r="N1985">
        <v>0</v>
      </c>
    </row>
    <row r="1986" spans="1:14" x14ac:dyDescent="0.25">
      <c r="A1986" s="2"/>
      <c r="B1986" t="s">
        <v>4911</v>
      </c>
      <c r="C1986" t="s">
        <v>16</v>
      </c>
      <c r="D1986" t="s">
        <v>69</v>
      </c>
      <c r="E1986" t="s">
        <v>4906</v>
      </c>
      <c r="F1986" t="s">
        <v>4907</v>
      </c>
      <c r="G1986" t="s">
        <v>4914</v>
      </c>
      <c r="H1986" s="3">
        <v>1944.88</v>
      </c>
      <c r="I1986">
        <v>161</v>
      </c>
      <c r="K1986">
        <v>34</v>
      </c>
      <c r="L1986" s="4">
        <v>0.52171187655005602</v>
      </c>
      <c r="M1986" s="4">
        <v>0.47828812344994398</v>
      </c>
      <c r="N1986">
        <v>0</v>
      </c>
    </row>
    <row r="1987" spans="1:14" x14ac:dyDescent="0.25">
      <c r="A1987" s="2"/>
      <c r="B1987" t="s">
        <v>4909</v>
      </c>
      <c r="C1987" t="s">
        <v>16</v>
      </c>
      <c r="D1987" t="s">
        <v>69</v>
      </c>
      <c r="E1987" t="s">
        <v>4906</v>
      </c>
      <c r="F1987" t="s">
        <v>4907</v>
      </c>
      <c r="G1987" t="s">
        <v>4915</v>
      </c>
      <c r="H1987" s="3">
        <v>1944.88</v>
      </c>
      <c r="I1987">
        <v>7</v>
      </c>
      <c r="J1987">
        <v>1</v>
      </c>
      <c r="K1987">
        <v>1</v>
      </c>
      <c r="L1987" s="4">
        <v>0.55731869040266802</v>
      </c>
      <c r="M1987" s="4">
        <v>0.44268130959733198</v>
      </c>
      <c r="N1987">
        <v>0</v>
      </c>
    </row>
    <row r="1988" spans="1:14" x14ac:dyDescent="0.25">
      <c r="A1988" s="2"/>
      <c r="B1988" t="s">
        <v>4916</v>
      </c>
      <c r="C1988" t="s">
        <v>16</v>
      </c>
      <c r="D1988" t="s">
        <v>69</v>
      </c>
      <c r="E1988" t="s">
        <v>4906</v>
      </c>
      <c r="F1988" t="s">
        <v>4907</v>
      </c>
      <c r="G1988" t="s">
        <v>4917</v>
      </c>
      <c r="H1988" s="3">
        <v>2274.4899999999998</v>
      </c>
      <c r="I1988">
        <v>17</v>
      </c>
      <c r="J1988">
        <v>0</v>
      </c>
      <c r="K1988">
        <v>30</v>
      </c>
      <c r="L1988" s="4">
        <v>0.42788811456060299</v>
      </c>
      <c r="M1988" s="4">
        <v>0.57211188543939695</v>
      </c>
      <c r="N1988">
        <v>0</v>
      </c>
    </row>
    <row r="1989" spans="1:14" x14ac:dyDescent="0.25">
      <c r="A1989" s="2"/>
      <c r="B1989" t="s">
        <v>4918</v>
      </c>
      <c r="C1989" t="s">
        <v>16</v>
      </c>
      <c r="D1989" t="s">
        <v>17</v>
      </c>
      <c r="E1989" t="s">
        <v>4919</v>
      </c>
      <c r="F1989" t="s">
        <v>4920</v>
      </c>
      <c r="G1989" t="s">
        <v>4921</v>
      </c>
      <c r="H1989" s="3">
        <v>2392.77</v>
      </c>
      <c r="I1989">
        <v>685</v>
      </c>
      <c r="J1989">
        <v>0</v>
      </c>
      <c r="K1989">
        <v>29</v>
      </c>
      <c r="L1989" s="4">
        <v>0.97940929095581997</v>
      </c>
      <c r="M1989" s="4">
        <v>2.0590709044179801E-2</v>
      </c>
      <c r="N1989">
        <v>0</v>
      </c>
    </row>
    <row r="1990" spans="1:14" x14ac:dyDescent="0.25">
      <c r="A1990" s="2"/>
      <c r="B1990" t="s">
        <v>4922</v>
      </c>
      <c r="C1990" t="s">
        <v>16</v>
      </c>
      <c r="D1990" t="s">
        <v>17</v>
      </c>
      <c r="E1990" t="s">
        <v>4919</v>
      </c>
      <c r="F1990" t="s">
        <v>4920</v>
      </c>
      <c r="G1990" t="s">
        <v>4923</v>
      </c>
      <c r="H1990" s="3">
        <v>1834.77</v>
      </c>
      <c r="I1990">
        <v>781</v>
      </c>
      <c r="J1990">
        <v>0</v>
      </c>
      <c r="L1990" s="4">
        <v>0.99534473173927496</v>
      </c>
      <c r="M1990" s="4">
        <v>4.6552682607245996E-3</v>
      </c>
      <c r="N1990">
        <v>0</v>
      </c>
    </row>
    <row r="1991" spans="1:14" x14ac:dyDescent="0.25">
      <c r="A1991" s="2"/>
      <c r="B1991" t="s">
        <v>4924</v>
      </c>
      <c r="C1991" t="s">
        <v>16</v>
      </c>
      <c r="D1991" t="s">
        <v>17</v>
      </c>
      <c r="E1991" t="s">
        <v>4919</v>
      </c>
      <c r="F1991" t="s">
        <v>4920</v>
      </c>
      <c r="G1991" t="s">
        <v>4925</v>
      </c>
      <c r="H1991" s="3">
        <v>1189.77</v>
      </c>
      <c r="I1991">
        <v>347</v>
      </c>
      <c r="J1991">
        <v>0</v>
      </c>
      <c r="K1991">
        <v>24</v>
      </c>
      <c r="L1991" s="4">
        <v>0.28675561208757999</v>
      </c>
      <c r="M1991" s="4">
        <v>0.71324438791241995</v>
      </c>
      <c r="N1991">
        <v>0</v>
      </c>
    </row>
    <row r="1992" spans="1:14" x14ac:dyDescent="0.25">
      <c r="A1992" s="2"/>
      <c r="B1992" t="s">
        <v>4926</v>
      </c>
      <c r="C1992" t="s">
        <v>16</v>
      </c>
      <c r="D1992" t="s">
        <v>17</v>
      </c>
      <c r="E1992" t="s">
        <v>4919</v>
      </c>
      <c r="F1992" t="s">
        <v>4920</v>
      </c>
      <c r="G1992" t="s">
        <v>4927</v>
      </c>
      <c r="H1992" s="3">
        <v>1189.77</v>
      </c>
      <c r="I1992">
        <v>483</v>
      </c>
      <c r="J1992">
        <v>0</v>
      </c>
      <c r="K1992">
        <v>18</v>
      </c>
      <c r="L1992" s="4">
        <v>0.36042201597360202</v>
      </c>
      <c r="M1992" s="4">
        <v>0.63957798402639798</v>
      </c>
      <c r="N1992">
        <v>0</v>
      </c>
    </row>
    <row r="1993" spans="1:14" x14ac:dyDescent="0.25">
      <c r="A1993" s="2"/>
      <c r="B1993" t="s">
        <v>4928</v>
      </c>
      <c r="C1993" t="s">
        <v>16</v>
      </c>
      <c r="D1993" t="s">
        <v>17</v>
      </c>
      <c r="E1993" t="s">
        <v>4919</v>
      </c>
      <c r="F1993" t="s">
        <v>4920</v>
      </c>
      <c r="G1993" t="s">
        <v>4929</v>
      </c>
      <c r="H1993" s="3">
        <v>1836.92</v>
      </c>
      <c r="I1993">
        <v>298</v>
      </c>
      <c r="J1993">
        <v>1</v>
      </c>
      <c r="K1993">
        <v>50</v>
      </c>
      <c r="L1993" s="4">
        <v>5.1252670532576802E-2</v>
      </c>
      <c r="M1993" s="4">
        <v>0.94874732946742302</v>
      </c>
      <c r="N1993">
        <v>0</v>
      </c>
    </row>
    <row r="1994" spans="1:14" x14ac:dyDescent="0.25">
      <c r="A1994" s="2"/>
      <c r="B1994" t="s">
        <v>4930</v>
      </c>
      <c r="C1994" t="s">
        <v>16</v>
      </c>
      <c r="D1994" t="s">
        <v>17</v>
      </c>
      <c r="E1994" t="s">
        <v>4919</v>
      </c>
      <c r="F1994" t="s">
        <v>4920</v>
      </c>
      <c r="G1994" t="s">
        <v>4931</v>
      </c>
      <c r="H1994" s="3">
        <v>2281.5100000000002</v>
      </c>
      <c r="I1994">
        <v>517</v>
      </c>
      <c r="J1994">
        <v>0</v>
      </c>
      <c r="K1994">
        <v>20</v>
      </c>
      <c r="L1994" s="4">
        <v>0.33246793168934702</v>
      </c>
      <c r="M1994" s="4">
        <v>0.66753206831065304</v>
      </c>
      <c r="N1994">
        <v>0</v>
      </c>
    </row>
    <row r="1995" spans="1:14" x14ac:dyDescent="0.25">
      <c r="A1995" s="2">
        <v>23287458</v>
      </c>
      <c r="B1995" t="s">
        <v>4932</v>
      </c>
      <c r="C1995" t="s">
        <v>31</v>
      </c>
      <c r="D1995" t="s">
        <v>17</v>
      </c>
      <c r="E1995" t="s">
        <v>4919</v>
      </c>
      <c r="F1995" t="s">
        <v>4920</v>
      </c>
      <c r="G1995" t="s">
        <v>4933</v>
      </c>
      <c r="H1995" s="3">
        <v>2480.56</v>
      </c>
      <c r="I1995">
        <v>524</v>
      </c>
      <c r="J1995">
        <v>0</v>
      </c>
      <c r="K1995">
        <v>1</v>
      </c>
      <c r="L1995" s="4">
        <v>0.64239829765636502</v>
      </c>
      <c r="M1995" s="4">
        <v>0.35760170234363498</v>
      </c>
      <c r="N1995">
        <v>0</v>
      </c>
    </row>
    <row r="1996" spans="1:14" x14ac:dyDescent="0.25">
      <c r="A1996" s="2"/>
      <c r="B1996" t="s">
        <v>4934</v>
      </c>
      <c r="C1996" t="s">
        <v>16</v>
      </c>
      <c r="D1996" t="s">
        <v>1163</v>
      </c>
      <c r="E1996" t="s">
        <v>4935</v>
      </c>
      <c r="F1996" t="s">
        <v>4936</v>
      </c>
      <c r="G1996" t="s">
        <v>4937</v>
      </c>
      <c r="H1996" s="3">
        <v>1920</v>
      </c>
      <c r="I1996">
        <v>272</v>
      </c>
      <c r="J1996">
        <v>0</v>
      </c>
      <c r="K1996">
        <v>36</v>
      </c>
      <c r="L1996" s="4">
        <v>0.53373637167325905</v>
      </c>
      <c r="M1996" s="4">
        <v>0.46626362832674101</v>
      </c>
      <c r="N1996">
        <v>0</v>
      </c>
    </row>
    <row r="1997" spans="1:14" x14ac:dyDescent="0.25">
      <c r="A1997" s="2">
        <v>23278317</v>
      </c>
      <c r="C1997" t="s">
        <v>0</v>
      </c>
      <c r="D1997" t="s">
        <v>86</v>
      </c>
      <c r="E1997" t="s">
        <v>4938</v>
      </c>
      <c r="F1997" t="s">
        <v>4939</v>
      </c>
      <c r="G1997" t="s">
        <v>4940</v>
      </c>
      <c r="H1997" s="3">
        <v>1514.1</v>
      </c>
      <c r="I1997">
        <v>49</v>
      </c>
      <c r="J1997">
        <v>0</v>
      </c>
      <c r="K1997">
        <v>36</v>
      </c>
      <c r="L1997" s="4">
        <v>7.5705396215342002E-3</v>
      </c>
      <c r="M1997" s="4">
        <v>0.99242946037846602</v>
      </c>
      <c r="N1997">
        <v>0</v>
      </c>
    </row>
    <row r="1998" spans="1:14" x14ac:dyDescent="0.25">
      <c r="A1998" s="2">
        <v>23356787</v>
      </c>
      <c r="B1998" t="s">
        <v>4941</v>
      </c>
      <c r="C1998" t="s">
        <v>31</v>
      </c>
      <c r="D1998" t="s">
        <v>86</v>
      </c>
      <c r="E1998" t="s">
        <v>4938</v>
      </c>
      <c r="F1998" t="s">
        <v>4939</v>
      </c>
      <c r="G1998" t="s">
        <v>4942</v>
      </c>
      <c r="H1998" s="3">
        <v>1598.18</v>
      </c>
      <c r="I1998">
        <v>337</v>
      </c>
      <c r="J1998">
        <v>1</v>
      </c>
      <c r="K1998">
        <v>41</v>
      </c>
      <c r="L1998" s="4">
        <v>0.28800940979732498</v>
      </c>
      <c r="M1998" s="4">
        <v>0.71199059020267497</v>
      </c>
      <c r="N1998">
        <v>0</v>
      </c>
    </row>
    <row r="1999" spans="1:14" x14ac:dyDescent="0.25">
      <c r="A1999" s="2"/>
      <c r="C1999" t="s">
        <v>28</v>
      </c>
      <c r="D1999" t="s">
        <v>133</v>
      </c>
      <c r="E1999" t="s">
        <v>4943</v>
      </c>
      <c r="F1999" t="s">
        <v>4944</v>
      </c>
      <c r="G1999" t="s">
        <v>4945</v>
      </c>
      <c r="H1999" s="3">
        <v>2145.6</v>
      </c>
      <c r="J1999">
        <v>1</v>
      </c>
      <c r="K1999">
        <v>12</v>
      </c>
      <c r="L1999" s="4">
        <v>0.98513197717651002</v>
      </c>
      <c r="M1999" s="4">
        <v>1.4868022823490401E-2</v>
      </c>
      <c r="N1999">
        <v>0</v>
      </c>
    </row>
    <row r="2000" spans="1:14" x14ac:dyDescent="0.25">
      <c r="A2000" s="2"/>
      <c r="C2000" t="s">
        <v>28</v>
      </c>
      <c r="D2000" t="s">
        <v>4946</v>
      </c>
      <c r="E2000" t="s">
        <v>4947</v>
      </c>
      <c r="F2000" t="s">
        <v>4948</v>
      </c>
      <c r="G2000" t="s">
        <v>4949</v>
      </c>
      <c r="H2000" s="3">
        <v>1969.02</v>
      </c>
      <c r="J2000">
        <v>0</v>
      </c>
      <c r="K2000">
        <v>26</v>
      </c>
      <c r="L2000" s="4">
        <v>0.30504460724781801</v>
      </c>
      <c r="M2000" s="4">
        <v>0.69495539275218199</v>
      </c>
      <c r="N2000">
        <v>0</v>
      </c>
    </row>
    <row r="2001" spans="1:14" x14ac:dyDescent="0.25">
      <c r="A2001" s="2">
        <v>22618994</v>
      </c>
      <c r="B2001" t="s">
        <v>4950</v>
      </c>
      <c r="C2001" t="s">
        <v>31</v>
      </c>
      <c r="D2001" t="s">
        <v>69</v>
      </c>
      <c r="E2001" t="s">
        <v>69</v>
      </c>
      <c r="F2001" t="s">
        <v>4951</v>
      </c>
      <c r="G2001" t="s">
        <v>4952</v>
      </c>
      <c r="H2001" s="3">
        <v>1981.19</v>
      </c>
      <c r="I2001">
        <v>531</v>
      </c>
      <c r="K2001">
        <v>7</v>
      </c>
      <c r="L2001" s="4">
        <v>0.97932923781848902</v>
      </c>
      <c r="M2001" s="4">
        <v>2.0670762181510999E-2</v>
      </c>
      <c r="N2001">
        <v>0</v>
      </c>
    </row>
    <row r="2002" spans="1:14" x14ac:dyDescent="0.25">
      <c r="A2002" s="2">
        <v>22897899</v>
      </c>
      <c r="B2002" t="s">
        <v>4953</v>
      </c>
      <c r="C2002" t="s">
        <v>31</v>
      </c>
      <c r="D2002" t="s">
        <v>69</v>
      </c>
      <c r="E2002" t="s">
        <v>4954</v>
      </c>
      <c r="F2002" t="s">
        <v>4955</v>
      </c>
      <c r="G2002" t="s">
        <v>4956</v>
      </c>
      <c r="H2002" s="3">
        <v>1117.3699999999999</v>
      </c>
      <c r="I2002">
        <v>873</v>
      </c>
      <c r="J2002">
        <v>1</v>
      </c>
      <c r="L2002" s="4">
        <v>0.38423584928541399</v>
      </c>
      <c r="M2002" s="4">
        <v>0.61576415071458601</v>
      </c>
      <c r="N2002">
        <v>0</v>
      </c>
    </row>
    <row r="2003" spans="1:14" x14ac:dyDescent="0.25">
      <c r="A2003" s="2">
        <v>23703895</v>
      </c>
      <c r="C2003" t="s">
        <v>0</v>
      </c>
      <c r="D2003" t="s">
        <v>86</v>
      </c>
      <c r="E2003" t="s">
        <v>4957</v>
      </c>
      <c r="F2003" t="s">
        <v>4958</v>
      </c>
      <c r="G2003" t="s">
        <v>4959</v>
      </c>
      <c r="H2003" s="3">
        <v>791.19</v>
      </c>
      <c r="I2003">
        <v>361</v>
      </c>
      <c r="J2003">
        <v>0</v>
      </c>
      <c r="L2003" s="4">
        <v>0.57423644436870402</v>
      </c>
      <c r="M2003" s="4">
        <v>0.42576355563129598</v>
      </c>
      <c r="N2003">
        <v>0</v>
      </c>
    </row>
    <row r="2004" spans="1:14" x14ac:dyDescent="0.25">
      <c r="A2004" s="2"/>
      <c r="B2004" t="s">
        <v>4960</v>
      </c>
      <c r="C2004" t="s">
        <v>16</v>
      </c>
      <c r="D2004" t="s">
        <v>213</v>
      </c>
      <c r="E2004" t="s">
        <v>4961</v>
      </c>
      <c r="F2004" t="s">
        <v>4962</v>
      </c>
      <c r="G2004" t="s">
        <v>4963</v>
      </c>
      <c r="H2004" s="3">
        <v>2340.5500000000002</v>
      </c>
      <c r="I2004">
        <v>689</v>
      </c>
      <c r="J2004">
        <v>1</v>
      </c>
      <c r="K2004">
        <v>34</v>
      </c>
      <c r="L2004" s="4">
        <v>0.98447671139995097</v>
      </c>
      <c r="M2004" s="4">
        <v>1.5523288600049199E-2</v>
      </c>
      <c r="N2004">
        <v>0</v>
      </c>
    </row>
    <row r="2005" spans="1:14" x14ac:dyDescent="0.25">
      <c r="A2005" s="2"/>
      <c r="B2005" t="s">
        <v>4964</v>
      </c>
      <c r="C2005" t="s">
        <v>16</v>
      </c>
      <c r="D2005" t="s">
        <v>17</v>
      </c>
      <c r="E2005" t="s">
        <v>4965</v>
      </c>
      <c r="F2005" t="s">
        <v>4962</v>
      </c>
      <c r="G2005" t="s">
        <v>4966</v>
      </c>
      <c r="H2005" s="3">
        <v>2215.7600000000002</v>
      </c>
      <c r="I2005">
        <v>975</v>
      </c>
      <c r="J2005">
        <v>0</v>
      </c>
      <c r="K2005">
        <v>4</v>
      </c>
      <c r="L2005" s="4">
        <v>0.275195231047759</v>
      </c>
      <c r="M2005" s="4">
        <v>0.724804768952241</v>
      </c>
      <c r="N2005">
        <v>0</v>
      </c>
    </row>
    <row r="2006" spans="1:14" x14ac:dyDescent="0.25">
      <c r="A2006" s="2"/>
      <c r="B2006" t="s">
        <v>4967</v>
      </c>
      <c r="C2006" t="s">
        <v>16</v>
      </c>
      <c r="D2006" t="s">
        <v>86</v>
      </c>
      <c r="E2006" t="s">
        <v>4968</v>
      </c>
      <c r="G2006" t="s">
        <v>4969</v>
      </c>
      <c r="H2006" s="3">
        <v>1287.75</v>
      </c>
      <c r="I2006">
        <v>616</v>
      </c>
      <c r="J2006">
        <v>1</v>
      </c>
      <c r="L2006" s="4">
        <v>5.0576877694856998E-2</v>
      </c>
      <c r="M2006" s="4">
        <v>0.94942312230514303</v>
      </c>
      <c r="N2006">
        <v>0</v>
      </c>
    </row>
    <row r="2007" spans="1:14" x14ac:dyDescent="0.25">
      <c r="A2007" s="2"/>
      <c r="C2007" t="s">
        <v>28</v>
      </c>
      <c r="D2007" t="s">
        <v>86</v>
      </c>
      <c r="E2007" t="s">
        <v>4968</v>
      </c>
      <c r="G2007" t="s">
        <v>4970</v>
      </c>
      <c r="H2007" s="3">
        <v>1826</v>
      </c>
      <c r="J2007">
        <v>0</v>
      </c>
      <c r="K2007">
        <v>45</v>
      </c>
      <c r="L2007" s="4">
        <v>0.295343192760329</v>
      </c>
      <c r="M2007" s="4">
        <v>0.70465680723967095</v>
      </c>
      <c r="N2007">
        <v>0</v>
      </c>
    </row>
    <row r="2008" spans="1:14" x14ac:dyDescent="0.25">
      <c r="A2008" s="2"/>
      <c r="B2008" t="s">
        <v>4971</v>
      </c>
      <c r="C2008" t="s">
        <v>16</v>
      </c>
      <c r="D2008" t="s">
        <v>86</v>
      </c>
      <c r="E2008" t="s">
        <v>4968</v>
      </c>
      <c r="G2008" t="s">
        <v>4972</v>
      </c>
      <c r="H2008" s="3">
        <v>1533.71</v>
      </c>
      <c r="I2008">
        <v>90</v>
      </c>
      <c r="J2008">
        <v>0</v>
      </c>
      <c r="K2008">
        <v>23</v>
      </c>
      <c r="L2008" s="4">
        <v>0.62982550556654504</v>
      </c>
      <c r="M2008" s="4">
        <v>0.37017449443345501</v>
      </c>
      <c r="N2008">
        <v>0</v>
      </c>
    </row>
    <row r="2009" spans="1:14" x14ac:dyDescent="0.25">
      <c r="A2009" s="2"/>
      <c r="B2009" t="s">
        <v>4973</v>
      </c>
      <c r="C2009" t="s">
        <v>16</v>
      </c>
      <c r="D2009" t="s">
        <v>86</v>
      </c>
      <c r="E2009" t="s">
        <v>4968</v>
      </c>
      <c r="G2009" t="s">
        <v>4974</v>
      </c>
      <c r="H2009" s="3">
        <v>1551.49</v>
      </c>
      <c r="I2009">
        <v>829</v>
      </c>
      <c r="J2009">
        <v>0</v>
      </c>
      <c r="K2009">
        <v>45</v>
      </c>
      <c r="L2009" s="4">
        <v>0.90888610209488496</v>
      </c>
      <c r="M2009" s="4">
        <v>9.1113897905115399E-2</v>
      </c>
      <c r="N2009">
        <v>0</v>
      </c>
    </row>
    <row r="2010" spans="1:14" x14ac:dyDescent="0.25">
      <c r="A2010" s="2"/>
      <c r="B2010" t="s">
        <v>4975</v>
      </c>
      <c r="C2010" t="s">
        <v>16</v>
      </c>
      <c r="D2010" t="s">
        <v>343</v>
      </c>
      <c r="E2010" t="s">
        <v>4976</v>
      </c>
      <c r="F2010" t="s">
        <v>4977</v>
      </c>
      <c r="G2010" t="s">
        <v>4978</v>
      </c>
      <c r="H2010" s="3">
        <v>1371.54</v>
      </c>
      <c r="I2010">
        <v>217</v>
      </c>
      <c r="J2010">
        <v>1</v>
      </c>
      <c r="K2010">
        <v>20</v>
      </c>
      <c r="L2010" s="4">
        <v>0.75604179043418995</v>
      </c>
      <c r="M2010" s="4">
        <v>0.24395820956580999</v>
      </c>
      <c r="N2010">
        <v>0</v>
      </c>
    </row>
    <row r="2011" spans="1:14" x14ac:dyDescent="0.25">
      <c r="A2011" s="2"/>
      <c r="B2011" t="s">
        <v>4979</v>
      </c>
      <c r="C2011" t="s">
        <v>16</v>
      </c>
      <c r="D2011" t="s">
        <v>17</v>
      </c>
      <c r="E2011" t="s">
        <v>4980</v>
      </c>
      <c r="F2011" t="s">
        <v>4981</v>
      </c>
      <c r="G2011" t="s">
        <v>4982</v>
      </c>
      <c r="H2011" s="3">
        <v>3628.83</v>
      </c>
      <c r="I2011">
        <v>980</v>
      </c>
      <c r="J2011">
        <v>0</v>
      </c>
      <c r="K2011">
        <v>38</v>
      </c>
      <c r="L2011" s="4">
        <v>0.66705212707376904</v>
      </c>
      <c r="M2011" s="4">
        <v>0.33294787292623101</v>
      </c>
      <c r="N2011">
        <v>0</v>
      </c>
    </row>
    <row r="2012" spans="1:14" x14ac:dyDescent="0.25">
      <c r="A2012" s="2">
        <v>23623732</v>
      </c>
      <c r="B2012" t="s">
        <v>4983</v>
      </c>
      <c r="C2012" t="s">
        <v>31</v>
      </c>
      <c r="D2012" t="s">
        <v>17</v>
      </c>
      <c r="E2012" t="s">
        <v>4980</v>
      </c>
      <c r="F2012" t="s">
        <v>4981</v>
      </c>
      <c r="G2012" t="s">
        <v>4984</v>
      </c>
      <c r="H2012" s="3">
        <v>3748</v>
      </c>
      <c r="J2012">
        <v>0</v>
      </c>
      <c r="K2012">
        <v>24</v>
      </c>
      <c r="L2012" s="4">
        <v>0.96780519987411395</v>
      </c>
      <c r="M2012" s="4">
        <v>3.21948001258857E-2</v>
      </c>
      <c r="N2012">
        <v>0</v>
      </c>
    </row>
    <row r="2013" spans="1:14" x14ac:dyDescent="0.25">
      <c r="A2013" s="2"/>
      <c r="B2013" t="s">
        <v>4985</v>
      </c>
      <c r="C2013" t="s">
        <v>16</v>
      </c>
      <c r="D2013" t="s">
        <v>17</v>
      </c>
      <c r="E2013" t="s">
        <v>4980</v>
      </c>
      <c r="F2013" t="s">
        <v>4981</v>
      </c>
      <c r="G2013" t="s">
        <v>4986</v>
      </c>
      <c r="H2013" s="3">
        <v>3832.72</v>
      </c>
      <c r="I2013">
        <v>539</v>
      </c>
      <c r="J2013">
        <v>1</v>
      </c>
      <c r="K2013">
        <v>41</v>
      </c>
      <c r="L2013" s="4">
        <v>0.82785263957465605</v>
      </c>
      <c r="M2013" s="4">
        <v>0.17214736042534401</v>
      </c>
      <c r="N2013">
        <v>0</v>
      </c>
    </row>
    <row r="2014" spans="1:14" x14ac:dyDescent="0.25">
      <c r="A2014" s="2"/>
      <c r="B2014" t="s">
        <v>4987</v>
      </c>
      <c r="C2014" t="s">
        <v>16</v>
      </c>
      <c r="D2014" t="s">
        <v>17</v>
      </c>
      <c r="E2014" t="s">
        <v>4980</v>
      </c>
      <c r="F2014" t="s">
        <v>4981</v>
      </c>
      <c r="G2014" t="s">
        <v>4988</v>
      </c>
      <c r="H2014" s="3">
        <v>3899.19</v>
      </c>
      <c r="I2014">
        <v>166</v>
      </c>
      <c r="J2014">
        <v>0</v>
      </c>
      <c r="K2014">
        <v>38</v>
      </c>
      <c r="L2014" s="4">
        <v>0.29249241093426298</v>
      </c>
      <c r="M2014" s="4">
        <v>0.70750758906573696</v>
      </c>
      <c r="N2014">
        <v>0</v>
      </c>
    </row>
    <row r="2015" spans="1:14" x14ac:dyDescent="0.25">
      <c r="A2015" s="2"/>
      <c r="B2015" t="s">
        <v>4989</v>
      </c>
      <c r="C2015" t="s">
        <v>16</v>
      </c>
      <c r="D2015" t="s">
        <v>17</v>
      </c>
      <c r="E2015" t="s">
        <v>4980</v>
      </c>
      <c r="F2015" t="s">
        <v>4981</v>
      </c>
      <c r="G2015" t="s">
        <v>4990</v>
      </c>
      <c r="H2015" s="3">
        <v>4072.42</v>
      </c>
      <c r="I2015">
        <v>806</v>
      </c>
      <c r="J2015">
        <v>1</v>
      </c>
      <c r="K2015">
        <v>36</v>
      </c>
      <c r="L2015" s="4">
        <v>7.9524075490521096E-2</v>
      </c>
      <c r="M2015" s="4">
        <v>0.92047592450947902</v>
      </c>
      <c r="N2015">
        <v>0</v>
      </c>
    </row>
    <row r="2016" spans="1:14" x14ac:dyDescent="0.25">
      <c r="A2016" s="2"/>
      <c r="B2016" t="s">
        <v>4991</v>
      </c>
      <c r="C2016" t="s">
        <v>16</v>
      </c>
      <c r="D2016" t="s">
        <v>17</v>
      </c>
      <c r="E2016" t="s">
        <v>4980</v>
      </c>
      <c r="F2016" t="s">
        <v>4981</v>
      </c>
      <c r="G2016" t="s">
        <v>4992</v>
      </c>
      <c r="H2016" s="3">
        <v>4095.97</v>
      </c>
      <c r="I2016">
        <v>169</v>
      </c>
      <c r="J2016">
        <v>1</v>
      </c>
      <c r="K2016">
        <v>40</v>
      </c>
      <c r="L2016" s="4">
        <v>0.28285435895597499</v>
      </c>
      <c r="M2016" s="4">
        <v>0.71714564104402501</v>
      </c>
      <c r="N2016">
        <v>0</v>
      </c>
    </row>
    <row r="2017" spans="1:14" x14ac:dyDescent="0.25">
      <c r="A2017" s="2"/>
      <c r="B2017" t="s">
        <v>4993</v>
      </c>
      <c r="C2017" t="s">
        <v>16</v>
      </c>
      <c r="D2017" t="s">
        <v>17</v>
      </c>
      <c r="E2017" t="s">
        <v>4980</v>
      </c>
      <c r="F2017" t="s">
        <v>4981</v>
      </c>
      <c r="G2017" t="s">
        <v>4994</v>
      </c>
      <c r="H2017" s="3">
        <v>3895.64</v>
      </c>
      <c r="I2017">
        <v>484</v>
      </c>
      <c r="J2017">
        <v>0</v>
      </c>
      <c r="K2017">
        <v>7</v>
      </c>
      <c r="L2017" s="4">
        <v>0.35291751336634702</v>
      </c>
      <c r="M2017" s="4">
        <v>0.64708248663365298</v>
      </c>
      <c r="N2017">
        <v>0</v>
      </c>
    </row>
    <row r="2018" spans="1:14" x14ac:dyDescent="0.25">
      <c r="A2018" s="2"/>
      <c r="B2018" t="s">
        <v>4995</v>
      </c>
      <c r="C2018" t="s">
        <v>16</v>
      </c>
      <c r="D2018" t="s">
        <v>17</v>
      </c>
      <c r="E2018" t="s">
        <v>4996</v>
      </c>
      <c r="F2018" t="s">
        <v>4997</v>
      </c>
      <c r="G2018" t="s">
        <v>4998</v>
      </c>
      <c r="H2018" s="3">
        <v>2467.88</v>
      </c>
      <c r="I2018">
        <v>371</v>
      </c>
      <c r="J2018">
        <v>1</v>
      </c>
      <c r="K2018">
        <v>16</v>
      </c>
      <c r="L2018" s="4">
        <v>0.258655738370693</v>
      </c>
      <c r="M2018" s="4">
        <v>0.741344261629307</v>
      </c>
      <c r="N2018">
        <v>0</v>
      </c>
    </row>
    <row r="2019" spans="1:14" x14ac:dyDescent="0.25">
      <c r="A2019" s="2"/>
      <c r="C2019" t="s">
        <v>28</v>
      </c>
      <c r="D2019" t="s">
        <v>17</v>
      </c>
      <c r="E2019" t="s">
        <v>4996</v>
      </c>
      <c r="F2019" t="s">
        <v>4999</v>
      </c>
      <c r="G2019" t="s">
        <v>5000</v>
      </c>
      <c r="H2019" s="3">
        <v>2395</v>
      </c>
      <c r="I2019">
        <v>224</v>
      </c>
      <c r="L2019" s="4">
        <v>0.94626394081465404</v>
      </c>
      <c r="M2019" s="4">
        <v>5.3736059185346498E-2</v>
      </c>
      <c r="N2019">
        <v>0</v>
      </c>
    </row>
    <row r="2020" spans="1:14" x14ac:dyDescent="0.25">
      <c r="A2020" s="2">
        <v>23649934</v>
      </c>
      <c r="C2020" t="s">
        <v>0</v>
      </c>
      <c r="D2020" t="s">
        <v>86</v>
      </c>
      <c r="E2020" t="s">
        <v>5001</v>
      </c>
      <c r="F2020" t="s">
        <v>5002</v>
      </c>
      <c r="G2020" t="s">
        <v>5003</v>
      </c>
      <c r="H2020" s="3">
        <v>1961.68</v>
      </c>
      <c r="I2020">
        <v>455</v>
      </c>
      <c r="J2020">
        <v>0</v>
      </c>
      <c r="K2020">
        <v>30</v>
      </c>
      <c r="L2020" s="4">
        <v>0.20588171656104201</v>
      </c>
      <c r="M2020" s="4">
        <v>0.79411828343895796</v>
      </c>
      <c r="N2020">
        <v>0</v>
      </c>
    </row>
    <row r="2021" spans="1:14" x14ac:dyDescent="0.25">
      <c r="A2021" s="2"/>
      <c r="B2021" t="s">
        <v>5004</v>
      </c>
      <c r="C2021" t="s">
        <v>16</v>
      </c>
      <c r="D2021" t="s">
        <v>17</v>
      </c>
      <c r="E2021" t="s">
        <v>5005</v>
      </c>
      <c r="F2021" t="s">
        <v>5006</v>
      </c>
      <c r="G2021" t="s">
        <v>5007</v>
      </c>
      <c r="H2021" s="3">
        <v>1457.41</v>
      </c>
      <c r="I2021">
        <v>288</v>
      </c>
      <c r="J2021">
        <v>0</v>
      </c>
      <c r="K2021">
        <v>5</v>
      </c>
      <c r="L2021" s="4">
        <v>0.32730676599846298</v>
      </c>
      <c r="M2021" s="4">
        <v>0.67269323400153702</v>
      </c>
      <c r="N2021">
        <v>0</v>
      </c>
    </row>
    <row r="2022" spans="1:14" x14ac:dyDescent="0.25">
      <c r="A2022" s="2">
        <v>23375655</v>
      </c>
      <c r="B2022" t="s">
        <v>5008</v>
      </c>
      <c r="C2022" t="s">
        <v>31</v>
      </c>
      <c r="D2022" t="s">
        <v>17</v>
      </c>
      <c r="E2022" t="s">
        <v>214</v>
      </c>
      <c r="F2022" t="s">
        <v>5009</v>
      </c>
      <c r="G2022" t="s">
        <v>5010</v>
      </c>
      <c r="H2022" s="3">
        <v>2433.9</v>
      </c>
      <c r="J2022">
        <v>0</v>
      </c>
      <c r="K2022">
        <v>19</v>
      </c>
      <c r="L2022" s="4">
        <v>0.63140542066713501</v>
      </c>
      <c r="M2022" s="4">
        <v>0.36859457933286499</v>
      </c>
      <c r="N2022">
        <v>0</v>
      </c>
    </row>
    <row r="2023" spans="1:14" x14ac:dyDescent="0.25">
      <c r="A2023" s="2"/>
      <c r="B2023" t="s">
        <v>5011</v>
      </c>
      <c r="C2023" t="s">
        <v>16</v>
      </c>
      <c r="D2023" t="s">
        <v>17</v>
      </c>
      <c r="E2023" t="s">
        <v>214</v>
      </c>
      <c r="F2023" t="s">
        <v>5012</v>
      </c>
      <c r="G2023" t="s">
        <v>5013</v>
      </c>
      <c r="H2023" s="3">
        <v>2181.09</v>
      </c>
      <c r="I2023">
        <v>26</v>
      </c>
      <c r="J2023">
        <v>0</v>
      </c>
      <c r="K2023">
        <v>50</v>
      </c>
      <c r="L2023" s="4">
        <v>0.14736660220337799</v>
      </c>
      <c r="M2023" s="4">
        <v>0.85263339779662195</v>
      </c>
      <c r="N2023">
        <v>0</v>
      </c>
    </row>
    <row r="2024" spans="1:14" x14ac:dyDescent="0.25">
      <c r="A2024" s="2"/>
      <c r="B2024" t="s">
        <v>5014</v>
      </c>
      <c r="C2024" t="s">
        <v>16</v>
      </c>
      <c r="D2024" t="s">
        <v>17</v>
      </c>
      <c r="E2024" t="s">
        <v>214</v>
      </c>
      <c r="F2024" t="s">
        <v>5012</v>
      </c>
      <c r="G2024" t="s">
        <v>5015</v>
      </c>
      <c r="H2024" s="3">
        <v>1773.74</v>
      </c>
      <c r="I2024">
        <v>644</v>
      </c>
      <c r="J2024">
        <v>1</v>
      </c>
      <c r="K2024">
        <v>7</v>
      </c>
      <c r="L2024" s="4">
        <v>0.36290479977396101</v>
      </c>
      <c r="M2024" s="4">
        <v>0.63709520022603905</v>
      </c>
      <c r="N2024">
        <v>0</v>
      </c>
    </row>
    <row r="2025" spans="1:14" x14ac:dyDescent="0.25">
      <c r="A2025" s="2"/>
      <c r="B2025" t="s">
        <v>5016</v>
      </c>
      <c r="C2025" t="s">
        <v>16</v>
      </c>
      <c r="D2025" t="s">
        <v>17</v>
      </c>
      <c r="E2025" t="s">
        <v>214</v>
      </c>
      <c r="F2025" t="s">
        <v>5012</v>
      </c>
      <c r="G2025" t="s">
        <v>5017</v>
      </c>
      <c r="H2025" s="3">
        <v>2080.69</v>
      </c>
      <c r="I2025">
        <v>185</v>
      </c>
      <c r="J2025">
        <v>1</v>
      </c>
      <c r="K2025">
        <v>4</v>
      </c>
      <c r="L2025" s="4">
        <v>0.50061061156481201</v>
      </c>
      <c r="M2025" s="4">
        <v>0.49938938843518799</v>
      </c>
      <c r="N2025">
        <v>0</v>
      </c>
    </row>
    <row r="2026" spans="1:14" x14ac:dyDescent="0.25">
      <c r="A2026" s="2"/>
      <c r="B2026" t="s">
        <v>5018</v>
      </c>
      <c r="C2026" t="s">
        <v>16</v>
      </c>
      <c r="D2026" t="s">
        <v>17</v>
      </c>
      <c r="E2026" t="s">
        <v>214</v>
      </c>
      <c r="F2026" t="s">
        <v>5012</v>
      </c>
      <c r="G2026" t="s">
        <v>5019</v>
      </c>
      <c r="H2026" s="3">
        <v>3714.29</v>
      </c>
      <c r="I2026">
        <v>524</v>
      </c>
      <c r="J2026">
        <v>0</v>
      </c>
      <c r="L2026" s="4">
        <v>0.31762544316866698</v>
      </c>
      <c r="M2026" s="4">
        <v>0.68237455683133297</v>
      </c>
      <c r="N2026">
        <v>0</v>
      </c>
    </row>
    <row r="2027" spans="1:14" x14ac:dyDescent="0.25">
      <c r="A2027" s="2">
        <v>23282150</v>
      </c>
      <c r="B2027" t="s">
        <v>5020</v>
      </c>
      <c r="C2027" t="s">
        <v>31</v>
      </c>
      <c r="D2027" t="s">
        <v>378</v>
      </c>
      <c r="E2027" t="s">
        <v>424</v>
      </c>
      <c r="F2027" t="s">
        <v>5021</v>
      </c>
      <c r="G2027" t="s">
        <v>5022</v>
      </c>
      <c r="H2027" s="3">
        <v>1800</v>
      </c>
      <c r="I2027">
        <v>210</v>
      </c>
      <c r="J2027">
        <v>0</v>
      </c>
      <c r="K2027">
        <v>49</v>
      </c>
      <c r="L2027" s="4">
        <v>0.61803208533828902</v>
      </c>
      <c r="M2027" s="4">
        <v>0.38196791466171098</v>
      </c>
      <c r="N2027">
        <v>0</v>
      </c>
    </row>
    <row r="2028" spans="1:14" x14ac:dyDescent="0.25">
      <c r="A2028" s="2"/>
      <c r="B2028" t="s">
        <v>5023</v>
      </c>
      <c r="C2028" t="s">
        <v>16</v>
      </c>
      <c r="D2028" t="s">
        <v>378</v>
      </c>
      <c r="E2028" t="s">
        <v>424</v>
      </c>
      <c r="F2028" t="s">
        <v>5021</v>
      </c>
      <c r="G2028" t="s">
        <v>5024</v>
      </c>
      <c r="H2028" s="3">
        <v>1800</v>
      </c>
      <c r="I2028">
        <v>205</v>
      </c>
      <c r="J2028">
        <v>1</v>
      </c>
      <c r="K2028">
        <v>1</v>
      </c>
      <c r="L2028" s="4">
        <v>0.87227614924659103</v>
      </c>
      <c r="M2028" s="4">
        <v>0.127723850753409</v>
      </c>
      <c r="N2028">
        <v>0</v>
      </c>
    </row>
    <row r="2029" spans="1:14" x14ac:dyDescent="0.25">
      <c r="A2029" s="2"/>
      <c r="B2029" t="s">
        <v>5025</v>
      </c>
      <c r="C2029" t="s">
        <v>16</v>
      </c>
      <c r="D2029" t="s">
        <v>626</v>
      </c>
      <c r="E2029" t="s">
        <v>914</v>
      </c>
      <c r="F2029" t="s">
        <v>5026</v>
      </c>
      <c r="G2029" t="s">
        <v>5027</v>
      </c>
      <c r="H2029" s="3">
        <v>3000</v>
      </c>
      <c r="I2029">
        <v>509</v>
      </c>
      <c r="J2029">
        <v>0</v>
      </c>
      <c r="K2029">
        <v>10</v>
      </c>
      <c r="L2029" s="4">
        <v>0.645407091624709</v>
      </c>
      <c r="M2029" s="4">
        <v>0.354592908375291</v>
      </c>
      <c r="N2029">
        <v>0</v>
      </c>
    </row>
    <row r="2030" spans="1:14" x14ac:dyDescent="0.25">
      <c r="A2030" s="2"/>
      <c r="C2030" t="s">
        <v>28</v>
      </c>
      <c r="D2030" t="s">
        <v>626</v>
      </c>
      <c r="E2030" t="s">
        <v>914</v>
      </c>
      <c r="F2030" t="s">
        <v>5026</v>
      </c>
      <c r="G2030" t="s">
        <v>5028</v>
      </c>
      <c r="H2030" s="3">
        <v>3000</v>
      </c>
      <c r="I2030">
        <v>667</v>
      </c>
      <c r="J2030">
        <v>0</v>
      </c>
      <c r="K2030">
        <v>25</v>
      </c>
      <c r="L2030" s="4">
        <v>0.62756435529267995</v>
      </c>
      <c r="M2030" s="4">
        <v>0.37243564470732099</v>
      </c>
      <c r="N2030">
        <v>0</v>
      </c>
    </row>
    <row r="2031" spans="1:14" x14ac:dyDescent="0.25">
      <c r="A2031" s="2"/>
      <c r="B2031" t="s">
        <v>5029</v>
      </c>
      <c r="C2031" t="s">
        <v>16</v>
      </c>
      <c r="D2031" t="s">
        <v>607</v>
      </c>
      <c r="E2031" t="s">
        <v>1464</v>
      </c>
      <c r="F2031" t="s">
        <v>5030</v>
      </c>
      <c r="G2031" t="s">
        <v>5031</v>
      </c>
      <c r="H2031" s="3">
        <v>1560</v>
      </c>
      <c r="I2031">
        <v>65</v>
      </c>
      <c r="J2031">
        <v>0</v>
      </c>
      <c r="K2031">
        <v>41</v>
      </c>
      <c r="L2031" s="4">
        <v>0.73104692818037498</v>
      </c>
      <c r="M2031" s="4">
        <v>0.26895307181962502</v>
      </c>
      <c r="N2031">
        <v>0</v>
      </c>
    </row>
    <row r="2032" spans="1:14" x14ac:dyDescent="0.25">
      <c r="A2032" s="2">
        <v>24076655</v>
      </c>
      <c r="B2032" t="s">
        <v>5032</v>
      </c>
      <c r="C2032" t="s">
        <v>31</v>
      </c>
      <c r="D2032" t="s">
        <v>607</v>
      </c>
      <c r="E2032" t="s">
        <v>1464</v>
      </c>
      <c r="F2032" t="s">
        <v>5030</v>
      </c>
      <c r="G2032" t="s">
        <v>5033</v>
      </c>
      <c r="H2032" s="3">
        <v>3120</v>
      </c>
      <c r="I2032">
        <v>837</v>
      </c>
      <c r="J2032">
        <v>1</v>
      </c>
      <c r="K2032">
        <v>23</v>
      </c>
      <c r="L2032" s="4">
        <v>0.55848951938316904</v>
      </c>
      <c r="M2032" s="4">
        <v>0.44151048061683101</v>
      </c>
      <c r="N2032">
        <v>0</v>
      </c>
    </row>
    <row r="2033" spans="1:14" x14ac:dyDescent="0.25">
      <c r="A2033" s="2"/>
      <c r="B2033" t="s">
        <v>5034</v>
      </c>
      <c r="C2033" t="s">
        <v>16</v>
      </c>
      <c r="D2033" t="s">
        <v>86</v>
      </c>
      <c r="E2033" t="s">
        <v>1640</v>
      </c>
      <c r="F2033" t="s">
        <v>5035</v>
      </c>
      <c r="G2033" t="s">
        <v>5036</v>
      </c>
      <c r="H2033" s="3">
        <v>1982.35</v>
      </c>
      <c r="I2033">
        <v>584</v>
      </c>
      <c r="J2033">
        <v>0</v>
      </c>
      <c r="L2033" s="4">
        <v>8.4392473564055603E-2</v>
      </c>
      <c r="M2033" s="4">
        <v>0.91560752643594501</v>
      </c>
      <c r="N2033">
        <v>0</v>
      </c>
    </row>
    <row r="2034" spans="1:14" x14ac:dyDescent="0.25">
      <c r="A2034" s="2"/>
      <c r="C2034" t="s">
        <v>28</v>
      </c>
      <c r="D2034" t="s">
        <v>1722</v>
      </c>
      <c r="E2034" t="s">
        <v>1723</v>
      </c>
      <c r="F2034" t="s">
        <v>5021</v>
      </c>
      <c r="G2034" t="s">
        <v>5037</v>
      </c>
      <c r="H2034" s="3">
        <v>824.16</v>
      </c>
      <c r="I2034">
        <v>652</v>
      </c>
      <c r="J2034">
        <v>1</v>
      </c>
      <c r="K2034">
        <v>4</v>
      </c>
      <c r="L2034" s="4">
        <v>0.518824766833754</v>
      </c>
      <c r="M2034" s="4">
        <v>0.481175233166246</v>
      </c>
      <c r="N2034">
        <v>0</v>
      </c>
    </row>
    <row r="2035" spans="1:14" x14ac:dyDescent="0.25">
      <c r="A2035" s="2">
        <v>23371065</v>
      </c>
      <c r="B2035" t="s">
        <v>5038</v>
      </c>
      <c r="C2035" t="s">
        <v>31</v>
      </c>
      <c r="D2035" t="s">
        <v>1722</v>
      </c>
      <c r="E2035" t="s">
        <v>1723</v>
      </c>
      <c r="F2035" t="s">
        <v>5021</v>
      </c>
      <c r="G2035" t="s">
        <v>5039</v>
      </c>
      <c r="H2035" s="3">
        <v>1652.9</v>
      </c>
      <c r="I2035">
        <v>668</v>
      </c>
      <c r="J2035">
        <v>1</v>
      </c>
      <c r="K2035">
        <v>44</v>
      </c>
      <c r="L2035" s="4">
        <v>0.56091206676568495</v>
      </c>
      <c r="M2035" s="4">
        <v>0.439087933234316</v>
      </c>
      <c r="N2035">
        <v>0</v>
      </c>
    </row>
    <row r="2036" spans="1:14" x14ac:dyDescent="0.25">
      <c r="A2036" s="2"/>
      <c r="B2036" t="s">
        <v>5040</v>
      </c>
      <c r="C2036" t="s">
        <v>16</v>
      </c>
      <c r="D2036" t="s">
        <v>1722</v>
      </c>
      <c r="E2036" t="s">
        <v>1723</v>
      </c>
      <c r="F2036" t="s">
        <v>5021</v>
      </c>
      <c r="G2036" t="s">
        <v>5041</v>
      </c>
      <c r="H2036" s="3">
        <v>1578.93</v>
      </c>
      <c r="J2036">
        <v>0</v>
      </c>
      <c r="K2036">
        <v>6</v>
      </c>
      <c r="L2036" s="4">
        <v>0.23154323860074799</v>
      </c>
      <c r="M2036" s="4">
        <v>0.76845676139925201</v>
      </c>
      <c r="N2036">
        <v>0</v>
      </c>
    </row>
    <row r="2037" spans="1:14" x14ac:dyDescent="0.25">
      <c r="A2037" s="2"/>
      <c r="B2037" t="s">
        <v>5042</v>
      </c>
      <c r="C2037" t="s">
        <v>16</v>
      </c>
      <c r="D2037" t="s">
        <v>1722</v>
      </c>
      <c r="E2037" t="s">
        <v>1723</v>
      </c>
      <c r="F2037" t="s">
        <v>5021</v>
      </c>
      <c r="G2037" t="s">
        <v>5043</v>
      </c>
      <c r="H2037" s="3">
        <v>1670.77</v>
      </c>
      <c r="I2037">
        <v>219</v>
      </c>
      <c r="J2037">
        <v>1</v>
      </c>
      <c r="K2037">
        <v>41</v>
      </c>
      <c r="L2037" s="4">
        <v>6.0716212101175497E-2</v>
      </c>
      <c r="M2037" s="4">
        <v>0.93928378789882505</v>
      </c>
      <c r="N2037">
        <v>0</v>
      </c>
    </row>
    <row r="2038" spans="1:14" x14ac:dyDescent="0.25">
      <c r="A2038" s="2">
        <v>23253866</v>
      </c>
      <c r="C2038" t="s">
        <v>0</v>
      </c>
      <c r="D2038" t="s">
        <v>86</v>
      </c>
      <c r="E2038" t="s">
        <v>1736</v>
      </c>
      <c r="F2038" t="s">
        <v>5021</v>
      </c>
      <c r="G2038" t="s">
        <v>5044</v>
      </c>
      <c r="H2038" s="3">
        <v>1879.96</v>
      </c>
      <c r="I2038">
        <v>729</v>
      </c>
      <c r="J2038">
        <v>0</v>
      </c>
      <c r="K2038">
        <v>47</v>
      </c>
      <c r="L2038" s="4">
        <v>0.68173363651311403</v>
      </c>
      <c r="M2038" s="4">
        <v>0.31826636348688597</v>
      </c>
      <c r="N2038">
        <v>0</v>
      </c>
    </row>
    <row r="2039" spans="1:14" x14ac:dyDescent="0.25">
      <c r="A2039" s="2"/>
      <c r="C2039" t="s">
        <v>28</v>
      </c>
      <c r="D2039" t="s">
        <v>133</v>
      </c>
      <c r="E2039" t="s">
        <v>5045</v>
      </c>
      <c r="F2039" t="s">
        <v>5046</v>
      </c>
      <c r="G2039" t="s">
        <v>5047</v>
      </c>
      <c r="H2039" s="3">
        <v>2316.79</v>
      </c>
      <c r="I2039">
        <v>71</v>
      </c>
      <c r="J2039">
        <v>0</v>
      </c>
      <c r="K2039">
        <v>46</v>
      </c>
      <c r="L2039" s="4">
        <v>0.70921683885186804</v>
      </c>
      <c r="M2039" s="4">
        <v>0.29078316114813202</v>
      </c>
      <c r="N2039">
        <v>0</v>
      </c>
    </row>
    <row r="2040" spans="1:14" x14ac:dyDescent="0.25">
      <c r="A2040" s="2"/>
      <c r="B2040" t="s">
        <v>5048</v>
      </c>
      <c r="C2040" t="s">
        <v>16</v>
      </c>
      <c r="D2040" t="s">
        <v>17</v>
      </c>
      <c r="E2040" t="s">
        <v>2265</v>
      </c>
      <c r="F2040" t="s">
        <v>5049</v>
      </c>
      <c r="G2040" t="s">
        <v>5050</v>
      </c>
      <c r="H2040" s="3">
        <v>2410.8200000000002</v>
      </c>
      <c r="I2040">
        <v>49</v>
      </c>
      <c r="J2040">
        <v>1</v>
      </c>
      <c r="K2040">
        <v>40</v>
      </c>
      <c r="L2040" s="4">
        <v>0.22763599856209099</v>
      </c>
      <c r="M2040" s="4">
        <v>0.77236400143790895</v>
      </c>
      <c r="N2040">
        <v>0</v>
      </c>
    </row>
    <row r="2041" spans="1:14" x14ac:dyDescent="0.25">
      <c r="A2041" s="2"/>
      <c r="B2041" t="s">
        <v>5051</v>
      </c>
      <c r="C2041" t="s">
        <v>16</v>
      </c>
      <c r="D2041" t="s">
        <v>69</v>
      </c>
      <c r="E2041" t="s">
        <v>5052</v>
      </c>
      <c r="F2041" t="s">
        <v>5053</v>
      </c>
      <c r="G2041" t="s">
        <v>5054</v>
      </c>
      <c r="H2041" s="3">
        <v>2247.34</v>
      </c>
      <c r="I2041">
        <v>804</v>
      </c>
      <c r="J2041">
        <v>0</v>
      </c>
      <c r="K2041">
        <v>11</v>
      </c>
      <c r="L2041" s="4">
        <v>0.57766415941468097</v>
      </c>
      <c r="M2041" s="4">
        <v>0.42233584058531898</v>
      </c>
      <c r="N2041">
        <v>0</v>
      </c>
    </row>
    <row r="2042" spans="1:14" x14ac:dyDescent="0.25">
      <c r="A2042" s="2"/>
      <c r="B2042" t="s">
        <v>5055</v>
      </c>
      <c r="C2042" t="s">
        <v>16</v>
      </c>
      <c r="D2042" t="s">
        <v>530</v>
      </c>
      <c r="E2042" t="s">
        <v>2338</v>
      </c>
      <c r="F2042" t="s">
        <v>5056</v>
      </c>
      <c r="G2042" t="s">
        <v>5057</v>
      </c>
      <c r="H2042" s="3">
        <v>1166.5999999999999</v>
      </c>
      <c r="I2042">
        <v>789</v>
      </c>
      <c r="J2042">
        <v>0</v>
      </c>
      <c r="K2042">
        <v>3</v>
      </c>
      <c r="L2042" s="4">
        <v>0.49291278543753902</v>
      </c>
      <c r="M2042" s="4">
        <v>0.50708721456246098</v>
      </c>
      <c r="N2042">
        <v>0</v>
      </c>
    </row>
    <row r="2043" spans="1:14" x14ac:dyDescent="0.25">
      <c r="A2043" s="2"/>
      <c r="B2043" t="s">
        <v>2573</v>
      </c>
      <c r="C2043" t="s">
        <v>16</v>
      </c>
      <c r="D2043" t="s">
        <v>530</v>
      </c>
      <c r="E2043" t="s">
        <v>2338</v>
      </c>
      <c r="F2043" t="s">
        <v>5056</v>
      </c>
      <c r="G2043" t="s">
        <v>5058</v>
      </c>
      <c r="H2043" s="3">
        <v>1281.1500000000001</v>
      </c>
      <c r="I2043">
        <v>59</v>
      </c>
      <c r="J2043">
        <v>0</v>
      </c>
      <c r="K2043">
        <v>9</v>
      </c>
      <c r="L2043" s="4">
        <v>0.60957481712793204</v>
      </c>
      <c r="M2043" s="4">
        <v>0.39042518287206801</v>
      </c>
      <c r="N2043">
        <v>0</v>
      </c>
    </row>
    <row r="2044" spans="1:14" x14ac:dyDescent="0.25">
      <c r="A2044" s="2"/>
      <c r="B2044" t="s">
        <v>5059</v>
      </c>
      <c r="C2044" t="s">
        <v>16</v>
      </c>
      <c r="D2044" t="s">
        <v>530</v>
      </c>
      <c r="E2044" t="s">
        <v>2338</v>
      </c>
      <c r="F2044" t="s">
        <v>5056</v>
      </c>
      <c r="G2044" t="s">
        <v>5060</v>
      </c>
      <c r="H2044" s="3">
        <v>1311.73</v>
      </c>
      <c r="I2044">
        <v>161</v>
      </c>
      <c r="J2044">
        <v>1</v>
      </c>
      <c r="K2044">
        <v>22</v>
      </c>
      <c r="L2044" s="4">
        <v>0.20792635283240901</v>
      </c>
      <c r="M2044" s="4">
        <v>0.79207364716759099</v>
      </c>
      <c r="N2044">
        <v>0</v>
      </c>
    </row>
    <row r="2045" spans="1:14" x14ac:dyDescent="0.25">
      <c r="A2045" s="2"/>
      <c r="B2045" t="s">
        <v>5061</v>
      </c>
      <c r="C2045" t="s">
        <v>16</v>
      </c>
      <c r="D2045" t="s">
        <v>530</v>
      </c>
      <c r="E2045" t="s">
        <v>2338</v>
      </c>
      <c r="F2045" t="s">
        <v>5056</v>
      </c>
      <c r="G2045" t="s">
        <v>5062</v>
      </c>
      <c r="H2045" s="3">
        <v>1324.57</v>
      </c>
      <c r="I2045">
        <v>700</v>
      </c>
      <c r="J2045">
        <v>0</v>
      </c>
      <c r="K2045">
        <v>30</v>
      </c>
      <c r="L2045" s="4">
        <v>0.25678267174458902</v>
      </c>
      <c r="M2045" s="4">
        <v>0.74321732825541098</v>
      </c>
      <c r="N2045">
        <v>0</v>
      </c>
    </row>
    <row r="2046" spans="1:14" x14ac:dyDescent="0.25">
      <c r="A2046" s="2"/>
      <c r="B2046" t="s">
        <v>5063</v>
      </c>
      <c r="C2046" t="s">
        <v>16</v>
      </c>
      <c r="D2046" t="s">
        <v>530</v>
      </c>
      <c r="E2046" t="s">
        <v>2338</v>
      </c>
      <c r="F2046" t="s">
        <v>5056</v>
      </c>
      <c r="G2046" t="s">
        <v>5064</v>
      </c>
      <c r="H2046" s="3">
        <v>1340.75</v>
      </c>
      <c r="I2046">
        <v>113</v>
      </c>
      <c r="J2046">
        <v>1</v>
      </c>
      <c r="K2046">
        <v>19</v>
      </c>
      <c r="L2046" s="4">
        <v>0.56766121269554703</v>
      </c>
      <c r="M2046" s="4">
        <v>0.43233878730445302</v>
      </c>
      <c r="N2046">
        <v>0</v>
      </c>
    </row>
    <row r="2047" spans="1:14" x14ac:dyDescent="0.25">
      <c r="A2047" s="2"/>
      <c r="B2047" t="s">
        <v>5065</v>
      </c>
      <c r="C2047" t="s">
        <v>16</v>
      </c>
      <c r="D2047" t="s">
        <v>530</v>
      </c>
      <c r="E2047" t="s">
        <v>2338</v>
      </c>
      <c r="F2047" t="s">
        <v>5056</v>
      </c>
      <c r="G2047" t="s">
        <v>5066</v>
      </c>
      <c r="H2047" s="3">
        <v>1518.46</v>
      </c>
      <c r="I2047">
        <v>734</v>
      </c>
      <c r="J2047">
        <v>1</v>
      </c>
      <c r="K2047">
        <v>28</v>
      </c>
      <c r="L2047" s="4">
        <v>0.73298072089836697</v>
      </c>
      <c r="M2047" s="4">
        <v>0.26701927910163298</v>
      </c>
      <c r="N2047">
        <v>0</v>
      </c>
    </row>
    <row r="2048" spans="1:14" x14ac:dyDescent="0.25">
      <c r="A2048" s="2">
        <v>23698002</v>
      </c>
      <c r="B2048" t="s">
        <v>5067</v>
      </c>
      <c r="C2048" t="s">
        <v>31</v>
      </c>
      <c r="D2048" t="s">
        <v>530</v>
      </c>
      <c r="E2048" t="s">
        <v>2338</v>
      </c>
      <c r="F2048" t="s">
        <v>5056</v>
      </c>
      <c r="G2048" t="s">
        <v>5068</v>
      </c>
      <c r="H2048" s="3">
        <v>1566.89</v>
      </c>
      <c r="I2048">
        <v>786</v>
      </c>
      <c r="J2048">
        <v>1</v>
      </c>
      <c r="L2048" s="4">
        <v>0.25044397664478302</v>
      </c>
      <c r="M2048" s="4">
        <v>0.74955602335521698</v>
      </c>
      <c r="N2048">
        <v>0</v>
      </c>
    </row>
    <row r="2049" spans="1:15" x14ac:dyDescent="0.25">
      <c r="A2049" s="2"/>
      <c r="B2049" t="s">
        <v>5069</v>
      </c>
      <c r="C2049" t="s">
        <v>16</v>
      </c>
      <c r="D2049" t="s">
        <v>2708</v>
      </c>
      <c r="E2049" t="s">
        <v>2709</v>
      </c>
      <c r="F2049" t="s">
        <v>5070</v>
      </c>
      <c r="G2049" t="s">
        <v>5071</v>
      </c>
      <c r="H2049" s="3">
        <v>797.88</v>
      </c>
      <c r="I2049">
        <v>443</v>
      </c>
      <c r="J2049">
        <v>1</v>
      </c>
      <c r="K2049">
        <v>22</v>
      </c>
      <c r="L2049" s="4">
        <v>0.70754583090518897</v>
      </c>
      <c r="M2049" s="4">
        <v>0.29245416909481098</v>
      </c>
      <c r="N2049">
        <v>0</v>
      </c>
    </row>
    <row r="2050" spans="1:15" x14ac:dyDescent="0.25">
      <c r="A2050" s="2"/>
      <c r="B2050" t="s">
        <v>5072</v>
      </c>
      <c r="C2050" t="s">
        <v>16</v>
      </c>
      <c r="D2050" t="s">
        <v>191</v>
      </c>
      <c r="E2050" t="s">
        <v>2365</v>
      </c>
      <c r="F2050" t="s">
        <v>5073</v>
      </c>
      <c r="G2050" t="s">
        <v>5074</v>
      </c>
      <c r="H2050" s="3">
        <v>2025.65</v>
      </c>
      <c r="I2050">
        <v>296</v>
      </c>
      <c r="J2050">
        <v>0</v>
      </c>
      <c r="K2050">
        <v>13</v>
      </c>
      <c r="L2050" s="4">
        <v>0.87948704622895602</v>
      </c>
      <c r="M2050" s="4">
        <v>0.120512953771044</v>
      </c>
      <c r="N2050">
        <v>0</v>
      </c>
    </row>
    <row r="2051" spans="1:15" x14ac:dyDescent="0.25">
      <c r="A2051" s="2">
        <v>23125445</v>
      </c>
      <c r="B2051" t="s">
        <v>5075</v>
      </c>
      <c r="C2051" t="s">
        <v>31</v>
      </c>
      <c r="D2051" t="s">
        <v>110</v>
      </c>
      <c r="E2051" t="s">
        <v>2371</v>
      </c>
      <c r="F2051" t="s">
        <v>5076</v>
      </c>
      <c r="G2051" t="s">
        <v>5077</v>
      </c>
      <c r="H2051" s="3">
        <v>2040</v>
      </c>
      <c r="I2051">
        <v>288</v>
      </c>
      <c r="J2051">
        <v>1</v>
      </c>
      <c r="K2051">
        <v>14</v>
      </c>
      <c r="L2051" s="4">
        <v>0.63442539288377298</v>
      </c>
      <c r="M2051" s="4">
        <v>0.36557460711622802</v>
      </c>
      <c r="N2051">
        <v>0</v>
      </c>
    </row>
    <row r="2052" spans="1:15" x14ac:dyDescent="0.25">
      <c r="A2052" s="2"/>
      <c r="B2052" t="s">
        <v>5078</v>
      </c>
      <c r="C2052" t="s">
        <v>16</v>
      </c>
      <c r="D2052" t="s">
        <v>607</v>
      </c>
      <c r="E2052" t="s">
        <v>2846</v>
      </c>
      <c r="F2052" t="s">
        <v>5079</v>
      </c>
      <c r="G2052" t="s">
        <v>5080</v>
      </c>
      <c r="H2052" s="3">
        <v>2520</v>
      </c>
      <c r="I2052">
        <v>234</v>
      </c>
      <c r="J2052">
        <v>1</v>
      </c>
      <c r="K2052">
        <v>45</v>
      </c>
      <c r="L2052" s="4">
        <v>6.01257384516152E-3</v>
      </c>
      <c r="M2052" s="4">
        <v>0.99398742615483904</v>
      </c>
      <c r="N2052">
        <v>0</v>
      </c>
    </row>
    <row r="2053" spans="1:15" x14ac:dyDescent="0.25">
      <c r="A2053" s="2">
        <v>23576705</v>
      </c>
      <c r="B2053" t="s">
        <v>5081</v>
      </c>
      <c r="C2053" t="s">
        <v>31</v>
      </c>
      <c r="D2053" t="s">
        <v>2483</v>
      </c>
      <c r="E2053" t="s">
        <v>2966</v>
      </c>
      <c r="F2053" t="s">
        <v>5082</v>
      </c>
      <c r="G2053" t="s">
        <v>5083</v>
      </c>
      <c r="H2053" s="3">
        <v>1276.5999999999999</v>
      </c>
      <c r="I2053">
        <v>182</v>
      </c>
      <c r="J2053">
        <v>0</v>
      </c>
      <c r="L2053" s="4">
        <v>0.66702176146023995</v>
      </c>
      <c r="M2053" s="4">
        <v>0.33297823853976</v>
      </c>
      <c r="N2053">
        <v>0</v>
      </c>
    </row>
    <row r="2054" spans="1:15" x14ac:dyDescent="0.25">
      <c r="A2054" s="2">
        <v>23804098</v>
      </c>
      <c r="B2054" t="s">
        <v>5084</v>
      </c>
      <c r="C2054" t="s">
        <v>31</v>
      </c>
      <c r="D2054" t="s">
        <v>2981</v>
      </c>
      <c r="E2054" t="s">
        <v>2979</v>
      </c>
      <c r="F2054" t="s">
        <v>5082</v>
      </c>
      <c r="G2054" t="s">
        <v>5085</v>
      </c>
      <c r="H2054" s="3">
        <v>2531.56</v>
      </c>
      <c r="I2054">
        <v>589</v>
      </c>
      <c r="J2054">
        <v>0</v>
      </c>
      <c r="L2054" s="4">
        <v>0.79697888589321897</v>
      </c>
      <c r="M2054" s="4">
        <v>0.203021114106781</v>
      </c>
      <c r="N2054">
        <v>0</v>
      </c>
    </row>
    <row r="2055" spans="1:15" x14ac:dyDescent="0.25">
      <c r="A2055" s="2">
        <v>23825402</v>
      </c>
      <c r="B2055" t="s">
        <v>104</v>
      </c>
      <c r="C2055" t="s">
        <v>31</v>
      </c>
      <c r="D2055" t="s">
        <v>2981</v>
      </c>
      <c r="E2055" t="s">
        <v>2979</v>
      </c>
      <c r="F2055" t="s">
        <v>5082</v>
      </c>
      <c r="G2055" t="s">
        <v>5086</v>
      </c>
      <c r="H2055" s="3">
        <v>1694.68</v>
      </c>
      <c r="I2055">
        <v>194</v>
      </c>
      <c r="J2055">
        <v>1</v>
      </c>
      <c r="K2055">
        <v>49</v>
      </c>
      <c r="L2055" s="4">
        <v>0.90471200320813705</v>
      </c>
      <c r="M2055" s="4">
        <v>9.5287996791863505E-2</v>
      </c>
      <c r="N2055">
        <v>0</v>
      </c>
    </row>
    <row r="2056" spans="1:15" x14ac:dyDescent="0.25">
      <c r="A2056" s="2"/>
      <c r="B2056" t="s">
        <v>5087</v>
      </c>
      <c r="C2056" t="s">
        <v>16</v>
      </c>
      <c r="D2056" t="s">
        <v>86</v>
      </c>
      <c r="E2056" t="s">
        <v>3025</v>
      </c>
      <c r="F2056" t="s">
        <v>5088</v>
      </c>
      <c r="G2056" t="s">
        <v>5089</v>
      </c>
      <c r="H2056" s="3">
        <v>2248.94</v>
      </c>
      <c r="I2056">
        <v>822</v>
      </c>
      <c r="J2056">
        <v>0</v>
      </c>
      <c r="K2056">
        <v>37</v>
      </c>
      <c r="L2056" s="4">
        <v>0.89303225294578104</v>
      </c>
      <c r="M2056" s="4">
        <v>0.10696774705421901</v>
      </c>
      <c r="N2056">
        <v>0</v>
      </c>
    </row>
    <row r="2057" spans="1:15" x14ac:dyDescent="0.25">
      <c r="A2057" s="2"/>
      <c r="C2057" t="s">
        <v>28</v>
      </c>
      <c r="D2057" t="s">
        <v>86</v>
      </c>
      <c r="E2057" t="s">
        <v>3032</v>
      </c>
      <c r="F2057" t="s">
        <v>5088</v>
      </c>
      <c r="G2057" t="s">
        <v>5090</v>
      </c>
      <c r="H2057" s="3">
        <v>1870.74</v>
      </c>
      <c r="I2057">
        <v>964</v>
      </c>
      <c r="J2057">
        <v>1</v>
      </c>
      <c r="K2057">
        <v>32</v>
      </c>
      <c r="L2057" s="4">
        <v>0.31209931626607601</v>
      </c>
      <c r="M2057" s="4">
        <v>0.68790068373392399</v>
      </c>
      <c r="N2057">
        <v>0</v>
      </c>
    </row>
    <row r="2058" spans="1:15" x14ac:dyDescent="0.25">
      <c r="A2058" s="2"/>
      <c r="C2058" t="s">
        <v>28</v>
      </c>
      <c r="D2058" t="s">
        <v>17</v>
      </c>
      <c r="E2058" t="s">
        <v>2401</v>
      </c>
      <c r="F2058" t="s">
        <v>5091</v>
      </c>
      <c r="G2058" t="s">
        <v>5092</v>
      </c>
      <c r="H2058" s="3">
        <v>2488.17</v>
      </c>
      <c r="I2058">
        <v>23</v>
      </c>
      <c r="J2058">
        <v>0</v>
      </c>
      <c r="K2058">
        <v>47</v>
      </c>
      <c r="L2058" s="4">
        <v>0.122859982193199</v>
      </c>
      <c r="M2058" s="4">
        <v>0.87714001780680095</v>
      </c>
      <c r="N2058">
        <v>0</v>
      </c>
    </row>
    <row r="2059" spans="1:15" x14ac:dyDescent="0.25">
      <c r="A2059" s="2"/>
      <c r="C2059" t="s">
        <v>28</v>
      </c>
      <c r="D2059" t="s">
        <v>3200</v>
      </c>
      <c r="E2059" t="s">
        <v>3200</v>
      </c>
      <c r="F2059" t="s">
        <v>5093</v>
      </c>
      <c r="G2059" t="s">
        <v>5094</v>
      </c>
      <c r="H2059" s="3">
        <v>1424.71</v>
      </c>
      <c r="J2059">
        <v>0</v>
      </c>
      <c r="K2059">
        <v>23</v>
      </c>
      <c r="L2059" s="4">
        <v>0.52063465241863904</v>
      </c>
      <c r="M2059" s="4">
        <v>0.47936534758136101</v>
      </c>
      <c r="N2059">
        <v>0</v>
      </c>
    </row>
    <row r="2060" spans="1:15" x14ac:dyDescent="0.25">
      <c r="A2060" s="2"/>
      <c r="B2060" t="s">
        <v>5095</v>
      </c>
      <c r="C2060" t="s">
        <v>16</v>
      </c>
      <c r="D2060" t="s">
        <v>17</v>
      </c>
      <c r="E2060" t="s">
        <v>3217</v>
      </c>
      <c r="F2060" t="s">
        <v>5096</v>
      </c>
      <c r="G2060" t="s">
        <v>5097</v>
      </c>
      <c r="H2060" s="3">
        <v>4320</v>
      </c>
      <c r="I2060">
        <v>115</v>
      </c>
      <c r="J2060">
        <v>1</v>
      </c>
      <c r="L2060" s="4">
        <v>0.72563565665334195</v>
      </c>
      <c r="M2060" s="4">
        <v>0.27436434334665799</v>
      </c>
      <c r="N2060">
        <v>0</v>
      </c>
    </row>
    <row r="2061" spans="1:15" x14ac:dyDescent="0.25">
      <c r="A2061" s="2"/>
      <c r="C2061" t="s">
        <v>28</v>
      </c>
      <c r="D2061" t="s">
        <v>17</v>
      </c>
      <c r="E2061" t="s">
        <v>3217</v>
      </c>
      <c r="F2061" t="s">
        <v>5096</v>
      </c>
      <c r="G2061" t="s">
        <v>5098</v>
      </c>
      <c r="H2061" s="3">
        <v>4554.01</v>
      </c>
      <c r="I2061">
        <v>131</v>
      </c>
      <c r="J2061">
        <v>1</v>
      </c>
      <c r="K2061">
        <v>32</v>
      </c>
      <c r="L2061" s="4">
        <v>0.61670055203303098</v>
      </c>
      <c r="M2061" s="4">
        <v>0.38329944796697002</v>
      </c>
      <c r="N2061">
        <v>0</v>
      </c>
    </row>
    <row r="2062" spans="1:15" x14ac:dyDescent="0.25">
      <c r="A2062" s="2"/>
      <c r="B2062" t="s">
        <v>5099</v>
      </c>
      <c r="C2062" t="s">
        <v>16</v>
      </c>
      <c r="D2062" t="s">
        <v>17</v>
      </c>
      <c r="E2062" t="s">
        <v>3217</v>
      </c>
      <c r="F2062" t="s">
        <v>5096</v>
      </c>
      <c r="G2062" t="s">
        <v>5100</v>
      </c>
      <c r="H2062" s="3">
        <v>4800</v>
      </c>
      <c r="I2062">
        <v>703</v>
      </c>
      <c r="J2062">
        <v>1</v>
      </c>
      <c r="K2062">
        <v>24</v>
      </c>
      <c r="L2062" s="4">
        <v>0.94565260898454295</v>
      </c>
      <c r="M2062" s="4">
        <v>5.4347391015456603E-2</v>
      </c>
      <c r="N2062">
        <v>0</v>
      </c>
    </row>
    <row r="2063" spans="1:15" x14ac:dyDescent="0.25">
      <c r="A2063" s="2"/>
      <c r="C2063" t="s">
        <v>28</v>
      </c>
      <c r="D2063" t="s">
        <v>17</v>
      </c>
      <c r="E2063" t="s">
        <v>5101</v>
      </c>
      <c r="F2063" t="s">
        <v>5102</v>
      </c>
      <c r="G2063" t="s">
        <v>5103</v>
      </c>
      <c r="H2063" s="3">
        <v>4320</v>
      </c>
      <c r="I2063">
        <v>526</v>
      </c>
      <c r="J2063">
        <v>0</v>
      </c>
      <c r="K2063">
        <v>5</v>
      </c>
      <c r="L2063" s="4">
        <v>0.14772829170014101</v>
      </c>
      <c r="M2063" s="4">
        <v>0.85227170829985899</v>
      </c>
      <c r="N2063">
        <v>0</v>
      </c>
    </row>
    <row r="2064" spans="1:15" x14ac:dyDescent="0.25">
      <c r="A2064" s="2">
        <v>23041239</v>
      </c>
      <c r="B2064" t="s">
        <v>5104</v>
      </c>
      <c r="C2064" t="s">
        <v>31</v>
      </c>
      <c r="D2064" t="s">
        <v>17</v>
      </c>
      <c r="E2064" t="s">
        <v>5101</v>
      </c>
      <c r="F2064" t="s">
        <v>5102</v>
      </c>
      <c r="G2064" t="s">
        <v>5105</v>
      </c>
      <c r="H2064" s="6">
        <v>5760</v>
      </c>
      <c r="I2064">
        <v>465</v>
      </c>
      <c r="J2064">
        <v>0</v>
      </c>
      <c r="K2064">
        <v>21</v>
      </c>
      <c r="L2064" s="4">
        <v>0.397801094628496</v>
      </c>
      <c r="M2064" s="4">
        <v>0.602198905371504</v>
      </c>
      <c r="N2064">
        <v>0</v>
      </c>
      <c r="O2064" s="7" t="s">
        <v>3503</v>
      </c>
    </row>
    <row r="2065" spans="1:14" x14ac:dyDescent="0.25">
      <c r="A2065" s="2">
        <v>23773811</v>
      </c>
      <c r="C2065" t="s">
        <v>0</v>
      </c>
      <c r="D2065" t="s">
        <v>17</v>
      </c>
      <c r="E2065" t="s">
        <v>5106</v>
      </c>
      <c r="F2065" t="s">
        <v>5021</v>
      </c>
      <c r="G2065" t="s">
        <v>5107</v>
      </c>
      <c r="H2065" s="3">
        <v>2480.06</v>
      </c>
      <c r="I2065">
        <v>755</v>
      </c>
      <c r="J2065">
        <v>0</v>
      </c>
      <c r="K2065">
        <v>39</v>
      </c>
      <c r="L2065" s="4">
        <v>0.981478096520503</v>
      </c>
      <c r="M2065" s="4">
        <v>1.8521903479497101E-2</v>
      </c>
      <c r="N2065">
        <v>0</v>
      </c>
    </row>
    <row r="2066" spans="1:14" x14ac:dyDescent="0.25">
      <c r="A2066" s="2"/>
      <c r="B2066" t="s">
        <v>5108</v>
      </c>
      <c r="C2066" t="s">
        <v>16</v>
      </c>
      <c r="D2066" t="s">
        <v>5109</v>
      </c>
      <c r="E2066" t="s">
        <v>5110</v>
      </c>
      <c r="F2066" t="s">
        <v>5111</v>
      </c>
      <c r="G2066" t="s">
        <v>5112</v>
      </c>
      <c r="H2066" s="3">
        <v>543.29</v>
      </c>
      <c r="I2066">
        <v>49</v>
      </c>
      <c r="J2066">
        <v>0</v>
      </c>
      <c r="K2066">
        <v>28</v>
      </c>
      <c r="L2066" s="4">
        <v>0.49591936680174398</v>
      </c>
      <c r="M2066" s="4">
        <v>0.50408063319825602</v>
      </c>
      <c r="N2066">
        <v>0</v>
      </c>
    </row>
    <row r="2067" spans="1:14" x14ac:dyDescent="0.25">
      <c r="A2067" s="2"/>
      <c r="B2067" t="s">
        <v>5113</v>
      </c>
      <c r="C2067" t="s">
        <v>16</v>
      </c>
      <c r="D2067" t="s">
        <v>352</v>
      </c>
      <c r="E2067" t="s">
        <v>5114</v>
      </c>
      <c r="F2067" t="s">
        <v>5115</v>
      </c>
      <c r="G2067" t="s">
        <v>5116</v>
      </c>
      <c r="H2067" s="3">
        <v>2040</v>
      </c>
      <c r="I2067">
        <v>772</v>
      </c>
      <c r="J2067">
        <v>0</v>
      </c>
      <c r="K2067">
        <v>7</v>
      </c>
      <c r="L2067" s="4">
        <v>0.82645792315019795</v>
      </c>
      <c r="M2067" s="4">
        <v>0.173542076849802</v>
      </c>
      <c r="N2067">
        <v>0</v>
      </c>
    </row>
    <row r="2068" spans="1:14" x14ac:dyDescent="0.25">
      <c r="A2068" s="2"/>
      <c r="B2068" t="s">
        <v>5117</v>
      </c>
      <c r="C2068" t="s">
        <v>16</v>
      </c>
      <c r="D2068" t="s">
        <v>352</v>
      </c>
      <c r="E2068" t="s">
        <v>5114</v>
      </c>
      <c r="F2068" t="s">
        <v>5115</v>
      </c>
      <c r="G2068" t="s">
        <v>5118</v>
      </c>
      <c r="H2068" s="3">
        <v>2040</v>
      </c>
      <c r="I2068">
        <v>462</v>
      </c>
      <c r="J2068">
        <v>0</v>
      </c>
      <c r="L2068" s="4">
        <v>0.59684325853723497</v>
      </c>
      <c r="M2068" s="4">
        <v>0.40315674146276498</v>
      </c>
      <c r="N2068">
        <v>0</v>
      </c>
    </row>
    <row r="2069" spans="1:14" x14ac:dyDescent="0.25">
      <c r="A2069" s="2">
        <v>23709760</v>
      </c>
      <c r="B2069" t="s">
        <v>5119</v>
      </c>
      <c r="C2069" t="s">
        <v>31</v>
      </c>
      <c r="D2069" t="s">
        <v>352</v>
      </c>
      <c r="E2069" t="s">
        <v>5114</v>
      </c>
      <c r="F2069" t="s">
        <v>5120</v>
      </c>
      <c r="G2069" t="s">
        <v>5121</v>
      </c>
      <c r="H2069" s="3">
        <v>2340</v>
      </c>
      <c r="I2069">
        <v>502</v>
      </c>
      <c r="J2069">
        <v>1</v>
      </c>
      <c r="L2069" s="4">
        <v>0.27832597304122098</v>
      </c>
      <c r="M2069" s="4">
        <v>0.72167402695877902</v>
      </c>
      <c r="N2069">
        <v>0</v>
      </c>
    </row>
    <row r="2070" spans="1:14" x14ac:dyDescent="0.25">
      <c r="A2070" s="2"/>
      <c r="B2070" t="s">
        <v>5122</v>
      </c>
      <c r="C2070" t="s">
        <v>16</v>
      </c>
      <c r="D2070" t="s">
        <v>17</v>
      </c>
      <c r="E2070" t="s">
        <v>5123</v>
      </c>
      <c r="F2070" t="s">
        <v>5124</v>
      </c>
      <c r="G2070" t="s">
        <v>5125</v>
      </c>
      <c r="H2070" s="3">
        <v>2863.73</v>
      </c>
      <c r="I2070">
        <v>468</v>
      </c>
      <c r="J2070">
        <v>0</v>
      </c>
      <c r="K2070">
        <v>19</v>
      </c>
      <c r="L2070" s="4">
        <v>0.77483466592031502</v>
      </c>
      <c r="M2070" s="4">
        <v>0.225165334079685</v>
      </c>
      <c r="N2070">
        <v>0</v>
      </c>
    </row>
    <row r="2071" spans="1:14" x14ac:dyDescent="0.25">
      <c r="A2071" s="2"/>
      <c r="B2071" t="s">
        <v>5126</v>
      </c>
      <c r="C2071" t="s">
        <v>16</v>
      </c>
      <c r="D2071" t="s">
        <v>343</v>
      </c>
      <c r="E2071" t="s">
        <v>5127</v>
      </c>
      <c r="F2071" t="s">
        <v>5128</v>
      </c>
      <c r="G2071" t="s">
        <v>5129</v>
      </c>
      <c r="H2071" s="3">
        <v>1741.32</v>
      </c>
      <c r="I2071">
        <v>1</v>
      </c>
      <c r="J2071">
        <v>0</v>
      </c>
      <c r="K2071">
        <v>17</v>
      </c>
      <c r="L2071" s="4">
        <v>0.87606991479739504</v>
      </c>
      <c r="M2071" s="4">
        <v>0.123930085202605</v>
      </c>
      <c r="N2071">
        <v>0</v>
      </c>
    </row>
    <row r="2072" spans="1:14" x14ac:dyDescent="0.25">
      <c r="A2072" s="2">
        <v>22901061</v>
      </c>
      <c r="B2072" t="s">
        <v>5130</v>
      </c>
      <c r="C2072" t="s">
        <v>31</v>
      </c>
      <c r="D2072" t="s">
        <v>86</v>
      </c>
      <c r="E2072" t="s">
        <v>5131</v>
      </c>
      <c r="F2072" t="s">
        <v>5132</v>
      </c>
      <c r="G2072" t="s">
        <v>5133</v>
      </c>
      <c r="H2072" s="3">
        <v>1982.81</v>
      </c>
      <c r="I2072">
        <v>267</v>
      </c>
      <c r="J2072">
        <v>1</v>
      </c>
      <c r="K2072">
        <v>12</v>
      </c>
      <c r="L2072" s="4">
        <v>0.70837242252759003</v>
      </c>
      <c r="M2072" s="4">
        <v>0.29162757747241003</v>
      </c>
      <c r="N2072">
        <v>0</v>
      </c>
    </row>
    <row r="2073" spans="1:14" x14ac:dyDescent="0.25">
      <c r="A2073" s="2"/>
      <c r="B2073" t="s">
        <v>5134</v>
      </c>
      <c r="C2073" t="s">
        <v>16</v>
      </c>
      <c r="D2073" t="s">
        <v>86</v>
      </c>
      <c r="E2073" t="s">
        <v>5131</v>
      </c>
      <c r="F2073" t="s">
        <v>5132</v>
      </c>
      <c r="G2073" t="s">
        <v>5135</v>
      </c>
      <c r="H2073" s="3">
        <v>1500</v>
      </c>
      <c r="I2073">
        <v>338</v>
      </c>
      <c r="J2073">
        <v>1</v>
      </c>
      <c r="K2073">
        <v>40</v>
      </c>
      <c r="L2073" s="4">
        <v>0.211861911756141</v>
      </c>
      <c r="M2073" s="4">
        <v>0.788138088243859</v>
      </c>
      <c r="N2073">
        <v>0</v>
      </c>
    </row>
    <row r="2074" spans="1:14" x14ac:dyDescent="0.25">
      <c r="A2074" s="2"/>
      <c r="C2074" t="s">
        <v>28</v>
      </c>
      <c r="D2074" t="s">
        <v>86</v>
      </c>
      <c r="E2074" t="s">
        <v>5131</v>
      </c>
      <c r="F2074" t="s">
        <v>5132</v>
      </c>
      <c r="G2074" t="s">
        <v>5136</v>
      </c>
      <c r="H2074" s="3">
        <v>2368.66</v>
      </c>
      <c r="I2074">
        <v>478</v>
      </c>
      <c r="J2074">
        <v>0</v>
      </c>
      <c r="K2074">
        <v>9</v>
      </c>
      <c r="L2074" s="4">
        <v>0.35355190440001699</v>
      </c>
      <c r="M2074" s="4">
        <v>0.64644809559998295</v>
      </c>
      <c r="N2074">
        <v>0</v>
      </c>
    </row>
    <row r="2075" spans="1:14" x14ac:dyDescent="0.25">
      <c r="A2075" s="2"/>
      <c r="B2075" t="s">
        <v>5137</v>
      </c>
      <c r="C2075" t="s">
        <v>16</v>
      </c>
      <c r="D2075" t="s">
        <v>86</v>
      </c>
      <c r="E2075" t="s">
        <v>5131</v>
      </c>
      <c r="F2075" t="s">
        <v>5132</v>
      </c>
      <c r="G2075" t="s">
        <v>5138</v>
      </c>
      <c r="H2075" s="3">
        <v>2307.69</v>
      </c>
      <c r="I2075">
        <v>663</v>
      </c>
      <c r="J2075">
        <v>1</v>
      </c>
      <c r="L2075" s="4">
        <v>0.16455322712686099</v>
      </c>
      <c r="M2075" s="4">
        <v>0.83544677287313895</v>
      </c>
      <c r="N2075">
        <v>0</v>
      </c>
    </row>
    <row r="2076" spans="1:14" x14ac:dyDescent="0.25">
      <c r="A2076" s="2">
        <v>19948006</v>
      </c>
      <c r="B2076" t="s">
        <v>5139</v>
      </c>
      <c r="C2076" t="s">
        <v>31</v>
      </c>
      <c r="D2076" t="s">
        <v>86</v>
      </c>
      <c r="E2076" t="s">
        <v>5131</v>
      </c>
      <c r="F2076" t="s">
        <v>5132</v>
      </c>
      <c r="G2076" t="s">
        <v>5140</v>
      </c>
      <c r="H2076" s="3">
        <v>2239.2199999999998</v>
      </c>
      <c r="J2076">
        <v>1</v>
      </c>
      <c r="K2076">
        <v>5</v>
      </c>
      <c r="L2076" s="4">
        <v>0.74229272942850799</v>
      </c>
      <c r="M2076" s="4">
        <v>0.25770727057149201</v>
      </c>
      <c r="N2076">
        <v>0</v>
      </c>
    </row>
    <row r="2077" spans="1:14" x14ac:dyDescent="0.25">
      <c r="A2077" s="2">
        <v>23305527</v>
      </c>
      <c r="C2077" t="s">
        <v>0</v>
      </c>
      <c r="D2077" t="s">
        <v>86</v>
      </c>
      <c r="E2077" t="s">
        <v>5131</v>
      </c>
      <c r="F2077" t="s">
        <v>5132</v>
      </c>
      <c r="G2077" t="s">
        <v>5141</v>
      </c>
      <c r="H2077" s="3">
        <v>2377.65</v>
      </c>
      <c r="I2077">
        <v>636</v>
      </c>
      <c r="J2077">
        <v>1</v>
      </c>
      <c r="K2077">
        <v>49</v>
      </c>
      <c r="L2077" s="4">
        <v>0.85229629727544398</v>
      </c>
      <c r="M2077" s="4">
        <v>0.14770370272455599</v>
      </c>
      <c r="N2077">
        <v>0</v>
      </c>
    </row>
    <row r="2078" spans="1:14" x14ac:dyDescent="0.25">
      <c r="A2078" s="2"/>
      <c r="B2078" t="s">
        <v>5142</v>
      </c>
      <c r="C2078" t="s">
        <v>16</v>
      </c>
      <c r="D2078" t="s">
        <v>17</v>
      </c>
      <c r="E2078" t="s">
        <v>5143</v>
      </c>
      <c r="F2078" t="s">
        <v>5144</v>
      </c>
      <c r="G2078" t="s">
        <v>5145</v>
      </c>
      <c r="H2078" s="3">
        <v>1524.08</v>
      </c>
      <c r="I2078">
        <v>217</v>
      </c>
      <c r="J2078">
        <v>1</v>
      </c>
      <c r="L2078" s="4">
        <v>7.7762183272998803E-2</v>
      </c>
      <c r="M2078" s="4">
        <v>0.922237816727001</v>
      </c>
      <c r="N2078">
        <v>0</v>
      </c>
    </row>
    <row r="2079" spans="1:14" x14ac:dyDescent="0.25">
      <c r="A2079" s="2"/>
      <c r="B2079" t="s">
        <v>5146</v>
      </c>
      <c r="C2079" t="s">
        <v>16</v>
      </c>
      <c r="D2079" t="s">
        <v>607</v>
      </c>
      <c r="E2079" t="s">
        <v>5147</v>
      </c>
      <c r="F2079" t="s">
        <v>5148</v>
      </c>
      <c r="G2079" t="s">
        <v>5149</v>
      </c>
      <c r="H2079" s="3">
        <v>2880</v>
      </c>
      <c r="I2079">
        <v>419</v>
      </c>
      <c r="J2079">
        <v>1</v>
      </c>
      <c r="L2079" s="4">
        <v>0.65662615880425301</v>
      </c>
      <c r="M2079" s="4">
        <v>0.34337384119574699</v>
      </c>
      <c r="N2079">
        <v>0</v>
      </c>
    </row>
    <row r="2080" spans="1:14" x14ac:dyDescent="0.25">
      <c r="A2080" s="2"/>
      <c r="B2080" t="s">
        <v>5150</v>
      </c>
      <c r="C2080" t="s">
        <v>16</v>
      </c>
      <c r="D2080" t="s">
        <v>607</v>
      </c>
      <c r="E2080" t="s">
        <v>5147</v>
      </c>
      <c r="F2080" t="s">
        <v>5148</v>
      </c>
      <c r="G2080" t="s">
        <v>5151</v>
      </c>
      <c r="H2080" s="3">
        <v>2880</v>
      </c>
      <c r="I2080">
        <v>923</v>
      </c>
      <c r="J2080">
        <v>1</v>
      </c>
      <c r="K2080">
        <v>50</v>
      </c>
      <c r="L2080" s="4">
        <v>4.8708999548634502E-2</v>
      </c>
      <c r="M2080" s="4">
        <v>0.95129100045136605</v>
      </c>
      <c r="N2080">
        <v>0</v>
      </c>
    </row>
    <row r="2081" spans="1:14" x14ac:dyDescent="0.25">
      <c r="A2081" s="2"/>
      <c r="C2081" t="s">
        <v>28</v>
      </c>
      <c r="D2081" t="s">
        <v>17</v>
      </c>
      <c r="E2081" t="s">
        <v>5152</v>
      </c>
      <c r="F2081" t="s">
        <v>5153</v>
      </c>
      <c r="G2081" t="s">
        <v>5154</v>
      </c>
      <c r="H2081" s="3">
        <v>2340.63</v>
      </c>
      <c r="I2081">
        <v>554</v>
      </c>
      <c r="J2081">
        <v>0</v>
      </c>
      <c r="K2081">
        <v>10</v>
      </c>
      <c r="L2081" s="4">
        <v>0.62268540444439302</v>
      </c>
      <c r="M2081" s="4">
        <v>0.37731459555560698</v>
      </c>
      <c r="N2081">
        <v>0</v>
      </c>
    </row>
    <row r="2082" spans="1:14" x14ac:dyDescent="0.25">
      <c r="A2082" s="2">
        <v>21940062</v>
      </c>
      <c r="B2082" t="s">
        <v>5155</v>
      </c>
      <c r="C2082" t="s">
        <v>31</v>
      </c>
      <c r="D2082" t="s">
        <v>17</v>
      </c>
      <c r="E2082" t="s">
        <v>5156</v>
      </c>
      <c r="F2082" t="s">
        <v>5157</v>
      </c>
      <c r="G2082" t="s">
        <v>5158</v>
      </c>
      <c r="H2082" s="3">
        <v>2368.11</v>
      </c>
      <c r="I2082">
        <v>705</v>
      </c>
      <c r="J2082">
        <v>1</v>
      </c>
      <c r="K2082">
        <v>41</v>
      </c>
      <c r="L2082" s="4">
        <v>0.84413087790765096</v>
      </c>
      <c r="M2082" s="4">
        <v>0.15586912209234899</v>
      </c>
      <c r="N2082">
        <v>0</v>
      </c>
    </row>
    <row r="2083" spans="1:14" x14ac:dyDescent="0.25">
      <c r="A2083" s="2"/>
      <c r="B2083" t="s">
        <v>5159</v>
      </c>
      <c r="C2083" t="s">
        <v>16</v>
      </c>
      <c r="D2083" t="s">
        <v>17</v>
      </c>
      <c r="E2083" t="s">
        <v>5156</v>
      </c>
      <c r="F2083" t="s">
        <v>5157</v>
      </c>
      <c r="G2083" t="s">
        <v>5160</v>
      </c>
      <c r="H2083" s="3">
        <v>2373.7600000000002</v>
      </c>
      <c r="I2083">
        <v>891</v>
      </c>
      <c r="J2083">
        <v>0</v>
      </c>
      <c r="K2083">
        <v>3</v>
      </c>
      <c r="L2083" s="4">
        <v>0.77075894113810495</v>
      </c>
      <c r="M2083" s="4">
        <v>0.229241058861895</v>
      </c>
      <c r="N2083">
        <v>0</v>
      </c>
    </row>
    <row r="2084" spans="1:14" x14ac:dyDescent="0.25">
      <c r="A2084" s="2"/>
      <c r="B2084" t="s">
        <v>5161</v>
      </c>
      <c r="C2084" t="s">
        <v>16</v>
      </c>
      <c r="D2084" t="s">
        <v>17</v>
      </c>
      <c r="E2084" t="s">
        <v>5162</v>
      </c>
      <c r="F2084" t="s">
        <v>5163</v>
      </c>
      <c r="G2084" t="s">
        <v>5164</v>
      </c>
      <c r="H2084" s="3">
        <v>2291.33</v>
      </c>
      <c r="I2084">
        <v>305</v>
      </c>
      <c r="J2084">
        <v>1</v>
      </c>
      <c r="K2084">
        <v>34</v>
      </c>
      <c r="L2084" s="4">
        <v>0.30778405139852499</v>
      </c>
      <c r="M2084" s="4">
        <v>0.69221594860147495</v>
      </c>
      <c r="N2084">
        <v>0</v>
      </c>
    </row>
    <row r="2085" spans="1:14" x14ac:dyDescent="0.25">
      <c r="A2085" s="2">
        <v>23265842</v>
      </c>
      <c r="B2085" t="s">
        <v>5165</v>
      </c>
      <c r="C2085" t="s">
        <v>31</v>
      </c>
      <c r="D2085" t="s">
        <v>17</v>
      </c>
      <c r="E2085" t="s">
        <v>5166</v>
      </c>
      <c r="F2085" t="s">
        <v>5167</v>
      </c>
      <c r="G2085" t="s">
        <v>5168</v>
      </c>
      <c r="H2085" s="3">
        <v>2248.33</v>
      </c>
      <c r="I2085">
        <v>99</v>
      </c>
      <c r="J2085">
        <v>0</v>
      </c>
      <c r="K2085">
        <v>21</v>
      </c>
      <c r="L2085" s="4">
        <v>0.85083413222909399</v>
      </c>
      <c r="M2085" s="4">
        <v>0.14916586777090601</v>
      </c>
      <c r="N2085">
        <v>0</v>
      </c>
    </row>
    <row r="2086" spans="1:14" x14ac:dyDescent="0.25">
      <c r="A2086" s="2"/>
      <c r="B2086" t="s">
        <v>5169</v>
      </c>
      <c r="C2086" t="s">
        <v>16</v>
      </c>
      <c r="D2086" t="s">
        <v>17</v>
      </c>
      <c r="E2086" t="s">
        <v>5170</v>
      </c>
      <c r="F2086" t="s">
        <v>5171</v>
      </c>
      <c r="G2086" t="s">
        <v>5172</v>
      </c>
      <c r="H2086" s="3">
        <v>2402.81</v>
      </c>
      <c r="I2086">
        <v>128</v>
      </c>
      <c r="J2086">
        <v>0</v>
      </c>
      <c r="K2086">
        <v>48</v>
      </c>
      <c r="L2086" s="4">
        <v>0.48036445228969998</v>
      </c>
      <c r="M2086" s="4">
        <v>0.51963554771029996</v>
      </c>
      <c r="N2086">
        <v>0</v>
      </c>
    </row>
    <row r="2087" spans="1:14" x14ac:dyDescent="0.25">
      <c r="A2087" s="2"/>
      <c r="C2087" t="s">
        <v>28</v>
      </c>
      <c r="D2087" t="s">
        <v>17</v>
      </c>
      <c r="E2087" t="s">
        <v>5170</v>
      </c>
      <c r="F2087" t="s">
        <v>5171</v>
      </c>
      <c r="G2087" t="s">
        <v>5173</v>
      </c>
      <c r="H2087" s="3">
        <v>2404.4</v>
      </c>
      <c r="I2087">
        <v>305</v>
      </c>
      <c r="J2087">
        <v>1</v>
      </c>
      <c r="K2087">
        <v>20</v>
      </c>
      <c r="L2087" s="4">
        <v>0.75385752336968903</v>
      </c>
      <c r="M2087" s="4">
        <v>0.246142476630311</v>
      </c>
      <c r="N2087">
        <v>0</v>
      </c>
    </row>
    <row r="2088" spans="1:14" x14ac:dyDescent="0.25">
      <c r="A2088" s="2"/>
      <c r="C2088" t="s">
        <v>28</v>
      </c>
      <c r="D2088" t="s">
        <v>17</v>
      </c>
      <c r="E2088" t="s">
        <v>5170</v>
      </c>
      <c r="F2088" t="s">
        <v>5171</v>
      </c>
      <c r="G2088" t="s">
        <v>5174</v>
      </c>
      <c r="H2088" s="3">
        <v>2426.96</v>
      </c>
      <c r="I2088">
        <v>354</v>
      </c>
      <c r="J2088">
        <v>0</v>
      </c>
      <c r="K2088">
        <v>18</v>
      </c>
      <c r="L2088" s="4">
        <v>0.71007819411994</v>
      </c>
      <c r="M2088" s="4">
        <v>0.28992180588006</v>
      </c>
      <c r="N2088">
        <v>0</v>
      </c>
    </row>
    <row r="2089" spans="1:14" x14ac:dyDescent="0.25">
      <c r="A2089" s="2"/>
      <c r="C2089" t="s">
        <v>28</v>
      </c>
      <c r="D2089" t="s">
        <v>17</v>
      </c>
      <c r="E2089" t="s">
        <v>5175</v>
      </c>
      <c r="G2089" t="s">
        <v>5176</v>
      </c>
      <c r="H2089" s="3">
        <v>2004.74</v>
      </c>
      <c r="I2089">
        <v>299</v>
      </c>
      <c r="J2089">
        <v>0</v>
      </c>
      <c r="K2089">
        <v>29</v>
      </c>
      <c r="L2089" s="4">
        <v>0.87370652681870298</v>
      </c>
      <c r="M2089" s="4">
        <v>0.12629347318129799</v>
      </c>
      <c r="N2089">
        <v>0</v>
      </c>
    </row>
    <row r="2090" spans="1:14" x14ac:dyDescent="0.25">
      <c r="A2090" s="2"/>
      <c r="C2090" t="s">
        <v>28</v>
      </c>
      <c r="D2090" t="s">
        <v>17</v>
      </c>
      <c r="E2090" t="s">
        <v>5175</v>
      </c>
      <c r="G2090" t="s">
        <v>5177</v>
      </c>
      <c r="H2090" s="3">
        <v>2306.7800000000002</v>
      </c>
      <c r="I2090">
        <v>44</v>
      </c>
      <c r="J2090">
        <v>0</v>
      </c>
      <c r="K2090">
        <v>47</v>
      </c>
      <c r="L2090" s="4">
        <v>0.102483476157387</v>
      </c>
      <c r="M2090" s="4">
        <v>0.89751652384261305</v>
      </c>
      <c r="N2090">
        <v>0</v>
      </c>
    </row>
    <row r="2091" spans="1:14" x14ac:dyDescent="0.25">
      <c r="A2091" s="2"/>
      <c r="C2091" t="s">
        <v>28</v>
      </c>
      <c r="D2091" t="s">
        <v>17</v>
      </c>
      <c r="E2091" t="s">
        <v>5175</v>
      </c>
      <c r="G2091" t="s">
        <v>5178</v>
      </c>
      <c r="H2091" s="3">
        <v>2422.87</v>
      </c>
      <c r="I2091">
        <v>643</v>
      </c>
      <c r="J2091">
        <v>0</v>
      </c>
      <c r="K2091">
        <v>7</v>
      </c>
      <c r="L2091" s="4">
        <v>0.44672361816696599</v>
      </c>
      <c r="M2091" s="4">
        <v>0.55327638183303396</v>
      </c>
      <c r="N2091">
        <v>0</v>
      </c>
    </row>
    <row r="2092" spans="1:14" x14ac:dyDescent="0.25">
      <c r="A2092" s="2"/>
      <c r="C2092" t="s">
        <v>28</v>
      </c>
      <c r="D2092" t="s">
        <v>17</v>
      </c>
      <c r="E2092" t="s">
        <v>5175</v>
      </c>
      <c r="G2092" t="s">
        <v>5179</v>
      </c>
      <c r="H2092" s="3">
        <v>2461.44</v>
      </c>
      <c r="J2092">
        <v>1</v>
      </c>
      <c r="K2092">
        <v>18</v>
      </c>
      <c r="L2092" s="4">
        <v>0.35108277701996798</v>
      </c>
      <c r="M2092" s="4">
        <v>0.64891722298003296</v>
      </c>
      <c r="N2092">
        <v>0</v>
      </c>
    </row>
    <row r="2093" spans="1:14" x14ac:dyDescent="0.25">
      <c r="A2093" s="2"/>
      <c r="B2093" t="s">
        <v>5180</v>
      </c>
      <c r="C2093" t="s">
        <v>16</v>
      </c>
      <c r="D2093" t="s">
        <v>148</v>
      </c>
      <c r="E2093" t="s">
        <v>5181</v>
      </c>
      <c r="F2093" t="s">
        <v>5182</v>
      </c>
      <c r="G2093" t="s">
        <v>5183</v>
      </c>
      <c r="H2093" s="3">
        <v>1130.4000000000001</v>
      </c>
      <c r="I2093">
        <v>784</v>
      </c>
      <c r="J2093">
        <v>1</v>
      </c>
      <c r="K2093">
        <v>43</v>
      </c>
      <c r="L2093" s="4">
        <v>0.962094491986489</v>
      </c>
      <c r="M2093" s="4">
        <v>3.7905508013511002E-2</v>
      </c>
      <c r="N2093">
        <v>0</v>
      </c>
    </row>
    <row r="2094" spans="1:14" x14ac:dyDescent="0.25">
      <c r="A2094" s="2"/>
      <c r="B2094" t="s">
        <v>5184</v>
      </c>
      <c r="C2094" t="s">
        <v>16</v>
      </c>
      <c r="D2094" t="s">
        <v>148</v>
      </c>
      <c r="E2094" t="s">
        <v>5181</v>
      </c>
      <c r="F2094" t="s">
        <v>5182</v>
      </c>
      <c r="G2094" t="s">
        <v>5185</v>
      </c>
      <c r="H2094" s="3">
        <v>1156.5</v>
      </c>
      <c r="I2094">
        <v>541</v>
      </c>
      <c r="J2094">
        <v>1</v>
      </c>
      <c r="K2094">
        <v>41</v>
      </c>
      <c r="L2094" s="4">
        <v>0.64738455948061902</v>
      </c>
      <c r="M2094" s="4">
        <v>0.35261544051938098</v>
      </c>
      <c r="N2094">
        <v>0</v>
      </c>
    </row>
    <row r="2095" spans="1:14" x14ac:dyDescent="0.25">
      <c r="A2095" s="2"/>
      <c r="B2095" t="s">
        <v>5186</v>
      </c>
      <c r="C2095" t="s">
        <v>16</v>
      </c>
      <c r="D2095" t="s">
        <v>148</v>
      </c>
      <c r="E2095" t="s">
        <v>5181</v>
      </c>
      <c r="F2095" t="s">
        <v>5182</v>
      </c>
      <c r="G2095" t="s">
        <v>5187</v>
      </c>
      <c r="H2095" s="3">
        <v>1350</v>
      </c>
      <c r="I2095">
        <v>500</v>
      </c>
      <c r="J2095">
        <v>0</v>
      </c>
      <c r="K2095">
        <v>17</v>
      </c>
      <c r="L2095" s="4">
        <v>0.91885631815168201</v>
      </c>
      <c r="M2095" s="4">
        <v>8.1143681848317994E-2</v>
      </c>
      <c r="N2095">
        <v>0</v>
      </c>
    </row>
    <row r="2096" spans="1:14" x14ac:dyDescent="0.25">
      <c r="A2096" s="2"/>
      <c r="B2096" t="s">
        <v>5188</v>
      </c>
      <c r="C2096" t="s">
        <v>16</v>
      </c>
      <c r="D2096" t="s">
        <v>148</v>
      </c>
      <c r="E2096" t="s">
        <v>5181</v>
      </c>
      <c r="F2096" t="s">
        <v>5182</v>
      </c>
      <c r="G2096" t="s">
        <v>5189</v>
      </c>
      <c r="H2096" s="3">
        <v>1350</v>
      </c>
      <c r="I2096">
        <v>424</v>
      </c>
      <c r="J2096">
        <v>1</v>
      </c>
      <c r="K2096">
        <v>45</v>
      </c>
      <c r="L2096" s="4">
        <v>0.77825403860627296</v>
      </c>
      <c r="M2096" s="4">
        <v>0.22174596139372801</v>
      </c>
      <c r="N2096">
        <v>0</v>
      </c>
    </row>
    <row r="2097" spans="1:14" x14ac:dyDescent="0.25">
      <c r="A2097" s="2"/>
      <c r="B2097" t="s">
        <v>5190</v>
      </c>
      <c r="C2097" t="s">
        <v>16</v>
      </c>
      <c r="D2097" t="s">
        <v>148</v>
      </c>
      <c r="E2097" t="s">
        <v>5181</v>
      </c>
      <c r="F2097" t="s">
        <v>5182</v>
      </c>
      <c r="G2097" t="s">
        <v>5191</v>
      </c>
      <c r="H2097" s="3">
        <v>1165</v>
      </c>
      <c r="I2097">
        <v>152</v>
      </c>
      <c r="J2097">
        <v>0</v>
      </c>
      <c r="K2097">
        <v>7</v>
      </c>
      <c r="L2097" s="4">
        <v>0.39330619834228497</v>
      </c>
      <c r="M2097" s="4">
        <v>0.60669380165771603</v>
      </c>
      <c r="N2097">
        <v>0</v>
      </c>
    </row>
    <row r="2098" spans="1:14" x14ac:dyDescent="0.25">
      <c r="A2098" s="2">
        <v>22364555</v>
      </c>
      <c r="C2098" t="s">
        <v>0</v>
      </c>
      <c r="D2098" t="s">
        <v>86</v>
      </c>
      <c r="E2098" t="s">
        <v>5192</v>
      </c>
      <c r="F2098" t="s">
        <v>5193</v>
      </c>
      <c r="G2098" t="s">
        <v>5194</v>
      </c>
      <c r="H2098" s="3">
        <v>1834.77</v>
      </c>
      <c r="I2098">
        <v>830</v>
      </c>
      <c r="J2098">
        <v>1</v>
      </c>
      <c r="L2098" s="4">
        <v>0.47505695938704501</v>
      </c>
      <c r="M2098" s="4">
        <v>0.52494304061295505</v>
      </c>
      <c r="N2098">
        <v>0</v>
      </c>
    </row>
    <row r="2099" spans="1:14" x14ac:dyDescent="0.25">
      <c r="A2099" s="2"/>
      <c r="B2099" t="s">
        <v>5195</v>
      </c>
      <c r="C2099" t="s">
        <v>16</v>
      </c>
      <c r="D2099" t="s">
        <v>69</v>
      </c>
      <c r="E2099" t="s">
        <v>5196</v>
      </c>
      <c r="F2099" t="s">
        <v>5197</v>
      </c>
      <c r="G2099" t="s">
        <v>5198</v>
      </c>
      <c r="H2099" s="3">
        <v>2054.7800000000002</v>
      </c>
      <c r="I2099">
        <v>895</v>
      </c>
      <c r="J2099">
        <v>0</v>
      </c>
      <c r="K2099">
        <v>18</v>
      </c>
      <c r="L2099" s="4">
        <v>0.194017925984455</v>
      </c>
      <c r="M2099" s="4">
        <v>0.805982074015545</v>
      </c>
      <c r="N2099">
        <v>0</v>
      </c>
    </row>
    <row r="2100" spans="1:14" x14ac:dyDescent="0.25">
      <c r="A2100" s="2"/>
      <c r="B2100" t="s">
        <v>5199</v>
      </c>
      <c r="C2100" t="s">
        <v>16</v>
      </c>
      <c r="D2100" t="s">
        <v>86</v>
      </c>
      <c r="E2100" t="s">
        <v>5192</v>
      </c>
      <c r="F2100" t="s">
        <v>5193</v>
      </c>
      <c r="G2100" t="s">
        <v>5200</v>
      </c>
      <c r="H2100" s="3">
        <v>1530.77</v>
      </c>
      <c r="I2100">
        <v>81</v>
      </c>
      <c r="J2100">
        <v>1</v>
      </c>
      <c r="K2100">
        <v>10</v>
      </c>
      <c r="L2100" s="4">
        <v>0.75603394932069801</v>
      </c>
      <c r="M2100" s="4">
        <v>0.24396605067930199</v>
      </c>
      <c r="N2100">
        <v>0</v>
      </c>
    </row>
    <row r="2101" spans="1:14" x14ac:dyDescent="0.25">
      <c r="A2101" s="2"/>
      <c r="B2101" t="s">
        <v>5201</v>
      </c>
      <c r="C2101" t="s">
        <v>16</v>
      </c>
      <c r="D2101" t="s">
        <v>86</v>
      </c>
      <c r="E2101" t="s">
        <v>5192</v>
      </c>
      <c r="F2101" t="s">
        <v>5193</v>
      </c>
      <c r="G2101" t="s">
        <v>5202</v>
      </c>
      <c r="H2101" s="3">
        <v>1836.92</v>
      </c>
      <c r="I2101">
        <v>400</v>
      </c>
      <c r="J2101">
        <v>0</v>
      </c>
      <c r="K2101">
        <v>32</v>
      </c>
      <c r="L2101" s="4">
        <v>0.764887557664374</v>
      </c>
      <c r="M2101" s="4">
        <v>0.235112442335626</v>
      </c>
      <c r="N2101">
        <v>0</v>
      </c>
    </row>
    <row r="2102" spans="1:14" x14ac:dyDescent="0.25">
      <c r="A2102" s="2"/>
      <c r="B2102" t="s">
        <v>5203</v>
      </c>
      <c r="C2102" t="s">
        <v>16</v>
      </c>
      <c r="D2102" t="s">
        <v>86</v>
      </c>
      <c r="E2102" t="s">
        <v>5192</v>
      </c>
      <c r="F2102" t="s">
        <v>5193</v>
      </c>
      <c r="G2102" t="s">
        <v>5204</v>
      </c>
      <c r="H2102" s="3">
        <v>1870.32</v>
      </c>
      <c r="I2102">
        <v>977</v>
      </c>
      <c r="J2102">
        <v>0</v>
      </c>
      <c r="K2102">
        <v>11</v>
      </c>
      <c r="L2102" s="4">
        <v>0.294394752286121</v>
      </c>
      <c r="M2102" s="4">
        <v>0.705605247713879</v>
      </c>
      <c r="N2102">
        <v>0</v>
      </c>
    </row>
    <row r="2103" spans="1:14" x14ac:dyDescent="0.25">
      <c r="A2103" s="2"/>
      <c r="C2103" t="s">
        <v>28</v>
      </c>
      <c r="D2103" t="s">
        <v>86</v>
      </c>
      <c r="E2103" t="s">
        <v>5192</v>
      </c>
      <c r="F2103" t="s">
        <v>5193</v>
      </c>
      <c r="G2103" t="s">
        <v>5205</v>
      </c>
      <c r="H2103" s="3">
        <v>1949.32</v>
      </c>
      <c r="I2103">
        <v>788</v>
      </c>
      <c r="J2103">
        <v>1</v>
      </c>
      <c r="K2103">
        <v>48</v>
      </c>
      <c r="L2103" s="4">
        <v>0.79790708006509903</v>
      </c>
      <c r="M2103" s="4">
        <v>0.202092919934901</v>
      </c>
      <c r="N2103">
        <v>0</v>
      </c>
    </row>
    <row r="2104" spans="1:14" x14ac:dyDescent="0.25">
      <c r="A2104" s="2"/>
      <c r="B2104" t="s">
        <v>5206</v>
      </c>
      <c r="C2104" t="s">
        <v>16</v>
      </c>
      <c r="D2104" t="s">
        <v>86</v>
      </c>
      <c r="E2104" t="s">
        <v>5192</v>
      </c>
      <c r="F2104" t="s">
        <v>5193</v>
      </c>
      <c r="G2104" t="s">
        <v>5207</v>
      </c>
      <c r="H2104" s="3">
        <v>1974.72</v>
      </c>
      <c r="I2104">
        <v>485</v>
      </c>
      <c r="J2104">
        <v>0</v>
      </c>
      <c r="K2104">
        <v>6</v>
      </c>
      <c r="L2104" s="4">
        <v>0.181077391093736</v>
      </c>
      <c r="M2104" s="4">
        <v>0.818922608906264</v>
      </c>
      <c r="N2104">
        <v>0</v>
      </c>
    </row>
    <row r="2105" spans="1:14" x14ac:dyDescent="0.25">
      <c r="A2105" s="2"/>
      <c r="B2105" t="s">
        <v>5208</v>
      </c>
      <c r="C2105" t="s">
        <v>16</v>
      </c>
      <c r="D2105" t="s">
        <v>86</v>
      </c>
      <c r="E2105" t="s">
        <v>5192</v>
      </c>
      <c r="F2105" t="s">
        <v>5193</v>
      </c>
      <c r="G2105" t="s">
        <v>5209</v>
      </c>
      <c r="H2105" s="3">
        <v>1896.93</v>
      </c>
      <c r="I2105">
        <v>111</v>
      </c>
      <c r="J2105">
        <v>1</v>
      </c>
      <c r="K2105">
        <v>29</v>
      </c>
      <c r="L2105" s="4">
        <v>0.49182510358071901</v>
      </c>
      <c r="M2105" s="4">
        <v>0.50817489641928104</v>
      </c>
      <c r="N2105">
        <v>0</v>
      </c>
    </row>
    <row r="2106" spans="1:14" x14ac:dyDescent="0.25">
      <c r="A2106" s="2"/>
      <c r="B2106" t="s">
        <v>5210</v>
      </c>
      <c r="C2106" t="s">
        <v>16</v>
      </c>
      <c r="D2106" t="s">
        <v>17</v>
      </c>
      <c r="E2106" t="s">
        <v>5211</v>
      </c>
      <c r="F2106" t="s">
        <v>5212</v>
      </c>
      <c r="G2106" t="s">
        <v>5213</v>
      </c>
      <c r="H2106" s="3">
        <v>1999.94</v>
      </c>
      <c r="I2106">
        <v>999</v>
      </c>
      <c r="J2106">
        <v>0</v>
      </c>
      <c r="K2106">
        <v>20</v>
      </c>
      <c r="L2106" s="4">
        <v>3.0420576637769901E-2</v>
      </c>
      <c r="M2106" s="4">
        <v>0.96957942336223002</v>
      </c>
      <c r="N2106">
        <v>0</v>
      </c>
    </row>
    <row r="2107" spans="1:14" x14ac:dyDescent="0.25">
      <c r="A2107" s="2"/>
      <c r="B2107" t="s">
        <v>5214</v>
      </c>
      <c r="C2107" t="s">
        <v>16</v>
      </c>
      <c r="D2107" t="s">
        <v>17</v>
      </c>
      <c r="E2107" t="s">
        <v>5211</v>
      </c>
      <c r="F2107" t="s">
        <v>5212</v>
      </c>
      <c r="G2107" t="s">
        <v>5215</v>
      </c>
      <c r="H2107" s="3">
        <v>2322.5700000000002</v>
      </c>
      <c r="I2107">
        <v>50</v>
      </c>
      <c r="J2107">
        <v>1</v>
      </c>
      <c r="K2107">
        <v>36</v>
      </c>
      <c r="L2107" s="4">
        <v>0.43863044250984901</v>
      </c>
      <c r="M2107" s="4">
        <v>0.56136955749015105</v>
      </c>
      <c r="N2107">
        <v>0</v>
      </c>
    </row>
    <row r="2108" spans="1:14" x14ac:dyDescent="0.25">
      <c r="A2108" s="2"/>
      <c r="C2108" t="s">
        <v>28</v>
      </c>
      <c r="D2108" t="s">
        <v>113</v>
      </c>
      <c r="E2108" t="s">
        <v>5216</v>
      </c>
      <c r="F2108" t="s">
        <v>5217</v>
      </c>
      <c r="G2108" t="s">
        <v>5218</v>
      </c>
      <c r="H2108" s="3">
        <v>2034</v>
      </c>
      <c r="I2108">
        <v>91</v>
      </c>
      <c r="J2108">
        <v>0</v>
      </c>
      <c r="K2108">
        <v>3</v>
      </c>
      <c r="L2108" s="4">
        <v>0.29682423058879298</v>
      </c>
      <c r="M2108" s="4">
        <v>0.70317576941120696</v>
      </c>
      <c r="N2108">
        <v>0</v>
      </c>
    </row>
    <row r="2109" spans="1:14" x14ac:dyDescent="0.25">
      <c r="A2109" s="2"/>
      <c r="B2109" t="s">
        <v>5219</v>
      </c>
      <c r="C2109" t="s">
        <v>16</v>
      </c>
      <c r="D2109" t="s">
        <v>69</v>
      </c>
      <c r="E2109" t="s">
        <v>5220</v>
      </c>
      <c r="F2109" t="s">
        <v>5221</v>
      </c>
      <c r="G2109" t="s">
        <v>5222</v>
      </c>
      <c r="H2109" s="3">
        <v>1112.4000000000001</v>
      </c>
      <c r="I2109">
        <v>204</v>
      </c>
      <c r="J2109">
        <v>0</v>
      </c>
      <c r="K2109">
        <v>18</v>
      </c>
      <c r="L2109" s="4">
        <v>0.67436027838864698</v>
      </c>
      <c r="M2109" s="4">
        <v>0.32563972161135302</v>
      </c>
      <c r="N2109">
        <v>0</v>
      </c>
    </row>
    <row r="2110" spans="1:14" x14ac:dyDescent="0.25">
      <c r="A2110" s="2"/>
      <c r="B2110" t="s">
        <v>5223</v>
      </c>
      <c r="C2110" t="s">
        <v>16</v>
      </c>
      <c r="D2110" t="s">
        <v>17</v>
      </c>
      <c r="E2110" t="s">
        <v>5224</v>
      </c>
      <c r="F2110" t="s">
        <v>5225</v>
      </c>
      <c r="G2110" t="s">
        <v>5226</v>
      </c>
      <c r="H2110" s="3">
        <v>1433.34</v>
      </c>
      <c r="I2110">
        <v>440</v>
      </c>
      <c r="J2110">
        <v>0</v>
      </c>
      <c r="K2110">
        <v>37</v>
      </c>
      <c r="L2110" s="4">
        <v>0.68100951253183495</v>
      </c>
      <c r="M2110" s="4">
        <v>0.318990487468165</v>
      </c>
      <c r="N2110">
        <v>0</v>
      </c>
    </row>
    <row r="2111" spans="1:14" x14ac:dyDescent="0.25">
      <c r="A2111" s="2">
        <v>24035434</v>
      </c>
      <c r="C2111" t="s">
        <v>0</v>
      </c>
      <c r="D2111" t="s">
        <v>17</v>
      </c>
      <c r="E2111" t="s">
        <v>5224</v>
      </c>
      <c r="F2111" t="s">
        <v>5225</v>
      </c>
      <c r="G2111" t="s">
        <v>5227</v>
      </c>
      <c r="H2111" s="3">
        <v>1448.38</v>
      </c>
      <c r="I2111">
        <v>852</v>
      </c>
      <c r="J2111">
        <v>0</v>
      </c>
      <c r="K2111">
        <v>10</v>
      </c>
      <c r="L2111" s="4">
        <v>0.63125573962409598</v>
      </c>
      <c r="M2111" s="4">
        <v>0.36874426037590402</v>
      </c>
      <c r="N2111">
        <v>0</v>
      </c>
    </row>
    <row r="2112" spans="1:14" x14ac:dyDescent="0.25">
      <c r="A2112" s="2"/>
      <c r="B2112" t="s">
        <v>5228</v>
      </c>
      <c r="C2112" t="s">
        <v>16</v>
      </c>
      <c r="D2112" t="s">
        <v>17</v>
      </c>
      <c r="E2112" t="s">
        <v>5224</v>
      </c>
      <c r="F2112" t="s">
        <v>5225</v>
      </c>
      <c r="G2112" t="s">
        <v>5229</v>
      </c>
      <c r="H2112" s="3">
        <v>1477.73</v>
      </c>
      <c r="I2112">
        <v>640</v>
      </c>
      <c r="J2112">
        <v>1</v>
      </c>
      <c r="K2112">
        <v>42</v>
      </c>
      <c r="L2112" s="4">
        <v>0.25562598577537998</v>
      </c>
      <c r="M2112" s="4">
        <v>0.74437401422462002</v>
      </c>
      <c r="N2112">
        <v>0</v>
      </c>
    </row>
    <row r="2113" spans="1:14" x14ac:dyDescent="0.25">
      <c r="A2113" s="2"/>
      <c r="B2113" t="s">
        <v>5230</v>
      </c>
      <c r="C2113" t="s">
        <v>16</v>
      </c>
      <c r="D2113" t="s">
        <v>17</v>
      </c>
      <c r="E2113" t="s">
        <v>5224</v>
      </c>
      <c r="F2113" t="s">
        <v>5225</v>
      </c>
      <c r="G2113" t="s">
        <v>5231</v>
      </c>
      <c r="H2113" s="3">
        <v>2328.84</v>
      </c>
      <c r="I2113">
        <v>511</v>
      </c>
      <c r="J2113">
        <v>0</v>
      </c>
      <c r="K2113">
        <v>22</v>
      </c>
      <c r="L2113" s="4">
        <v>0.37068816920312198</v>
      </c>
      <c r="M2113" s="4">
        <v>0.62931183079687802</v>
      </c>
      <c r="N2113">
        <v>0</v>
      </c>
    </row>
    <row r="2114" spans="1:14" x14ac:dyDescent="0.25">
      <c r="A2114" s="2"/>
      <c r="B2114" t="s">
        <v>5232</v>
      </c>
      <c r="C2114" t="s">
        <v>16</v>
      </c>
      <c r="D2114" t="s">
        <v>17</v>
      </c>
      <c r="E2114" t="s">
        <v>5224</v>
      </c>
      <c r="F2114" t="s">
        <v>5225</v>
      </c>
      <c r="G2114" t="s">
        <v>5233</v>
      </c>
      <c r="H2114" s="3">
        <v>1428.68</v>
      </c>
      <c r="I2114">
        <v>7</v>
      </c>
      <c r="J2114">
        <v>0</v>
      </c>
      <c r="K2114">
        <v>28</v>
      </c>
      <c r="L2114" s="4">
        <v>0.24273934929897301</v>
      </c>
      <c r="M2114" s="4">
        <v>0.75726065070102699</v>
      </c>
      <c r="N2114">
        <v>0</v>
      </c>
    </row>
    <row r="2115" spans="1:14" x14ac:dyDescent="0.25">
      <c r="A2115" s="2">
        <v>23117109</v>
      </c>
      <c r="C2115" t="s">
        <v>0</v>
      </c>
      <c r="D2115" t="s">
        <v>17</v>
      </c>
      <c r="E2115" t="s">
        <v>5234</v>
      </c>
      <c r="F2115" t="s">
        <v>5235</v>
      </c>
      <c r="G2115" t="s">
        <v>5236</v>
      </c>
      <c r="H2115" s="3">
        <v>2352.5300000000002</v>
      </c>
      <c r="I2115">
        <v>258</v>
      </c>
      <c r="J2115">
        <v>1</v>
      </c>
      <c r="K2115">
        <v>22</v>
      </c>
      <c r="L2115" s="4">
        <v>0.91341163218394905</v>
      </c>
      <c r="M2115" s="4">
        <v>8.6588367816050796E-2</v>
      </c>
      <c r="N2115">
        <v>0</v>
      </c>
    </row>
    <row r="2116" spans="1:14" x14ac:dyDescent="0.25">
      <c r="A2116" s="2"/>
      <c r="B2116" t="s">
        <v>5237</v>
      </c>
      <c r="C2116" t="s">
        <v>16</v>
      </c>
      <c r="D2116" t="s">
        <v>17</v>
      </c>
      <c r="E2116" t="s">
        <v>5238</v>
      </c>
      <c r="G2116" t="s">
        <v>5239</v>
      </c>
      <c r="H2116" s="3">
        <v>2451.4899999999998</v>
      </c>
      <c r="I2116">
        <v>686</v>
      </c>
      <c r="J2116">
        <v>0</v>
      </c>
      <c r="K2116">
        <v>14</v>
      </c>
      <c r="L2116" s="4">
        <v>0.75587394162067501</v>
      </c>
      <c r="M2116" s="4">
        <v>0.24412605837932499</v>
      </c>
      <c r="N2116">
        <v>0</v>
      </c>
    </row>
    <row r="2117" spans="1:14" x14ac:dyDescent="0.25">
      <c r="A2117" s="2"/>
      <c r="C2117" t="s">
        <v>28</v>
      </c>
      <c r="D2117" t="s">
        <v>17</v>
      </c>
      <c r="E2117" t="s">
        <v>5240</v>
      </c>
      <c r="G2117" t="s">
        <v>5241</v>
      </c>
      <c r="H2117" s="3">
        <v>1811.23</v>
      </c>
      <c r="J2117">
        <v>1</v>
      </c>
      <c r="K2117">
        <v>46</v>
      </c>
      <c r="L2117" s="4">
        <v>0.211236071485468</v>
      </c>
      <c r="M2117" s="4">
        <v>0.78876392851453203</v>
      </c>
      <c r="N2117">
        <v>0</v>
      </c>
    </row>
    <row r="2118" spans="1:14" x14ac:dyDescent="0.25">
      <c r="A2118" s="2"/>
      <c r="B2118" t="s">
        <v>5242</v>
      </c>
      <c r="C2118" t="s">
        <v>16</v>
      </c>
      <c r="D2118" t="s">
        <v>17</v>
      </c>
      <c r="E2118" t="s">
        <v>5240</v>
      </c>
      <c r="G2118" t="s">
        <v>5243</v>
      </c>
      <c r="H2118" s="3">
        <v>2488.17</v>
      </c>
      <c r="I2118">
        <v>986</v>
      </c>
      <c r="J2118">
        <v>0</v>
      </c>
      <c r="K2118">
        <v>2</v>
      </c>
      <c r="L2118" s="4">
        <v>0.47483892250106102</v>
      </c>
      <c r="M2118" s="4">
        <v>0.52516107749893903</v>
      </c>
      <c r="N2118">
        <v>0</v>
      </c>
    </row>
    <row r="2119" spans="1:14" x14ac:dyDescent="0.25">
      <c r="A2119" s="2"/>
      <c r="B2119" t="s">
        <v>5244</v>
      </c>
      <c r="C2119" t="s">
        <v>16</v>
      </c>
      <c r="D2119" t="s">
        <v>352</v>
      </c>
      <c r="E2119" t="s">
        <v>5245</v>
      </c>
      <c r="F2119" t="s">
        <v>5246</v>
      </c>
      <c r="G2119" t="s">
        <v>5247</v>
      </c>
      <c r="H2119" s="3">
        <v>2040</v>
      </c>
      <c r="I2119">
        <v>274</v>
      </c>
      <c r="J2119">
        <v>1</v>
      </c>
      <c r="K2119">
        <v>32</v>
      </c>
      <c r="L2119" s="4">
        <v>0.89902438035840104</v>
      </c>
      <c r="M2119" s="4">
        <v>0.100975619641599</v>
      </c>
      <c r="N2119">
        <v>0</v>
      </c>
    </row>
    <row r="2120" spans="1:14" x14ac:dyDescent="0.25">
      <c r="A2120" s="2"/>
      <c r="B2120" t="s">
        <v>5248</v>
      </c>
      <c r="C2120" t="s">
        <v>16</v>
      </c>
      <c r="D2120" t="s">
        <v>148</v>
      </c>
      <c r="E2120" t="s">
        <v>5249</v>
      </c>
      <c r="F2120" t="s">
        <v>5246</v>
      </c>
      <c r="G2120" t="s">
        <v>5250</v>
      </c>
      <c r="H2120" s="3">
        <v>993.3</v>
      </c>
      <c r="I2120">
        <v>556</v>
      </c>
      <c r="J2120">
        <v>1</v>
      </c>
      <c r="L2120" s="4">
        <v>0.61170265574946703</v>
      </c>
      <c r="M2120" s="4">
        <v>0.38829734425053303</v>
      </c>
      <c r="N2120">
        <v>0</v>
      </c>
    </row>
    <row r="2121" spans="1:14" x14ac:dyDescent="0.25">
      <c r="A2121" s="2"/>
      <c r="B2121" t="s">
        <v>5251</v>
      </c>
      <c r="C2121" t="s">
        <v>16</v>
      </c>
      <c r="D2121" t="s">
        <v>17</v>
      </c>
      <c r="E2121" t="s">
        <v>5252</v>
      </c>
      <c r="F2121" t="s">
        <v>5253</v>
      </c>
      <c r="G2121" t="s">
        <v>5254</v>
      </c>
      <c r="H2121" s="3">
        <v>1435.05</v>
      </c>
      <c r="I2121">
        <v>93</v>
      </c>
      <c r="J2121">
        <v>1</v>
      </c>
      <c r="K2121">
        <v>12</v>
      </c>
      <c r="L2121" s="4">
        <v>0.78537373064345495</v>
      </c>
      <c r="M2121" s="4">
        <v>0.214626269356545</v>
      </c>
      <c r="N2121">
        <v>0</v>
      </c>
    </row>
    <row r="2122" spans="1:14" x14ac:dyDescent="0.25">
      <c r="A2122" s="2">
        <v>23562481</v>
      </c>
      <c r="C2122" t="s">
        <v>0</v>
      </c>
      <c r="D2122" t="s">
        <v>5255</v>
      </c>
      <c r="E2122" t="s">
        <v>5252</v>
      </c>
      <c r="F2122" t="s">
        <v>5253</v>
      </c>
      <c r="G2122" t="s">
        <v>5256</v>
      </c>
      <c r="H2122" s="3">
        <v>2421.96</v>
      </c>
      <c r="I2122">
        <v>933</v>
      </c>
      <c r="J2122">
        <v>1</v>
      </c>
      <c r="K2122">
        <v>29</v>
      </c>
      <c r="L2122" s="4">
        <v>0.24088080915690499</v>
      </c>
      <c r="M2122" s="4">
        <v>0.75911919084309498</v>
      </c>
      <c r="N2122">
        <v>0</v>
      </c>
    </row>
    <row r="2123" spans="1:14" x14ac:dyDescent="0.25">
      <c r="A2123" s="2"/>
      <c r="B2123" t="s">
        <v>5257</v>
      </c>
      <c r="C2123" t="s">
        <v>16</v>
      </c>
      <c r="D2123" t="s">
        <v>148</v>
      </c>
      <c r="E2123" t="s">
        <v>5258</v>
      </c>
      <c r="F2123" t="s">
        <v>5259</v>
      </c>
      <c r="G2123" t="s">
        <v>5260</v>
      </c>
      <c r="H2123" s="3">
        <v>1242</v>
      </c>
      <c r="I2123">
        <v>217</v>
      </c>
      <c r="J2123">
        <v>0</v>
      </c>
      <c r="K2123">
        <v>5</v>
      </c>
      <c r="L2123" s="4">
        <v>0.380740546085791</v>
      </c>
      <c r="M2123" s="4">
        <v>0.619259453914209</v>
      </c>
      <c r="N2123">
        <v>0</v>
      </c>
    </row>
    <row r="2124" spans="1:14" x14ac:dyDescent="0.25">
      <c r="A2124" s="2">
        <v>23201205</v>
      </c>
      <c r="C2124" t="s">
        <v>0</v>
      </c>
      <c r="D2124" t="s">
        <v>17</v>
      </c>
      <c r="E2124" t="s">
        <v>5261</v>
      </c>
      <c r="F2124" t="s">
        <v>5262</v>
      </c>
      <c r="G2124" t="s">
        <v>5263</v>
      </c>
      <c r="H2124" s="3">
        <v>1947.09</v>
      </c>
      <c r="I2124">
        <v>282</v>
      </c>
      <c r="J2124">
        <v>0</v>
      </c>
      <c r="K2124">
        <v>24</v>
      </c>
      <c r="L2124" s="4">
        <v>0.30084912643226103</v>
      </c>
      <c r="M2124" s="4">
        <v>0.69915087356773897</v>
      </c>
      <c r="N2124">
        <v>0</v>
      </c>
    </row>
    <row r="2125" spans="1:14" x14ac:dyDescent="0.25">
      <c r="A2125" s="2"/>
      <c r="C2125" t="s">
        <v>28</v>
      </c>
      <c r="D2125" t="s">
        <v>17</v>
      </c>
      <c r="E2125" t="s">
        <v>5264</v>
      </c>
      <c r="G2125" t="s">
        <v>5265</v>
      </c>
      <c r="H2125" s="3">
        <v>1456.18</v>
      </c>
      <c r="J2125">
        <v>0</v>
      </c>
      <c r="K2125">
        <v>3</v>
      </c>
      <c r="L2125" s="4">
        <v>0.82963693186894405</v>
      </c>
      <c r="M2125" s="4">
        <v>0.17036306813105601</v>
      </c>
      <c r="N2125">
        <v>0</v>
      </c>
    </row>
    <row r="2126" spans="1:14" x14ac:dyDescent="0.25">
      <c r="A2126" s="2">
        <v>23200744</v>
      </c>
      <c r="B2126" t="s">
        <v>5266</v>
      </c>
      <c r="C2126" t="s">
        <v>31</v>
      </c>
      <c r="D2126" t="s">
        <v>17</v>
      </c>
      <c r="E2126" t="s">
        <v>5264</v>
      </c>
      <c r="G2126" t="s">
        <v>5267</v>
      </c>
      <c r="H2126" s="3">
        <v>2385.25</v>
      </c>
      <c r="I2126">
        <v>184</v>
      </c>
      <c r="J2126">
        <v>0</v>
      </c>
      <c r="K2126">
        <v>47</v>
      </c>
      <c r="L2126" s="4">
        <v>0.53225756494660104</v>
      </c>
      <c r="M2126" s="4">
        <v>0.46774243505339902</v>
      </c>
      <c r="N2126">
        <v>0</v>
      </c>
    </row>
    <row r="2127" spans="1:14" x14ac:dyDescent="0.25">
      <c r="A2127" s="2"/>
      <c r="B2127" t="s">
        <v>5268</v>
      </c>
      <c r="C2127" t="s">
        <v>16</v>
      </c>
      <c r="D2127" t="s">
        <v>113</v>
      </c>
      <c r="E2127" t="s">
        <v>5269</v>
      </c>
      <c r="F2127" t="s">
        <v>5270</v>
      </c>
      <c r="G2127" t="s">
        <v>5271</v>
      </c>
      <c r="H2127" s="3">
        <v>2034</v>
      </c>
      <c r="I2127">
        <v>181</v>
      </c>
      <c r="J2127">
        <v>0</v>
      </c>
      <c r="K2127">
        <v>43</v>
      </c>
      <c r="L2127" s="4">
        <v>0.37214839280870599</v>
      </c>
      <c r="M2127" s="4">
        <v>0.62785160719129396</v>
      </c>
      <c r="N2127">
        <v>0</v>
      </c>
    </row>
    <row r="2128" spans="1:14" x14ac:dyDescent="0.25">
      <c r="A2128" s="2"/>
      <c r="B2128" t="s">
        <v>5272</v>
      </c>
      <c r="C2128" t="s">
        <v>16</v>
      </c>
      <c r="D2128" t="s">
        <v>86</v>
      </c>
      <c r="E2128" t="s">
        <v>5273</v>
      </c>
      <c r="F2128" t="s">
        <v>5274</v>
      </c>
      <c r="G2128" t="s">
        <v>5275</v>
      </c>
      <c r="H2128" s="3">
        <v>2272.15</v>
      </c>
      <c r="I2128">
        <v>370</v>
      </c>
      <c r="J2128">
        <v>1</v>
      </c>
      <c r="L2128" s="4">
        <v>0.22036822888770199</v>
      </c>
      <c r="M2128" s="4">
        <v>0.77963177111229798</v>
      </c>
      <c r="N2128">
        <v>0</v>
      </c>
    </row>
  </sheetData>
  <autoFilter ref="A1:O212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zoomScaleNormal="100" workbookViewId="0"/>
  </sheetViews>
  <sheetFormatPr defaultColWidth="8.59765625" defaultRowHeight="13.8" x14ac:dyDescent="0.25"/>
  <cols>
    <col min="1" max="1" width="44" customWidth="1"/>
    <col min="2" max="6" width="18" customWidth="1"/>
  </cols>
  <sheetData>
    <row r="1" spans="1:6" ht="17.399999999999999" x14ac:dyDescent="0.3">
      <c r="A1" s="8" t="s">
        <v>5276</v>
      </c>
    </row>
    <row r="3" spans="1:6" x14ac:dyDescent="0.25">
      <c r="A3" s="9" t="s">
        <v>5277</v>
      </c>
    </row>
    <row r="4" spans="1:6" x14ac:dyDescent="0.25">
      <c r="A4" s="10" t="s">
        <v>2</v>
      </c>
      <c r="B4" s="10" t="s">
        <v>5278</v>
      </c>
      <c r="C4" s="10" t="s">
        <v>5279</v>
      </c>
    </row>
    <row r="5" spans="1:6" x14ac:dyDescent="0.25">
      <c r="A5" t="s">
        <v>16</v>
      </c>
      <c r="B5">
        <f>COUNTIF(Cleaned!$C$2:$C$2128,A5)</f>
        <v>1391</v>
      </c>
      <c r="C5" s="11">
        <f>B5/B$9</f>
        <v>0.65397273154677948</v>
      </c>
    </row>
    <row r="6" spans="1:6" x14ac:dyDescent="0.25">
      <c r="A6" t="s">
        <v>0</v>
      </c>
      <c r="B6">
        <f>COUNTIF(Cleaned!$C$2:$C$2128,A6)</f>
        <v>197</v>
      </c>
      <c r="C6" s="11">
        <f>B6/B$9</f>
        <v>9.2618711800658199E-2</v>
      </c>
    </row>
    <row r="7" spans="1:6" x14ac:dyDescent="0.25">
      <c r="A7" t="s">
        <v>31</v>
      </c>
      <c r="B7">
        <f>COUNTIF(Cleaned!$C$2:$C$2128,A7)</f>
        <v>257</v>
      </c>
      <c r="C7" s="11">
        <f>B7/B$9</f>
        <v>0.12082745651151858</v>
      </c>
    </row>
    <row r="8" spans="1:6" x14ac:dyDescent="0.25">
      <c r="A8" t="s">
        <v>28</v>
      </c>
      <c r="B8">
        <f>COUNTIF(Cleaned!$C$2:$C$2128,A8)</f>
        <v>282</v>
      </c>
      <c r="C8" s="11">
        <f>B8/B$9</f>
        <v>0.13258110014104371</v>
      </c>
    </row>
    <row r="9" spans="1:6" x14ac:dyDescent="0.25">
      <c r="A9" s="9" t="s">
        <v>5280</v>
      </c>
      <c r="B9" s="9">
        <f>SUM(B5:B8)</f>
        <v>2127</v>
      </c>
    </row>
    <row r="10" spans="1:6" x14ac:dyDescent="0.25">
      <c r="A10" t="s">
        <v>5281</v>
      </c>
      <c r="B10">
        <f>B5+B7</f>
        <v>1648</v>
      </c>
    </row>
    <row r="11" spans="1:6" x14ac:dyDescent="0.25">
      <c r="A11" t="s">
        <v>5282</v>
      </c>
      <c r="B11">
        <f>B6+B7</f>
        <v>454</v>
      </c>
    </row>
    <row r="13" spans="1:6" x14ac:dyDescent="0.25">
      <c r="A13" s="9" t="s">
        <v>5283</v>
      </c>
    </row>
    <row r="14" spans="1:6" ht="31.5" customHeight="1" x14ac:dyDescent="0.25">
      <c r="A14" s="12" t="s">
        <v>5284</v>
      </c>
      <c r="B14" s="12" t="s">
        <v>5285</v>
      </c>
      <c r="C14" s="12" t="s">
        <v>5286</v>
      </c>
      <c r="D14" s="12" t="s">
        <v>5287</v>
      </c>
      <c r="E14" s="12" t="s">
        <v>5288</v>
      </c>
      <c r="F14" s="12" t="s">
        <v>5289</v>
      </c>
    </row>
    <row r="15" spans="1:6" x14ac:dyDescent="0.25">
      <c r="A15" t="s">
        <v>5290</v>
      </c>
      <c r="B15">
        <v>199</v>
      </c>
      <c r="C15">
        <v>0</v>
      </c>
      <c r="D15">
        <v>83</v>
      </c>
      <c r="E15">
        <f>COUNTBLANK(Cleaned!C2:C2128)*0+COUNTIF(Cleaned!C$2:C$2128,"Blank")</f>
        <v>282</v>
      </c>
      <c r="F15">
        <v>0</v>
      </c>
    </row>
    <row r="16" spans="1:6" x14ac:dyDescent="0.25">
      <c r="A16" t="s">
        <v>3</v>
      </c>
      <c r="B16">
        <v>0</v>
      </c>
      <c r="C16">
        <v>0</v>
      </c>
      <c r="D16">
        <v>0</v>
      </c>
      <c r="E16">
        <f>COUNTBLANK(Cleaned!D2:D2128)</f>
        <v>0</v>
      </c>
      <c r="F16">
        <f>COUNTIF(Cleaned!D2:D2128,"na")</f>
        <v>0</v>
      </c>
    </row>
    <row r="17" spans="1:6" x14ac:dyDescent="0.25">
      <c r="A17" t="s">
        <v>4</v>
      </c>
      <c r="B17">
        <v>0</v>
      </c>
      <c r="C17">
        <v>1</v>
      </c>
      <c r="D17">
        <v>0</v>
      </c>
      <c r="E17">
        <f>COUNTBLANK(Cleaned!E2:E2128)</f>
        <v>1</v>
      </c>
      <c r="F17">
        <f>COUNTIF(Cleaned!E2:E2128,"na")</f>
        <v>0</v>
      </c>
    </row>
    <row r="18" spans="1:6" x14ac:dyDescent="0.25">
      <c r="A18" t="s">
        <v>5</v>
      </c>
      <c r="B18">
        <v>67</v>
      </c>
      <c r="C18">
        <v>0</v>
      </c>
      <c r="D18">
        <v>0</v>
      </c>
      <c r="E18">
        <f>COUNTBLANK(Cleaned!F2:F2128)</f>
        <v>67</v>
      </c>
      <c r="F18">
        <f>COUNTIF(Cleaned!F2:F2128,"na")</f>
        <v>0</v>
      </c>
    </row>
    <row r="19" spans="1:6" x14ac:dyDescent="0.25">
      <c r="A19" t="s">
        <v>6</v>
      </c>
      <c r="B19">
        <v>0</v>
      </c>
      <c r="C19">
        <v>0</v>
      </c>
      <c r="D19">
        <v>0</v>
      </c>
      <c r="E19">
        <f>COUNTBLANK(Cleaned!G2:G2128)</f>
        <v>0</v>
      </c>
      <c r="F19">
        <f>COUNTIF(Cleaned!G2:G2128,"na")</f>
        <v>0</v>
      </c>
    </row>
    <row r="20" spans="1:6" x14ac:dyDescent="0.25">
      <c r="A20" t="s">
        <v>7</v>
      </c>
      <c r="B20">
        <v>0</v>
      </c>
      <c r="C20">
        <v>0</v>
      </c>
      <c r="D20">
        <v>0</v>
      </c>
      <c r="E20">
        <f>COUNTBLANK(Cleaned!H2:H2128)</f>
        <v>1</v>
      </c>
      <c r="F20">
        <f>COUNTIF(Cleaned!H2:H2128,"na")</f>
        <v>0</v>
      </c>
    </row>
    <row r="21" spans="1:6" x14ac:dyDescent="0.25">
      <c r="A21" t="s">
        <v>8</v>
      </c>
      <c r="B21">
        <v>206</v>
      </c>
      <c r="C21">
        <v>0</v>
      </c>
      <c r="D21">
        <v>0</v>
      </c>
      <c r="E21">
        <f>COUNTBLANK(Cleaned!I2:I2128)</f>
        <v>206</v>
      </c>
      <c r="F21">
        <f>COUNTIF(Cleaned!I2:I2128,"na")</f>
        <v>0</v>
      </c>
    </row>
    <row r="22" spans="1:6" x14ac:dyDescent="0.25">
      <c r="A22" t="s">
        <v>9</v>
      </c>
      <c r="B22">
        <v>66</v>
      </c>
      <c r="C22">
        <v>0</v>
      </c>
      <c r="D22">
        <v>0</v>
      </c>
      <c r="E22">
        <f>COUNTBLANK(Cleaned!J2:J2128)</f>
        <v>66</v>
      </c>
      <c r="F22">
        <f>COUNTIF(Cleaned!J2:J2128,"na")</f>
        <v>0</v>
      </c>
    </row>
    <row r="23" spans="1:6" x14ac:dyDescent="0.25">
      <c r="A23" t="s">
        <v>10</v>
      </c>
      <c r="B23">
        <v>0</v>
      </c>
      <c r="C23">
        <v>227</v>
      </c>
      <c r="D23">
        <v>0</v>
      </c>
      <c r="E23">
        <f>COUNTBLANK(Cleaned!K2:K2128)</f>
        <v>227</v>
      </c>
      <c r="F23">
        <f>COUNTIF(Cleaned!K2:K2128,"na")</f>
        <v>0</v>
      </c>
    </row>
    <row r="24" spans="1:6" x14ac:dyDescent="0.25">
      <c r="A24" t="s">
        <v>11</v>
      </c>
      <c r="B24">
        <v>0</v>
      </c>
      <c r="C24">
        <v>0</v>
      </c>
      <c r="D24">
        <v>0</v>
      </c>
      <c r="E24">
        <f>COUNTBLANK(Cleaned!L2:L2128)</f>
        <v>0</v>
      </c>
      <c r="F24">
        <f>COUNTIF(Cleaned!L2:L2128,"na")</f>
        <v>0</v>
      </c>
    </row>
    <row r="25" spans="1:6" x14ac:dyDescent="0.25">
      <c r="A25" t="s">
        <v>12</v>
      </c>
      <c r="B25">
        <v>0</v>
      </c>
      <c r="C25">
        <v>0</v>
      </c>
      <c r="D25">
        <v>0</v>
      </c>
      <c r="E25">
        <f>COUNTBLANK(Cleaned!M2:M2128)</f>
        <v>0</v>
      </c>
      <c r="F25">
        <f>COUNTIF(Cleaned!M2:M2128,"na")</f>
        <v>0</v>
      </c>
    </row>
    <row r="26" spans="1:6" x14ac:dyDescent="0.25">
      <c r="A26" t="s">
        <v>13</v>
      </c>
      <c r="B26">
        <v>0</v>
      </c>
      <c r="C26">
        <v>0</v>
      </c>
      <c r="D26">
        <v>0</v>
      </c>
      <c r="E26">
        <f>COUNTBLANK(Cleaned!N2:N2128)</f>
        <v>0</v>
      </c>
      <c r="F26">
        <f>COUNTIF(Cleaned!N2:N2128,"na")</f>
        <v>0</v>
      </c>
    </row>
    <row r="28" spans="1:6" x14ac:dyDescent="0.25">
      <c r="A28" t="s">
        <v>5291</v>
      </c>
    </row>
    <row r="29" spans="1:6" x14ac:dyDescent="0.25">
      <c r="A29" t="s">
        <v>5292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zoomScaleNormal="100" workbookViewId="0">
      <pane ySplit="1" topLeftCell="A2" activePane="bottomLeft" state="frozen"/>
      <selection pane="bottomLeft"/>
    </sheetView>
  </sheetViews>
  <sheetFormatPr defaultColWidth="8.59765625" defaultRowHeight="13.8" x14ac:dyDescent="0.25"/>
  <cols>
    <col min="1" max="1" width="10" customWidth="1"/>
    <col min="2" max="2" width="14" customWidth="1"/>
    <col min="3" max="3" width="60" customWidth="1"/>
    <col min="4" max="4" width="70" customWidth="1"/>
  </cols>
  <sheetData>
    <row r="1" spans="1:4" x14ac:dyDescent="0.25">
      <c r="A1" s="1" t="s">
        <v>5293</v>
      </c>
      <c r="B1" s="1" t="s">
        <v>5294</v>
      </c>
      <c r="C1" s="1" t="s">
        <v>5295</v>
      </c>
      <c r="D1" s="1" t="s">
        <v>5296</v>
      </c>
    </row>
    <row r="2" spans="1:4" x14ac:dyDescent="0.25">
      <c r="A2">
        <v>24</v>
      </c>
      <c r="B2" t="s">
        <v>7</v>
      </c>
      <c r="C2" t="s">
        <v>5297</v>
      </c>
      <c r="D2" t="s">
        <v>84</v>
      </c>
    </row>
    <row r="3" spans="1:4" x14ac:dyDescent="0.25">
      <c r="A3">
        <v>86</v>
      </c>
      <c r="B3" t="s">
        <v>7</v>
      </c>
      <c r="C3" t="s">
        <v>5298</v>
      </c>
      <c r="D3" t="s">
        <v>266</v>
      </c>
    </row>
    <row r="4" spans="1:4" x14ac:dyDescent="0.25">
      <c r="A4">
        <v>1343</v>
      </c>
      <c r="B4" t="s">
        <v>7</v>
      </c>
      <c r="C4" t="s">
        <v>5299</v>
      </c>
      <c r="D4" t="s">
        <v>3503</v>
      </c>
    </row>
    <row r="5" spans="1:4" x14ac:dyDescent="0.25">
      <c r="A5">
        <v>1931</v>
      </c>
      <c r="B5" t="s">
        <v>7</v>
      </c>
      <c r="C5" t="s">
        <v>5300</v>
      </c>
      <c r="D5" t="s">
        <v>3503</v>
      </c>
    </row>
    <row r="6" spans="1:4" x14ac:dyDescent="0.25">
      <c r="A6">
        <v>2064</v>
      </c>
      <c r="B6" t="s">
        <v>7</v>
      </c>
      <c r="C6" t="s">
        <v>5301</v>
      </c>
      <c r="D6" t="s">
        <v>3503</v>
      </c>
    </row>
    <row r="7" spans="1:4" x14ac:dyDescent="0.25">
      <c r="A7">
        <v>476</v>
      </c>
      <c r="B7" t="s">
        <v>3</v>
      </c>
      <c r="C7" t="s">
        <v>1249</v>
      </c>
      <c r="D7" t="s">
        <v>5302</v>
      </c>
    </row>
    <row r="8" spans="1:4" x14ac:dyDescent="0.25">
      <c r="A8">
        <v>587</v>
      </c>
      <c r="B8" t="s">
        <v>3</v>
      </c>
      <c r="C8" t="s">
        <v>1526</v>
      </c>
      <c r="D8" t="s">
        <v>5302</v>
      </c>
    </row>
    <row r="9" spans="1:4" x14ac:dyDescent="0.25">
      <c r="A9">
        <v>882</v>
      </c>
      <c r="B9" t="s">
        <v>3</v>
      </c>
      <c r="C9" t="s">
        <v>2352</v>
      </c>
      <c r="D9" t="s">
        <v>5302</v>
      </c>
    </row>
    <row r="10" spans="1:4" x14ac:dyDescent="0.25">
      <c r="A10">
        <v>1189</v>
      </c>
      <c r="B10" t="s">
        <v>3</v>
      </c>
      <c r="C10" t="s">
        <v>3120</v>
      </c>
      <c r="D10" t="s">
        <v>5302</v>
      </c>
    </row>
    <row r="11" spans="1:4" x14ac:dyDescent="0.25">
      <c r="A11">
        <v>1192</v>
      </c>
      <c r="B11" t="s">
        <v>3</v>
      </c>
      <c r="C11" t="s">
        <v>3130</v>
      </c>
      <c r="D11" t="s">
        <v>5302</v>
      </c>
    </row>
    <row r="12" spans="1:4" x14ac:dyDescent="0.25">
      <c r="A12">
        <v>1248</v>
      </c>
      <c r="B12" t="s">
        <v>3</v>
      </c>
      <c r="C12" t="s">
        <v>3271</v>
      </c>
      <c r="D12" t="s">
        <v>5302</v>
      </c>
    </row>
    <row r="13" spans="1:4" x14ac:dyDescent="0.25">
      <c r="A13">
        <v>1931</v>
      </c>
      <c r="B13" t="s">
        <v>3</v>
      </c>
      <c r="C13" t="s">
        <v>4761</v>
      </c>
      <c r="D13" t="s">
        <v>5302</v>
      </c>
    </row>
    <row r="14" spans="1:4" x14ac:dyDescent="0.25">
      <c r="A14">
        <v>2122</v>
      </c>
      <c r="B14" t="s">
        <v>3</v>
      </c>
      <c r="C14" t="s">
        <v>5255</v>
      </c>
      <c r="D14" t="s">
        <v>5302</v>
      </c>
    </row>
    <row r="15" spans="1:4" x14ac:dyDescent="0.25">
      <c r="A15">
        <v>56</v>
      </c>
      <c r="B15" t="s">
        <v>4</v>
      </c>
      <c r="C15" t="s">
        <v>22</v>
      </c>
      <c r="D15" t="s">
        <v>5303</v>
      </c>
    </row>
    <row r="16" spans="1:4" x14ac:dyDescent="0.25">
      <c r="A16">
        <v>86</v>
      </c>
      <c r="B16" t="s">
        <v>4</v>
      </c>
      <c r="C16" t="s">
        <v>263</v>
      </c>
      <c r="D16" t="s">
        <v>5303</v>
      </c>
    </row>
    <row r="17" spans="1:4" x14ac:dyDescent="0.25">
      <c r="A17">
        <v>207</v>
      </c>
      <c r="B17" t="s">
        <v>4</v>
      </c>
      <c r="C17" t="s">
        <v>148</v>
      </c>
      <c r="D17" t="s">
        <v>5303</v>
      </c>
    </row>
    <row r="18" spans="1:4" x14ac:dyDescent="0.25">
      <c r="A18">
        <v>223</v>
      </c>
      <c r="B18" t="s">
        <v>4</v>
      </c>
      <c r="C18" t="s">
        <v>627</v>
      </c>
      <c r="D18" t="s">
        <v>5304</v>
      </c>
    </row>
    <row r="19" spans="1:4" x14ac:dyDescent="0.25">
      <c r="A19">
        <v>555</v>
      </c>
      <c r="B19" t="s">
        <v>4</v>
      </c>
      <c r="C19" t="s">
        <v>17</v>
      </c>
      <c r="D19" t="s">
        <v>5303</v>
      </c>
    </row>
    <row r="20" spans="1:4" x14ac:dyDescent="0.25">
      <c r="A20">
        <v>556</v>
      </c>
      <c r="B20" t="s">
        <v>4</v>
      </c>
      <c r="C20" t="s">
        <v>17</v>
      </c>
      <c r="D20" t="s">
        <v>5303</v>
      </c>
    </row>
    <row r="21" spans="1:4" x14ac:dyDescent="0.25">
      <c r="A21">
        <v>557</v>
      </c>
      <c r="B21" t="s">
        <v>4</v>
      </c>
      <c r="C21" t="s">
        <v>17</v>
      </c>
      <c r="D21" t="s">
        <v>5303</v>
      </c>
    </row>
    <row r="22" spans="1:4" x14ac:dyDescent="0.25">
      <c r="A22">
        <v>558</v>
      </c>
      <c r="B22" t="s">
        <v>4</v>
      </c>
      <c r="C22" t="s">
        <v>17</v>
      </c>
      <c r="D22" t="s">
        <v>5303</v>
      </c>
    </row>
    <row r="23" spans="1:4" x14ac:dyDescent="0.25">
      <c r="A23">
        <v>559</v>
      </c>
      <c r="B23" t="s">
        <v>4</v>
      </c>
      <c r="C23" t="s">
        <v>17</v>
      </c>
      <c r="D23" t="s">
        <v>5303</v>
      </c>
    </row>
    <row r="24" spans="1:4" x14ac:dyDescent="0.25">
      <c r="A24">
        <v>560</v>
      </c>
      <c r="B24" t="s">
        <v>4</v>
      </c>
      <c r="C24" t="s">
        <v>17</v>
      </c>
      <c r="D24" t="s">
        <v>5303</v>
      </c>
    </row>
    <row r="25" spans="1:4" x14ac:dyDescent="0.25">
      <c r="A25">
        <v>561</v>
      </c>
      <c r="B25" t="s">
        <v>4</v>
      </c>
      <c r="C25" t="s">
        <v>17</v>
      </c>
      <c r="D25" t="s">
        <v>5303</v>
      </c>
    </row>
    <row r="26" spans="1:4" x14ac:dyDescent="0.25">
      <c r="A26">
        <v>562</v>
      </c>
      <c r="B26" t="s">
        <v>4</v>
      </c>
      <c r="C26" t="s">
        <v>1460</v>
      </c>
      <c r="D26" t="s">
        <v>5303</v>
      </c>
    </row>
    <row r="27" spans="1:4" x14ac:dyDescent="0.25">
      <c r="A27">
        <v>680</v>
      </c>
      <c r="B27" t="s">
        <v>4</v>
      </c>
      <c r="C27" t="s">
        <v>1783</v>
      </c>
      <c r="D27" t="s">
        <v>5303</v>
      </c>
    </row>
    <row r="28" spans="1:4" x14ac:dyDescent="0.25">
      <c r="A28">
        <v>1343</v>
      </c>
      <c r="B28" t="s">
        <v>4</v>
      </c>
      <c r="C28" t="s">
        <v>5305</v>
      </c>
      <c r="D28" t="s">
        <v>5306</v>
      </c>
    </row>
    <row r="29" spans="1:4" x14ac:dyDescent="0.25">
      <c r="A29">
        <v>1346</v>
      </c>
      <c r="B29" t="s">
        <v>4</v>
      </c>
      <c r="C29" t="s">
        <v>3510</v>
      </c>
      <c r="D29" t="s">
        <v>5303</v>
      </c>
    </row>
    <row r="30" spans="1:4" x14ac:dyDescent="0.25">
      <c r="A30">
        <v>1347</v>
      </c>
      <c r="B30" t="s">
        <v>4</v>
      </c>
      <c r="C30" t="s">
        <v>3510</v>
      </c>
      <c r="D30" t="s">
        <v>5303</v>
      </c>
    </row>
    <row r="31" spans="1:4" x14ac:dyDescent="0.25">
      <c r="A31">
        <v>1348</v>
      </c>
      <c r="B31" t="s">
        <v>4</v>
      </c>
      <c r="C31" t="s">
        <v>3510</v>
      </c>
      <c r="D31" t="s">
        <v>5303</v>
      </c>
    </row>
    <row r="32" spans="1:4" x14ac:dyDescent="0.25">
      <c r="A32">
        <v>1370</v>
      </c>
      <c r="B32" t="s">
        <v>4</v>
      </c>
      <c r="C32" t="s">
        <v>3564</v>
      </c>
      <c r="D32" t="s">
        <v>5304</v>
      </c>
    </row>
    <row r="33" spans="1:4" x14ac:dyDescent="0.25">
      <c r="A33">
        <v>1371</v>
      </c>
      <c r="B33" t="s">
        <v>4</v>
      </c>
      <c r="C33" t="s">
        <v>3564</v>
      </c>
      <c r="D33" t="s">
        <v>5304</v>
      </c>
    </row>
    <row r="34" spans="1:4" x14ac:dyDescent="0.25">
      <c r="A34">
        <v>1505</v>
      </c>
      <c r="B34" t="s">
        <v>4</v>
      </c>
      <c r="C34" t="s">
        <v>3869</v>
      </c>
      <c r="D34" t="s">
        <v>5303</v>
      </c>
    </row>
    <row r="35" spans="1:4" x14ac:dyDescent="0.25">
      <c r="A35">
        <v>1506</v>
      </c>
      <c r="B35" t="s">
        <v>4</v>
      </c>
      <c r="C35" t="s">
        <v>3869</v>
      </c>
      <c r="D35" t="s">
        <v>5303</v>
      </c>
    </row>
    <row r="36" spans="1:4" x14ac:dyDescent="0.25">
      <c r="A36">
        <v>1514</v>
      </c>
      <c r="B36" t="s">
        <v>4</v>
      </c>
      <c r="C36" t="s">
        <v>3900</v>
      </c>
      <c r="D36" t="s">
        <v>5303</v>
      </c>
    </row>
    <row r="37" spans="1:4" x14ac:dyDescent="0.25">
      <c r="A37">
        <v>1515</v>
      </c>
      <c r="B37" t="s">
        <v>4</v>
      </c>
      <c r="C37" t="s">
        <v>110</v>
      </c>
      <c r="D37" t="s">
        <v>5303</v>
      </c>
    </row>
    <row r="38" spans="1:4" x14ac:dyDescent="0.25">
      <c r="A38">
        <v>1844</v>
      </c>
      <c r="B38" t="s">
        <v>4</v>
      </c>
      <c r="C38" t="s">
        <v>5307</v>
      </c>
      <c r="D38" t="s">
        <v>5308</v>
      </c>
    </row>
    <row r="39" spans="1:4" x14ac:dyDescent="0.25">
      <c r="A39">
        <v>1854</v>
      </c>
      <c r="B39" t="s">
        <v>4</v>
      </c>
      <c r="C39" t="s">
        <v>5309</v>
      </c>
      <c r="D39" t="s">
        <v>5308</v>
      </c>
    </row>
    <row r="40" spans="1:4" x14ac:dyDescent="0.25">
      <c r="A40">
        <v>1929</v>
      </c>
      <c r="B40" t="s">
        <v>4</v>
      </c>
      <c r="C40" t="s">
        <v>547</v>
      </c>
      <c r="D40" t="s">
        <v>5303</v>
      </c>
    </row>
    <row r="41" spans="1:4" x14ac:dyDescent="0.25">
      <c r="A41">
        <v>1931</v>
      </c>
      <c r="B41" t="s">
        <v>4</v>
      </c>
      <c r="C41" t="s">
        <v>4762</v>
      </c>
      <c r="D41" t="s">
        <v>5304</v>
      </c>
    </row>
    <row r="42" spans="1:4" x14ac:dyDescent="0.25">
      <c r="A42">
        <v>1953</v>
      </c>
      <c r="B42" t="s">
        <v>4</v>
      </c>
      <c r="C42" t="s">
        <v>5310</v>
      </c>
      <c r="D42" t="s">
        <v>5308</v>
      </c>
    </row>
    <row r="43" spans="1:4" x14ac:dyDescent="0.25">
      <c r="A43">
        <v>1961</v>
      </c>
      <c r="B43" t="s">
        <v>4</v>
      </c>
      <c r="C43" t="s">
        <v>4852</v>
      </c>
      <c r="D43" t="s">
        <v>5304</v>
      </c>
    </row>
    <row r="44" spans="1:4" x14ac:dyDescent="0.25">
      <c r="A44">
        <v>1962</v>
      </c>
      <c r="B44" t="s">
        <v>4</v>
      </c>
      <c r="C44" t="s">
        <v>4852</v>
      </c>
      <c r="D44" t="s">
        <v>5304</v>
      </c>
    </row>
    <row r="45" spans="1:4" x14ac:dyDescent="0.25">
      <c r="A45">
        <v>1966</v>
      </c>
      <c r="B45" t="s">
        <v>4</v>
      </c>
      <c r="C45" t="s">
        <v>5311</v>
      </c>
      <c r="D45" t="s">
        <v>5308</v>
      </c>
    </row>
    <row r="46" spans="1:4" x14ac:dyDescent="0.25">
      <c r="A46">
        <v>2001</v>
      </c>
      <c r="B46" t="s">
        <v>4</v>
      </c>
      <c r="C46" t="s">
        <v>69</v>
      </c>
      <c r="D46" t="s">
        <v>5303</v>
      </c>
    </row>
    <row r="47" spans="1:4" x14ac:dyDescent="0.25">
      <c r="A47">
        <v>2002</v>
      </c>
      <c r="B47" t="s">
        <v>4</v>
      </c>
      <c r="C47" t="s">
        <v>4954</v>
      </c>
      <c r="D47" t="s">
        <v>5303</v>
      </c>
    </row>
    <row r="48" spans="1:4" x14ac:dyDescent="0.25">
      <c r="A48">
        <v>1151</v>
      </c>
      <c r="B48" t="s">
        <v>6</v>
      </c>
      <c r="C48" t="s">
        <v>5312</v>
      </c>
      <c r="D48" t="s">
        <v>5313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4"/>
  <sheetViews>
    <sheetView zoomScaleNormal="100" workbookViewId="0">
      <pane ySplit="1" topLeftCell="A2" activePane="bottomLeft" state="frozen"/>
      <selection pane="bottomLeft"/>
    </sheetView>
  </sheetViews>
  <sheetFormatPr defaultColWidth="8.59765625" defaultRowHeight="13.8" x14ac:dyDescent="0.25"/>
  <cols>
    <col min="1" max="2" width="60" customWidth="1"/>
    <col min="3" max="3" width="8" customWidth="1"/>
  </cols>
  <sheetData>
    <row r="1" spans="1:3" x14ac:dyDescent="0.25">
      <c r="A1" s="1" t="s">
        <v>5314</v>
      </c>
      <c r="B1" s="1" t="s">
        <v>5315</v>
      </c>
      <c r="C1" s="1" t="s">
        <v>5278</v>
      </c>
    </row>
    <row r="2" spans="1:3" x14ac:dyDescent="0.25">
      <c r="A2" t="s">
        <v>5316</v>
      </c>
      <c r="B2" t="s">
        <v>22</v>
      </c>
      <c r="C2">
        <v>7</v>
      </c>
    </row>
    <row r="3" spans="1:3" x14ac:dyDescent="0.25">
      <c r="A3" t="s">
        <v>5317</v>
      </c>
      <c r="B3" t="s">
        <v>22</v>
      </c>
      <c r="C3">
        <v>5</v>
      </c>
    </row>
    <row r="4" spans="1:3" x14ac:dyDescent="0.25">
      <c r="A4" t="s">
        <v>5318</v>
      </c>
      <c r="B4" t="s">
        <v>22</v>
      </c>
      <c r="C4">
        <v>2</v>
      </c>
    </row>
    <row r="5" spans="1:3" x14ac:dyDescent="0.25">
      <c r="A5" t="s">
        <v>5319</v>
      </c>
      <c r="B5" t="s">
        <v>22</v>
      </c>
      <c r="C5">
        <v>1</v>
      </c>
    </row>
    <row r="6" spans="1:3" x14ac:dyDescent="0.25">
      <c r="A6" t="s">
        <v>5320</v>
      </c>
      <c r="B6" t="s">
        <v>22</v>
      </c>
      <c r="C6">
        <v>1</v>
      </c>
    </row>
    <row r="7" spans="1:3" x14ac:dyDescent="0.25">
      <c r="A7" t="s">
        <v>5321</v>
      </c>
      <c r="B7" t="s">
        <v>2483</v>
      </c>
      <c r="C7">
        <v>1</v>
      </c>
    </row>
    <row r="8" spans="1:3" x14ac:dyDescent="0.25">
      <c r="A8" t="s">
        <v>5322</v>
      </c>
      <c r="B8" t="s">
        <v>530</v>
      </c>
      <c r="C8">
        <v>1</v>
      </c>
    </row>
    <row r="9" spans="1:3" x14ac:dyDescent="0.25">
      <c r="A9" t="s">
        <v>5323</v>
      </c>
      <c r="B9" t="s">
        <v>530</v>
      </c>
      <c r="C9">
        <v>1</v>
      </c>
    </row>
    <row r="10" spans="1:3" x14ac:dyDescent="0.25">
      <c r="A10" t="s">
        <v>5324</v>
      </c>
      <c r="B10" t="s">
        <v>530</v>
      </c>
      <c r="C10">
        <v>1</v>
      </c>
    </row>
    <row r="11" spans="1:3" x14ac:dyDescent="0.25">
      <c r="A11" t="s">
        <v>5325</v>
      </c>
      <c r="B11" t="s">
        <v>530</v>
      </c>
      <c r="C11">
        <v>46</v>
      </c>
    </row>
    <row r="12" spans="1:3" x14ac:dyDescent="0.25">
      <c r="A12" t="s">
        <v>5326</v>
      </c>
      <c r="B12" t="s">
        <v>530</v>
      </c>
      <c r="C12">
        <v>1</v>
      </c>
    </row>
    <row r="13" spans="1:3" x14ac:dyDescent="0.25">
      <c r="A13" t="s">
        <v>5327</v>
      </c>
      <c r="B13" t="s">
        <v>530</v>
      </c>
      <c r="C13">
        <v>1</v>
      </c>
    </row>
    <row r="14" spans="1:3" x14ac:dyDescent="0.25">
      <c r="A14" t="s">
        <v>5328</v>
      </c>
      <c r="B14" t="s">
        <v>530</v>
      </c>
      <c r="C14">
        <v>1</v>
      </c>
    </row>
    <row r="15" spans="1:3" x14ac:dyDescent="0.25">
      <c r="A15" t="s">
        <v>5329</v>
      </c>
      <c r="B15" t="s">
        <v>530</v>
      </c>
      <c r="C15">
        <v>1</v>
      </c>
    </row>
    <row r="16" spans="1:3" x14ac:dyDescent="0.25">
      <c r="A16" t="s">
        <v>5330</v>
      </c>
      <c r="B16" t="s">
        <v>530</v>
      </c>
      <c r="C16">
        <v>1</v>
      </c>
    </row>
    <row r="17" spans="1:3" x14ac:dyDescent="0.25">
      <c r="A17" t="s">
        <v>5331</v>
      </c>
      <c r="B17" t="s">
        <v>530</v>
      </c>
      <c r="C17">
        <v>1</v>
      </c>
    </row>
    <row r="18" spans="1:3" x14ac:dyDescent="0.25">
      <c r="A18" t="s">
        <v>5332</v>
      </c>
      <c r="B18" t="s">
        <v>333</v>
      </c>
      <c r="C18">
        <v>3</v>
      </c>
    </row>
    <row r="19" spans="1:3" x14ac:dyDescent="0.25">
      <c r="A19" t="s">
        <v>5333</v>
      </c>
      <c r="B19" t="s">
        <v>333</v>
      </c>
      <c r="C19">
        <v>2</v>
      </c>
    </row>
    <row r="20" spans="1:3" x14ac:dyDescent="0.25">
      <c r="A20" t="s">
        <v>5334</v>
      </c>
      <c r="B20" t="s">
        <v>333</v>
      </c>
      <c r="C20">
        <v>1</v>
      </c>
    </row>
    <row r="21" spans="1:3" x14ac:dyDescent="0.25">
      <c r="A21" t="s">
        <v>5335</v>
      </c>
      <c r="B21" t="s">
        <v>333</v>
      </c>
      <c r="C21">
        <v>1</v>
      </c>
    </row>
    <row r="22" spans="1:3" x14ac:dyDescent="0.25">
      <c r="A22" t="s">
        <v>5336</v>
      </c>
      <c r="B22" t="s">
        <v>630</v>
      </c>
      <c r="C22">
        <v>2</v>
      </c>
    </row>
    <row r="23" spans="1:3" x14ac:dyDescent="0.25">
      <c r="A23" t="s">
        <v>5337</v>
      </c>
      <c r="B23" t="s">
        <v>630</v>
      </c>
      <c r="C23">
        <v>1</v>
      </c>
    </row>
    <row r="24" spans="1:3" x14ac:dyDescent="0.25">
      <c r="A24" t="s">
        <v>5338</v>
      </c>
      <c r="B24" t="s">
        <v>3196</v>
      </c>
      <c r="C24">
        <v>1</v>
      </c>
    </row>
    <row r="25" spans="1:3" x14ac:dyDescent="0.25">
      <c r="A25" t="s">
        <v>5339</v>
      </c>
      <c r="B25" t="s">
        <v>1264</v>
      </c>
      <c r="C25">
        <v>1</v>
      </c>
    </row>
    <row r="26" spans="1:3" x14ac:dyDescent="0.25">
      <c r="A26" t="s">
        <v>5340</v>
      </c>
      <c r="B26" t="s">
        <v>1666</v>
      </c>
      <c r="C26">
        <v>2</v>
      </c>
    </row>
    <row r="27" spans="1:3" x14ac:dyDescent="0.25">
      <c r="A27" t="s">
        <v>5341</v>
      </c>
      <c r="B27" t="s">
        <v>148</v>
      </c>
      <c r="C27">
        <v>3</v>
      </c>
    </row>
    <row r="28" spans="1:3" x14ac:dyDescent="0.25">
      <c r="A28" t="s">
        <v>5342</v>
      </c>
      <c r="B28" t="s">
        <v>148</v>
      </c>
      <c r="C28">
        <v>8</v>
      </c>
    </row>
    <row r="29" spans="1:3" x14ac:dyDescent="0.25">
      <c r="A29" t="s">
        <v>5343</v>
      </c>
      <c r="B29" t="s">
        <v>148</v>
      </c>
      <c r="C29">
        <v>7</v>
      </c>
    </row>
    <row r="30" spans="1:3" x14ac:dyDescent="0.25">
      <c r="A30" t="s">
        <v>5344</v>
      </c>
      <c r="B30" t="s">
        <v>148</v>
      </c>
      <c r="C30">
        <v>2</v>
      </c>
    </row>
    <row r="31" spans="1:3" x14ac:dyDescent="0.25">
      <c r="A31" t="s">
        <v>5345</v>
      </c>
      <c r="B31" t="s">
        <v>148</v>
      </c>
      <c r="C31">
        <v>26</v>
      </c>
    </row>
    <row r="32" spans="1:3" x14ac:dyDescent="0.25">
      <c r="A32" t="s">
        <v>5346</v>
      </c>
      <c r="B32" t="s">
        <v>592</v>
      </c>
      <c r="C32">
        <v>1</v>
      </c>
    </row>
    <row r="33" spans="1:3" x14ac:dyDescent="0.25">
      <c r="A33" t="s">
        <v>5347</v>
      </c>
      <c r="B33" t="s">
        <v>1593</v>
      </c>
      <c r="C33">
        <v>4</v>
      </c>
    </row>
    <row r="34" spans="1:3" x14ac:dyDescent="0.25">
      <c r="A34" t="s">
        <v>758</v>
      </c>
      <c r="B34" t="s">
        <v>352</v>
      </c>
      <c r="C34">
        <v>25</v>
      </c>
    </row>
    <row r="35" spans="1:3" x14ac:dyDescent="0.25">
      <c r="A35" t="s">
        <v>5348</v>
      </c>
      <c r="B35" t="s">
        <v>352</v>
      </c>
      <c r="C35">
        <v>14</v>
      </c>
    </row>
    <row r="36" spans="1:3" x14ac:dyDescent="0.25">
      <c r="A36" t="s">
        <v>5349</v>
      </c>
      <c r="B36" t="s">
        <v>352</v>
      </c>
      <c r="C36">
        <v>2</v>
      </c>
    </row>
    <row r="37" spans="1:3" x14ac:dyDescent="0.25">
      <c r="A37" t="s">
        <v>5350</v>
      </c>
      <c r="B37" t="s">
        <v>352</v>
      </c>
      <c r="C37">
        <v>1</v>
      </c>
    </row>
    <row r="38" spans="1:3" x14ac:dyDescent="0.25">
      <c r="A38" t="s">
        <v>5351</v>
      </c>
      <c r="B38" t="s">
        <v>352</v>
      </c>
      <c r="C38">
        <v>1</v>
      </c>
    </row>
    <row r="39" spans="1:3" x14ac:dyDescent="0.25">
      <c r="A39" t="s">
        <v>5352</v>
      </c>
      <c r="B39" t="s">
        <v>352</v>
      </c>
      <c r="C39">
        <v>4</v>
      </c>
    </row>
    <row r="40" spans="1:3" x14ac:dyDescent="0.25">
      <c r="A40" t="s">
        <v>5353</v>
      </c>
      <c r="B40" t="s">
        <v>352</v>
      </c>
      <c r="C40">
        <v>1</v>
      </c>
    </row>
    <row r="41" spans="1:3" x14ac:dyDescent="0.25">
      <c r="A41" t="s">
        <v>5354</v>
      </c>
      <c r="B41" t="s">
        <v>352</v>
      </c>
      <c r="C41">
        <v>2</v>
      </c>
    </row>
    <row r="42" spans="1:3" x14ac:dyDescent="0.25">
      <c r="A42" t="s">
        <v>5355</v>
      </c>
      <c r="B42" t="s">
        <v>328</v>
      </c>
      <c r="C42">
        <v>3</v>
      </c>
    </row>
    <row r="43" spans="1:3" x14ac:dyDescent="0.25">
      <c r="A43" t="s">
        <v>5356</v>
      </c>
      <c r="B43" t="s">
        <v>328</v>
      </c>
      <c r="C43">
        <v>1</v>
      </c>
    </row>
    <row r="44" spans="1:3" x14ac:dyDescent="0.25">
      <c r="A44" t="s">
        <v>5357</v>
      </c>
      <c r="B44" t="s">
        <v>328</v>
      </c>
      <c r="C44">
        <v>1</v>
      </c>
    </row>
    <row r="45" spans="1:3" x14ac:dyDescent="0.25">
      <c r="A45" t="s">
        <v>5358</v>
      </c>
      <c r="B45" t="s">
        <v>328</v>
      </c>
      <c r="C45">
        <v>1</v>
      </c>
    </row>
    <row r="46" spans="1:3" x14ac:dyDescent="0.25">
      <c r="A46" t="s">
        <v>5359</v>
      </c>
      <c r="B46" t="s">
        <v>113</v>
      </c>
      <c r="C46">
        <v>1</v>
      </c>
    </row>
    <row r="47" spans="1:3" x14ac:dyDescent="0.25">
      <c r="A47" t="s">
        <v>5360</v>
      </c>
      <c r="B47" t="s">
        <v>113</v>
      </c>
      <c r="C47">
        <v>1</v>
      </c>
    </row>
    <row r="48" spans="1:3" x14ac:dyDescent="0.25">
      <c r="A48" t="s">
        <v>5361</v>
      </c>
      <c r="B48" t="s">
        <v>113</v>
      </c>
      <c r="C48">
        <v>3</v>
      </c>
    </row>
    <row r="49" spans="1:3" x14ac:dyDescent="0.25">
      <c r="A49" t="s">
        <v>5362</v>
      </c>
      <c r="B49" t="s">
        <v>113</v>
      </c>
      <c r="C49">
        <v>8</v>
      </c>
    </row>
    <row r="50" spans="1:3" x14ac:dyDescent="0.25">
      <c r="A50" t="s">
        <v>5363</v>
      </c>
      <c r="B50" t="s">
        <v>2677</v>
      </c>
      <c r="C50">
        <v>1</v>
      </c>
    </row>
    <row r="51" spans="1:3" x14ac:dyDescent="0.25">
      <c r="A51" t="s">
        <v>5364</v>
      </c>
      <c r="B51" t="s">
        <v>3120</v>
      </c>
      <c r="C51">
        <v>1</v>
      </c>
    </row>
    <row r="52" spans="1:3" x14ac:dyDescent="0.25">
      <c r="A52" t="s">
        <v>5365</v>
      </c>
      <c r="B52" t="s">
        <v>1951</v>
      </c>
      <c r="C52">
        <v>1</v>
      </c>
    </row>
    <row r="53" spans="1:3" x14ac:dyDescent="0.25">
      <c r="A53" t="s">
        <v>5366</v>
      </c>
      <c r="B53" t="s">
        <v>1951</v>
      </c>
      <c r="C53">
        <v>1</v>
      </c>
    </row>
    <row r="54" spans="1:3" x14ac:dyDescent="0.25">
      <c r="A54" t="s">
        <v>5367</v>
      </c>
      <c r="B54" t="s">
        <v>1951</v>
      </c>
      <c r="C54">
        <v>1</v>
      </c>
    </row>
    <row r="55" spans="1:3" x14ac:dyDescent="0.25">
      <c r="A55" t="s">
        <v>5368</v>
      </c>
      <c r="B55" t="s">
        <v>1951</v>
      </c>
      <c r="C55">
        <v>1</v>
      </c>
    </row>
    <row r="56" spans="1:3" x14ac:dyDescent="0.25">
      <c r="A56" t="s">
        <v>5369</v>
      </c>
      <c r="B56" t="s">
        <v>1951</v>
      </c>
      <c r="C56">
        <v>1</v>
      </c>
    </row>
    <row r="57" spans="1:3" x14ac:dyDescent="0.25">
      <c r="A57" t="s">
        <v>5370</v>
      </c>
      <c r="B57" t="s">
        <v>2331</v>
      </c>
      <c r="C57">
        <v>1</v>
      </c>
    </row>
    <row r="58" spans="1:3" x14ac:dyDescent="0.25">
      <c r="A58" t="s">
        <v>5371</v>
      </c>
      <c r="B58" t="s">
        <v>191</v>
      </c>
      <c r="C58">
        <v>1</v>
      </c>
    </row>
    <row r="59" spans="1:3" x14ac:dyDescent="0.25">
      <c r="A59" t="s">
        <v>5372</v>
      </c>
      <c r="B59" t="s">
        <v>191</v>
      </c>
      <c r="C59">
        <v>3</v>
      </c>
    </row>
    <row r="60" spans="1:3" x14ac:dyDescent="0.25">
      <c r="A60" t="s">
        <v>5373</v>
      </c>
      <c r="B60" t="s">
        <v>17</v>
      </c>
      <c r="C60">
        <v>1</v>
      </c>
    </row>
    <row r="61" spans="1:3" x14ac:dyDescent="0.25">
      <c r="A61" t="s">
        <v>5374</v>
      </c>
      <c r="B61" t="s">
        <v>17</v>
      </c>
      <c r="C61">
        <v>2</v>
      </c>
    </row>
    <row r="62" spans="1:3" x14ac:dyDescent="0.25">
      <c r="A62" t="s">
        <v>5375</v>
      </c>
      <c r="B62" t="s">
        <v>17</v>
      </c>
      <c r="C62">
        <v>4</v>
      </c>
    </row>
    <row r="63" spans="1:3" x14ac:dyDescent="0.25">
      <c r="A63" t="s">
        <v>5376</v>
      </c>
      <c r="B63" t="s">
        <v>17</v>
      </c>
      <c r="C63">
        <v>2</v>
      </c>
    </row>
    <row r="64" spans="1:3" x14ac:dyDescent="0.25">
      <c r="A64" t="s">
        <v>5377</v>
      </c>
      <c r="B64" t="s">
        <v>17</v>
      </c>
      <c r="C64">
        <v>1</v>
      </c>
    </row>
    <row r="65" spans="1:3" x14ac:dyDescent="0.25">
      <c r="A65" t="s">
        <v>5378</v>
      </c>
      <c r="B65" t="s">
        <v>17</v>
      </c>
      <c r="C65">
        <v>2</v>
      </c>
    </row>
    <row r="66" spans="1:3" x14ac:dyDescent="0.25">
      <c r="A66" t="s">
        <v>5379</v>
      </c>
      <c r="B66" t="s">
        <v>17</v>
      </c>
      <c r="C66">
        <v>1</v>
      </c>
    </row>
    <row r="67" spans="1:3" x14ac:dyDescent="0.25">
      <c r="A67" t="s">
        <v>5380</v>
      </c>
      <c r="B67" t="s">
        <v>17</v>
      </c>
      <c r="C67">
        <v>1</v>
      </c>
    </row>
    <row r="68" spans="1:3" x14ac:dyDescent="0.25">
      <c r="A68" t="s">
        <v>5381</v>
      </c>
      <c r="B68" t="s">
        <v>1598</v>
      </c>
      <c r="C68">
        <v>1</v>
      </c>
    </row>
    <row r="69" spans="1:3" x14ac:dyDescent="0.25">
      <c r="A69" t="s">
        <v>5382</v>
      </c>
      <c r="B69" t="s">
        <v>1722</v>
      </c>
      <c r="C69">
        <v>6</v>
      </c>
    </row>
    <row r="70" spans="1:3" x14ac:dyDescent="0.25">
      <c r="A70" t="s">
        <v>5383</v>
      </c>
      <c r="B70" t="s">
        <v>1722</v>
      </c>
      <c r="C70">
        <v>2</v>
      </c>
    </row>
    <row r="71" spans="1:3" x14ac:dyDescent="0.25">
      <c r="A71" t="s">
        <v>5384</v>
      </c>
      <c r="B71" t="s">
        <v>1722</v>
      </c>
      <c r="C71">
        <v>1</v>
      </c>
    </row>
    <row r="72" spans="1:3" x14ac:dyDescent="0.25">
      <c r="A72" t="s">
        <v>1783</v>
      </c>
      <c r="B72" t="s">
        <v>1787</v>
      </c>
      <c r="C72">
        <v>23</v>
      </c>
    </row>
    <row r="73" spans="1:3" x14ac:dyDescent="0.25">
      <c r="A73" t="s">
        <v>5385</v>
      </c>
      <c r="B73" t="s">
        <v>1787</v>
      </c>
      <c r="C73">
        <v>6</v>
      </c>
    </row>
    <row r="74" spans="1:3" x14ac:dyDescent="0.25">
      <c r="A74" t="s">
        <v>5386</v>
      </c>
      <c r="B74" t="s">
        <v>1787</v>
      </c>
      <c r="C74">
        <v>1</v>
      </c>
    </row>
    <row r="75" spans="1:3" x14ac:dyDescent="0.25">
      <c r="A75" t="s">
        <v>5387</v>
      </c>
      <c r="B75" t="s">
        <v>1914</v>
      </c>
      <c r="C75">
        <v>1</v>
      </c>
    </row>
    <row r="76" spans="1:3" x14ac:dyDescent="0.25">
      <c r="A76" t="s">
        <v>5388</v>
      </c>
      <c r="B76" t="s">
        <v>2317</v>
      </c>
      <c r="C76">
        <v>3</v>
      </c>
    </row>
    <row r="77" spans="1:3" x14ac:dyDescent="0.25">
      <c r="A77" t="s">
        <v>5389</v>
      </c>
      <c r="B77" t="s">
        <v>3862</v>
      </c>
      <c r="C77">
        <v>1</v>
      </c>
    </row>
    <row r="78" spans="1:3" x14ac:dyDescent="0.25">
      <c r="A78" t="s">
        <v>5390</v>
      </c>
      <c r="B78" t="s">
        <v>1714</v>
      </c>
      <c r="C78">
        <v>1</v>
      </c>
    </row>
    <row r="79" spans="1:3" x14ac:dyDescent="0.25">
      <c r="A79" t="s">
        <v>5391</v>
      </c>
      <c r="B79" t="s">
        <v>2169</v>
      </c>
      <c r="C79">
        <v>1</v>
      </c>
    </row>
    <row r="80" spans="1:3" x14ac:dyDescent="0.25">
      <c r="A80" t="s">
        <v>5392</v>
      </c>
      <c r="B80" t="s">
        <v>45</v>
      </c>
      <c r="C80">
        <v>2</v>
      </c>
    </row>
    <row r="81" spans="1:3" x14ac:dyDescent="0.25">
      <c r="A81" t="s">
        <v>5393</v>
      </c>
      <c r="B81" t="s">
        <v>3504</v>
      </c>
      <c r="C81">
        <v>2</v>
      </c>
    </row>
    <row r="82" spans="1:3" x14ac:dyDescent="0.25">
      <c r="A82" t="s">
        <v>5394</v>
      </c>
      <c r="B82" t="s">
        <v>2390</v>
      </c>
      <c r="C82">
        <v>1</v>
      </c>
    </row>
    <row r="83" spans="1:3" x14ac:dyDescent="0.25">
      <c r="A83" t="s">
        <v>5395</v>
      </c>
      <c r="B83" t="s">
        <v>3200</v>
      </c>
      <c r="C83">
        <v>1</v>
      </c>
    </row>
    <row r="84" spans="1:3" x14ac:dyDescent="0.25">
      <c r="A84" t="s">
        <v>5396</v>
      </c>
      <c r="B84" t="s">
        <v>3200</v>
      </c>
      <c r="C84">
        <v>2</v>
      </c>
    </row>
    <row r="85" spans="1:3" x14ac:dyDescent="0.25">
      <c r="A85" t="s">
        <v>5397</v>
      </c>
      <c r="B85" t="s">
        <v>3200</v>
      </c>
      <c r="C85">
        <v>1</v>
      </c>
    </row>
    <row r="86" spans="1:3" x14ac:dyDescent="0.25">
      <c r="A86" t="s">
        <v>5398</v>
      </c>
      <c r="B86" t="s">
        <v>3200</v>
      </c>
      <c r="C86">
        <v>2</v>
      </c>
    </row>
    <row r="87" spans="1:3" x14ac:dyDescent="0.25">
      <c r="A87" t="s">
        <v>5399</v>
      </c>
      <c r="B87" t="s">
        <v>3200</v>
      </c>
      <c r="C87">
        <v>1</v>
      </c>
    </row>
    <row r="88" spans="1:3" x14ac:dyDescent="0.25">
      <c r="A88" t="s">
        <v>5400</v>
      </c>
      <c r="B88" t="s">
        <v>3577</v>
      </c>
      <c r="C88">
        <v>1</v>
      </c>
    </row>
    <row r="89" spans="1:3" x14ac:dyDescent="0.25">
      <c r="A89" t="s">
        <v>5401</v>
      </c>
      <c r="B89" t="s">
        <v>388</v>
      </c>
      <c r="C89">
        <v>2</v>
      </c>
    </row>
    <row r="90" spans="1:3" x14ac:dyDescent="0.25">
      <c r="A90" t="s">
        <v>5402</v>
      </c>
      <c r="B90" t="s">
        <v>343</v>
      </c>
      <c r="C90">
        <v>1</v>
      </c>
    </row>
    <row r="91" spans="1:3" x14ac:dyDescent="0.25">
      <c r="A91" t="s">
        <v>5403</v>
      </c>
      <c r="B91" t="s">
        <v>343</v>
      </c>
      <c r="C91">
        <v>1</v>
      </c>
    </row>
    <row r="92" spans="1:3" x14ac:dyDescent="0.25">
      <c r="A92" t="s">
        <v>5404</v>
      </c>
      <c r="B92" t="s">
        <v>2708</v>
      </c>
      <c r="C92">
        <v>1</v>
      </c>
    </row>
    <row r="93" spans="1:3" x14ac:dyDescent="0.25">
      <c r="A93" t="s">
        <v>5405</v>
      </c>
      <c r="B93" t="s">
        <v>3510</v>
      </c>
      <c r="C93">
        <v>1</v>
      </c>
    </row>
    <row r="94" spans="1:3" x14ac:dyDescent="0.25">
      <c r="A94" t="s">
        <v>5406</v>
      </c>
      <c r="B94" t="s">
        <v>3510</v>
      </c>
      <c r="C94">
        <v>2</v>
      </c>
    </row>
    <row r="95" spans="1:3" x14ac:dyDescent="0.25">
      <c r="A95" t="s">
        <v>5407</v>
      </c>
      <c r="B95" t="s">
        <v>3510</v>
      </c>
      <c r="C95">
        <v>1</v>
      </c>
    </row>
    <row r="96" spans="1:3" x14ac:dyDescent="0.25">
      <c r="A96" t="s">
        <v>5408</v>
      </c>
      <c r="B96" t="s">
        <v>3510</v>
      </c>
      <c r="C96">
        <v>5</v>
      </c>
    </row>
    <row r="97" spans="1:3" x14ac:dyDescent="0.25">
      <c r="A97" t="s">
        <v>4615</v>
      </c>
      <c r="B97" t="s">
        <v>3510</v>
      </c>
      <c r="C97">
        <v>7</v>
      </c>
    </row>
    <row r="98" spans="1:3" x14ac:dyDescent="0.25">
      <c r="A98" t="s">
        <v>5409</v>
      </c>
      <c r="B98" t="s">
        <v>3510</v>
      </c>
      <c r="C98">
        <v>2</v>
      </c>
    </row>
    <row r="99" spans="1:3" x14ac:dyDescent="0.25">
      <c r="A99" t="s">
        <v>5410</v>
      </c>
      <c r="B99" t="s">
        <v>3510</v>
      </c>
      <c r="C99">
        <v>2</v>
      </c>
    </row>
    <row r="100" spans="1:3" x14ac:dyDescent="0.25">
      <c r="A100" t="s">
        <v>5411</v>
      </c>
      <c r="B100" t="s">
        <v>607</v>
      </c>
      <c r="C100">
        <v>25</v>
      </c>
    </row>
    <row r="101" spans="1:3" x14ac:dyDescent="0.25">
      <c r="A101" t="s">
        <v>5412</v>
      </c>
      <c r="B101" t="s">
        <v>607</v>
      </c>
      <c r="C101">
        <v>1</v>
      </c>
    </row>
    <row r="102" spans="1:3" x14ac:dyDescent="0.25">
      <c r="A102" t="s">
        <v>5413</v>
      </c>
      <c r="B102" t="s">
        <v>607</v>
      </c>
      <c r="C102">
        <v>4</v>
      </c>
    </row>
    <row r="103" spans="1:3" x14ac:dyDescent="0.25">
      <c r="A103" t="s">
        <v>5414</v>
      </c>
      <c r="B103" t="s">
        <v>607</v>
      </c>
      <c r="C103">
        <v>2</v>
      </c>
    </row>
    <row r="104" spans="1:3" x14ac:dyDescent="0.25">
      <c r="A104" t="s">
        <v>5415</v>
      </c>
      <c r="B104" t="s">
        <v>607</v>
      </c>
      <c r="C104">
        <v>1</v>
      </c>
    </row>
    <row r="105" spans="1:3" x14ac:dyDescent="0.25">
      <c r="A105" t="s">
        <v>5416</v>
      </c>
      <c r="B105" t="s">
        <v>607</v>
      </c>
      <c r="C105">
        <v>1</v>
      </c>
    </row>
    <row r="106" spans="1:3" x14ac:dyDescent="0.25">
      <c r="A106" t="s">
        <v>5417</v>
      </c>
      <c r="B106" t="s">
        <v>110</v>
      </c>
      <c r="C106">
        <v>56</v>
      </c>
    </row>
    <row r="107" spans="1:3" x14ac:dyDescent="0.25">
      <c r="A107" t="s">
        <v>3900</v>
      </c>
      <c r="B107" t="s">
        <v>110</v>
      </c>
      <c r="C107">
        <v>16</v>
      </c>
    </row>
    <row r="108" spans="1:3" x14ac:dyDescent="0.25">
      <c r="A108" t="s">
        <v>5418</v>
      </c>
      <c r="B108" t="s">
        <v>110</v>
      </c>
      <c r="C108">
        <v>1</v>
      </c>
    </row>
    <row r="109" spans="1:3" x14ac:dyDescent="0.25">
      <c r="A109" t="s">
        <v>5419</v>
      </c>
      <c r="B109" t="s">
        <v>110</v>
      </c>
      <c r="C109">
        <v>4</v>
      </c>
    </row>
    <row r="110" spans="1:3" x14ac:dyDescent="0.25">
      <c r="A110" t="s">
        <v>5420</v>
      </c>
      <c r="B110" t="s">
        <v>110</v>
      </c>
      <c r="C110">
        <v>2</v>
      </c>
    </row>
    <row r="111" spans="1:3" x14ac:dyDescent="0.25">
      <c r="A111" t="s">
        <v>5421</v>
      </c>
      <c r="B111" t="s">
        <v>110</v>
      </c>
      <c r="C111">
        <v>4</v>
      </c>
    </row>
    <row r="112" spans="1:3" x14ac:dyDescent="0.25">
      <c r="A112" t="s">
        <v>5422</v>
      </c>
      <c r="B112" t="s">
        <v>110</v>
      </c>
      <c r="C112">
        <v>1</v>
      </c>
    </row>
    <row r="113" spans="1:3" x14ac:dyDescent="0.25">
      <c r="A113" t="s">
        <v>5423</v>
      </c>
      <c r="B113" t="s">
        <v>611</v>
      </c>
      <c r="C113">
        <v>1</v>
      </c>
    </row>
    <row r="114" spans="1:3" x14ac:dyDescent="0.25">
      <c r="A114" t="s">
        <v>5424</v>
      </c>
      <c r="B114" t="s">
        <v>611</v>
      </c>
      <c r="C114">
        <v>1</v>
      </c>
    </row>
    <row r="115" spans="1:3" x14ac:dyDescent="0.25">
      <c r="A115" t="s">
        <v>5425</v>
      </c>
      <c r="B115" t="s">
        <v>378</v>
      </c>
      <c r="C115">
        <v>2</v>
      </c>
    </row>
    <row r="116" spans="1:3" x14ac:dyDescent="0.25">
      <c r="A116" t="s">
        <v>5426</v>
      </c>
      <c r="B116" t="s">
        <v>378</v>
      </c>
      <c r="C116">
        <v>1</v>
      </c>
    </row>
    <row r="117" spans="1:3" x14ac:dyDescent="0.25">
      <c r="A117" t="s">
        <v>5427</v>
      </c>
      <c r="B117" t="s">
        <v>378</v>
      </c>
      <c r="C117">
        <v>1</v>
      </c>
    </row>
    <row r="118" spans="1:3" x14ac:dyDescent="0.25">
      <c r="A118" t="s">
        <v>5428</v>
      </c>
      <c r="B118" t="s">
        <v>378</v>
      </c>
      <c r="C118">
        <v>10</v>
      </c>
    </row>
    <row r="119" spans="1:3" x14ac:dyDescent="0.25">
      <c r="A119" t="s">
        <v>3996</v>
      </c>
      <c r="B119" t="s">
        <v>547</v>
      </c>
      <c r="C119">
        <v>7</v>
      </c>
    </row>
    <row r="120" spans="1:3" x14ac:dyDescent="0.25">
      <c r="A120" t="s">
        <v>5429</v>
      </c>
      <c r="B120" t="s">
        <v>547</v>
      </c>
      <c r="C120">
        <v>15</v>
      </c>
    </row>
    <row r="121" spans="1:3" x14ac:dyDescent="0.25">
      <c r="A121" t="s">
        <v>3986</v>
      </c>
      <c r="B121" t="s">
        <v>547</v>
      </c>
      <c r="C121">
        <v>2</v>
      </c>
    </row>
    <row r="122" spans="1:3" x14ac:dyDescent="0.25">
      <c r="A122" t="s">
        <v>5430</v>
      </c>
      <c r="B122" t="s">
        <v>547</v>
      </c>
      <c r="C122">
        <v>4</v>
      </c>
    </row>
    <row r="123" spans="1:3" x14ac:dyDescent="0.25">
      <c r="A123" t="s">
        <v>5431</v>
      </c>
      <c r="B123" t="s">
        <v>547</v>
      </c>
      <c r="C123">
        <v>1</v>
      </c>
    </row>
    <row r="124" spans="1:3" x14ac:dyDescent="0.25">
      <c r="A124" t="s">
        <v>5432</v>
      </c>
      <c r="B124" t="s">
        <v>4761</v>
      </c>
      <c r="C124">
        <v>1</v>
      </c>
    </row>
    <row r="125" spans="1:3" x14ac:dyDescent="0.25">
      <c r="A125" t="s">
        <v>5433</v>
      </c>
      <c r="B125" t="s">
        <v>626</v>
      </c>
      <c r="C125">
        <v>2</v>
      </c>
    </row>
    <row r="126" spans="1:3" x14ac:dyDescent="0.25">
      <c r="A126" t="s">
        <v>5434</v>
      </c>
      <c r="B126" t="s">
        <v>1116</v>
      </c>
      <c r="C126">
        <v>1</v>
      </c>
    </row>
    <row r="127" spans="1:3" x14ac:dyDescent="0.25">
      <c r="A127" t="s">
        <v>5435</v>
      </c>
      <c r="B127" t="s">
        <v>1116</v>
      </c>
      <c r="C127">
        <v>2</v>
      </c>
    </row>
    <row r="128" spans="1:3" x14ac:dyDescent="0.25">
      <c r="A128" t="s">
        <v>5436</v>
      </c>
      <c r="B128" t="s">
        <v>1116</v>
      </c>
      <c r="C128">
        <v>1</v>
      </c>
    </row>
    <row r="129" spans="1:3" x14ac:dyDescent="0.25">
      <c r="A129" t="s">
        <v>5437</v>
      </c>
      <c r="B129" t="s">
        <v>1163</v>
      </c>
      <c r="C129">
        <v>2</v>
      </c>
    </row>
    <row r="130" spans="1:3" x14ac:dyDescent="0.25">
      <c r="A130" t="s">
        <v>5438</v>
      </c>
      <c r="B130" t="s">
        <v>1163</v>
      </c>
      <c r="C130">
        <v>12</v>
      </c>
    </row>
    <row r="131" spans="1:3" x14ac:dyDescent="0.25">
      <c r="A131" t="s">
        <v>5439</v>
      </c>
      <c r="B131" t="s">
        <v>1163</v>
      </c>
      <c r="C131">
        <v>1</v>
      </c>
    </row>
    <row r="132" spans="1:3" x14ac:dyDescent="0.25">
      <c r="A132" t="s">
        <v>5440</v>
      </c>
      <c r="B132" t="s">
        <v>1163</v>
      </c>
      <c r="C132">
        <v>1</v>
      </c>
    </row>
    <row r="133" spans="1:3" x14ac:dyDescent="0.25">
      <c r="A133" t="s">
        <v>5441</v>
      </c>
      <c r="B133" t="s">
        <v>1163</v>
      </c>
      <c r="C133">
        <v>2</v>
      </c>
    </row>
    <row r="134" spans="1:3" x14ac:dyDescent="0.25">
      <c r="A134" t="s">
        <v>5442</v>
      </c>
      <c r="B134" t="s">
        <v>1163</v>
      </c>
      <c r="C134">
        <v>1</v>
      </c>
    </row>
    <row r="135" spans="1:3" x14ac:dyDescent="0.25">
      <c r="A135" t="s">
        <v>5443</v>
      </c>
      <c r="B135" t="s">
        <v>1163</v>
      </c>
      <c r="C135">
        <v>1</v>
      </c>
    </row>
    <row r="136" spans="1:3" x14ac:dyDescent="0.25">
      <c r="A136" t="s">
        <v>5444</v>
      </c>
      <c r="B136" t="s">
        <v>1503</v>
      </c>
      <c r="C136">
        <v>1</v>
      </c>
    </row>
    <row r="137" spans="1:3" x14ac:dyDescent="0.25">
      <c r="A137" t="s">
        <v>5445</v>
      </c>
      <c r="B137" t="s">
        <v>2772</v>
      </c>
      <c r="C137">
        <v>1</v>
      </c>
    </row>
    <row r="138" spans="1:3" x14ac:dyDescent="0.25">
      <c r="A138" t="s">
        <v>5446</v>
      </c>
      <c r="B138" t="s">
        <v>2772</v>
      </c>
      <c r="C138">
        <v>1</v>
      </c>
    </row>
    <row r="139" spans="1:3" x14ac:dyDescent="0.25">
      <c r="A139" t="s">
        <v>5447</v>
      </c>
      <c r="B139" t="s">
        <v>2856</v>
      </c>
      <c r="C139">
        <v>1</v>
      </c>
    </row>
    <row r="140" spans="1:3" x14ac:dyDescent="0.25">
      <c r="A140" t="s">
        <v>5448</v>
      </c>
      <c r="B140" t="s">
        <v>2981</v>
      </c>
      <c r="C140">
        <v>1</v>
      </c>
    </row>
    <row r="141" spans="1:3" x14ac:dyDescent="0.25">
      <c r="A141" t="s">
        <v>5449</v>
      </c>
      <c r="B141" t="s">
        <v>2981</v>
      </c>
      <c r="C141">
        <v>1</v>
      </c>
    </row>
    <row r="142" spans="1:3" x14ac:dyDescent="0.25">
      <c r="A142" t="s">
        <v>5450</v>
      </c>
      <c r="B142" t="s">
        <v>2981</v>
      </c>
      <c r="C142">
        <v>1</v>
      </c>
    </row>
    <row r="143" spans="1:3" x14ac:dyDescent="0.25">
      <c r="A143" t="s">
        <v>5451</v>
      </c>
      <c r="B143" t="s">
        <v>69</v>
      </c>
      <c r="C143">
        <v>1</v>
      </c>
    </row>
    <row r="144" spans="1:3" x14ac:dyDescent="0.25">
      <c r="A144" t="s">
        <v>5452</v>
      </c>
      <c r="B144" t="s">
        <v>69</v>
      </c>
      <c r="C144">
        <v>2</v>
      </c>
    </row>
    <row r="145" spans="1:3" x14ac:dyDescent="0.25">
      <c r="A145" t="s">
        <v>4954</v>
      </c>
      <c r="B145" t="s">
        <v>69</v>
      </c>
      <c r="C145">
        <v>1</v>
      </c>
    </row>
    <row r="146" spans="1:3" x14ac:dyDescent="0.25">
      <c r="A146" t="s">
        <v>5453</v>
      </c>
      <c r="B146" t="s">
        <v>69</v>
      </c>
      <c r="C146">
        <v>1</v>
      </c>
    </row>
    <row r="147" spans="1:3" x14ac:dyDescent="0.25">
      <c r="A147" t="s">
        <v>5454</v>
      </c>
      <c r="B147" t="s">
        <v>69</v>
      </c>
      <c r="C147">
        <v>1</v>
      </c>
    </row>
    <row r="148" spans="1:3" x14ac:dyDescent="0.25">
      <c r="A148" t="s">
        <v>5455</v>
      </c>
      <c r="B148" t="s">
        <v>69</v>
      </c>
      <c r="C148">
        <v>3</v>
      </c>
    </row>
    <row r="149" spans="1:3" x14ac:dyDescent="0.25">
      <c r="A149" t="s">
        <v>5456</v>
      </c>
      <c r="B149" t="s">
        <v>69</v>
      </c>
      <c r="C149">
        <v>2</v>
      </c>
    </row>
    <row r="150" spans="1:3" x14ac:dyDescent="0.25">
      <c r="A150" t="s">
        <v>5457</v>
      </c>
      <c r="B150" t="s">
        <v>69</v>
      </c>
      <c r="C150">
        <v>1</v>
      </c>
    </row>
    <row r="151" spans="1:3" x14ac:dyDescent="0.25">
      <c r="A151" t="s">
        <v>5458</v>
      </c>
      <c r="B151" t="s">
        <v>69</v>
      </c>
      <c r="C151">
        <v>1</v>
      </c>
    </row>
    <row r="152" spans="1:3" x14ac:dyDescent="0.25">
      <c r="A152" t="s">
        <v>5459</v>
      </c>
      <c r="B152" t="s">
        <v>133</v>
      </c>
      <c r="C152">
        <v>1</v>
      </c>
    </row>
    <row r="153" spans="1:3" x14ac:dyDescent="0.25">
      <c r="A153" t="s">
        <v>5460</v>
      </c>
      <c r="B153" t="s">
        <v>133</v>
      </c>
      <c r="C153">
        <v>11</v>
      </c>
    </row>
    <row r="154" spans="1:3" x14ac:dyDescent="0.25">
      <c r="A154" t="s">
        <v>5461</v>
      </c>
      <c r="B154" t="s">
        <v>133</v>
      </c>
      <c r="C154">
        <v>2</v>
      </c>
    </row>
    <row r="155" spans="1:3" x14ac:dyDescent="0.25">
      <c r="A155" t="s">
        <v>5462</v>
      </c>
      <c r="B155" t="s">
        <v>525</v>
      </c>
      <c r="C155">
        <v>1</v>
      </c>
    </row>
    <row r="156" spans="1:3" x14ac:dyDescent="0.25">
      <c r="A156" t="s">
        <v>5463</v>
      </c>
      <c r="B156" t="s">
        <v>525</v>
      </c>
      <c r="C156">
        <v>18</v>
      </c>
    </row>
    <row r="157" spans="1:3" x14ac:dyDescent="0.25">
      <c r="A157" t="s">
        <v>5464</v>
      </c>
      <c r="B157" t="s">
        <v>525</v>
      </c>
      <c r="C157">
        <v>1</v>
      </c>
    </row>
    <row r="158" spans="1:3" x14ac:dyDescent="0.25">
      <c r="A158" t="s">
        <v>5465</v>
      </c>
      <c r="B158" t="s">
        <v>525</v>
      </c>
      <c r="C158">
        <v>2</v>
      </c>
    </row>
    <row r="159" spans="1:3" x14ac:dyDescent="0.25">
      <c r="A159" t="s">
        <v>5466</v>
      </c>
      <c r="B159" t="s">
        <v>525</v>
      </c>
      <c r="C159">
        <v>1</v>
      </c>
    </row>
    <row r="160" spans="1:3" x14ac:dyDescent="0.25">
      <c r="A160" t="s">
        <v>5467</v>
      </c>
      <c r="B160" t="s">
        <v>525</v>
      </c>
      <c r="C160">
        <v>1</v>
      </c>
    </row>
    <row r="161" spans="1:3" x14ac:dyDescent="0.25">
      <c r="A161" t="s">
        <v>5468</v>
      </c>
      <c r="B161" t="s">
        <v>525</v>
      </c>
      <c r="C161">
        <v>1</v>
      </c>
    </row>
    <row r="162" spans="1:3" x14ac:dyDescent="0.25">
      <c r="A162" t="s">
        <v>5469</v>
      </c>
      <c r="B162" t="s">
        <v>1508</v>
      </c>
      <c r="C162">
        <v>6</v>
      </c>
    </row>
    <row r="163" spans="1:3" x14ac:dyDescent="0.25">
      <c r="A163" t="s">
        <v>5470</v>
      </c>
      <c r="B163" t="s">
        <v>1508</v>
      </c>
      <c r="C163">
        <v>1</v>
      </c>
    </row>
    <row r="164" spans="1:3" x14ac:dyDescent="0.25">
      <c r="A164" t="s">
        <v>5471</v>
      </c>
      <c r="B164" t="s">
        <v>1508</v>
      </c>
      <c r="C164">
        <v>1</v>
      </c>
    </row>
    <row r="165" spans="1:3" x14ac:dyDescent="0.25">
      <c r="A165" t="s">
        <v>5472</v>
      </c>
      <c r="B165" t="s">
        <v>1508</v>
      </c>
      <c r="C165">
        <v>1</v>
      </c>
    </row>
    <row r="166" spans="1:3" x14ac:dyDescent="0.25">
      <c r="A166" t="s">
        <v>5473</v>
      </c>
      <c r="B166" t="s">
        <v>552</v>
      </c>
      <c r="C166">
        <v>22</v>
      </c>
    </row>
    <row r="167" spans="1:3" x14ac:dyDescent="0.25">
      <c r="A167" t="s">
        <v>5474</v>
      </c>
      <c r="B167" t="s">
        <v>552</v>
      </c>
      <c r="C167">
        <v>1</v>
      </c>
    </row>
    <row r="168" spans="1:3" x14ac:dyDescent="0.25">
      <c r="A168" t="s">
        <v>5475</v>
      </c>
      <c r="B168" t="s">
        <v>172</v>
      </c>
      <c r="C168">
        <v>3</v>
      </c>
    </row>
    <row r="169" spans="1:3" x14ac:dyDescent="0.25">
      <c r="A169" t="s">
        <v>5476</v>
      </c>
      <c r="B169" t="s">
        <v>86</v>
      </c>
      <c r="C169">
        <v>1</v>
      </c>
    </row>
    <row r="170" spans="1:3" x14ac:dyDescent="0.25">
      <c r="A170" t="s">
        <v>5477</v>
      </c>
      <c r="B170" t="s">
        <v>86</v>
      </c>
      <c r="C170">
        <v>4</v>
      </c>
    </row>
    <row r="171" spans="1:3" x14ac:dyDescent="0.25">
      <c r="A171" t="s">
        <v>5478</v>
      </c>
      <c r="B171" t="s">
        <v>86</v>
      </c>
      <c r="C171">
        <v>2</v>
      </c>
    </row>
    <row r="172" spans="1:3" x14ac:dyDescent="0.25">
      <c r="A172" t="s">
        <v>5479</v>
      </c>
      <c r="B172" t="s">
        <v>86</v>
      </c>
      <c r="C172">
        <v>6</v>
      </c>
    </row>
    <row r="173" spans="1:3" x14ac:dyDescent="0.25">
      <c r="A173" t="s">
        <v>5480</v>
      </c>
      <c r="B173" t="s">
        <v>86</v>
      </c>
      <c r="C173">
        <v>2</v>
      </c>
    </row>
    <row r="174" spans="1:3" x14ac:dyDescent="0.25">
      <c r="A174" t="s">
        <v>5481</v>
      </c>
      <c r="B174" t="s">
        <v>86</v>
      </c>
      <c r="C174">
        <v>8</v>
      </c>
    </row>
    <row r="175" spans="1:3" x14ac:dyDescent="0.25">
      <c r="A175" t="s">
        <v>5482</v>
      </c>
      <c r="B175" t="s">
        <v>86</v>
      </c>
      <c r="C175">
        <v>1</v>
      </c>
    </row>
    <row r="176" spans="1:3" x14ac:dyDescent="0.25">
      <c r="A176" t="s">
        <v>5483</v>
      </c>
      <c r="B176" t="s">
        <v>86</v>
      </c>
      <c r="C176">
        <v>1</v>
      </c>
    </row>
    <row r="177" spans="1:3" x14ac:dyDescent="0.25">
      <c r="A177" t="s">
        <v>5484</v>
      </c>
      <c r="B177" t="s">
        <v>86</v>
      </c>
      <c r="C177">
        <v>1</v>
      </c>
    </row>
    <row r="178" spans="1:3" x14ac:dyDescent="0.25">
      <c r="A178" t="s">
        <v>5485</v>
      </c>
      <c r="B178" t="s">
        <v>86</v>
      </c>
      <c r="C178">
        <v>1</v>
      </c>
    </row>
    <row r="179" spans="1:3" x14ac:dyDescent="0.25">
      <c r="A179" t="s">
        <v>5486</v>
      </c>
      <c r="B179" t="s">
        <v>86</v>
      </c>
      <c r="C179">
        <v>4</v>
      </c>
    </row>
    <row r="180" spans="1:3" x14ac:dyDescent="0.25">
      <c r="A180" t="s">
        <v>5487</v>
      </c>
      <c r="B180" t="s">
        <v>86</v>
      </c>
      <c r="C180">
        <v>1</v>
      </c>
    </row>
    <row r="181" spans="1:3" x14ac:dyDescent="0.25">
      <c r="A181" t="s">
        <v>5488</v>
      </c>
      <c r="B181" t="s">
        <v>86</v>
      </c>
      <c r="C181">
        <v>8</v>
      </c>
    </row>
    <row r="182" spans="1:3" x14ac:dyDescent="0.25">
      <c r="A182" t="s">
        <v>5489</v>
      </c>
      <c r="B182" t="s">
        <v>86</v>
      </c>
      <c r="C182">
        <v>2</v>
      </c>
    </row>
    <row r="183" spans="1:3" x14ac:dyDescent="0.25">
      <c r="A183" t="s">
        <v>5490</v>
      </c>
      <c r="B183" t="s">
        <v>86</v>
      </c>
      <c r="C183">
        <v>13</v>
      </c>
    </row>
    <row r="184" spans="1:3" x14ac:dyDescent="0.25">
      <c r="A184" t="s">
        <v>5491</v>
      </c>
      <c r="B184" t="s">
        <v>86</v>
      </c>
      <c r="C184">
        <v>1</v>
      </c>
    </row>
    <row r="185" spans="1:3" x14ac:dyDescent="0.25">
      <c r="A185" t="s">
        <v>5492</v>
      </c>
      <c r="B185" t="s">
        <v>86</v>
      </c>
      <c r="C185">
        <v>1</v>
      </c>
    </row>
    <row r="186" spans="1:3" x14ac:dyDescent="0.25">
      <c r="A186" t="s">
        <v>5493</v>
      </c>
      <c r="B186" t="s">
        <v>86</v>
      </c>
      <c r="C186">
        <v>56</v>
      </c>
    </row>
    <row r="187" spans="1:3" x14ac:dyDescent="0.25">
      <c r="A187" t="s">
        <v>5494</v>
      </c>
      <c r="B187" t="s">
        <v>86</v>
      </c>
      <c r="C187">
        <v>1</v>
      </c>
    </row>
    <row r="188" spans="1:3" x14ac:dyDescent="0.25">
      <c r="A188" t="s">
        <v>5495</v>
      </c>
      <c r="B188" t="s">
        <v>86</v>
      </c>
      <c r="C188">
        <v>6</v>
      </c>
    </row>
    <row r="189" spans="1:3" x14ac:dyDescent="0.25">
      <c r="A189" t="s">
        <v>5496</v>
      </c>
      <c r="B189" t="s">
        <v>86</v>
      </c>
      <c r="C189">
        <v>1</v>
      </c>
    </row>
    <row r="190" spans="1:3" x14ac:dyDescent="0.25">
      <c r="A190" t="s">
        <v>5497</v>
      </c>
      <c r="B190" t="s">
        <v>86</v>
      </c>
      <c r="C190">
        <v>1</v>
      </c>
    </row>
    <row r="191" spans="1:3" x14ac:dyDescent="0.25">
      <c r="A191" t="s">
        <v>5498</v>
      </c>
      <c r="B191" t="s">
        <v>121</v>
      </c>
      <c r="C191">
        <v>1</v>
      </c>
    </row>
    <row r="192" spans="1:3" x14ac:dyDescent="0.25">
      <c r="A192" t="s">
        <v>5499</v>
      </c>
      <c r="B192" t="s">
        <v>121</v>
      </c>
      <c r="C192">
        <v>3</v>
      </c>
    </row>
    <row r="193" spans="1:3" x14ac:dyDescent="0.25">
      <c r="A193" t="s">
        <v>5500</v>
      </c>
      <c r="B193" t="s">
        <v>121</v>
      </c>
      <c r="C193">
        <v>1</v>
      </c>
    </row>
    <row r="194" spans="1:3" x14ac:dyDescent="0.25">
      <c r="A194" t="s">
        <v>5501</v>
      </c>
      <c r="B194" t="s">
        <v>121</v>
      </c>
      <c r="C194">
        <v>1</v>
      </c>
    </row>
  </sheetData>
  <autoFilter ref="A1:C194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8"/>
  <sheetViews>
    <sheetView zoomScaleNormal="100" workbookViewId="0">
      <pane ySplit="1" topLeftCell="A2" activePane="bottomLeft" state="frozen"/>
      <selection pane="bottomLeft"/>
    </sheetView>
  </sheetViews>
  <sheetFormatPr defaultColWidth="8.59765625" defaultRowHeight="13.8" x14ac:dyDescent="0.25"/>
  <cols>
    <col min="1" max="2" width="60" customWidth="1"/>
    <col min="3" max="3" width="8" customWidth="1"/>
  </cols>
  <sheetData>
    <row r="1" spans="1:3" x14ac:dyDescent="0.25">
      <c r="A1" s="1" t="s">
        <v>5314</v>
      </c>
      <c r="B1" s="1" t="s">
        <v>5315</v>
      </c>
      <c r="C1" s="1" t="s">
        <v>5278</v>
      </c>
    </row>
    <row r="2" spans="1:3" x14ac:dyDescent="0.25">
      <c r="A2" t="s">
        <v>5502</v>
      </c>
      <c r="B2" t="s">
        <v>40</v>
      </c>
      <c r="C2">
        <v>1</v>
      </c>
    </row>
    <row r="3" spans="1:3" x14ac:dyDescent="0.25">
      <c r="A3" t="s">
        <v>5503</v>
      </c>
      <c r="B3" t="s">
        <v>46</v>
      </c>
      <c r="C3">
        <v>1</v>
      </c>
    </row>
    <row r="4" spans="1:3" x14ac:dyDescent="0.25">
      <c r="A4" t="s">
        <v>5504</v>
      </c>
      <c r="B4" t="s">
        <v>46</v>
      </c>
      <c r="C4">
        <v>1</v>
      </c>
    </row>
    <row r="5" spans="1:3" x14ac:dyDescent="0.25">
      <c r="A5" t="s">
        <v>5505</v>
      </c>
      <c r="B5" t="s">
        <v>46</v>
      </c>
      <c r="C5">
        <v>1</v>
      </c>
    </row>
    <row r="6" spans="1:3" x14ac:dyDescent="0.25">
      <c r="A6" t="s">
        <v>5506</v>
      </c>
      <c r="B6" t="s">
        <v>46</v>
      </c>
      <c r="C6">
        <v>1</v>
      </c>
    </row>
    <row r="7" spans="1:3" x14ac:dyDescent="0.25">
      <c r="A7" t="s">
        <v>5507</v>
      </c>
      <c r="B7" t="s">
        <v>52</v>
      </c>
      <c r="C7">
        <v>1</v>
      </c>
    </row>
    <row r="8" spans="1:3" x14ac:dyDescent="0.25">
      <c r="A8" t="s">
        <v>5508</v>
      </c>
      <c r="B8" t="s">
        <v>66</v>
      </c>
      <c r="C8">
        <v>1</v>
      </c>
    </row>
    <row r="9" spans="1:3" x14ac:dyDescent="0.25">
      <c r="A9" t="s">
        <v>5509</v>
      </c>
      <c r="B9" t="s">
        <v>76</v>
      </c>
      <c r="C9">
        <v>1</v>
      </c>
    </row>
    <row r="10" spans="1:3" x14ac:dyDescent="0.25">
      <c r="A10" t="s">
        <v>5510</v>
      </c>
      <c r="B10" t="s">
        <v>87</v>
      </c>
      <c r="C10">
        <v>1</v>
      </c>
    </row>
    <row r="11" spans="1:3" x14ac:dyDescent="0.25">
      <c r="A11" t="s">
        <v>5511</v>
      </c>
      <c r="B11" t="s">
        <v>105</v>
      </c>
      <c r="C11">
        <v>1</v>
      </c>
    </row>
    <row r="12" spans="1:3" x14ac:dyDescent="0.25">
      <c r="A12" t="s">
        <v>5512</v>
      </c>
      <c r="B12" t="s">
        <v>114</v>
      </c>
      <c r="C12">
        <v>1</v>
      </c>
    </row>
    <row r="13" spans="1:3" x14ac:dyDescent="0.25">
      <c r="A13" t="s">
        <v>5513</v>
      </c>
      <c r="B13" t="s">
        <v>130</v>
      </c>
      <c r="C13">
        <v>1</v>
      </c>
    </row>
    <row r="14" spans="1:3" x14ac:dyDescent="0.25">
      <c r="A14" t="s">
        <v>5514</v>
      </c>
      <c r="B14" t="s">
        <v>134</v>
      </c>
      <c r="C14">
        <v>2</v>
      </c>
    </row>
    <row r="15" spans="1:3" x14ac:dyDescent="0.25">
      <c r="A15" t="s">
        <v>5515</v>
      </c>
      <c r="B15" t="s">
        <v>163</v>
      </c>
      <c r="C15">
        <v>2</v>
      </c>
    </row>
    <row r="16" spans="1:3" x14ac:dyDescent="0.25">
      <c r="A16" t="s">
        <v>5516</v>
      </c>
      <c r="B16" t="s">
        <v>168</v>
      </c>
      <c r="C16">
        <v>1</v>
      </c>
    </row>
    <row r="17" spans="1:3" x14ac:dyDescent="0.25">
      <c r="A17" t="s">
        <v>5517</v>
      </c>
      <c r="B17" t="s">
        <v>192</v>
      </c>
      <c r="C17">
        <v>1</v>
      </c>
    </row>
    <row r="18" spans="1:3" x14ac:dyDescent="0.25">
      <c r="A18" t="s">
        <v>5518</v>
      </c>
      <c r="B18" t="s">
        <v>188</v>
      </c>
      <c r="C18">
        <v>1</v>
      </c>
    </row>
    <row r="19" spans="1:3" x14ac:dyDescent="0.25">
      <c r="A19" t="s">
        <v>5519</v>
      </c>
      <c r="B19" t="s">
        <v>214</v>
      </c>
      <c r="C19">
        <v>1</v>
      </c>
    </row>
    <row r="20" spans="1:3" x14ac:dyDescent="0.25">
      <c r="A20" t="s">
        <v>5520</v>
      </c>
      <c r="B20" t="s">
        <v>214</v>
      </c>
      <c r="C20">
        <v>1</v>
      </c>
    </row>
    <row r="21" spans="1:3" x14ac:dyDescent="0.25">
      <c r="A21" t="s">
        <v>5521</v>
      </c>
      <c r="B21" t="s">
        <v>214</v>
      </c>
      <c r="C21">
        <v>3</v>
      </c>
    </row>
    <row r="22" spans="1:3" x14ac:dyDescent="0.25">
      <c r="A22" t="s">
        <v>5522</v>
      </c>
      <c r="B22" t="s">
        <v>229</v>
      </c>
      <c r="C22">
        <v>1</v>
      </c>
    </row>
    <row r="23" spans="1:3" x14ac:dyDescent="0.25">
      <c r="A23" t="s">
        <v>5523</v>
      </c>
      <c r="B23" t="s">
        <v>177</v>
      </c>
      <c r="C23">
        <v>1</v>
      </c>
    </row>
    <row r="24" spans="1:3" x14ac:dyDescent="0.25">
      <c r="A24" t="s">
        <v>5524</v>
      </c>
      <c r="B24" t="s">
        <v>173</v>
      </c>
      <c r="C24">
        <v>1</v>
      </c>
    </row>
    <row r="25" spans="1:3" x14ac:dyDescent="0.25">
      <c r="A25" t="s">
        <v>5525</v>
      </c>
      <c r="B25" t="s">
        <v>173</v>
      </c>
      <c r="C25">
        <v>3</v>
      </c>
    </row>
    <row r="26" spans="1:3" x14ac:dyDescent="0.25">
      <c r="A26" t="s">
        <v>5526</v>
      </c>
      <c r="B26" t="s">
        <v>268</v>
      </c>
      <c r="C26">
        <v>1</v>
      </c>
    </row>
    <row r="27" spans="1:3" x14ac:dyDescent="0.25">
      <c r="A27" t="s">
        <v>5527</v>
      </c>
      <c r="B27" t="s">
        <v>282</v>
      </c>
      <c r="C27">
        <v>1</v>
      </c>
    </row>
    <row r="28" spans="1:3" x14ac:dyDescent="0.25">
      <c r="A28" t="s">
        <v>5528</v>
      </c>
      <c r="B28" t="s">
        <v>282</v>
      </c>
      <c r="C28">
        <v>1</v>
      </c>
    </row>
    <row r="29" spans="1:3" x14ac:dyDescent="0.25">
      <c r="A29" t="s">
        <v>5529</v>
      </c>
      <c r="B29" t="s">
        <v>282</v>
      </c>
      <c r="C29">
        <v>1</v>
      </c>
    </row>
    <row r="30" spans="1:3" x14ac:dyDescent="0.25">
      <c r="A30" t="s">
        <v>5530</v>
      </c>
      <c r="B30" t="s">
        <v>329</v>
      </c>
      <c r="C30">
        <v>1</v>
      </c>
    </row>
    <row r="31" spans="1:3" x14ac:dyDescent="0.25">
      <c r="A31" t="s">
        <v>5531</v>
      </c>
      <c r="B31" t="s">
        <v>329</v>
      </c>
      <c r="C31">
        <v>1</v>
      </c>
    </row>
    <row r="32" spans="1:3" x14ac:dyDescent="0.25">
      <c r="A32" t="s">
        <v>5532</v>
      </c>
      <c r="B32" t="s">
        <v>344</v>
      </c>
      <c r="C32">
        <v>1</v>
      </c>
    </row>
    <row r="33" spans="1:3" x14ac:dyDescent="0.25">
      <c r="A33" t="s">
        <v>5533</v>
      </c>
      <c r="B33" t="s">
        <v>360</v>
      </c>
      <c r="C33">
        <v>3</v>
      </c>
    </row>
    <row r="34" spans="1:3" x14ac:dyDescent="0.25">
      <c r="A34" t="s">
        <v>5534</v>
      </c>
      <c r="B34" t="s">
        <v>370</v>
      </c>
      <c r="C34">
        <v>1</v>
      </c>
    </row>
    <row r="35" spans="1:3" x14ac:dyDescent="0.25">
      <c r="A35" t="s">
        <v>5535</v>
      </c>
      <c r="B35" t="s">
        <v>400</v>
      </c>
      <c r="C35">
        <v>2</v>
      </c>
    </row>
    <row r="36" spans="1:3" x14ac:dyDescent="0.25">
      <c r="A36" t="s">
        <v>5425</v>
      </c>
      <c r="B36" t="s">
        <v>424</v>
      </c>
      <c r="C36">
        <v>1</v>
      </c>
    </row>
    <row r="37" spans="1:3" x14ac:dyDescent="0.25">
      <c r="A37" t="s">
        <v>5536</v>
      </c>
      <c r="B37" t="s">
        <v>424</v>
      </c>
      <c r="C37">
        <v>1</v>
      </c>
    </row>
    <row r="38" spans="1:3" x14ac:dyDescent="0.25">
      <c r="A38" t="s">
        <v>5537</v>
      </c>
      <c r="B38" t="s">
        <v>424</v>
      </c>
      <c r="C38">
        <v>2</v>
      </c>
    </row>
    <row r="39" spans="1:3" x14ac:dyDescent="0.25">
      <c r="A39" t="s">
        <v>5538</v>
      </c>
      <c r="B39" t="s">
        <v>428</v>
      </c>
      <c r="C39">
        <v>1</v>
      </c>
    </row>
    <row r="40" spans="1:3" x14ac:dyDescent="0.25">
      <c r="A40" t="s">
        <v>5539</v>
      </c>
      <c r="B40" t="s">
        <v>477</v>
      </c>
      <c r="C40">
        <v>1</v>
      </c>
    </row>
    <row r="41" spans="1:3" x14ac:dyDescent="0.25">
      <c r="A41" t="s">
        <v>5540</v>
      </c>
      <c r="B41" t="s">
        <v>396</v>
      </c>
      <c r="C41">
        <v>1</v>
      </c>
    </row>
    <row r="42" spans="1:3" x14ac:dyDescent="0.25">
      <c r="A42" t="s">
        <v>5541</v>
      </c>
      <c r="B42" t="s">
        <v>396</v>
      </c>
      <c r="C42">
        <v>1</v>
      </c>
    </row>
    <row r="43" spans="1:3" x14ac:dyDescent="0.25">
      <c r="A43" t="s">
        <v>5542</v>
      </c>
      <c r="B43" t="s">
        <v>421</v>
      </c>
      <c r="C43">
        <v>1</v>
      </c>
    </row>
    <row r="44" spans="1:3" x14ac:dyDescent="0.25">
      <c r="A44" t="s">
        <v>5543</v>
      </c>
      <c r="B44" t="s">
        <v>421</v>
      </c>
      <c r="C44">
        <v>3</v>
      </c>
    </row>
    <row r="45" spans="1:3" x14ac:dyDescent="0.25">
      <c r="A45" t="s">
        <v>5544</v>
      </c>
      <c r="B45" t="s">
        <v>531</v>
      </c>
      <c r="C45">
        <v>1</v>
      </c>
    </row>
    <row r="46" spans="1:3" x14ac:dyDescent="0.25">
      <c r="A46" t="s">
        <v>5545</v>
      </c>
      <c r="B46" t="s">
        <v>531</v>
      </c>
      <c r="C46">
        <v>1</v>
      </c>
    </row>
    <row r="47" spans="1:3" x14ac:dyDescent="0.25">
      <c r="A47" t="s">
        <v>5546</v>
      </c>
      <c r="B47" t="s">
        <v>541</v>
      </c>
      <c r="C47">
        <v>1</v>
      </c>
    </row>
    <row r="48" spans="1:3" x14ac:dyDescent="0.25">
      <c r="A48" t="s">
        <v>5547</v>
      </c>
      <c r="B48" t="s">
        <v>526</v>
      </c>
      <c r="C48">
        <v>1</v>
      </c>
    </row>
    <row r="49" spans="1:3" x14ac:dyDescent="0.25">
      <c r="A49" t="s">
        <v>5548</v>
      </c>
      <c r="B49" t="s">
        <v>608</v>
      </c>
      <c r="C49">
        <v>1</v>
      </c>
    </row>
    <row r="50" spans="1:3" x14ac:dyDescent="0.25">
      <c r="A50" t="s">
        <v>5549</v>
      </c>
      <c r="B50" t="s">
        <v>631</v>
      </c>
      <c r="C50">
        <v>2</v>
      </c>
    </row>
    <row r="51" spans="1:3" x14ac:dyDescent="0.25">
      <c r="A51" t="s">
        <v>5550</v>
      </c>
      <c r="B51" t="s">
        <v>664</v>
      </c>
      <c r="C51">
        <v>1</v>
      </c>
    </row>
    <row r="52" spans="1:3" x14ac:dyDescent="0.25">
      <c r="A52" t="s">
        <v>5551</v>
      </c>
      <c r="B52" t="s">
        <v>664</v>
      </c>
      <c r="C52">
        <v>1</v>
      </c>
    </row>
    <row r="53" spans="1:3" x14ac:dyDescent="0.25">
      <c r="A53" t="s">
        <v>5552</v>
      </c>
      <c r="B53" t="s">
        <v>681</v>
      </c>
      <c r="C53">
        <v>1</v>
      </c>
    </row>
    <row r="54" spans="1:3" x14ac:dyDescent="0.25">
      <c r="A54" t="s">
        <v>5354</v>
      </c>
      <c r="B54" t="s">
        <v>758</v>
      </c>
      <c r="C54">
        <v>2</v>
      </c>
    </row>
    <row r="55" spans="1:3" x14ac:dyDescent="0.25">
      <c r="A55" t="s">
        <v>5553</v>
      </c>
      <c r="B55" t="s">
        <v>775</v>
      </c>
      <c r="C55">
        <v>1</v>
      </c>
    </row>
    <row r="56" spans="1:3" x14ac:dyDescent="0.25">
      <c r="A56" t="s">
        <v>5554</v>
      </c>
      <c r="B56" t="s">
        <v>775</v>
      </c>
      <c r="C56">
        <v>2</v>
      </c>
    </row>
    <row r="57" spans="1:3" x14ac:dyDescent="0.25">
      <c r="A57" t="s">
        <v>5555</v>
      </c>
      <c r="B57" t="s">
        <v>794</v>
      </c>
      <c r="C57">
        <v>1</v>
      </c>
    </row>
    <row r="58" spans="1:3" x14ac:dyDescent="0.25">
      <c r="A58" t="s">
        <v>5556</v>
      </c>
      <c r="B58" t="s">
        <v>809</v>
      </c>
      <c r="C58">
        <v>4</v>
      </c>
    </row>
    <row r="59" spans="1:3" x14ac:dyDescent="0.25">
      <c r="A59" t="s">
        <v>5557</v>
      </c>
      <c r="B59" t="s">
        <v>887</v>
      </c>
      <c r="C59">
        <v>1</v>
      </c>
    </row>
    <row r="60" spans="1:3" x14ac:dyDescent="0.25">
      <c r="A60" t="s">
        <v>5558</v>
      </c>
      <c r="B60" t="s">
        <v>887</v>
      </c>
      <c r="C60">
        <v>1</v>
      </c>
    </row>
    <row r="61" spans="1:3" x14ac:dyDescent="0.25">
      <c r="A61" t="s">
        <v>5559</v>
      </c>
      <c r="B61" t="s">
        <v>622</v>
      </c>
      <c r="C61">
        <v>1</v>
      </c>
    </row>
    <row r="62" spans="1:3" x14ac:dyDescent="0.25">
      <c r="A62" t="s">
        <v>5560</v>
      </c>
      <c r="B62" t="s">
        <v>622</v>
      </c>
      <c r="C62">
        <v>1</v>
      </c>
    </row>
    <row r="63" spans="1:3" x14ac:dyDescent="0.25">
      <c r="A63" t="s">
        <v>5561</v>
      </c>
      <c r="B63" t="s">
        <v>875</v>
      </c>
      <c r="C63">
        <v>1</v>
      </c>
    </row>
    <row r="64" spans="1:3" x14ac:dyDescent="0.25">
      <c r="A64" t="s">
        <v>5562</v>
      </c>
      <c r="B64" t="s">
        <v>914</v>
      </c>
      <c r="C64">
        <v>1</v>
      </c>
    </row>
    <row r="65" spans="1:3" x14ac:dyDescent="0.25">
      <c r="A65" t="s">
        <v>5563</v>
      </c>
      <c r="B65" t="s">
        <v>914</v>
      </c>
      <c r="C65">
        <v>2</v>
      </c>
    </row>
    <row r="66" spans="1:3" x14ac:dyDescent="0.25">
      <c r="A66" t="s">
        <v>5564</v>
      </c>
      <c r="B66" t="s">
        <v>877</v>
      </c>
      <c r="C66">
        <v>1</v>
      </c>
    </row>
    <row r="67" spans="1:3" x14ac:dyDescent="0.25">
      <c r="A67" t="s">
        <v>5565</v>
      </c>
      <c r="B67" t="s">
        <v>999</v>
      </c>
      <c r="C67">
        <v>1</v>
      </c>
    </row>
    <row r="68" spans="1:3" x14ac:dyDescent="0.25">
      <c r="A68" t="s">
        <v>5566</v>
      </c>
      <c r="B68" t="s">
        <v>991</v>
      </c>
      <c r="C68">
        <v>3</v>
      </c>
    </row>
    <row r="69" spans="1:3" x14ac:dyDescent="0.25">
      <c r="A69" t="s">
        <v>5567</v>
      </c>
      <c r="B69" t="s">
        <v>1009</v>
      </c>
      <c r="C69">
        <v>1</v>
      </c>
    </row>
    <row r="70" spans="1:3" x14ac:dyDescent="0.25">
      <c r="A70" t="s">
        <v>5568</v>
      </c>
      <c r="B70" t="s">
        <v>1027</v>
      </c>
      <c r="C70">
        <v>1</v>
      </c>
    </row>
    <row r="71" spans="1:3" x14ac:dyDescent="0.25">
      <c r="A71" t="s">
        <v>5569</v>
      </c>
      <c r="B71" t="s">
        <v>1053</v>
      </c>
      <c r="C71">
        <v>1</v>
      </c>
    </row>
    <row r="72" spans="1:3" x14ac:dyDescent="0.25">
      <c r="A72" t="s">
        <v>5570</v>
      </c>
      <c r="B72" t="s">
        <v>1084</v>
      </c>
      <c r="C72">
        <v>3</v>
      </c>
    </row>
    <row r="73" spans="1:3" x14ac:dyDescent="0.25">
      <c r="A73" t="s">
        <v>5571</v>
      </c>
      <c r="B73" t="s">
        <v>1084</v>
      </c>
      <c r="C73">
        <v>1</v>
      </c>
    </row>
    <row r="74" spans="1:3" x14ac:dyDescent="0.25">
      <c r="A74" t="s">
        <v>5572</v>
      </c>
      <c r="B74" t="s">
        <v>1105</v>
      </c>
      <c r="C74">
        <v>1</v>
      </c>
    </row>
    <row r="75" spans="1:3" x14ac:dyDescent="0.25">
      <c r="A75" t="s">
        <v>5573</v>
      </c>
      <c r="B75" t="s">
        <v>1134</v>
      </c>
      <c r="C75">
        <v>1</v>
      </c>
    </row>
    <row r="76" spans="1:3" x14ac:dyDescent="0.25">
      <c r="A76" t="s">
        <v>5574</v>
      </c>
      <c r="B76" t="s">
        <v>1126</v>
      </c>
      <c r="C76">
        <v>2</v>
      </c>
    </row>
    <row r="77" spans="1:3" x14ac:dyDescent="0.25">
      <c r="A77" t="s">
        <v>5575</v>
      </c>
      <c r="B77" t="s">
        <v>1139</v>
      </c>
      <c r="C77">
        <v>1</v>
      </c>
    </row>
    <row r="78" spans="1:3" x14ac:dyDescent="0.25">
      <c r="A78" t="s">
        <v>5576</v>
      </c>
      <c r="B78" t="s">
        <v>1156</v>
      </c>
      <c r="C78">
        <v>1</v>
      </c>
    </row>
    <row r="79" spans="1:3" x14ac:dyDescent="0.25">
      <c r="A79" t="s">
        <v>5577</v>
      </c>
      <c r="B79" t="s">
        <v>1150</v>
      </c>
      <c r="C79">
        <v>1</v>
      </c>
    </row>
    <row r="80" spans="1:3" x14ac:dyDescent="0.25">
      <c r="A80" t="s">
        <v>5578</v>
      </c>
      <c r="B80" t="s">
        <v>1150</v>
      </c>
      <c r="C80">
        <v>1</v>
      </c>
    </row>
    <row r="81" spans="1:3" x14ac:dyDescent="0.25">
      <c r="A81" t="s">
        <v>5579</v>
      </c>
      <c r="B81" t="s">
        <v>1186</v>
      </c>
      <c r="C81">
        <v>1</v>
      </c>
    </row>
    <row r="82" spans="1:3" x14ac:dyDescent="0.25">
      <c r="A82" t="s">
        <v>5580</v>
      </c>
      <c r="B82" t="s">
        <v>1186</v>
      </c>
      <c r="C82">
        <v>1</v>
      </c>
    </row>
    <row r="83" spans="1:3" x14ac:dyDescent="0.25">
      <c r="A83" t="s">
        <v>5581</v>
      </c>
      <c r="B83" t="s">
        <v>1233</v>
      </c>
      <c r="C83">
        <v>1</v>
      </c>
    </row>
    <row r="84" spans="1:3" x14ac:dyDescent="0.25">
      <c r="A84" t="s">
        <v>5582</v>
      </c>
      <c r="B84" t="s">
        <v>1260</v>
      </c>
      <c r="C84">
        <v>1</v>
      </c>
    </row>
    <row r="85" spans="1:3" x14ac:dyDescent="0.25">
      <c r="A85" t="s">
        <v>5583</v>
      </c>
      <c r="B85" t="s">
        <v>1260</v>
      </c>
      <c r="C85">
        <v>1</v>
      </c>
    </row>
    <row r="86" spans="1:3" x14ac:dyDescent="0.25">
      <c r="A86" t="s">
        <v>5584</v>
      </c>
      <c r="B86" t="s">
        <v>1301</v>
      </c>
      <c r="C86">
        <v>1</v>
      </c>
    </row>
    <row r="87" spans="1:3" x14ac:dyDescent="0.25">
      <c r="A87" t="s">
        <v>5585</v>
      </c>
      <c r="B87" t="s">
        <v>1298</v>
      </c>
      <c r="C87">
        <v>1</v>
      </c>
    </row>
    <row r="88" spans="1:3" x14ac:dyDescent="0.25">
      <c r="A88" t="s">
        <v>5586</v>
      </c>
      <c r="B88" t="s">
        <v>1323</v>
      </c>
      <c r="C88">
        <v>3</v>
      </c>
    </row>
    <row r="89" spans="1:3" x14ac:dyDescent="0.25">
      <c r="A89" t="s">
        <v>5587</v>
      </c>
      <c r="B89" t="s">
        <v>1323</v>
      </c>
      <c r="C89">
        <v>2</v>
      </c>
    </row>
    <row r="90" spans="1:3" x14ac:dyDescent="0.25">
      <c r="A90" t="s">
        <v>5588</v>
      </c>
      <c r="B90" t="s">
        <v>1359</v>
      </c>
      <c r="C90">
        <v>1</v>
      </c>
    </row>
    <row r="91" spans="1:3" x14ac:dyDescent="0.25">
      <c r="A91" t="s">
        <v>5589</v>
      </c>
      <c r="B91" t="s">
        <v>1363</v>
      </c>
      <c r="C91">
        <v>1</v>
      </c>
    </row>
    <row r="92" spans="1:3" x14ac:dyDescent="0.25">
      <c r="A92" t="s">
        <v>5590</v>
      </c>
      <c r="B92" t="s">
        <v>1370</v>
      </c>
      <c r="C92">
        <v>1</v>
      </c>
    </row>
    <row r="93" spans="1:3" x14ac:dyDescent="0.25">
      <c r="A93" t="s">
        <v>5591</v>
      </c>
      <c r="B93" t="s">
        <v>1464</v>
      </c>
      <c r="C93">
        <v>1</v>
      </c>
    </row>
    <row r="94" spans="1:3" x14ac:dyDescent="0.25">
      <c r="A94" t="s">
        <v>5592</v>
      </c>
      <c r="B94" t="s">
        <v>1464</v>
      </c>
      <c r="C94">
        <v>1</v>
      </c>
    </row>
    <row r="95" spans="1:3" x14ac:dyDescent="0.25">
      <c r="A95" t="s">
        <v>5593</v>
      </c>
      <c r="B95" t="s">
        <v>1487</v>
      </c>
      <c r="C95">
        <v>1</v>
      </c>
    </row>
    <row r="96" spans="1:3" x14ac:dyDescent="0.25">
      <c r="A96" t="s">
        <v>5594</v>
      </c>
      <c r="B96" t="s">
        <v>1527</v>
      </c>
      <c r="C96">
        <v>1</v>
      </c>
    </row>
    <row r="97" spans="1:3" x14ac:dyDescent="0.25">
      <c r="A97" t="s">
        <v>5595</v>
      </c>
      <c r="B97" t="s">
        <v>1537</v>
      </c>
      <c r="C97">
        <v>2</v>
      </c>
    </row>
    <row r="98" spans="1:3" x14ac:dyDescent="0.25">
      <c r="A98" t="s">
        <v>5596</v>
      </c>
      <c r="B98" t="s">
        <v>1560</v>
      </c>
      <c r="C98">
        <v>1</v>
      </c>
    </row>
    <row r="99" spans="1:3" x14ac:dyDescent="0.25">
      <c r="A99" t="s">
        <v>5597</v>
      </c>
      <c r="B99" t="s">
        <v>1573</v>
      </c>
      <c r="C99">
        <v>1</v>
      </c>
    </row>
    <row r="100" spans="1:3" x14ac:dyDescent="0.25">
      <c r="A100" t="s">
        <v>5598</v>
      </c>
      <c r="B100" t="s">
        <v>1578</v>
      </c>
      <c r="C100">
        <v>1</v>
      </c>
    </row>
    <row r="101" spans="1:3" x14ac:dyDescent="0.25">
      <c r="A101" t="s">
        <v>5599</v>
      </c>
      <c r="B101" t="s">
        <v>1585</v>
      </c>
      <c r="C101">
        <v>1</v>
      </c>
    </row>
    <row r="102" spans="1:3" x14ac:dyDescent="0.25">
      <c r="A102" t="s">
        <v>5600</v>
      </c>
      <c r="B102" t="s">
        <v>1569</v>
      </c>
      <c r="C102">
        <v>1</v>
      </c>
    </row>
    <row r="103" spans="1:3" x14ac:dyDescent="0.25">
      <c r="A103" t="s">
        <v>5601</v>
      </c>
      <c r="B103" t="s">
        <v>1640</v>
      </c>
      <c r="C103">
        <v>1</v>
      </c>
    </row>
    <row r="104" spans="1:3" x14ac:dyDescent="0.25">
      <c r="A104" t="s">
        <v>5602</v>
      </c>
      <c r="B104" t="s">
        <v>1667</v>
      </c>
      <c r="C104">
        <v>2</v>
      </c>
    </row>
    <row r="105" spans="1:3" x14ac:dyDescent="0.25">
      <c r="A105" t="s">
        <v>5603</v>
      </c>
      <c r="B105" t="s">
        <v>1723</v>
      </c>
      <c r="C105">
        <v>4</v>
      </c>
    </row>
    <row r="106" spans="1:3" x14ac:dyDescent="0.25">
      <c r="A106" t="s">
        <v>5604</v>
      </c>
      <c r="B106" t="s">
        <v>1736</v>
      </c>
      <c r="C106">
        <v>2</v>
      </c>
    </row>
    <row r="107" spans="1:3" x14ac:dyDescent="0.25">
      <c r="A107" t="s">
        <v>5605</v>
      </c>
      <c r="B107" t="s">
        <v>1736</v>
      </c>
      <c r="C107">
        <v>1</v>
      </c>
    </row>
    <row r="108" spans="1:3" x14ac:dyDescent="0.25">
      <c r="A108" t="s">
        <v>5606</v>
      </c>
      <c r="B108" t="s">
        <v>1747</v>
      </c>
      <c r="C108">
        <v>1</v>
      </c>
    </row>
    <row r="109" spans="1:3" x14ac:dyDescent="0.25">
      <c r="A109" t="s">
        <v>5607</v>
      </c>
      <c r="B109" t="s">
        <v>1779</v>
      </c>
      <c r="C109">
        <v>1</v>
      </c>
    </row>
    <row r="110" spans="1:3" x14ac:dyDescent="0.25">
      <c r="A110" t="s">
        <v>1968</v>
      </c>
      <c r="B110" t="s">
        <v>1938</v>
      </c>
      <c r="C110">
        <v>1</v>
      </c>
    </row>
    <row r="111" spans="1:3" x14ac:dyDescent="0.25">
      <c r="A111" t="s">
        <v>5608</v>
      </c>
      <c r="B111" t="s">
        <v>1952</v>
      </c>
      <c r="C111">
        <v>2</v>
      </c>
    </row>
    <row r="112" spans="1:3" x14ac:dyDescent="0.25">
      <c r="A112" t="s">
        <v>5609</v>
      </c>
      <c r="B112" t="s">
        <v>1963</v>
      </c>
      <c r="C112">
        <v>1</v>
      </c>
    </row>
    <row r="113" spans="1:3" x14ac:dyDescent="0.25">
      <c r="A113" t="s">
        <v>5610</v>
      </c>
      <c r="B113" t="s">
        <v>1967</v>
      </c>
      <c r="C113">
        <v>1</v>
      </c>
    </row>
    <row r="114" spans="1:3" x14ac:dyDescent="0.25">
      <c r="A114" t="s">
        <v>5611</v>
      </c>
      <c r="B114" t="s">
        <v>1977</v>
      </c>
      <c r="C114">
        <v>1</v>
      </c>
    </row>
    <row r="115" spans="1:3" x14ac:dyDescent="0.25">
      <c r="A115" t="s">
        <v>5612</v>
      </c>
      <c r="B115" t="s">
        <v>2021</v>
      </c>
      <c r="C115">
        <v>1</v>
      </c>
    </row>
    <row r="116" spans="1:3" x14ac:dyDescent="0.25">
      <c r="A116" t="s">
        <v>5613</v>
      </c>
      <c r="B116" t="s">
        <v>2034</v>
      </c>
      <c r="C116">
        <v>1</v>
      </c>
    </row>
    <row r="117" spans="1:3" x14ac:dyDescent="0.25">
      <c r="A117" t="s">
        <v>5614</v>
      </c>
      <c r="B117" t="s">
        <v>2040</v>
      </c>
      <c r="C117">
        <v>1</v>
      </c>
    </row>
    <row r="118" spans="1:3" x14ac:dyDescent="0.25">
      <c r="A118" t="s">
        <v>5615</v>
      </c>
      <c r="B118" t="s">
        <v>2048</v>
      </c>
      <c r="C118">
        <v>1</v>
      </c>
    </row>
    <row r="119" spans="1:3" x14ac:dyDescent="0.25">
      <c r="A119" t="s">
        <v>5616</v>
      </c>
      <c r="B119" t="s">
        <v>2059</v>
      </c>
      <c r="C119">
        <v>1</v>
      </c>
    </row>
    <row r="120" spans="1:3" x14ac:dyDescent="0.25">
      <c r="A120" t="s">
        <v>5617</v>
      </c>
      <c r="B120" t="s">
        <v>5045</v>
      </c>
      <c r="C120">
        <v>1</v>
      </c>
    </row>
    <row r="121" spans="1:3" x14ac:dyDescent="0.25">
      <c r="A121" t="s">
        <v>5618</v>
      </c>
      <c r="B121" t="s">
        <v>2027</v>
      </c>
      <c r="C121">
        <v>1</v>
      </c>
    </row>
    <row r="122" spans="1:3" x14ac:dyDescent="0.25">
      <c r="A122" t="s">
        <v>5619</v>
      </c>
      <c r="B122" t="s">
        <v>2114</v>
      </c>
      <c r="C122">
        <v>1</v>
      </c>
    </row>
    <row r="123" spans="1:3" x14ac:dyDescent="0.25">
      <c r="A123" t="s">
        <v>5620</v>
      </c>
      <c r="B123" t="s">
        <v>2114</v>
      </c>
      <c r="C123">
        <v>1</v>
      </c>
    </row>
    <row r="124" spans="1:3" x14ac:dyDescent="0.25">
      <c r="A124" t="s">
        <v>5621</v>
      </c>
      <c r="B124" t="s">
        <v>2114</v>
      </c>
      <c r="C124">
        <v>1</v>
      </c>
    </row>
    <row r="125" spans="1:3" x14ac:dyDescent="0.25">
      <c r="A125" t="s">
        <v>5622</v>
      </c>
      <c r="B125" t="s">
        <v>2108</v>
      </c>
      <c r="C125">
        <v>1</v>
      </c>
    </row>
    <row r="126" spans="1:3" x14ac:dyDescent="0.25">
      <c r="A126" t="s">
        <v>5623</v>
      </c>
      <c r="B126" t="s">
        <v>2174</v>
      </c>
      <c r="C126">
        <v>1</v>
      </c>
    </row>
    <row r="127" spans="1:3" x14ac:dyDescent="0.25">
      <c r="A127" t="s">
        <v>5624</v>
      </c>
      <c r="B127" t="s">
        <v>2201</v>
      </c>
      <c r="C127">
        <v>1</v>
      </c>
    </row>
    <row r="128" spans="1:3" x14ac:dyDescent="0.25">
      <c r="A128" t="s">
        <v>5625</v>
      </c>
      <c r="B128" t="s">
        <v>2227</v>
      </c>
      <c r="C128">
        <v>1</v>
      </c>
    </row>
    <row r="129" spans="1:3" x14ac:dyDescent="0.25">
      <c r="A129" t="s">
        <v>5626</v>
      </c>
      <c r="B129" t="s">
        <v>2234</v>
      </c>
      <c r="C129">
        <v>1</v>
      </c>
    </row>
    <row r="130" spans="1:3" x14ac:dyDescent="0.25">
      <c r="A130" t="s">
        <v>5627</v>
      </c>
      <c r="B130" t="s">
        <v>2234</v>
      </c>
      <c r="C130">
        <v>1</v>
      </c>
    </row>
    <row r="131" spans="1:3" x14ac:dyDescent="0.25">
      <c r="A131" t="s">
        <v>5628</v>
      </c>
      <c r="B131" t="s">
        <v>2256</v>
      </c>
      <c r="C131">
        <v>1</v>
      </c>
    </row>
    <row r="132" spans="1:3" x14ac:dyDescent="0.25">
      <c r="A132" t="s">
        <v>5629</v>
      </c>
      <c r="B132" t="s">
        <v>2260</v>
      </c>
      <c r="C132">
        <v>1</v>
      </c>
    </row>
    <row r="133" spans="1:3" x14ac:dyDescent="0.25">
      <c r="A133" t="s">
        <v>5630</v>
      </c>
      <c r="B133" t="s">
        <v>2265</v>
      </c>
      <c r="C133">
        <v>1</v>
      </c>
    </row>
    <row r="134" spans="1:3" x14ac:dyDescent="0.25">
      <c r="A134" t="s">
        <v>5631</v>
      </c>
      <c r="B134" t="s">
        <v>2265</v>
      </c>
      <c r="C134">
        <v>1</v>
      </c>
    </row>
    <row r="135" spans="1:3" x14ac:dyDescent="0.25">
      <c r="A135" t="s">
        <v>5632</v>
      </c>
      <c r="B135" t="s">
        <v>2413</v>
      </c>
      <c r="C135">
        <v>1</v>
      </c>
    </row>
    <row r="136" spans="1:3" x14ac:dyDescent="0.25">
      <c r="A136" t="s">
        <v>5633</v>
      </c>
      <c r="B136" t="s">
        <v>2231</v>
      </c>
      <c r="C136">
        <v>1</v>
      </c>
    </row>
    <row r="137" spans="1:3" x14ac:dyDescent="0.25">
      <c r="A137" t="s">
        <v>5634</v>
      </c>
      <c r="B137" t="s">
        <v>2231</v>
      </c>
      <c r="C137">
        <v>1</v>
      </c>
    </row>
    <row r="138" spans="1:3" x14ac:dyDescent="0.25">
      <c r="A138" t="s">
        <v>5635</v>
      </c>
      <c r="B138" t="s">
        <v>2231</v>
      </c>
      <c r="C138">
        <v>1</v>
      </c>
    </row>
    <row r="139" spans="1:3" x14ac:dyDescent="0.25">
      <c r="A139" t="s">
        <v>5636</v>
      </c>
      <c r="B139" t="s">
        <v>2308</v>
      </c>
      <c r="C139">
        <v>1</v>
      </c>
    </row>
    <row r="140" spans="1:3" x14ac:dyDescent="0.25">
      <c r="A140" t="s">
        <v>2324</v>
      </c>
      <c r="B140" t="s">
        <v>2170</v>
      </c>
      <c r="C140">
        <v>1</v>
      </c>
    </row>
    <row r="141" spans="1:3" x14ac:dyDescent="0.25">
      <c r="A141" t="s">
        <v>5637</v>
      </c>
      <c r="B141" t="s">
        <v>2409</v>
      </c>
      <c r="C141">
        <v>1</v>
      </c>
    </row>
    <row r="142" spans="1:3" x14ac:dyDescent="0.25">
      <c r="A142" t="s">
        <v>5638</v>
      </c>
      <c r="B142" t="s">
        <v>2409</v>
      </c>
      <c r="C142">
        <v>1</v>
      </c>
    </row>
    <row r="143" spans="1:3" x14ac:dyDescent="0.25">
      <c r="A143" t="s">
        <v>5639</v>
      </c>
      <c r="B143" t="s">
        <v>5052</v>
      </c>
      <c r="C143">
        <v>1</v>
      </c>
    </row>
    <row r="144" spans="1:3" x14ac:dyDescent="0.25">
      <c r="A144" t="s">
        <v>5640</v>
      </c>
      <c r="B144" t="s">
        <v>2453</v>
      </c>
      <c r="C144">
        <v>1</v>
      </c>
    </row>
    <row r="145" spans="1:3" x14ac:dyDescent="0.25">
      <c r="A145" t="s">
        <v>5641</v>
      </c>
      <c r="B145" t="s">
        <v>2457</v>
      </c>
      <c r="C145">
        <v>2</v>
      </c>
    </row>
    <row r="146" spans="1:3" x14ac:dyDescent="0.25">
      <c r="A146" t="s">
        <v>5642</v>
      </c>
      <c r="B146" t="s">
        <v>2457</v>
      </c>
      <c r="C146">
        <v>1</v>
      </c>
    </row>
    <row r="147" spans="1:3" x14ac:dyDescent="0.25">
      <c r="A147" t="s">
        <v>5643</v>
      </c>
      <c r="B147" t="s">
        <v>2468</v>
      </c>
      <c r="C147">
        <v>1</v>
      </c>
    </row>
    <row r="148" spans="1:3" x14ac:dyDescent="0.25">
      <c r="A148" t="s">
        <v>5644</v>
      </c>
      <c r="B148" t="s">
        <v>2490</v>
      </c>
      <c r="C148">
        <v>1</v>
      </c>
    </row>
    <row r="149" spans="1:3" x14ac:dyDescent="0.25">
      <c r="A149" t="s">
        <v>5645</v>
      </c>
      <c r="B149" t="s">
        <v>2496</v>
      </c>
      <c r="C149">
        <v>1</v>
      </c>
    </row>
    <row r="150" spans="1:3" x14ac:dyDescent="0.25">
      <c r="A150" t="s">
        <v>5646</v>
      </c>
      <c r="B150" t="s">
        <v>2501</v>
      </c>
      <c r="C150">
        <v>1</v>
      </c>
    </row>
    <row r="151" spans="1:3" x14ac:dyDescent="0.25">
      <c r="A151" t="s">
        <v>5647</v>
      </c>
      <c r="B151" t="s">
        <v>2338</v>
      </c>
      <c r="C151">
        <v>5</v>
      </c>
    </row>
    <row r="152" spans="1:3" x14ac:dyDescent="0.25">
      <c r="A152" t="s">
        <v>5648</v>
      </c>
      <c r="B152" t="s">
        <v>2338</v>
      </c>
      <c r="C152">
        <v>1</v>
      </c>
    </row>
    <row r="153" spans="1:3" x14ac:dyDescent="0.25">
      <c r="A153" t="s">
        <v>5649</v>
      </c>
      <c r="B153" t="s">
        <v>2338</v>
      </c>
      <c r="C153">
        <v>3</v>
      </c>
    </row>
    <row r="154" spans="1:3" x14ac:dyDescent="0.25">
      <c r="A154" t="s">
        <v>5650</v>
      </c>
      <c r="B154" t="s">
        <v>2338</v>
      </c>
      <c r="C154">
        <v>1</v>
      </c>
    </row>
    <row r="155" spans="1:3" x14ac:dyDescent="0.25">
      <c r="A155" t="s">
        <v>5651</v>
      </c>
      <c r="B155" t="s">
        <v>2338</v>
      </c>
      <c r="C155">
        <v>1</v>
      </c>
    </row>
    <row r="156" spans="1:3" x14ac:dyDescent="0.25">
      <c r="A156" t="s">
        <v>5652</v>
      </c>
      <c r="B156" t="s">
        <v>2338</v>
      </c>
      <c r="C156">
        <v>3</v>
      </c>
    </row>
    <row r="157" spans="1:3" x14ac:dyDescent="0.25">
      <c r="A157" t="s">
        <v>5653</v>
      </c>
      <c r="B157" t="s">
        <v>2338</v>
      </c>
      <c r="C157">
        <v>2</v>
      </c>
    </row>
    <row r="158" spans="1:3" x14ac:dyDescent="0.25">
      <c r="A158" t="s">
        <v>5654</v>
      </c>
      <c r="B158" t="s">
        <v>2338</v>
      </c>
      <c r="C158">
        <v>6</v>
      </c>
    </row>
    <row r="159" spans="1:3" x14ac:dyDescent="0.25">
      <c r="A159" t="s">
        <v>5655</v>
      </c>
      <c r="B159" t="s">
        <v>2338</v>
      </c>
      <c r="C159">
        <v>1</v>
      </c>
    </row>
    <row r="160" spans="1:3" x14ac:dyDescent="0.25">
      <c r="A160" t="s">
        <v>5656</v>
      </c>
      <c r="B160" t="s">
        <v>2353</v>
      </c>
      <c r="C160">
        <v>1</v>
      </c>
    </row>
    <row r="161" spans="1:3" x14ac:dyDescent="0.25">
      <c r="A161" t="s">
        <v>5657</v>
      </c>
      <c r="B161" t="s">
        <v>2357</v>
      </c>
      <c r="C161">
        <v>1</v>
      </c>
    </row>
    <row r="162" spans="1:3" x14ac:dyDescent="0.25">
      <c r="A162" t="s">
        <v>5658</v>
      </c>
      <c r="B162" t="s">
        <v>2654</v>
      </c>
      <c r="C162">
        <v>1</v>
      </c>
    </row>
    <row r="163" spans="1:3" x14ac:dyDescent="0.25">
      <c r="A163" t="s">
        <v>5659</v>
      </c>
      <c r="B163" t="s">
        <v>2429</v>
      </c>
      <c r="C163">
        <v>1</v>
      </c>
    </row>
    <row r="164" spans="1:3" x14ac:dyDescent="0.25">
      <c r="A164" t="s">
        <v>5660</v>
      </c>
      <c r="B164" t="s">
        <v>2429</v>
      </c>
      <c r="C164">
        <v>1</v>
      </c>
    </row>
    <row r="165" spans="1:3" x14ac:dyDescent="0.25">
      <c r="A165" t="s">
        <v>5661</v>
      </c>
      <c r="B165" t="s">
        <v>2361</v>
      </c>
      <c r="C165">
        <v>1</v>
      </c>
    </row>
    <row r="166" spans="1:3" x14ac:dyDescent="0.25">
      <c r="A166" t="s">
        <v>5662</v>
      </c>
      <c r="B166" t="s">
        <v>2361</v>
      </c>
      <c r="C166">
        <v>1</v>
      </c>
    </row>
    <row r="167" spans="1:3" x14ac:dyDescent="0.25">
      <c r="A167" t="s">
        <v>5663</v>
      </c>
      <c r="B167" t="s">
        <v>2709</v>
      </c>
      <c r="C167">
        <v>1</v>
      </c>
    </row>
    <row r="168" spans="1:3" x14ac:dyDescent="0.25">
      <c r="A168" t="s">
        <v>5664</v>
      </c>
      <c r="B168" t="s">
        <v>2725</v>
      </c>
      <c r="C168">
        <v>1</v>
      </c>
    </row>
    <row r="169" spans="1:3" x14ac:dyDescent="0.25">
      <c r="A169" t="s">
        <v>5665</v>
      </c>
      <c r="B169" t="s">
        <v>2729</v>
      </c>
      <c r="C169">
        <v>2</v>
      </c>
    </row>
    <row r="170" spans="1:3" x14ac:dyDescent="0.25">
      <c r="A170" t="s">
        <v>5666</v>
      </c>
      <c r="B170" t="s">
        <v>2739</v>
      </c>
      <c r="C170">
        <v>2</v>
      </c>
    </row>
    <row r="171" spans="1:3" x14ac:dyDescent="0.25">
      <c r="A171" t="s">
        <v>5667</v>
      </c>
      <c r="B171" t="s">
        <v>2806</v>
      </c>
      <c r="C171">
        <v>1</v>
      </c>
    </row>
    <row r="172" spans="1:3" x14ac:dyDescent="0.25">
      <c r="A172" t="s">
        <v>5668</v>
      </c>
      <c r="B172" t="s">
        <v>2365</v>
      </c>
      <c r="C172">
        <v>2</v>
      </c>
    </row>
    <row r="173" spans="1:3" x14ac:dyDescent="0.25">
      <c r="A173" t="s">
        <v>5669</v>
      </c>
      <c r="B173" t="s">
        <v>2365</v>
      </c>
      <c r="C173">
        <v>1</v>
      </c>
    </row>
    <row r="174" spans="1:3" x14ac:dyDescent="0.25">
      <c r="A174" t="s">
        <v>5670</v>
      </c>
      <c r="B174" t="s">
        <v>2371</v>
      </c>
      <c r="C174">
        <v>1</v>
      </c>
    </row>
    <row r="175" spans="1:3" x14ac:dyDescent="0.25">
      <c r="A175" t="s">
        <v>5671</v>
      </c>
      <c r="B175" t="s">
        <v>2371</v>
      </c>
      <c r="C175">
        <v>1</v>
      </c>
    </row>
    <row r="176" spans="1:3" x14ac:dyDescent="0.25">
      <c r="A176" t="s">
        <v>5672</v>
      </c>
      <c r="B176" t="s">
        <v>2846</v>
      </c>
      <c r="C176">
        <v>1</v>
      </c>
    </row>
    <row r="177" spans="1:3" x14ac:dyDescent="0.25">
      <c r="A177" t="s">
        <v>5394</v>
      </c>
      <c r="B177" t="s">
        <v>2391</v>
      </c>
      <c r="C177">
        <v>1</v>
      </c>
    </row>
    <row r="178" spans="1:3" x14ac:dyDescent="0.25">
      <c r="A178" t="s">
        <v>5673</v>
      </c>
      <c r="B178" t="s">
        <v>2375</v>
      </c>
      <c r="C178">
        <v>2</v>
      </c>
    </row>
    <row r="179" spans="1:3" x14ac:dyDescent="0.25">
      <c r="A179" t="s">
        <v>5674</v>
      </c>
      <c r="B179" t="s">
        <v>2375</v>
      </c>
      <c r="C179">
        <v>4</v>
      </c>
    </row>
    <row r="180" spans="1:3" x14ac:dyDescent="0.25">
      <c r="A180" t="s">
        <v>5675</v>
      </c>
      <c r="B180" t="s">
        <v>2395</v>
      </c>
      <c r="C180">
        <v>1</v>
      </c>
    </row>
    <row r="181" spans="1:3" x14ac:dyDescent="0.25">
      <c r="A181" t="s">
        <v>5676</v>
      </c>
      <c r="B181" t="s">
        <v>2908</v>
      </c>
      <c r="C181">
        <v>1</v>
      </c>
    </row>
    <row r="182" spans="1:3" x14ac:dyDescent="0.25">
      <c r="A182" t="s">
        <v>5677</v>
      </c>
      <c r="B182" t="s">
        <v>2924</v>
      </c>
      <c r="C182">
        <v>1</v>
      </c>
    </row>
    <row r="183" spans="1:3" x14ac:dyDescent="0.25">
      <c r="A183" t="s">
        <v>5678</v>
      </c>
      <c r="B183" t="s">
        <v>2949</v>
      </c>
      <c r="C183">
        <v>1</v>
      </c>
    </row>
    <row r="184" spans="1:3" x14ac:dyDescent="0.25">
      <c r="A184" t="s">
        <v>5679</v>
      </c>
      <c r="B184" t="s">
        <v>2952</v>
      </c>
      <c r="C184">
        <v>2</v>
      </c>
    </row>
    <row r="185" spans="1:3" x14ac:dyDescent="0.25">
      <c r="A185" t="s">
        <v>5680</v>
      </c>
      <c r="B185" t="s">
        <v>2966</v>
      </c>
      <c r="C185">
        <v>1</v>
      </c>
    </row>
    <row r="186" spans="1:3" x14ac:dyDescent="0.25">
      <c r="A186" t="s">
        <v>5681</v>
      </c>
      <c r="B186" t="s">
        <v>2979</v>
      </c>
      <c r="C186">
        <v>2</v>
      </c>
    </row>
    <row r="187" spans="1:3" x14ac:dyDescent="0.25">
      <c r="A187" t="s">
        <v>5682</v>
      </c>
      <c r="B187" t="s">
        <v>2398</v>
      </c>
      <c r="C187">
        <v>1</v>
      </c>
    </row>
    <row r="188" spans="1:3" x14ac:dyDescent="0.25">
      <c r="A188" t="s">
        <v>5683</v>
      </c>
      <c r="B188" t="s">
        <v>3018</v>
      </c>
      <c r="C188">
        <v>1</v>
      </c>
    </row>
    <row r="189" spans="1:3" x14ac:dyDescent="0.25">
      <c r="A189" t="s">
        <v>5684</v>
      </c>
      <c r="B189" t="s">
        <v>3025</v>
      </c>
      <c r="C189">
        <v>1</v>
      </c>
    </row>
    <row r="190" spans="1:3" x14ac:dyDescent="0.25">
      <c r="A190" t="s">
        <v>5685</v>
      </c>
      <c r="B190" t="s">
        <v>3032</v>
      </c>
      <c r="C190">
        <v>1</v>
      </c>
    </row>
    <row r="191" spans="1:3" x14ac:dyDescent="0.25">
      <c r="A191" t="s">
        <v>5686</v>
      </c>
      <c r="B191" t="s">
        <v>2401</v>
      </c>
      <c r="C191">
        <v>1</v>
      </c>
    </row>
    <row r="192" spans="1:3" x14ac:dyDescent="0.25">
      <c r="A192" t="s">
        <v>5687</v>
      </c>
      <c r="B192" t="s">
        <v>2401</v>
      </c>
      <c r="C192">
        <v>1</v>
      </c>
    </row>
    <row r="193" spans="1:3" x14ac:dyDescent="0.25">
      <c r="A193" t="s">
        <v>5688</v>
      </c>
      <c r="B193" t="s">
        <v>2405</v>
      </c>
      <c r="C193">
        <v>1</v>
      </c>
    </row>
    <row r="194" spans="1:3" x14ac:dyDescent="0.25">
      <c r="A194" t="s">
        <v>5689</v>
      </c>
      <c r="B194" t="s">
        <v>3103</v>
      </c>
      <c r="C194">
        <v>1</v>
      </c>
    </row>
    <row r="195" spans="1:3" x14ac:dyDescent="0.25">
      <c r="A195" t="s">
        <v>5690</v>
      </c>
      <c r="B195" t="s">
        <v>2421</v>
      </c>
      <c r="C195">
        <v>1</v>
      </c>
    </row>
    <row r="196" spans="1:3" x14ac:dyDescent="0.25">
      <c r="A196" t="s">
        <v>5691</v>
      </c>
      <c r="B196" t="s">
        <v>2238</v>
      </c>
      <c r="C196">
        <v>1</v>
      </c>
    </row>
    <row r="197" spans="1:3" x14ac:dyDescent="0.25">
      <c r="A197" t="s">
        <v>5692</v>
      </c>
      <c r="B197" t="s">
        <v>2238</v>
      </c>
      <c r="C197">
        <v>1</v>
      </c>
    </row>
    <row r="198" spans="1:3" x14ac:dyDescent="0.25">
      <c r="A198" t="s">
        <v>5693</v>
      </c>
      <c r="B198" t="s">
        <v>3171</v>
      </c>
      <c r="C198">
        <v>1</v>
      </c>
    </row>
    <row r="199" spans="1:3" x14ac:dyDescent="0.25">
      <c r="A199" t="s">
        <v>5694</v>
      </c>
      <c r="B199" t="s">
        <v>3200</v>
      </c>
      <c r="C199">
        <v>1</v>
      </c>
    </row>
    <row r="200" spans="1:3" x14ac:dyDescent="0.25">
      <c r="A200" t="s">
        <v>5695</v>
      </c>
      <c r="B200" t="s">
        <v>3200</v>
      </c>
      <c r="C200">
        <v>1</v>
      </c>
    </row>
    <row r="201" spans="1:3" x14ac:dyDescent="0.25">
      <c r="A201" t="s">
        <v>5399</v>
      </c>
      <c r="B201" t="s">
        <v>3200</v>
      </c>
      <c r="C201">
        <v>1</v>
      </c>
    </row>
    <row r="202" spans="1:3" x14ac:dyDescent="0.25">
      <c r="A202" t="s">
        <v>5696</v>
      </c>
      <c r="B202" t="s">
        <v>3217</v>
      </c>
      <c r="C202">
        <v>3</v>
      </c>
    </row>
    <row r="203" spans="1:3" x14ac:dyDescent="0.25">
      <c r="A203" t="s">
        <v>5697</v>
      </c>
      <c r="B203" t="s">
        <v>3226</v>
      </c>
      <c r="C203">
        <v>1</v>
      </c>
    </row>
    <row r="204" spans="1:3" x14ac:dyDescent="0.25">
      <c r="A204" t="s">
        <v>5698</v>
      </c>
      <c r="B204" t="s">
        <v>5101</v>
      </c>
      <c r="C204">
        <v>2</v>
      </c>
    </row>
    <row r="205" spans="1:3" x14ac:dyDescent="0.25">
      <c r="A205" t="s">
        <v>5699</v>
      </c>
      <c r="B205" t="s">
        <v>3282</v>
      </c>
      <c r="C205">
        <v>1</v>
      </c>
    </row>
    <row r="206" spans="1:3" x14ac:dyDescent="0.25">
      <c r="A206" t="s">
        <v>5700</v>
      </c>
      <c r="B206" t="s">
        <v>3288</v>
      </c>
      <c r="C206">
        <v>1</v>
      </c>
    </row>
    <row r="207" spans="1:3" x14ac:dyDescent="0.25">
      <c r="A207" t="s">
        <v>5701</v>
      </c>
      <c r="B207" t="s">
        <v>3301</v>
      </c>
      <c r="C207">
        <v>1</v>
      </c>
    </row>
    <row r="208" spans="1:3" x14ac:dyDescent="0.25">
      <c r="A208" t="s">
        <v>5702</v>
      </c>
      <c r="B208" t="s">
        <v>2861</v>
      </c>
      <c r="C208">
        <v>1</v>
      </c>
    </row>
    <row r="209" spans="1:3" x14ac:dyDescent="0.25">
      <c r="A209" t="s">
        <v>5703</v>
      </c>
      <c r="B209" t="s">
        <v>3343</v>
      </c>
      <c r="C209">
        <v>1</v>
      </c>
    </row>
    <row r="210" spans="1:3" x14ac:dyDescent="0.25">
      <c r="A210" t="s">
        <v>5704</v>
      </c>
      <c r="B210" t="s">
        <v>3371</v>
      </c>
      <c r="C210">
        <v>2</v>
      </c>
    </row>
    <row r="211" spans="1:3" x14ac:dyDescent="0.25">
      <c r="A211" t="s">
        <v>5705</v>
      </c>
      <c r="B211" t="s">
        <v>3367</v>
      </c>
      <c r="C211">
        <v>1</v>
      </c>
    </row>
    <row r="212" spans="1:3" x14ac:dyDescent="0.25">
      <c r="A212" t="s">
        <v>5706</v>
      </c>
      <c r="B212" t="s">
        <v>3307</v>
      </c>
      <c r="C212">
        <v>1</v>
      </c>
    </row>
    <row r="213" spans="1:3" x14ac:dyDescent="0.25">
      <c r="A213" t="s">
        <v>5707</v>
      </c>
      <c r="B213" t="s">
        <v>3307</v>
      </c>
      <c r="C213">
        <v>1</v>
      </c>
    </row>
    <row r="214" spans="1:3" x14ac:dyDescent="0.25">
      <c r="A214" t="s">
        <v>5708</v>
      </c>
      <c r="B214" t="s">
        <v>3356</v>
      </c>
      <c r="C214">
        <v>1</v>
      </c>
    </row>
    <row r="215" spans="1:3" x14ac:dyDescent="0.25">
      <c r="A215" t="s">
        <v>5709</v>
      </c>
      <c r="B215" t="s">
        <v>3356</v>
      </c>
      <c r="C215">
        <v>1</v>
      </c>
    </row>
    <row r="216" spans="1:3" x14ac:dyDescent="0.25">
      <c r="A216" t="s">
        <v>5710</v>
      </c>
      <c r="B216" t="s">
        <v>3359</v>
      </c>
      <c r="C216">
        <v>1</v>
      </c>
    </row>
    <row r="217" spans="1:3" x14ac:dyDescent="0.25">
      <c r="A217" t="s">
        <v>5711</v>
      </c>
      <c r="B217" t="s">
        <v>3421</v>
      </c>
      <c r="C217">
        <v>1</v>
      </c>
    </row>
    <row r="218" spans="1:3" x14ac:dyDescent="0.25">
      <c r="A218" t="s">
        <v>5712</v>
      </c>
      <c r="B218" t="s">
        <v>3363</v>
      </c>
      <c r="C218">
        <v>1</v>
      </c>
    </row>
    <row r="219" spans="1:3" x14ac:dyDescent="0.25">
      <c r="A219" t="s">
        <v>5713</v>
      </c>
      <c r="B219" t="s">
        <v>3518</v>
      </c>
      <c r="C219">
        <v>1</v>
      </c>
    </row>
    <row r="220" spans="1:3" x14ac:dyDescent="0.25">
      <c r="A220" t="s">
        <v>5714</v>
      </c>
      <c r="B220" t="s">
        <v>3518</v>
      </c>
      <c r="C220">
        <v>1</v>
      </c>
    </row>
    <row r="221" spans="1:3" x14ac:dyDescent="0.25">
      <c r="A221" t="s">
        <v>5715</v>
      </c>
      <c r="B221" t="s">
        <v>3570</v>
      </c>
      <c r="C221">
        <v>1</v>
      </c>
    </row>
    <row r="222" spans="1:3" x14ac:dyDescent="0.25">
      <c r="A222" t="s">
        <v>5716</v>
      </c>
      <c r="B222" t="s">
        <v>3620</v>
      </c>
      <c r="C222">
        <v>15</v>
      </c>
    </row>
    <row r="223" spans="1:3" x14ac:dyDescent="0.25">
      <c r="A223" t="s">
        <v>5717</v>
      </c>
      <c r="B223" t="s">
        <v>3620</v>
      </c>
      <c r="C223">
        <v>2</v>
      </c>
    </row>
    <row r="224" spans="1:3" x14ac:dyDescent="0.25">
      <c r="A224" t="s">
        <v>5718</v>
      </c>
      <c r="B224" t="s">
        <v>3676</v>
      </c>
      <c r="C224">
        <v>2</v>
      </c>
    </row>
    <row r="225" spans="1:3" x14ac:dyDescent="0.25">
      <c r="A225" t="s">
        <v>5719</v>
      </c>
      <c r="B225" t="s">
        <v>3676</v>
      </c>
      <c r="C225">
        <v>1</v>
      </c>
    </row>
    <row r="226" spans="1:3" x14ac:dyDescent="0.25">
      <c r="A226" t="s">
        <v>5720</v>
      </c>
      <c r="B226" t="s">
        <v>3499</v>
      </c>
      <c r="C226">
        <v>1</v>
      </c>
    </row>
    <row r="227" spans="1:3" x14ac:dyDescent="0.25">
      <c r="A227" t="s">
        <v>5721</v>
      </c>
      <c r="B227" t="s">
        <v>3780</v>
      </c>
      <c r="C227">
        <v>1</v>
      </c>
    </row>
    <row r="228" spans="1:3" x14ac:dyDescent="0.25">
      <c r="A228" t="s">
        <v>5722</v>
      </c>
      <c r="B228" t="s">
        <v>3791</v>
      </c>
      <c r="C228">
        <v>3</v>
      </c>
    </row>
    <row r="229" spans="1:3" x14ac:dyDescent="0.25">
      <c r="A229" t="s">
        <v>5723</v>
      </c>
      <c r="B229" t="s">
        <v>3791</v>
      </c>
      <c r="C229">
        <v>2</v>
      </c>
    </row>
    <row r="230" spans="1:3" x14ac:dyDescent="0.25">
      <c r="A230" t="s">
        <v>5724</v>
      </c>
      <c r="B230" t="s">
        <v>3883</v>
      </c>
      <c r="C230">
        <v>1</v>
      </c>
    </row>
    <row r="231" spans="1:3" x14ac:dyDescent="0.25">
      <c r="A231" t="s">
        <v>5725</v>
      </c>
      <c r="B231" t="s">
        <v>3907</v>
      </c>
      <c r="C231">
        <v>1</v>
      </c>
    </row>
    <row r="232" spans="1:3" x14ac:dyDescent="0.25">
      <c r="A232" t="s">
        <v>5726</v>
      </c>
      <c r="B232" t="s">
        <v>3919</v>
      </c>
      <c r="C232">
        <v>1</v>
      </c>
    </row>
    <row r="233" spans="1:3" x14ac:dyDescent="0.25">
      <c r="A233" t="s">
        <v>5727</v>
      </c>
      <c r="B233" t="s">
        <v>3932</v>
      </c>
      <c r="C233">
        <v>1</v>
      </c>
    </row>
    <row r="234" spans="1:3" x14ac:dyDescent="0.25">
      <c r="A234" t="s">
        <v>5728</v>
      </c>
      <c r="B234" t="s">
        <v>3950</v>
      </c>
      <c r="C234">
        <v>1</v>
      </c>
    </row>
    <row r="235" spans="1:3" x14ac:dyDescent="0.25">
      <c r="A235" t="s">
        <v>5729</v>
      </c>
      <c r="B235" t="s">
        <v>3961</v>
      </c>
      <c r="C235">
        <v>1</v>
      </c>
    </row>
    <row r="236" spans="1:3" x14ac:dyDescent="0.25">
      <c r="A236" t="s">
        <v>5730</v>
      </c>
      <c r="B236" t="s">
        <v>3967</v>
      </c>
      <c r="C236">
        <v>1</v>
      </c>
    </row>
    <row r="237" spans="1:3" x14ac:dyDescent="0.25">
      <c r="A237" t="s">
        <v>5731</v>
      </c>
      <c r="B237" t="s">
        <v>3967</v>
      </c>
      <c r="C237">
        <v>2</v>
      </c>
    </row>
    <row r="238" spans="1:3" x14ac:dyDescent="0.25">
      <c r="A238" t="s">
        <v>5732</v>
      </c>
      <c r="B238" t="s">
        <v>3967</v>
      </c>
      <c r="C238">
        <v>1</v>
      </c>
    </row>
    <row r="239" spans="1:3" x14ac:dyDescent="0.25">
      <c r="A239" t="s">
        <v>5733</v>
      </c>
      <c r="B239" t="s">
        <v>3967</v>
      </c>
      <c r="C239">
        <v>1</v>
      </c>
    </row>
    <row r="240" spans="1:3" x14ac:dyDescent="0.25">
      <c r="A240" t="s">
        <v>5734</v>
      </c>
      <c r="B240" t="s">
        <v>3978</v>
      </c>
      <c r="C240">
        <v>1</v>
      </c>
    </row>
    <row r="241" spans="1:3" x14ac:dyDescent="0.25">
      <c r="A241" t="s">
        <v>3996</v>
      </c>
      <c r="B241" t="s">
        <v>3986</v>
      </c>
      <c r="C241">
        <v>2</v>
      </c>
    </row>
    <row r="242" spans="1:3" x14ac:dyDescent="0.25">
      <c r="A242" t="s">
        <v>5429</v>
      </c>
      <c r="B242" t="s">
        <v>3986</v>
      </c>
      <c r="C242">
        <v>1</v>
      </c>
    </row>
    <row r="243" spans="1:3" x14ac:dyDescent="0.25">
      <c r="A243" t="s">
        <v>5735</v>
      </c>
      <c r="B243" t="s">
        <v>3992</v>
      </c>
      <c r="C243">
        <v>2</v>
      </c>
    </row>
    <row r="244" spans="1:3" x14ac:dyDescent="0.25">
      <c r="A244" t="s">
        <v>5736</v>
      </c>
      <c r="B244" t="s">
        <v>3992</v>
      </c>
      <c r="C244">
        <v>2</v>
      </c>
    </row>
    <row r="245" spans="1:3" x14ac:dyDescent="0.25">
      <c r="A245" t="s">
        <v>5737</v>
      </c>
      <c r="B245" t="s">
        <v>4027</v>
      </c>
      <c r="C245">
        <v>1</v>
      </c>
    </row>
    <row r="246" spans="1:3" x14ac:dyDescent="0.25">
      <c r="A246" t="s">
        <v>5738</v>
      </c>
      <c r="B246" t="s">
        <v>4027</v>
      </c>
      <c r="C246">
        <v>7</v>
      </c>
    </row>
    <row r="247" spans="1:3" x14ac:dyDescent="0.25">
      <c r="A247" t="s">
        <v>5739</v>
      </c>
      <c r="B247" t="s">
        <v>4027</v>
      </c>
      <c r="C247">
        <v>1</v>
      </c>
    </row>
    <row r="248" spans="1:3" x14ac:dyDescent="0.25">
      <c r="A248" t="s">
        <v>5740</v>
      </c>
      <c r="B248" t="s">
        <v>4074</v>
      </c>
      <c r="C248">
        <v>1</v>
      </c>
    </row>
    <row r="249" spans="1:3" x14ac:dyDescent="0.25">
      <c r="A249" t="s">
        <v>5741</v>
      </c>
      <c r="B249" t="s">
        <v>4074</v>
      </c>
      <c r="C249">
        <v>1</v>
      </c>
    </row>
    <row r="250" spans="1:3" x14ac:dyDescent="0.25">
      <c r="A250" t="s">
        <v>5742</v>
      </c>
      <c r="B250" t="s">
        <v>4087</v>
      </c>
      <c r="C250">
        <v>1</v>
      </c>
    </row>
    <row r="251" spans="1:3" x14ac:dyDescent="0.25">
      <c r="A251" t="s">
        <v>5743</v>
      </c>
      <c r="B251" t="s">
        <v>4087</v>
      </c>
      <c r="C251">
        <v>2</v>
      </c>
    </row>
    <row r="252" spans="1:3" x14ac:dyDescent="0.25">
      <c r="A252" t="s">
        <v>5744</v>
      </c>
      <c r="B252" t="s">
        <v>4087</v>
      </c>
      <c r="C252">
        <v>1</v>
      </c>
    </row>
    <row r="253" spans="1:3" x14ac:dyDescent="0.25">
      <c r="A253" t="s">
        <v>5745</v>
      </c>
      <c r="B253" t="s">
        <v>4087</v>
      </c>
      <c r="C253">
        <v>1</v>
      </c>
    </row>
    <row r="254" spans="1:3" x14ac:dyDescent="0.25">
      <c r="A254" t="s">
        <v>5746</v>
      </c>
      <c r="B254" t="s">
        <v>3994</v>
      </c>
      <c r="C254">
        <v>7</v>
      </c>
    </row>
    <row r="255" spans="1:3" x14ac:dyDescent="0.25">
      <c r="A255" t="s">
        <v>5747</v>
      </c>
      <c r="B255" t="s">
        <v>3994</v>
      </c>
      <c r="C255">
        <v>15</v>
      </c>
    </row>
    <row r="256" spans="1:3" x14ac:dyDescent="0.25">
      <c r="A256" t="s">
        <v>5748</v>
      </c>
      <c r="B256" t="s">
        <v>3994</v>
      </c>
      <c r="C256">
        <v>92</v>
      </c>
    </row>
    <row r="257" spans="1:3" x14ac:dyDescent="0.25">
      <c r="A257" t="s">
        <v>5749</v>
      </c>
      <c r="B257" t="s">
        <v>3994</v>
      </c>
      <c r="C257">
        <v>10</v>
      </c>
    </row>
    <row r="258" spans="1:3" x14ac:dyDescent="0.25">
      <c r="A258" t="s">
        <v>5750</v>
      </c>
      <c r="B258" t="s">
        <v>3994</v>
      </c>
      <c r="C258">
        <v>5</v>
      </c>
    </row>
    <row r="259" spans="1:3" x14ac:dyDescent="0.25">
      <c r="A259" t="s">
        <v>5751</v>
      </c>
      <c r="B259" t="s">
        <v>3994</v>
      </c>
      <c r="C259">
        <v>1</v>
      </c>
    </row>
    <row r="260" spans="1:3" x14ac:dyDescent="0.25">
      <c r="A260" t="s">
        <v>5752</v>
      </c>
      <c r="B260" t="s">
        <v>3994</v>
      </c>
      <c r="C260">
        <v>3</v>
      </c>
    </row>
    <row r="261" spans="1:3" x14ac:dyDescent="0.25">
      <c r="A261" t="s">
        <v>5753</v>
      </c>
      <c r="B261" t="s">
        <v>3994</v>
      </c>
      <c r="C261">
        <v>2</v>
      </c>
    </row>
    <row r="262" spans="1:3" x14ac:dyDescent="0.25">
      <c r="A262" t="s">
        <v>5754</v>
      </c>
      <c r="B262" t="s">
        <v>3994</v>
      </c>
      <c r="C262">
        <v>1</v>
      </c>
    </row>
    <row r="263" spans="1:3" x14ac:dyDescent="0.25">
      <c r="A263" t="s">
        <v>5755</v>
      </c>
      <c r="B263" t="s">
        <v>3994</v>
      </c>
      <c r="C263">
        <v>2</v>
      </c>
    </row>
    <row r="264" spans="1:3" x14ac:dyDescent="0.25">
      <c r="A264" t="s">
        <v>5756</v>
      </c>
      <c r="B264" t="s">
        <v>3994</v>
      </c>
      <c r="C264">
        <v>7</v>
      </c>
    </row>
    <row r="265" spans="1:3" x14ac:dyDescent="0.25">
      <c r="A265" t="s">
        <v>5757</v>
      </c>
      <c r="B265" t="s">
        <v>3994</v>
      </c>
      <c r="C265">
        <v>1</v>
      </c>
    </row>
    <row r="266" spans="1:3" x14ac:dyDescent="0.25">
      <c r="A266" t="s">
        <v>5758</v>
      </c>
      <c r="B266" t="s">
        <v>3994</v>
      </c>
      <c r="C266">
        <v>1</v>
      </c>
    </row>
    <row r="267" spans="1:3" x14ac:dyDescent="0.25">
      <c r="A267" t="s">
        <v>5759</v>
      </c>
      <c r="B267" t="s">
        <v>4489</v>
      </c>
      <c r="C267">
        <v>7</v>
      </c>
    </row>
    <row r="268" spans="1:3" x14ac:dyDescent="0.25">
      <c r="A268" t="s">
        <v>5760</v>
      </c>
      <c r="B268" t="s">
        <v>4489</v>
      </c>
      <c r="C268">
        <v>2</v>
      </c>
    </row>
    <row r="269" spans="1:3" x14ac:dyDescent="0.25">
      <c r="A269" t="s">
        <v>4615</v>
      </c>
      <c r="B269" t="s">
        <v>4553</v>
      </c>
      <c r="C269">
        <v>6</v>
      </c>
    </row>
    <row r="270" spans="1:3" x14ac:dyDescent="0.25">
      <c r="A270" t="s">
        <v>5761</v>
      </c>
      <c r="B270" t="s">
        <v>4553</v>
      </c>
      <c r="C270">
        <v>1</v>
      </c>
    </row>
    <row r="271" spans="1:3" x14ac:dyDescent="0.25">
      <c r="A271" t="s">
        <v>5762</v>
      </c>
      <c r="B271" t="s">
        <v>4553</v>
      </c>
      <c r="C271">
        <v>1</v>
      </c>
    </row>
    <row r="272" spans="1:3" x14ac:dyDescent="0.25">
      <c r="A272" t="s">
        <v>5763</v>
      </c>
      <c r="B272" t="s">
        <v>4553</v>
      </c>
      <c r="C272">
        <v>1</v>
      </c>
    </row>
    <row r="273" spans="1:3" x14ac:dyDescent="0.25">
      <c r="A273" t="s">
        <v>5764</v>
      </c>
      <c r="B273" t="s">
        <v>4553</v>
      </c>
      <c r="C273">
        <v>1</v>
      </c>
    </row>
    <row r="274" spans="1:3" x14ac:dyDescent="0.25">
      <c r="A274" t="s">
        <v>5765</v>
      </c>
      <c r="B274" t="s">
        <v>4553</v>
      </c>
      <c r="C274">
        <v>1</v>
      </c>
    </row>
    <row r="275" spans="1:3" x14ac:dyDescent="0.25">
      <c r="A275" t="s">
        <v>5410</v>
      </c>
      <c r="B275" t="s">
        <v>4553</v>
      </c>
      <c r="C275">
        <v>1</v>
      </c>
    </row>
    <row r="276" spans="1:3" x14ac:dyDescent="0.25">
      <c r="A276" t="s">
        <v>5766</v>
      </c>
      <c r="B276" t="s">
        <v>4553</v>
      </c>
      <c r="C276">
        <v>3</v>
      </c>
    </row>
    <row r="277" spans="1:3" x14ac:dyDescent="0.25">
      <c r="A277" t="s">
        <v>5767</v>
      </c>
      <c r="B277" t="s">
        <v>4553</v>
      </c>
      <c r="C277">
        <v>1</v>
      </c>
    </row>
    <row r="278" spans="1:3" x14ac:dyDescent="0.25">
      <c r="A278" t="s">
        <v>5768</v>
      </c>
      <c r="B278" t="s">
        <v>4611</v>
      </c>
      <c r="C278">
        <v>1</v>
      </c>
    </row>
    <row r="279" spans="1:3" x14ac:dyDescent="0.25">
      <c r="A279" t="s">
        <v>5769</v>
      </c>
      <c r="B279" t="s">
        <v>4606</v>
      </c>
      <c r="C279">
        <v>2</v>
      </c>
    </row>
    <row r="280" spans="1:3" x14ac:dyDescent="0.25">
      <c r="A280" t="s">
        <v>5770</v>
      </c>
      <c r="B280" t="s">
        <v>4689</v>
      </c>
      <c r="C280">
        <v>1</v>
      </c>
    </row>
    <row r="281" spans="1:3" x14ac:dyDescent="0.25">
      <c r="A281" t="s">
        <v>5771</v>
      </c>
      <c r="B281" t="s">
        <v>4693</v>
      </c>
      <c r="C281">
        <v>1</v>
      </c>
    </row>
    <row r="282" spans="1:3" x14ac:dyDescent="0.25">
      <c r="A282" t="s">
        <v>5772</v>
      </c>
      <c r="B282" t="s">
        <v>4702</v>
      </c>
      <c r="C282">
        <v>1</v>
      </c>
    </row>
    <row r="283" spans="1:3" x14ac:dyDescent="0.25">
      <c r="A283" t="s">
        <v>5773</v>
      </c>
      <c r="B283" t="s">
        <v>4713</v>
      </c>
      <c r="C283">
        <v>1</v>
      </c>
    </row>
    <row r="284" spans="1:3" x14ac:dyDescent="0.25">
      <c r="A284" t="s">
        <v>5774</v>
      </c>
      <c r="B284" t="s">
        <v>4730</v>
      </c>
      <c r="C284">
        <v>1</v>
      </c>
    </row>
    <row r="285" spans="1:3" x14ac:dyDescent="0.25">
      <c r="A285" t="s">
        <v>5775</v>
      </c>
      <c r="B285" t="s">
        <v>4766</v>
      </c>
      <c r="C285">
        <v>1</v>
      </c>
    </row>
    <row r="286" spans="1:3" x14ac:dyDescent="0.25">
      <c r="A286" t="s">
        <v>5776</v>
      </c>
      <c r="B286" t="s">
        <v>4773</v>
      </c>
      <c r="C286">
        <v>2</v>
      </c>
    </row>
    <row r="287" spans="1:3" x14ac:dyDescent="0.25">
      <c r="A287" t="s">
        <v>5777</v>
      </c>
      <c r="B287" t="s">
        <v>4785</v>
      </c>
      <c r="C287">
        <v>1</v>
      </c>
    </row>
    <row r="288" spans="1:3" x14ac:dyDescent="0.25">
      <c r="A288" t="s">
        <v>5778</v>
      </c>
      <c r="B288" t="s">
        <v>4797</v>
      </c>
      <c r="C288">
        <v>1</v>
      </c>
    </row>
    <row r="289" spans="1:3" x14ac:dyDescent="0.25">
      <c r="A289" t="s">
        <v>5779</v>
      </c>
      <c r="B289" t="s">
        <v>4804</v>
      </c>
      <c r="C289">
        <v>1</v>
      </c>
    </row>
    <row r="290" spans="1:3" x14ac:dyDescent="0.25">
      <c r="A290" t="s">
        <v>5780</v>
      </c>
      <c r="B290" t="s">
        <v>4823</v>
      </c>
      <c r="C290">
        <v>1</v>
      </c>
    </row>
    <row r="291" spans="1:3" x14ac:dyDescent="0.25">
      <c r="A291" t="s">
        <v>5781</v>
      </c>
      <c r="B291" t="s">
        <v>4849</v>
      </c>
      <c r="C291">
        <v>1</v>
      </c>
    </row>
    <row r="292" spans="1:3" x14ac:dyDescent="0.25">
      <c r="A292" t="s">
        <v>5782</v>
      </c>
      <c r="B292" t="s">
        <v>3560</v>
      </c>
      <c r="C292">
        <v>1</v>
      </c>
    </row>
    <row r="293" spans="1:3" x14ac:dyDescent="0.25">
      <c r="A293" t="s">
        <v>5783</v>
      </c>
      <c r="B293" t="s">
        <v>3560</v>
      </c>
      <c r="C293">
        <v>1</v>
      </c>
    </row>
    <row r="294" spans="1:3" x14ac:dyDescent="0.25">
      <c r="A294" t="s">
        <v>5784</v>
      </c>
      <c r="B294" t="s">
        <v>3560</v>
      </c>
      <c r="C294">
        <v>1</v>
      </c>
    </row>
    <row r="295" spans="1:3" x14ac:dyDescent="0.25">
      <c r="A295" t="s">
        <v>5785</v>
      </c>
      <c r="B295" t="s">
        <v>4881</v>
      </c>
      <c r="C295">
        <v>1</v>
      </c>
    </row>
    <row r="296" spans="1:3" x14ac:dyDescent="0.25">
      <c r="A296" t="s">
        <v>5786</v>
      </c>
      <c r="B296" t="s">
        <v>4906</v>
      </c>
      <c r="C296">
        <v>1</v>
      </c>
    </row>
    <row r="297" spans="1:3" x14ac:dyDescent="0.25">
      <c r="A297" t="s">
        <v>5787</v>
      </c>
      <c r="B297" t="s">
        <v>4906</v>
      </c>
      <c r="C297">
        <v>2</v>
      </c>
    </row>
    <row r="298" spans="1:3" x14ac:dyDescent="0.25">
      <c r="A298" t="s">
        <v>5788</v>
      </c>
      <c r="B298" t="s">
        <v>4919</v>
      </c>
      <c r="C298">
        <v>2</v>
      </c>
    </row>
    <row r="299" spans="1:3" x14ac:dyDescent="0.25">
      <c r="A299" t="s">
        <v>5789</v>
      </c>
      <c r="B299" t="s">
        <v>4938</v>
      </c>
      <c r="C299">
        <v>2</v>
      </c>
    </row>
    <row r="300" spans="1:3" x14ac:dyDescent="0.25">
      <c r="A300" t="s">
        <v>5790</v>
      </c>
      <c r="B300" t="s">
        <v>4980</v>
      </c>
      <c r="C300">
        <v>1</v>
      </c>
    </row>
    <row r="301" spans="1:3" x14ac:dyDescent="0.25">
      <c r="A301" t="s">
        <v>5791</v>
      </c>
      <c r="B301" t="s">
        <v>4996</v>
      </c>
      <c r="C301">
        <v>1</v>
      </c>
    </row>
    <row r="302" spans="1:3" x14ac:dyDescent="0.25">
      <c r="A302" t="s">
        <v>5792</v>
      </c>
      <c r="B302" t="s">
        <v>5114</v>
      </c>
      <c r="C302">
        <v>1</v>
      </c>
    </row>
    <row r="303" spans="1:3" x14ac:dyDescent="0.25">
      <c r="A303" t="s">
        <v>5793</v>
      </c>
      <c r="B303" t="s">
        <v>5127</v>
      </c>
      <c r="C303">
        <v>1</v>
      </c>
    </row>
    <row r="304" spans="1:3" x14ac:dyDescent="0.25">
      <c r="A304" t="s">
        <v>5794</v>
      </c>
      <c r="B304" t="s">
        <v>5152</v>
      </c>
      <c r="C304">
        <v>1</v>
      </c>
    </row>
    <row r="305" spans="1:3" x14ac:dyDescent="0.25">
      <c r="A305" t="s">
        <v>5795</v>
      </c>
      <c r="B305" t="s">
        <v>5170</v>
      </c>
      <c r="C305">
        <v>1</v>
      </c>
    </row>
    <row r="306" spans="1:3" x14ac:dyDescent="0.25">
      <c r="A306" t="s">
        <v>5796</v>
      </c>
      <c r="B306" t="s">
        <v>5196</v>
      </c>
      <c r="C306">
        <v>1</v>
      </c>
    </row>
    <row r="307" spans="1:3" x14ac:dyDescent="0.25">
      <c r="A307" t="s">
        <v>5797</v>
      </c>
      <c r="B307" t="s">
        <v>5192</v>
      </c>
      <c r="C307">
        <v>1</v>
      </c>
    </row>
    <row r="308" spans="1:3" x14ac:dyDescent="0.25">
      <c r="A308" t="s">
        <v>5798</v>
      </c>
      <c r="B308" t="s">
        <v>5106</v>
      </c>
      <c r="C308">
        <v>1</v>
      </c>
    </row>
  </sheetData>
  <autoFilter ref="A1:C308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7"/>
  <sheetViews>
    <sheetView zoomScaleNormal="100" workbookViewId="0">
      <pane ySplit="1" topLeftCell="A2" activePane="bottomLeft" state="frozen"/>
      <selection pane="bottomLeft"/>
    </sheetView>
  </sheetViews>
  <sheetFormatPr defaultColWidth="8.59765625" defaultRowHeight="13.8" x14ac:dyDescent="0.25"/>
  <cols>
    <col min="1" max="1" width="10" customWidth="1"/>
    <col min="2" max="2" width="46" customWidth="1"/>
    <col min="3" max="4" width="14" customWidth="1"/>
    <col min="5" max="5" width="60" customWidth="1"/>
  </cols>
  <sheetData>
    <row r="1" spans="1:5" x14ac:dyDescent="0.25">
      <c r="A1" s="1" t="s">
        <v>5293</v>
      </c>
      <c r="B1" s="1" t="s">
        <v>5799</v>
      </c>
      <c r="C1" s="1" t="s">
        <v>0</v>
      </c>
      <c r="D1" s="1" t="s">
        <v>1</v>
      </c>
      <c r="E1" s="1" t="s">
        <v>5800</v>
      </c>
    </row>
    <row r="2" spans="1:5" x14ac:dyDescent="0.25">
      <c r="A2">
        <v>10</v>
      </c>
      <c r="B2" t="s">
        <v>5801</v>
      </c>
      <c r="C2">
        <v>23373658</v>
      </c>
      <c r="E2" t="s">
        <v>5802</v>
      </c>
    </row>
    <row r="3" spans="1:5" x14ac:dyDescent="0.25">
      <c r="A3">
        <v>24</v>
      </c>
      <c r="B3" t="s">
        <v>5803</v>
      </c>
      <c r="D3" t="s">
        <v>82</v>
      </c>
      <c r="E3" t="s">
        <v>5804</v>
      </c>
    </row>
    <row r="4" spans="1:5" x14ac:dyDescent="0.25">
      <c r="A4">
        <v>26</v>
      </c>
      <c r="B4" t="s">
        <v>5805</v>
      </c>
      <c r="C4">
        <v>21624095</v>
      </c>
      <c r="D4" t="s">
        <v>90</v>
      </c>
      <c r="E4" t="s">
        <v>5802</v>
      </c>
    </row>
    <row r="5" spans="1:5" x14ac:dyDescent="0.25">
      <c r="A5">
        <v>27</v>
      </c>
      <c r="B5" t="s">
        <v>5806</v>
      </c>
      <c r="E5" t="s">
        <v>5807</v>
      </c>
    </row>
    <row r="6" spans="1:5" x14ac:dyDescent="0.25">
      <c r="A6">
        <v>28</v>
      </c>
      <c r="B6" t="s">
        <v>5808</v>
      </c>
      <c r="C6">
        <v>23734913</v>
      </c>
      <c r="E6" t="s">
        <v>5802</v>
      </c>
    </row>
    <row r="7" spans="1:5" x14ac:dyDescent="0.25">
      <c r="A7">
        <v>33</v>
      </c>
      <c r="B7" t="s">
        <v>5809</v>
      </c>
      <c r="C7">
        <v>21948184</v>
      </c>
      <c r="D7" t="s">
        <v>104</v>
      </c>
      <c r="E7" t="s">
        <v>5802</v>
      </c>
    </row>
    <row r="8" spans="1:5" x14ac:dyDescent="0.25">
      <c r="A8">
        <v>34</v>
      </c>
      <c r="B8" t="s">
        <v>5810</v>
      </c>
      <c r="C8">
        <v>23340916</v>
      </c>
      <c r="E8" t="s">
        <v>5802</v>
      </c>
    </row>
    <row r="9" spans="1:5" x14ac:dyDescent="0.25">
      <c r="A9">
        <v>37</v>
      </c>
      <c r="B9" t="s">
        <v>5811</v>
      </c>
      <c r="E9" t="s">
        <v>5812</v>
      </c>
    </row>
    <row r="10" spans="1:5" x14ac:dyDescent="0.25">
      <c r="A10">
        <v>39</v>
      </c>
      <c r="B10" t="s">
        <v>5813</v>
      </c>
      <c r="D10" t="s">
        <v>125</v>
      </c>
      <c r="E10" t="s">
        <v>5804</v>
      </c>
    </row>
    <row r="11" spans="1:5" x14ac:dyDescent="0.25">
      <c r="A11">
        <v>41</v>
      </c>
      <c r="B11" t="s">
        <v>5814</v>
      </c>
      <c r="D11" t="s">
        <v>129</v>
      </c>
      <c r="E11" t="s">
        <v>5804</v>
      </c>
    </row>
    <row r="12" spans="1:5" x14ac:dyDescent="0.25">
      <c r="A12">
        <v>42</v>
      </c>
      <c r="B12" t="s">
        <v>5806</v>
      </c>
      <c r="E12" t="s">
        <v>5807</v>
      </c>
    </row>
    <row r="13" spans="1:5" x14ac:dyDescent="0.25">
      <c r="A13">
        <v>53</v>
      </c>
      <c r="B13" t="s">
        <v>5815</v>
      </c>
      <c r="C13">
        <v>23514390</v>
      </c>
      <c r="E13" t="s">
        <v>5802</v>
      </c>
    </row>
    <row r="14" spans="1:5" x14ac:dyDescent="0.25">
      <c r="A14">
        <v>54</v>
      </c>
      <c r="B14" t="s">
        <v>5816</v>
      </c>
      <c r="D14" t="s">
        <v>171</v>
      </c>
      <c r="E14" t="s">
        <v>5804</v>
      </c>
    </row>
    <row r="15" spans="1:5" x14ac:dyDescent="0.25">
      <c r="A15">
        <v>55</v>
      </c>
      <c r="B15" t="s">
        <v>5817</v>
      </c>
      <c r="C15">
        <v>23599091</v>
      </c>
      <c r="E15" t="s">
        <v>5802</v>
      </c>
    </row>
    <row r="16" spans="1:5" x14ac:dyDescent="0.25">
      <c r="A16">
        <v>56</v>
      </c>
      <c r="B16" t="s">
        <v>5818</v>
      </c>
      <c r="C16">
        <v>22971149</v>
      </c>
      <c r="D16" t="s">
        <v>180</v>
      </c>
      <c r="E16" t="s">
        <v>5802</v>
      </c>
    </row>
    <row r="17" spans="1:5" x14ac:dyDescent="0.25">
      <c r="A17">
        <v>63</v>
      </c>
      <c r="B17" t="s">
        <v>5819</v>
      </c>
      <c r="D17" t="s">
        <v>201</v>
      </c>
      <c r="E17" t="s">
        <v>5804</v>
      </c>
    </row>
    <row r="18" spans="1:5" x14ac:dyDescent="0.25">
      <c r="A18">
        <v>71</v>
      </c>
      <c r="B18" t="s">
        <v>5820</v>
      </c>
      <c r="D18" t="s">
        <v>223</v>
      </c>
      <c r="E18" t="s">
        <v>5804</v>
      </c>
    </row>
    <row r="19" spans="1:5" x14ac:dyDescent="0.25">
      <c r="A19">
        <v>73</v>
      </c>
      <c r="B19" t="s">
        <v>5821</v>
      </c>
      <c r="E19" t="s">
        <v>5822</v>
      </c>
    </row>
    <row r="20" spans="1:5" x14ac:dyDescent="0.25">
      <c r="A20">
        <v>74</v>
      </c>
      <c r="B20" t="s">
        <v>5823</v>
      </c>
      <c r="D20" t="s">
        <v>232</v>
      </c>
      <c r="E20" t="s">
        <v>5804</v>
      </c>
    </row>
    <row r="21" spans="1:5" x14ac:dyDescent="0.25">
      <c r="A21">
        <v>77</v>
      </c>
      <c r="B21" t="s">
        <v>5824</v>
      </c>
      <c r="D21" t="s">
        <v>242</v>
      </c>
      <c r="E21" t="s">
        <v>5804</v>
      </c>
    </row>
    <row r="22" spans="1:5" x14ac:dyDescent="0.25">
      <c r="A22">
        <v>79</v>
      </c>
      <c r="B22" t="s">
        <v>5825</v>
      </c>
      <c r="C22">
        <v>23409903</v>
      </c>
      <c r="E22" t="s">
        <v>5802</v>
      </c>
    </row>
    <row r="23" spans="1:5" x14ac:dyDescent="0.25">
      <c r="A23">
        <v>90</v>
      </c>
      <c r="B23" t="s">
        <v>5826</v>
      </c>
      <c r="C23">
        <v>23072351</v>
      </c>
      <c r="E23" t="s">
        <v>5802</v>
      </c>
    </row>
    <row r="24" spans="1:5" x14ac:dyDescent="0.25">
      <c r="A24">
        <v>92</v>
      </c>
      <c r="B24" t="s">
        <v>5827</v>
      </c>
      <c r="C24">
        <v>23670821</v>
      </c>
      <c r="D24" t="s">
        <v>281</v>
      </c>
      <c r="E24" t="s">
        <v>5802</v>
      </c>
    </row>
    <row r="25" spans="1:5" x14ac:dyDescent="0.25">
      <c r="A25">
        <v>114</v>
      </c>
      <c r="B25" t="s">
        <v>5828</v>
      </c>
      <c r="C25">
        <v>23877697</v>
      </c>
      <c r="E25" t="s">
        <v>5802</v>
      </c>
    </row>
    <row r="26" spans="1:5" x14ac:dyDescent="0.25">
      <c r="A26">
        <v>117</v>
      </c>
      <c r="B26" t="s">
        <v>5829</v>
      </c>
      <c r="C26">
        <v>23758132</v>
      </c>
      <c r="E26" t="s">
        <v>5802</v>
      </c>
    </row>
    <row r="27" spans="1:5" x14ac:dyDescent="0.25">
      <c r="A27">
        <v>118</v>
      </c>
      <c r="B27" t="s">
        <v>5830</v>
      </c>
      <c r="E27" t="s">
        <v>5831</v>
      </c>
    </row>
    <row r="28" spans="1:5" x14ac:dyDescent="0.25">
      <c r="A28">
        <v>119</v>
      </c>
      <c r="B28" t="s">
        <v>5832</v>
      </c>
      <c r="C28">
        <v>21903599</v>
      </c>
      <c r="E28" t="s">
        <v>5802</v>
      </c>
    </row>
    <row r="29" spans="1:5" x14ac:dyDescent="0.25">
      <c r="A29">
        <v>120</v>
      </c>
      <c r="B29" t="s">
        <v>5833</v>
      </c>
      <c r="C29">
        <v>24061777</v>
      </c>
      <c r="E29" t="s">
        <v>5802</v>
      </c>
    </row>
    <row r="30" spans="1:5" x14ac:dyDescent="0.25">
      <c r="A30">
        <v>125</v>
      </c>
      <c r="B30" t="s">
        <v>5834</v>
      </c>
      <c r="C30">
        <v>23740368</v>
      </c>
      <c r="D30" t="s">
        <v>366</v>
      </c>
      <c r="E30" t="s">
        <v>5802</v>
      </c>
    </row>
    <row r="31" spans="1:5" x14ac:dyDescent="0.25">
      <c r="A31">
        <v>126</v>
      </c>
      <c r="B31" t="s">
        <v>5835</v>
      </c>
      <c r="C31">
        <v>23460124</v>
      </c>
      <c r="D31" t="s">
        <v>368</v>
      </c>
      <c r="E31" t="s">
        <v>5802</v>
      </c>
    </row>
    <row r="32" spans="1:5" x14ac:dyDescent="0.25">
      <c r="A32">
        <v>129</v>
      </c>
      <c r="B32" t="s">
        <v>5806</v>
      </c>
      <c r="E32" t="s">
        <v>5807</v>
      </c>
    </row>
    <row r="33" spans="1:5" x14ac:dyDescent="0.25">
      <c r="A33">
        <v>134</v>
      </c>
      <c r="B33" t="s">
        <v>5836</v>
      </c>
      <c r="C33">
        <v>22302008</v>
      </c>
      <c r="D33" t="s">
        <v>387</v>
      </c>
      <c r="E33" t="s">
        <v>5802</v>
      </c>
    </row>
    <row r="34" spans="1:5" x14ac:dyDescent="0.25">
      <c r="A34">
        <v>139</v>
      </c>
      <c r="B34" t="s">
        <v>5837</v>
      </c>
      <c r="C34">
        <v>23025831</v>
      </c>
      <c r="D34" t="s">
        <v>405</v>
      </c>
      <c r="E34" t="s">
        <v>5802</v>
      </c>
    </row>
    <row r="35" spans="1:5" x14ac:dyDescent="0.25">
      <c r="A35">
        <v>140</v>
      </c>
      <c r="B35" t="s">
        <v>5838</v>
      </c>
      <c r="C35">
        <v>23731076</v>
      </c>
      <c r="D35" t="s">
        <v>409</v>
      </c>
      <c r="E35" t="s">
        <v>5802</v>
      </c>
    </row>
    <row r="36" spans="1:5" x14ac:dyDescent="0.25">
      <c r="A36">
        <v>141</v>
      </c>
      <c r="B36" t="s">
        <v>5839</v>
      </c>
      <c r="C36">
        <v>23244291</v>
      </c>
      <c r="D36" t="s">
        <v>411</v>
      </c>
      <c r="E36" t="s">
        <v>5802</v>
      </c>
    </row>
    <row r="37" spans="1:5" x14ac:dyDescent="0.25">
      <c r="A37">
        <v>145</v>
      </c>
      <c r="B37" t="s">
        <v>5840</v>
      </c>
      <c r="C37">
        <v>23162054</v>
      </c>
      <c r="E37" t="s">
        <v>5802</v>
      </c>
    </row>
    <row r="38" spans="1:5" x14ac:dyDescent="0.25">
      <c r="A38">
        <v>146</v>
      </c>
      <c r="B38" t="s">
        <v>5841</v>
      </c>
      <c r="C38">
        <v>23713614</v>
      </c>
      <c r="E38" t="s">
        <v>5802</v>
      </c>
    </row>
    <row r="39" spans="1:5" x14ac:dyDescent="0.25">
      <c r="A39">
        <v>150</v>
      </c>
      <c r="B39" t="s">
        <v>5842</v>
      </c>
      <c r="D39" t="s">
        <v>437</v>
      </c>
      <c r="E39" t="s">
        <v>5804</v>
      </c>
    </row>
    <row r="40" spans="1:5" x14ac:dyDescent="0.25">
      <c r="A40">
        <v>173</v>
      </c>
      <c r="B40" t="s">
        <v>5843</v>
      </c>
      <c r="C40">
        <v>23458425</v>
      </c>
      <c r="D40" t="s">
        <v>491</v>
      </c>
      <c r="E40" t="s">
        <v>5802</v>
      </c>
    </row>
    <row r="41" spans="1:5" x14ac:dyDescent="0.25">
      <c r="A41">
        <v>174</v>
      </c>
      <c r="B41" t="s">
        <v>5844</v>
      </c>
      <c r="D41" t="s">
        <v>494</v>
      </c>
      <c r="E41" t="s">
        <v>5804</v>
      </c>
    </row>
    <row r="42" spans="1:5" x14ac:dyDescent="0.25">
      <c r="A42">
        <v>178</v>
      </c>
      <c r="B42" t="s">
        <v>5845</v>
      </c>
      <c r="D42" t="s">
        <v>504</v>
      </c>
      <c r="E42" t="s">
        <v>5804</v>
      </c>
    </row>
    <row r="43" spans="1:5" x14ac:dyDescent="0.25">
      <c r="A43">
        <v>200</v>
      </c>
      <c r="B43" t="s">
        <v>5846</v>
      </c>
      <c r="D43" t="s">
        <v>564</v>
      </c>
      <c r="E43" t="s">
        <v>5804</v>
      </c>
    </row>
    <row r="44" spans="1:5" x14ac:dyDescent="0.25">
      <c r="A44">
        <v>203</v>
      </c>
      <c r="B44" t="s">
        <v>5847</v>
      </c>
      <c r="D44" t="s">
        <v>569</v>
      </c>
      <c r="E44" t="s">
        <v>5804</v>
      </c>
    </row>
    <row r="45" spans="1:5" x14ac:dyDescent="0.25">
      <c r="A45">
        <v>207</v>
      </c>
      <c r="B45" t="s">
        <v>5848</v>
      </c>
      <c r="C45">
        <v>22738332</v>
      </c>
      <c r="D45" t="s">
        <v>581</v>
      </c>
      <c r="E45" t="s">
        <v>5802</v>
      </c>
    </row>
    <row r="46" spans="1:5" x14ac:dyDescent="0.25">
      <c r="A46">
        <v>209</v>
      </c>
      <c r="B46" t="s">
        <v>5849</v>
      </c>
      <c r="C46">
        <v>23225165</v>
      </c>
      <c r="E46" t="s">
        <v>5802</v>
      </c>
    </row>
    <row r="47" spans="1:5" x14ac:dyDescent="0.25">
      <c r="A47">
        <v>210</v>
      </c>
      <c r="B47" t="s">
        <v>5850</v>
      </c>
      <c r="C47">
        <v>23179061</v>
      </c>
      <c r="E47" t="s">
        <v>5802</v>
      </c>
    </row>
    <row r="48" spans="1:5" x14ac:dyDescent="0.25">
      <c r="A48">
        <v>213</v>
      </c>
      <c r="B48" t="s">
        <v>5851</v>
      </c>
      <c r="C48">
        <v>23931322</v>
      </c>
      <c r="D48" t="s">
        <v>597</v>
      </c>
      <c r="E48" t="s">
        <v>5802</v>
      </c>
    </row>
    <row r="49" spans="1:5" x14ac:dyDescent="0.25">
      <c r="A49">
        <v>214</v>
      </c>
      <c r="B49" t="s">
        <v>5852</v>
      </c>
      <c r="C49">
        <v>23877967</v>
      </c>
      <c r="D49" t="s">
        <v>599</v>
      </c>
      <c r="E49" t="s">
        <v>5802</v>
      </c>
    </row>
    <row r="50" spans="1:5" x14ac:dyDescent="0.25">
      <c r="A50">
        <v>229</v>
      </c>
      <c r="B50" t="s">
        <v>5853</v>
      </c>
      <c r="C50">
        <v>23002116</v>
      </c>
      <c r="D50" t="s">
        <v>640</v>
      </c>
      <c r="E50" t="s">
        <v>5802</v>
      </c>
    </row>
    <row r="51" spans="1:5" x14ac:dyDescent="0.25">
      <c r="A51">
        <v>231</v>
      </c>
      <c r="B51" t="s">
        <v>5854</v>
      </c>
      <c r="C51">
        <v>23255554</v>
      </c>
      <c r="D51" t="s">
        <v>644</v>
      </c>
      <c r="E51" t="s">
        <v>5802</v>
      </c>
    </row>
    <row r="52" spans="1:5" x14ac:dyDescent="0.25">
      <c r="A52">
        <v>232</v>
      </c>
      <c r="B52" t="s">
        <v>5855</v>
      </c>
      <c r="C52">
        <v>23043070</v>
      </c>
      <c r="D52" t="s">
        <v>647</v>
      </c>
      <c r="E52" t="s">
        <v>5802</v>
      </c>
    </row>
    <row r="53" spans="1:5" x14ac:dyDescent="0.25">
      <c r="A53">
        <v>239</v>
      </c>
      <c r="B53" t="s">
        <v>5856</v>
      </c>
      <c r="D53" t="s">
        <v>668</v>
      </c>
      <c r="E53" t="s">
        <v>5804</v>
      </c>
    </row>
    <row r="54" spans="1:5" x14ac:dyDescent="0.25">
      <c r="A54">
        <v>240</v>
      </c>
      <c r="B54" t="s">
        <v>5857</v>
      </c>
      <c r="D54" t="s">
        <v>670</v>
      </c>
      <c r="E54" t="s">
        <v>5804</v>
      </c>
    </row>
    <row r="55" spans="1:5" x14ac:dyDescent="0.25">
      <c r="A55">
        <v>241</v>
      </c>
      <c r="B55" t="s">
        <v>5858</v>
      </c>
      <c r="D55" t="s">
        <v>672</v>
      </c>
      <c r="E55" t="s">
        <v>5804</v>
      </c>
    </row>
    <row r="56" spans="1:5" x14ac:dyDescent="0.25">
      <c r="A56">
        <v>246</v>
      </c>
      <c r="B56" t="s">
        <v>5859</v>
      </c>
      <c r="D56" t="s">
        <v>686</v>
      </c>
      <c r="E56" t="s">
        <v>5804</v>
      </c>
    </row>
    <row r="57" spans="1:5" x14ac:dyDescent="0.25">
      <c r="A57">
        <v>248</v>
      </c>
      <c r="B57" t="s">
        <v>5860</v>
      </c>
      <c r="D57" t="s">
        <v>693</v>
      </c>
      <c r="E57" t="s">
        <v>5804</v>
      </c>
    </row>
    <row r="58" spans="1:5" x14ac:dyDescent="0.25">
      <c r="A58">
        <v>249</v>
      </c>
      <c r="B58" t="s">
        <v>5806</v>
      </c>
      <c r="E58" t="s">
        <v>5807</v>
      </c>
    </row>
    <row r="59" spans="1:5" x14ac:dyDescent="0.25">
      <c r="A59">
        <v>252</v>
      </c>
      <c r="B59" t="s">
        <v>5806</v>
      </c>
      <c r="E59" t="s">
        <v>5807</v>
      </c>
    </row>
    <row r="60" spans="1:5" x14ac:dyDescent="0.25">
      <c r="A60">
        <v>259</v>
      </c>
      <c r="B60" t="s">
        <v>5861</v>
      </c>
      <c r="D60" t="s">
        <v>725</v>
      </c>
      <c r="E60" t="s">
        <v>5804</v>
      </c>
    </row>
    <row r="61" spans="1:5" x14ac:dyDescent="0.25">
      <c r="A61">
        <v>260</v>
      </c>
      <c r="B61" t="s">
        <v>5862</v>
      </c>
      <c r="D61" t="s">
        <v>727</v>
      </c>
      <c r="E61" t="s">
        <v>5804</v>
      </c>
    </row>
    <row r="62" spans="1:5" x14ac:dyDescent="0.25">
      <c r="A62">
        <v>270</v>
      </c>
      <c r="B62" t="s">
        <v>5863</v>
      </c>
      <c r="E62" t="s">
        <v>5864</v>
      </c>
    </row>
    <row r="63" spans="1:5" x14ac:dyDescent="0.25">
      <c r="A63">
        <v>293</v>
      </c>
      <c r="B63" t="s">
        <v>5865</v>
      </c>
      <c r="D63" t="s">
        <v>790</v>
      </c>
      <c r="E63" t="s">
        <v>5804</v>
      </c>
    </row>
    <row r="64" spans="1:5" x14ac:dyDescent="0.25">
      <c r="A64">
        <v>294</v>
      </c>
      <c r="B64" t="s">
        <v>5866</v>
      </c>
      <c r="D64" t="s">
        <v>792</v>
      </c>
      <c r="E64" t="s">
        <v>5804</v>
      </c>
    </row>
    <row r="65" spans="1:5" x14ac:dyDescent="0.25">
      <c r="A65">
        <v>297</v>
      </c>
      <c r="B65" t="s">
        <v>5867</v>
      </c>
      <c r="D65" t="s">
        <v>800</v>
      </c>
      <c r="E65" t="s">
        <v>5804</v>
      </c>
    </row>
    <row r="66" spans="1:5" x14ac:dyDescent="0.25">
      <c r="A66">
        <v>298</v>
      </c>
      <c r="B66" t="s">
        <v>5868</v>
      </c>
      <c r="D66" t="s">
        <v>804</v>
      </c>
      <c r="E66" t="s">
        <v>5804</v>
      </c>
    </row>
    <row r="67" spans="1:5" x14ac:dyDescent="0.25">
      <c r="A67">
        <v>306</v>
      </c>
      <c r="B67" t="s">
        <v>5869</v>
      </c>
      <c r="E67" t="s">
        <v>5870</v>
      </c>
    </row>
    <row r="68" spans="1:5" x14ac:dyDescent="0.25">
      <c r="A68">
        <v>323</v>
      </c>
      <c r="B68" t="s">
        <v>5871</v>
      </c>
      <c r="C68">
        <v>23246923</v>
      </c>
      <c r="D68" t="s">
        <v>858</v>
      </c>
      <c r="E68" t="s">
        <v>5802</v>
      </c>
    </row>
    <row r="69" spans="1:5" x14ac:dyDescent="0.25">
      <c r="A69">
        <v>326</v>
      </c>
      <c r="B69" t="s">
        <v>5872</v>
      </c>
      <c r="E69" t="s">
        <v>5873</v>
      </c>
    </row>
    <row r="70" spans="1:5" x14ac:dyDescent="0.25">
      <c r="A70">
        <v>330</v>
      </c>
      <c r="B70" t="s">
        <v>5830</v>
      </c>
      <c r="E70" t="s">
        <v>5831</v>
      </c>
    </row>
    <row r="71" spans="1:5" x14ac:dyDescent="0.25">
      <c r="A71">
        <v>331</v>
      </c>
      <c r="B71" t="s">
        <v>5874</v>
      </c>
      <c r="D71" t="s">
        <v>880</v>
      </c>
      <c r="E71" t="s">
        <v>5804</v>
      </c>
    </row>
    <row r="72" spans="1:5" x14ac:dyDescent="0.25">
      <c r="A72">
        <v>334</v>
      </c>
      <c r="B72" t="s">
        <v>5875</v>
      </c>
      <c r="C72">
        <v>23701138</v>
      </c>
      <c r="E72" t="s">
        <v>5802</v>
      </c>
    </row>
    <row r="73" spans="1:5" x14ac:dyDescent="0.25">
      <c r="A73">
        <v>335</v>
      </c>
      <c r="B73" t="s">
        <v>5876</v>
      </c>
      <c r="E73" t="s">
        <v>5877</v>
      </c>
    </row>
    <row r="74" spans="1:5" x14ac:dyDescent="0.25">
      <c r="A74">
        <v>340</v>
      </c>
      <c r="B74" t="s">
        <v>5878</v>
      </c>
      <c r="C74">
        <v>23121507</v>
      </c>
      <c r="D74" t="s">
        <v>904</v>
      </c>
      <c r="E74" t="s">
        <v>5802</v>
      </c>
    </row>
    <row r="75" spans="1:5" x14ac:dyDescent="0.25">
      <c r="A75">
        <v>342</v>
      </c>
      <c r="B75" t="s">
        <v>5879</v>
      </c>
      <c r="C75">
        <v>23763262</v>
      </c>
      <c r="E75" t="s">
        <v>5802</v>
      </c>
    </row>
    <row r="76" spans="1:5" x14ac:dyDescent="0.25">
      <c r="A76">
        <v>345</v>
      </c>
      <c r="B76" t="s">
        <v>5880</v>
      </c>
      <c r="C76">
        <v>23703318</v>
      </c>
      <c r="D76" t="s">
        <v>913</v>
      </c>
      <c r="E76" t="s">
        <v>5802</v>
      </c>
    </row>
    <row r="77" spans="1:5" x14ac:dyDescent="0.25">
      <c r="A77">
        <v>349</v>
      </c>
      <c r="B77" t="s">
        <v>5881</v>
      </c>
      <c r="D77" t="s">
        <v>923</v>
      </c>
      <c r="E77" t="s">
        <v>5804</v>
      </c>
    </row>
    <row r="78" spans="1:5" x14ac:dyDescent="0.25">
      <c r="A78">
        <v>350</v>
      </c>
      <c r="B78" t="s">
        <v>5882</v>
      </c>
      <c r="C78">
        <v>23137768</v>
      </c>
      <c r="E78" t="s">
        <v>5802</v>
      </c>
    </row>
    <row r="79" spans="1:5" x14ac:dyDescent="0.25">
      <c r="A79">
        <v>354</v>
      </c>
      <c r="B79" t="s">
        <v>5883</v>
      </c>
      <c r="D79" t="s">
        <v>935</v>
      </c>
      <c r="E79" t="s">
        <v>5804</v>
      </c>
    </row>
    <row r="80" spans="1:5" x14ac:dyDescent="0.25">
      <c r="A80">
        <v>357</v>
      </c>
      <c r="B80" t="s">
        <v>5884</v>
      </c>
      <c r="C80">
        <v>22962270</v>
      </c>
      <c r="D80" t="s">
        <v>946</v>
      </c>
      <c r="E80" t="s">
        <v>5802</v>
      </c>
    </row>
    <row r="81" spans="1:5" x14ac:dyDescent="0.25">
      <c r="A81">
        <v>358</v>
      </c>
      <c r="B81" t="s">
        <v>5885</v>
      </c>
      <c r="C81">
        <v>23892734</v>
      </c>
      <c r="E81" t="s">
        <v>5802</v>
      </c>
    </row>
    <row r="82" spans="1:5" x14ac:dyDescent="0.25">
      <c r="A82">
        <v>367</v>
      </c>
      <c r="B82" t="s">
        <v>5886</v>
      </c>
      <c r="D82" t="s">
        <v>973</v>
      </c>
      <c r="E82" t="s">
        <v>5804</v>
      </c>
    </row>
    <row r="83" spans="1:5" x14ac:dyDescent="0.25">
      <c r="A83">
        <v>368</v>
      </c>
      <c r="B83" t="s">
        <v>5887</v>
      </c>
      <c r="C83">
        <v>19324410</v>
      </c>
      <c r="E83" t="s">
        <v>5802</v>
      </c>
    </row>
    <row r="84" spans="1:5" x14ac:dyDescent="0.25">
      <c r="A84">
        <v>372</v>
      </c>
      <c r="B84" t="s">
        <v>5888</v>
      </c>
      <c r="C84">
        <v>23518502</v>
      </c>
      <c r="D84" t="s">
        <v>984</v>
      </c>
      <c r="E84" t="s">
        <v>5802</v>
      </c>
    </row>
    <row r="85" spans="1:5" x14ac:dyDescent="0.25">
      <c r="A85">
        <v>375</v>
      </c>
      <c r="B85" t="s">
        <v>5889</v>
      </c>
      <c r="D85" t="s">
        <v>990</v>
      </c>
      <c r="E85" t="s">
        <v>5804</v>
      </c>
    </row>
    <row r="86" spans="1:5" x14ac:dyDescent="0.25">
      <c r="A86">
        <v>376</v>
      </c>
      <c r="B86" t="s">
        <v>5890</v>
      </c>
      <c r="D86" t="s">
        <v>994</v>
      </c>
      <c r="E86" t="s">
        <v>5804</v>
      </c>
    </row>
    <row r="87" spans="1:5" x14ac:dyDescent="0.25">
      <c r="A87">
        <v>377</v>
      </c>
      <c r="B87" t="s">
        <v>5891</v>
      </c>
      <c r="D87" t="s">
        <v>996</v>
      </c>
      <c r="E87" t="s">
        <v>5804</v>
      </c>
    </row>
    <row r="88" spans="1:5" x14ac:dyDescent="0.25">
      <c r="A88">
        <v>381</v>
      </c>
      <c r="B88" t="s">
        <v>5892</v>
      </c>
      <c r="C88">
        <v>23328632</v>
      </c>
      <c r="D88" t="s">
        <v>1005</v>
      </c>
      <c r="E88" t="s">
        <v>5802</v>
      </c>
    </row>
    <row r="89" spans="1:5" x14ac:dyDescent="0.25">
      <c r="A89">
        <v>382</v>
      </c>
      <c r="B89" t="s">
        <v>5893</v>
      </c>
      <c r="C89">
        <v>23498957</v>
      </c>
      <c r="D89" t="s">
        <v>1008</v>
      </c>
      <c r="E89" t="s">
        <v>5802</v>
      </c>
    </row>
    <row r="90" spans="1:5" x14ac:dyDescent="0.25">
      <c r="A90">
        <v>396</v>
      </c>
      <c r="B90" t="s">
        <v>5894</v>
      </c>
      <c r="C90">
        <v>23041313</v>
      </c>
      <c r="E90" t="s">
        <v>5802</v>
      </c>
    </row>
    <row r="91" spans="1:5" x14ac:dyDescent="0.25">
      <c r="A91">
        <v>405</v>
      </c>
      <c r="B91" t="s">
        <v>5895</v>
      </c>
      <c r="E91" t="s">
        <v>5896</v>
      </c>
    </row>
    <row r="92" spans="1:5" x14ac:dyDescent="0.25">
      <c r="A92">
        <v>406</v>
      </c>
      <c r="B92" t="s">
        <v>5897</v>
      </c>
      <c r="C92">
        <v>22533473</v>
      </c>
      <c r="E92" t="s">
        <v>5802</v>
      </c>
    </row>
    <row r="93" spans="1:5" x14ac:dyDescent="0.25">
      <c r="A93">
        <v>408</v>
      </c>
      <c r="B93" t="s">
        <v>5898</v>
      </c>
      <c r="C93">
        <v>22897233</v>
      </c>
      <c r="D93" t="s">
        <v>1070</v>
      </c>
      <c r="E93" t="s">
        <v>5802</v>
      </c>
    </row>
    <row r="94" spans="1:5" x14ac:dyDescent="0.25">
      <c r="A94">
        <v>409</v>
      </c>
      <c r="B94" t="s">
        <v>5899</v>
      </c>
      <c r="C94">
        <v>23126643</v>
      </c>
      <c r="D94" t="s">
        <v>1070</v>
      </c>
      <c r="E94" t="s">
        <v>5802</v>
      </c>
    </row>
    <row r="95" spans="1:5" x14ac:dyDescent="0.25">
      <c r="A95">
        <v>410</v>
      </c>
      <c r="B95" t="s">
        <v>5900</v>
      </c>
      <c r="C95">
        <v>23902464</v>
      </c>
      <c r="E95" t="s">
        <v>5802</v>
      </c>
    </row>
    <row r="96" spans="1:5" x14ac:dyDescent="0.25">
      <c r="A96">
        <v>416</v>
      </c>
      <c r="B96" t="s">
        <v>5901</v>
      </c>
      <c r="E96" t="s">
        <v>5902</v>
      </c>
    </row>
    <row r="97" spans="1:5" x14ac:dyDescent="0.25">
      <c r="A97">
        <v>419</v>
      </c>
      <c r="B97" t="s">
        <v>5903</v>
      </c>
      <c r="E97" t="s">
        <v>5904</v>
      </c>
    </row>
    <row r="98" spans="1:5" x14ac:dyDescent="0.25">
      <c r="A98">
        <v>420</v>
      </c>
      <c r="B98" t="s">
        <v>5905</v>
      </c>
      <c r="E98" t="s">
        <v>5906</v>
      </c>
    </row>
    <row r="99" spans="1:5" x14ac:dyDescent="0.25">
      <c r="A99">
        <v>422</v>
      </c>
      <c r="B99" t="s">
        <v>5905</v>
      </c>
      <c r="E99" t="s">
        <v>5906</v>
      </c>
    </row>
    <row r="100" spans="1:5" x14ac:dyDescent="0.25">
      <c r="A100">
        <v>423</v>
      </c>
      <c r="B100" t="s">
        <v>5907</v>
      </c>
      <c r="E100" t="s">
        <v>5908</v>
      </c>
    </row>
    <row r="101" spans="1:5" x14ac:dyDescent="0.25">
      <c r="A101">
        <v>428</v>
      </c>
      <c r="B101" t="s">
        <v>5909</v>
      </c>
      <c r="C101">
        <v>23418011</v>
      </c>
      <c r="D101" t="s">
        <v>1110</v>
      </c>
      <c r="E101" t="s">
        <v>5802</v>
      </c>
    </row>
    <row r="102" spans="1:5" x14ac:dyDescent="0.25">
      <c r="A102">
        <v>430</v>
      </c>
      <c r="B102" t="s">
        <v>5910</v>
      </c>
      <c r="C102">
        <v>23640856</v>
      </c>
      <c r="E102" t="s">
        <v>5802</v>
      </c>
    </row>
    <row r="103" spans="1:5" x14ac:dyDescent="0.25">
      <c r="A103">
        <v>432</v>
      </c>
      <c r="B103" t="s">
        <v>5911</v>
      </c>
      <c r="C103">
        <v>24097313</v>
      </c>
      <c r="E103" t="s">
        <v>5802</v>
      </c>
    </row>
    <row r="104" spans="1:5" x14ac:dyDescent="0.25">
      <c r="A104">
        <v>433</v>
      </c>
      <c r="B104" t="s">
        <v>5912</v>
      </c>
      <c r="C104">
        <v>22996943</v>
      </c>
      <c r="D104" t="s">
        <v>1122</v>
      </c>
      <c r="E104" t="s">
        <v>5802</v>
      </c>
    </row>
    <row r="105" spans="1:5" x14ac:dyDescent="0.25">
      <c r="A105">
        <v>442</v>
      </c>
      <c r="B105" t="s">
        <v>5913</v>
      </c>
      <c r="C105">
        <v>23452318</v>
      </c>
      <c r="E105" t="s">
        <v>5802</v>
      </c>
    </row>
    <row r="106" spans="1:5" x14ac:dyDescent="0.25">
      <c r="A106">
        <v>443</v>
      </c>
      <c r="B106" t="s">
        <v>5914</v>
      </c>
      <c r="D106" t="s">
        <v>1155</v>
      </c>
      <c r="E106" t="s">
        <v>5804</v>
      </c>
    </row>
    <row r="107" spans="1:5" x14ac:dyDescent="0.25">
      <c r="A107">
        <v>448</v>
      </c>
      <c r="B107" t="s">
        <v>5915</v>
      </c>
      <c r="D107" t="s">
        <v>1169</v>
      </c>
      <c r="E107" t="s">
        <v>5804</v>
      </c>
    </row>
    <row r="108" spans="1:5" x14ac:dyDescent="0.25">
      <c r="A108">
        <v>453</v>
      </c>
      <c r="B108" t="s">
        <v>5916</v>
      </c>
      <c r="E108" t="s">
        <v>5917</v>
      </c>
    </row>
    <row r="109" spans="1:5" x14ac:dyDescent="0.25">
      <c r="A109">
        <v>455</v>
      </c>
      <c r="B109" t="s">
        <v>5918</v>
      </c>
      <c r="C109">
        <v>23884064</v>
      </c>
      <c r="E109" t="s">
        <v>5802</v>
      </c>
    </row>
    <row r="110" spans="1:5" x14ac:dyDescent="0.25">
      <c r="A110">
        <v>456</v>
      </c>
      <c r="B110" t="s">
        <v>5919</v>
      </c>
      <c r="D110" t="s">
        <v>1193</v>
      </c>
      <c r="E110" t="s">
        <v>5804</v>
      </c>
    </row>
    <row r="111" spans="1:5" x14ac:dyDescent="0.25">
      <c r="A111">
        <v>464</v>
      </c>
      <c r="B111" t="s">
        <v>5920</v>
      </c>
      <c r="E111" t="s">
        <v>5921</v>
      </c>
    </row>
    <row r="112" spans="1:5" x14ac:dyDescent="0.25">
      <c r="A112">
        <v>465</v>
      </c>
      <c r="B112" t="s">
        <v>5922</v>
      </c>
      <c r="E112" t="s">
        <v>5923</v>
      </c>
    </row>
    <row r="113" spans="1:5" x14ac:dyDescent="0.25">
      <c r="A113">
        <v>469</v>
      </c>
      <c r="B113" t="s">
        <v>5924</v>
      </c>
      <c r="C113">
        <v>23773550</v>
      </c>
      <c r="D113" t="s">
        <v>1236</v>
      </c>
      <c r="E113" t="s">
        <v>5802</v>
      </c>
    </row>
    <row r="114" spans="1:5" x14ac:dyDescent="0.25">
      <c r="A114">
        <v>472</v>
      </c>
      <c r="B114" t="s">
        <v>5925</v>
      </c>
      <c r="D114" t="s">
        <v>1243</v>
      </c>
      <c r="E114" t="s">
        <v>5804</v>
      </c>
    </row>
    <row r="115" spans="1:5" x14ac:dyDescent="0.25">
      <c r="A115">
        <v>473</v>
      </c>
      <c r="B115" t="s">
        <v>5926</v>
      </c>
      <c r="E115" t="s">
        <v>5927</v>
      </c>
    </row>
    <row r="116" spans="1:5" x14ac:dyDescent="0.25">
      <c r="A116">
        <v>474</v>
      </c>
      <c r="B116" t="s">
        <v>5928</v>
      </c>
      <c r="E116" t="s">
        <v>5929</v>
      </c>
    </row>
    <row r="117" spans="1:5" x14ac:dyDescent="0.25">
      <c r="A117">
        <v>475</v>
      </c>
      <c r="B117" t="s">
        <v>5930</v>
      </c>
      <c r="E117" t="s">
        <v>5931</v>
      </c>
    </row>
    <row r="118" spans="1:5" x14ac:dyDescent="0.25">
      <c r="A118">
        <v>479</v>
      </c>
      <c r="B118" t="s">
        <v>5932</v>
      </c>
      <c r="C118">
        <v>23394834</v>
      </c>
      <c r="D118" t="s">
        <v>1259</v>
      </c>
      <c r="E118" t="s">
        <v>5802</v>
      </c>
    </row>
    <row r="119" spans="1:5" x14ac:dyDescent="0.25">
      <c r="A119">
        <v>480</v>
      </c>
      <c r="B119" t="s">
        <v>5933</v>
      </c>
      <c r="C119">
        <v>23885220</v>
      </c>
      <c r="D119" t="s">
        <v>1263</v>
      </c>
      <c r="E119" t="s">
        <v>5802</v>
      </c>
    </row>
    <row r="120" spans="1:5" x14ac:dyDescent="0.25">
      <c r="A120">
        <v>496</v>
      </c>
      <c r="B120" t="s">
        <v>5934</v>
      </c>
      <c r="C120">
        <v>23932517</v>
      </c>
      <c r="E120" t="s">
        <v>5802</v>
      </c>
    </row>
    <row r="121" spans="1:5" x14ac:dyDescent="0.25">
      <c r="A121">
        <v>498</v>
      </c>
      <c r="B121" t="s">
        <v>5935</v>
      </c>
      <c r="C121">
        <v>23409763</v>
      </c>
      <c r="E121" t="s">
        <v>5802</v>
      </c>
    </row>
    <row r="122" spans="1:5" x14ac:dyDescent="0.25">
      <c r="A122">
        <v>499</v>
      </c>
      <c r="B122" t="s">
        <v>5936</v>
      </c>
      <c r="D122" t="s">
        <v>1307</v>
      </c>
      <c r="E122" t="s">
        <v>5804</v>
      </c>
    </row>
    <row r="123" spans="1:5" x14ac:dyDescent="0.25">
      <c r="A123">
        <v>500</v>
      </c>
      <c r="B123" t="s">
        <v>5937</v>
      </c>
      <c r="C123">
        <v>23183928</v>
      </c>
      <c r="E123" t="s">
        <v>5802</v>
      </c>
    </row>
    <row r="124" spans="1:5" x14ac:dyDescent="0.25">
      <c r="A124">
        <v>504</v>
      </c>
      <c r="B124" t="s">
        <v>5938</v>
      </c>
      <c r="D124" t="s">
        <v>1322</v>
      </c>
      <c r="E124" t="s">
        <v>5804</v>
      </c>
    </row>
    <row r="125" spans="1:5" x14ac:dyDescent="0.25">
      <c r="A125">
        <v>505</v>
      </c>
      <c r="B125" t="s">
        <v>5939</v>
      </c>
      <c r="D125" t="s">
        <v>1326</v>
      </c>
      <c r="E125" t="s">
        <v>5804</v>
      </c>
    </row>
    <row r="126" spans="1:5" x14ac:dyDescent="0.25">
      <c r="A126">
        <v>506</v>
      </c>
      <c r="B126" t="s">
        <v>5940</v>
      </c>
      <c r="D126" t="s">
        <v>1328</v>
      </c>
      <c r="E126" t="s">
        <v>5804</v>
      </c>
    </row>
    <row r="127" spans="1:5" x14ac:dyDescent="0.25">
      <c r="A127">
        <v>507</v>
      </c>
      <c r="B127" t="s">
        <v>5941</v>
      </c>
      <c r="D127" t="s">
        <v>1330</v>
      </c>
      <c r="E127" t="s">
        <v>5804</v>
      </c>
    </row>
    <row r="128" spans="1:5" x14ac:dyDescent="0.25">
      <c r="A128">
        <v>508</v>
      </c>
      <c r="B128" t="s">
        <v>5942</v>
      </c>
      <c r="D128" t="s">
        <v>1332</v>
      </c>
      <c r="E128" t="s">
        <v>5804</v>
      </c>
    </row>
    <row r="129" spans="1:5" x14ac:dyDescent="0.25">
      <c r="A129">
        <v>512</v>
      </c>
      <c r="B129" t="s">
        <v>5943</v>
      </c>
      <c r="D129" t="s">
        <v>1340</v>
      </c>
      <c r="E129" t="s">
        <v>5804</v>
      </c>
    </row>
    <row r="130" spans="1:5" x14ac:dyDescent="0.25">
      <c r="A130">
        <v>513</v>
      </c>
      <c r="B130" t="s">
        <v>5944</v>
      </c>
      <c r="D130" t="s">
        <v>1344</v>
      </c>
      <c r="E130" t="s">
        <v>5804</v>
      </c>
    </row>
    <row r="131" spans="1:5" x14ac:dyDescent="0.25">
      <c r="A131">
        <v>522</v>
      </c>
      <c r="B131" t="s">
        <v>5945</v>
      </c>
      <c r="D131" t="s">
        <v>1362</v>
      </c>
      <c r="E131" t="s">
        <v>5804</v>
      </c>
    </row>
    <row r="132" spans="1:5" x14ac:dyDescent="0.25">
      <c r="A132">
        <v>524</v>
      </c>
      <c r="B132" t="s">
        <v>5946</v>
      </c>
      <c r="C132">
        <v>22925518</v>
      </c>
      <c r="D132" t="s">
        <v>1369</v>
      </c>
      <c r="E132" t="s">
        <v>5802</v>
      </c>
    </row>
    <row r="133" spans="1:5" x14ac:dyDescent="0.25">
      <c r="A133">
        <v>533</v>
      </c>
      <c r="B133" t="s">
        <v>5947</v>
      </c>
      <c r="D133" t="s">
        <v>1388</v>
      </c>
      <c r="E133" t="s">
        <v>5804</v>
      </c>
    </row>
    <row r="134" spans="1:5" x14ac:dyDescent="0.25">
      <c r="A134">
        <v>534</v>
      </c>
      <c r="B134" t="s">
        <v>5948</v>
      </c>
      <c r="D134" t="s">
        <v>1390</v>
      </c>
      <c r="E134" t="s">
        <v>5804</v>
      </c>
    </row>
    <row r="135" spans="1:5" x14ac:dyDescent="0.25">
      <c r="A135">
        <v>537</v>
      </c>
      <c r="B135" t="s">
        <v>5949</v>
      </c>
      <c r="D135" t="s">
        <v>1396</v>
      </c>
      <c r="E135" t="s">
        <v>5804</v>
      </c>
    </row>
    <row r="136" spans="1:5" x14ac:dyDescent="0.25">
      <c r="A136">
        <v>538</v>
      </c>
      <c r="B136" t="s">
        <v>5950</v>
      </c>
      <c r="E136" t="s">
        <v>5951</v>
      </c>
    </row>
    <row r="137" spans="1:5" x14ac:dyDescent="0.25">
      <c r="A137">
        <v>543</v>
      </c>
      <c r="B137" t="s">
        <v>5952</v>
      </c>
      <c r="E137" t="s">
        <v>5953</v>
      </c>
    </row>
    <row r="138" spans="1:5" x14ac:dyDescent="0.25">
      <c r="A138">
        <v>548</v>
      </c>
      <c r="B138" t="s">
        <v>5954</v>
      </c>
      <c r="D138" t="s">
        <v>1421</v>
      </c>
      <c r="E138" t="s">
        <v>5804</v>
      </c>
    </row>
    <row r="139" spans="1:5" x14ac:dyDescent="0.25">
      <c r="A139">
        <v>549</v>
      </c>
      <c r="B139" t="s">
        <v>5955</v>
      </c>
      <c r="D139" t="s">
        <v>1425</v>
      </c>
      <c r="E139" t="s">
        <v>5804</v>
      </c>
    </row>
    <row r="140" spans="1:5" x14ac:dyDescent="0.25">
      <c r="A140">
        <v>553</v>
      </c>
      <c r="B140" t="s">
        <v>5956</v>
      </c>
      <c r="E140" t="s">
        <v>5957</v>
      </c>
    </row>
    <row r="141" spans="1:5" x14ac:dyDescent="0.25">
      <c r="A141">
        <v>555</v>
      </c>
      <c r="B141" t="s">
        <v>5958</v>
      </c>
      <c r="C141">
        <v>22155499</v>
      </c>
      <c r="D141" t="s">
        <v>581</v>
      </c>
      <c r="E141" t="s">
        <v>5802</v>
      </c>
    </row>
    <row r="142" spans="1:5" x14ac:dyDescent="0.25">
      <c r="A142">
        <v>556</v>
      </c>
      <c r="B142" t="s">
        <v>5959</v>
      </c>
      <c r="C142">
        <v>20800751</v>
      </c>
      <c r="D142" t="s">
        <v>1447</v>
      </c>
      <c r="E142" t="s">
        <v>5802</v>
      </c>
    </row>
    <row r="143" spans="1:5" x14ac:dyDescent="0.25">
      <c r="A143">
        <v>557</v>
      </c>
      <c r="B143" t="s">
        <v>5960</v>
      </c>
      <c r="C143">
        <v>24064150</v>
      </c>
      <c r="D143" t="s">
        <v>1449</v>
      </c>
      <c r="E143" t="s">
        <v>5802</v>
      </c>
    </row>
    <row r="144" spans="1:5" x14ac:dyDescent="0.25">
      <c r="A144">
        <v>558</v>
      </c>
      <c r="B144" t="s">
        <v>5961</v>
      </c>
      <c r="C144">
        <v>23620154</v>
      </c>
      <c r="D144" t="s">
        <v>1451</v>
      </c>
      <c r="E144" t="s">
        <v>5802</v>
      </c>
    </row>
    <row r="145" spans="1:5" x14ac:dyDescent="0.25">
      <c r="A145">
        <v>559</v>
      </c>
      <c r="B145" t="s">
        <v>5962</v>
      </c>
      <c r="C145">
        <v>22591621</v>
      </c>
      <c r="D145" t="s">
        <v>1453</v>
      </c>
      <c r="E145" t="s">
        <v>5802</v>
      </c>
    </row>
    <row r="146" spans="1:5" x14ac:dyDescent="0.25">
      <c r="A146">
        <v>560</v>
      </c>
      <c r="B146" t="s">
        <v>5963</v>
      </c>
      <c r="C146">
        <v>21680110</v>
      </c>
      <c r="D146" t="s">
        <v>1455</v>
      </c>
      <c r="E146" t="s">
        <v>5802</v>
      </c>
    </row>
    <row r="147" spans="1:5" x14ac:dyDescent="0.25">
      <c r="A147">
        <v>561</v>
      </c>
      <c r="B147" t="s">
        <v>5964</v>
      </c>
      <c r="C147">
        <v>23541370</v>
      </c>
      <c r="D147" t="s">
        <v>1457</v>
      </c>
      <c r="E147" t="s">
        <v>5802</v>
      </c>
    </row>
    <row r="148" spans="1:5" x14ac:dyDescent="0.25">
      <c r="A148">
        <v>562</v>
      </c>
      <c r="B148" t="s">
        <v>5965</v>
      </c>
      <c r="C148">
        <v>23511972</v>
      </c>
      <c r="D148" t="s">
        <v>1459</v>
      </c>
      <c r="E148" t="s">
        <v>5802</v>
      </c>
    </row>
    <row r="149" spans="1:5" x14ac:dyDescent="0.25">
      <c r="A149">
        <v>563</v>
      </c>
      <c r="B149" t="s">
        <v>5966</v>
      </c>
      <c r="D149" t="s">
        <v>1463</v>
      </c>
      <c r="E149" t="s">
        <v>5804</v>
      </c>
    </row>
    <row r="150" spans="1:5" x14ac:dyDescent="0.25">
      <c r="A150">
        <v>569</v>
      </c>
      <c r="B150" t="s">
        <v>5967</v>
      </c>
      <c r="D150" t="s">
        <v>1477</v>
      </c>
      <c r="E150" t="s">
        <v>5804</v>
      </c>
    </row>
    <row r="151" spans="1:5" x14ac:dyDescent="0.25">
      <c r="A151">
        <v>573</v>
      </c>
      <c r="B151" t="s">
        <v>5968</v>
      </c>
      <c r="C151">
        <v>23999103</v>
      </c>
      <c r="E151" t="s">
        <v>5802</v>
      </c>
    </row>
    <row r="152" spans="1:5" x14ac:dyDescent="0.25">
      <c r="A152">
        <v>577</v>
      </c>
      <c r="B152" t="s">
        <v>5952</v>
      </c>
      <c r="E152" t="s">
        <v>5953</v>
      </c>
    </row>
    <row r="153" spans="1:5" x14ac:dyDescent="0.25">
      <c r="A153">
        <v>579</v>
      </c>
      <c r="B153" t="s">
        <v>5969</v>
      </c>
      <c r="D153" t="s">
        <v>1502</v>
      </c>
      <c r="E153" t="s">
        <v>5804</v>
      </c>
    </row>
    <row r="154" spans="1:5" x14ac:dyDescent="0.25">
      <c r="A154">
        <v>580</v>
      </c>
      <c r="B154" t="s">
        <v>5970</v>
      </c>
      <c r="D154" t="s">
        <v>1507</v>
      </c>
      <c r="E154" t="s">
        <v>5804</v>
      </c>
    </row>
    <row r="155" spans="1:5" x14ac:dyDescent="0.25">
      <c r="A155">
        <v>581</v>
      </c>
      <c r="B155" t="s">
        <v>5971</v>
      </c>
      <c r="D155" t="s">
        <v>1512</v>
      </c>
      <c r="E155" t="s">
        <v>5804</v>
      </c>
    </row>
    <row r="156" spans="1:5" x14ac:dyDescent="0.25">
      <c r="A156">
        <v>586</v>
      </c>
      <c r="B156" t="s">
        <v>5952</v>
      </c>
      <c r="E156" t="s">
        <v>5953</v>
      </c>
    </row>
    <row r="157" spans="1:5" x14ac:dyDescent="0.25">
      <c r="A157">
        <v>595</v>
      </c>
      <c r="B157" t="s">
        <v>5972</v>
      </c>
      <c r="D157" t="s">
        <v>1548</v>
      </c>
      <c r="E157" t="s">
        <v>5804</v>
      </c>
    </row>
    <row r="158" spans="1:5" x14ac:dyDescent="0.25">
      <c r="A158">
        <v>596</v>
      </c>
      <c r="B158" t="s">
        <v>5973</v>
      </c>
      <c r="C158">
        <v>23750825</v>
      </c>
      <c r="E158" t="s">
        <v>5802</v>
      </c>
    </row>
    <row r="159" spans="1:5" x14ac:dyDescent="0.25">
      <c r="A159">
        <v>599</v>
      </c>
      <c r="B159" t="s">
        <v>5974</v>
      </c>
      <c r="D159" t="s">
        <v>1559</v>
      </c>
      <c r="E159" t="s">
        <v>5804</v>
      </c>
    </row>
    <row r="160" spans="1:5" x14ac:dyDescent="0.25">
      <c r="A160">
        <v>602</v>
      </c>
      <c r="B160" t="s">
        <v>5975</v>
      </c>
      <c r="C160">
        <v>23881859</v>
      </c>
      <c r="E160" t="s">
        <v>5802</v>
      </c>
    </row>
    <row r="161" spans="1:5" x14ac:dyDescent="0.25">
      <c r="A161">
        <v>603</v>
      </c>
      <c r="B161" t="s">
        <v>5976</v>
      </c>
      <c r="D161" t="s">
        <v>1572</v>
      </c>
      <c r="E161" t="s">
        <v>5804</v>
      </c>
    </row>
    <row r="162" spans="1:5" x14ac:dyDescent="0.25">
      <c r="A162">
        <v>604</v>
      </c>
      <c r="B162" t="s">
        <v>5977</v>
      </c>
      <c r="C162">
        <v>23385540</v>
      </c>
      <c r="D162" t="s">
        <v>1576</v>
      </c>
      <c r="E162" t="s">
        <v>5802</v>
      </c>
    </row>
    <row r="163" spans="1:5" x14ac:dyDescent="0.25">
      <c r="A163">
        <v>605</v>
      </c>
      <c r="B163" t="s">
        <v>5901</v>
      </c>
      <c r="E163" t="s">
        <v>5902</v>
      </c>
    </row>
    <row r="164" spans="1:5" x14ac:dyDescent="0.25">
      <c r="A164">
        <v>609</v>
      </c>
      <c r="B164" t="s">
        <v>5978</v>
      </c>
      <c r="C164">
        <v>23132696</v>
      </c>
      <c r="D164" t="s">
        <v>1592</v>
      </c>
      <c r="E164" t="s">
        <v>5802</v>
      </c>
    </row>
    <row r="165" spans="1:5" x14ac:dyDescent="0.25">
      <c r="A165">
        <v>611</v>
      </c>
      <c r="B165" t="s">
        <v>5952</v>
      </c>
      <c r="E165" t="s">
        <v>5953</v>
      </c>
    </row>
    <row r="166" spans="1:5" x14ac:dyDescent="0.25">
      <c r="A166">
        <v>613</v>
      </c>
      <c r="B166" t="s">
        <v>5979</v>
      </c>
      <c r="D166" t="s">
        <v>1606</v>
      </c>
      <c r="E166" t="s">
        <v>5804</v>
      </c>
    </row>
    <row r="167" spans="1:5" x14ac:dyDescent="0.25">
      <c r="A167">
        <v>616</v>
      </c>
      <c r="B167" t="s">
        <v>5980</v>
      </c>
      <c r="C167">
        <v>23632796</v>
      </c>
      <c r="E167" t="s">
        <v>5802</v>
      </c>
    </row>
    <row r="168" spans="1:5" x14ac:dyDescent="0.25">
      <c r="A168">
        <v>620</v>
      </c>
      <c r="B168" t="s">
        <v>5981</v>
      </c>
      <c r="C168">
        <v>22965681</v>
      </c>
      <c r="D168" t="s">
        <v>1624</v>
      </c>
      <c r="E168" t="s">
        <v>5802</v>
      </c>
    </row>
    <row r="169" spans="1:5" x14ac:dyDescent="0.25">
      <c r="A169">
        <v>621</v>
      </c>
      <c r="B169" t="s">
        <v>5982</v>
      </c>
      <c r="C169">
        <v>22653709</v>
      </c>
      <c r="D169" t="s">
        <v>1626</v>
      </c>
      <c r="E169" t="s">
        <v>5802</v>
      </c>
    </row>
    <row r="170" spans="1:5" x14ac:dyDescent="0.25">
      <c r="A170">
        <v>626</v>
      </c>
      <c r="B170" t="s">
        <v>5983</v>
      </c>
      <c r="C170">
        <v>23707654</v>
      </c>
      <c r="D170" t="s">
        <v>1638</v>
      </c>
      <c r="E170" t="s">
        <v>5802</v>
      </c>
    </row>
    <row r="171" spans="1:5" x14ac:dyDescent="0.25">
      <c r="A171">
        <v>628</v>
      </c>
      <c r="B171" t="s">
        <v>5905</v>
      </c>
      <c r="E171" t="s">
        <v>5906</v>
      </c>
    </row>
    <row r="172" spans="1:5" x14ac:dyDescent="0.25">
      <c r="A172">
        <v>630</v>
      </c>
      <c r="B172" t="s">
        <v>5984</v>
      </c>
      <c r="D172" t="s">
        <v>1650</v>
      </c>
      <c r="E172" t="s">
        <v>5804</v>
      </c>
    </row>
    <row r="173" spans="1:5" x14ac:dyDescent="0.25">
      <c r="A173">
        <v>634</v>
      </c>
      <c r="B173" t="s">
        <v>5985</v>
      </c>
      <c r="E173" t="s">
        <v>5986</v>
      </c>
    </row>
    <row r="174" spans="1:5" x14ac:dyDescent="0.25">
      <c r="A174">
        <v>635</v>
      </c>
      <c r="B174" t="s">
        <v>5985</v>
      </c>
      <c r="E174" t="s">
        <v>5986</v>
      </c>
    </row>
    <row r="175" spans="1:5" x14ac:dyDescent="0.25">
      <c r="A175">
        <v>647</v>
      </c>
      <c r="B175" t="s">
        <v>5987</v>
      </c>
      <c r="C175">
        <v>23183165</v>
      </c>
      <c r="E175" t="s">
        <v>5802</v>
      </c>
    </row>
    <row r="176" spans="1:5" x14ac:dyDescent="0.25">
      <c r="A176">
        <v>652</v>
      </c>
      <c r="B176" t="s">
        <v>5988</v>
      </c>
      <c r="C176">
        <v>22919070</v>
      </c>
      <c r="E176" t="s">
        <v>5802</v>
      </c>
    </row>
    <row r="177" spans="1:5" x14ac:dyDescent="0.25">
      <c r="A177">
        <v>654</v>
      </c>
      <c r="B177" t="s">
        <v>5989</v>
      </c>
      <c r="C177">
        <v>23982145</v>
      </c>
      <c r="E177" t="s">
        <v>5802</v>
      </c>
    </row>
    <row r="178" spans="1:5" x14ac:dyDescent="0.25">
      <c r="A178">
        <v>659</v>
      </c>
      <c r="B178" t="s">
        <v>5990</v>
      </c>
      <c r="C178">
        <v>23170778</v>
      </c>
      <c r="D178" t="s">
        <v>1735</v>
      </c>
      <c r="E178" t="s">
        <v>5802</v>
      </c>
    </row>
    <row r="179" spans="1:5" x14ac:dyDescent="0.25">
      <c r="A179">
        <v>660</v>
      </c>
      <c r="B179" t="s">
        <v>5991</v>
      </c>
      <c r="C179">
        <v>23082758</v>
      </c>
      <c r="D179" t="s">
        <v>1739</v>
      </c>
      <c r="E179" t="s">
        <v>5802</v>
      </c>
    </row>
    <row r="180" spans="1:5" x14ac:dyDescent="0.25">
      <c r="A180">
        <v>661</v>
      </c>
      <c r="B180" t="s">
        <v>5992</v>
      </c>
      <c r="C180">
        <v>23517310</v>
      </c>
      <c r="D180" t="s">
        <v>1741</v>
      </c>
      <c r="E180" t="s">
        <v>5802</v>
      </c>
    </row>
    <row r="181" spans="1:5" x14ac:dyDescent="0.25">
      <c r="A181">
        <v>662</v>
      </c>
      <c r="B181" t="s">
        <v>5993</v>
      </c>
      <c r="E181" t="s">
        <v>5994</v>
      </c>
    </row>
    <row r="182" spans="1:5" x14ac:dyDescent="0.25">
      <c r="A182">
        <v>663</v>
      </c>
      <c r="B182" t="s">
        <v>5995</v>
      </c>
      <c r="C182">
        <v>23506317</v>
      </c>
      <c r="E182" t="s">
        <v>5802</v>
      </c>
    </row>
    <row r="183" spans="1:5" x14ac:dyDescent="0.25">
      <c r="A183">
        <v>670</v>
      </c>
      <c r="B183" t="s">
        <v>5996</v>
      </c>
      <c r="C183">
        <v>23650598</v>
      </c>
      <c r="D183" t="s">
        <v>1757</v>
      </c>
      <c r="E183" t="s">
        <v>5802</v>
      </c>
    </row>
    <row r="184" spans="1:5" x14ac:dyDescent="0.25">
      <c r="A184">
        <v>671</v>
      </c>
      <c r="B184" t="s">
        <v>5997</v>
      </c>
      <c r="C184">
        <v>23772376</v>
      </c>
      <c r="D184" t="s">
        <v>1761</v>
      </c>
      <c r="E184" t="s">
        <v>5802</v>
      </c>
    </row>
    <row r="185" spans="1:5" x14ac:dyDescent="0.25">
      <c r="A185">
        <v>673</v>
      </c>
      <c r="B185" t="s">
        <v>5952</v>
      </c>
      <c r="E185" t="s">
        <v>5953</v>
      </c>
    </row>
    <row r="186" spans="1:5" x14ac:dyDescent="0.25">
      <c r="A186">
        <v>679</v>
      </c>
      <c r="B186" t="s">
        <v>5998</v>
      </c>
      <c r="D186" t="s">
        <v>1778</v>
      </c>
      <c r="E186" t="s">
        <v>5804</v>
      </c>
    </row>
    <row r="187" spans="1:5" x14ac:dyDescent="0.25">
      <c r="A187">
        <v>682</v>
      </c>
      <c r="B187" t="s">
        <v>5999</v>
      </c>
      <c r="D187" t="s">
        <v>1791</v>
      </c>
      <c r="E187" t="s">
        <v>5804</v>
      </c>
    </row>
    <row r="188" spans="1:5" x14ac:dyDescent="0.25">
      <c r="A188">
        <v>683</v>
      </c>
      <c r="B188" t="s">
        <v>6000</v>
      </c>
      <c r="D188" t="s">
        <v>1795</v>
      </c>
      <c r="E188" t="s">
        <v>5804</v>
      </c>
    </row>
    <row r="189" spans="1:5" x14ac:dyDescent="0.25">
      <c r="A189">
        <v>692</v>
      </c>
      <c r="B189" t="s">
        <v>6001</v>
      </c>
      <c r="D189" t="s">
        <v>1823</v>
      </c>
      <c r="E189" t="s">
        <v>5804</v>
      </c>
    </row>
    <row r="190" spans="1:5" x14ac:dyDescent="0.25">
      <c r="A190">
        <v>699</v>
      </c>
      <c r="B190" t="s">
        <v>6002</v>
      </c>
      <c r="C190">
        <v>23720616</v>
      </c>
      <c r="D190" t="s">
        <v>1843</v>
      </c>
      <c r="E190" t="s">
        <v>5802</v>
      </c>
    </row>
    <row r="191" spans="1:5" x14ac:dyDescent="0.25">
      <c r="A191">
        <v>702</v>
      </c>
      <c r="B191" t="s">
        <v>6003</v>
      </c>
      <c r="C191">
        <v>23805144</v>
      </c>
      <c r="D191" t="s">
        <v>1851</v>
      </c>
      <c r="E191" t="s">
        <v>5802</v>
      </c>
    </row>
    <row r="192" spans="1:5" x14ac:dyDescent="0.25">
      <c r="A192">
        <v>712</v>
      </c>
      <c r="B192" t="s">
        <v>6004</v>
      </c>
      <c r="C192">
        <v>23847615</v>
      </c>
      <c r="D192" t="s">
        <v>1889</v>
      </c>
      <c r="E192" t="s">
        <v>5802</v>
      </c>
    </row>
    <row r="193" spans="1:5" x14ac:dyDescent="0.25">
      <c r="A193">
        <v>716</v>
      </c>
      <c r="B193" t="s">
        <v>6005</v>
      </c>
      <c r="D193" t="s">
        <v>1900</v>
      </c>
      <c r="E193" t="s">
        <v>5804</v>
      </c>
    </row>
    <row r="194" spans="1:5" x14ac:dyDescent="0.25">
      <c r="A194">
        <v>724</v>
      </c>
      <c r="B194" t="s">
        <v>6006</v>
      </c>
      <c r="D194" t="s">
        <v>1926</v>
      </c>
      <c r="E194" t="s">
        <v>5804</v>
      </c>
    </row>
    <row r="195" spans="1:5" x14ac:dyDescent="0.25">
      <c r="A195">
        <v>731</v>
      </c>
      <c r="B195" t="s">
        <v>6007</v>
      </c>
      <c r="E195" t="s">
        <v>6008</v>
      </c>
    </row>
    <row r="196" spans="1:5" x14ac:dyDescent="0.25">
      <c r="A196">
        <v>734</v>
      </c>
      <c r="B196" t="s">
        <v>6009</v>
      </c>
      <c r="C196">
        <v>23738518</v>
      </c>
      <c r="E196" t="s">
        <v>5802</v>
      </c>
    </row>
    <row r="197" spans="1:5" x14ac:dyDescent="0.25">
      <c r="A197">
        <v>735</v>
      </c>
      <c r="B197" t="s">
        <v>6010</v>
      </c>
      <c r="C197">
        <v>21255266</v>
      </c>
      <c r="D197" t="s">
        <v>1960</v>
      </c>
      <c r="E197" t="s">
        <v>5802</v>
      </c>
    </row>
    <row r="198" spans="1:5" x14ac:dyDescent="0.25">
      <c r="A198">
        <v>736</v>
      </c>
      <c r="B198" t="s">
        <v>6011</v>
      </c>
      <c r="C198">
        <v>23315936</v>
      </c>
      <c r="D198" t="s">
        <v>1962</v>
      </c>
      <c r="E198" t="s">
        <v>5802</v>
      </c>
    </row>
    <row r="199" spans="1:5" x14ac:dyDescent="0.25">
      <c r="A199">
        <v>749</v>
      </c>
      <c r="B199" t="s">
        <v>6012</v>
      </c>
      <c r="E199" t="s">
        <v>6013</v>
      </c>
    </row>
    <row r="200" spans="1:5" x14ac:dyDescent="0.25">
      <c r="A200">
        <v>752</v>
      </c>
      <c r="B200" t="s">
        <v>6014</v>
      </c>
      <c r="D200" t="s">
        <v>2002</v>
      </c>
      <c r="E200" t="s">
        <v>5804</v>
      </c>
    </row>
    <row r="201" spans="1:5" x14ac:dyDescent="0.25">
      <c r="A201">
        <v>757</v>
      </c>
      <c r="B201" t="s">
        <v>6015</v>
      </c>
      <c r="C201">
        <v>23665989</v>
      </c>
      <c r="E201" t="s">
        <v>5802</v>
      </c>
    </row>
    <row r="202" spans="1:5" x14ac:dyDescent="0.25">
      <c r="A202">
        <v>762</v>
      </c>
      <c r="B202" t="s">
        <v>6016</v>
      </c>
      <c r="E202" t="s">
        <v>6017</v>
      </c>
    </row>
    <row r="203" spans="1:5" x14ac:dyDescent="0.25">
      <c r="A203">
        <v>768</v>
      </c>
      <c r="B203" t="s">
        <v>6018</v>
      </c>
      <c r="E203" t="s">
        <v>6019</v>
      </c>
    </row>
    <row r="204" spans="1:5" x14ac:dyDescent="0.25">
      <c r="A204">
        <v>769</v>
      </c>
      <c r="B204" t="s">
        <v>5895</v>
      </c>
      <c r="E204" t="s">
        <v>5896</v>
      </c>
    </row>
    <row r="205" spans="1:5" x14ac:dyDescent="0.25">
      <c r="A205">
        <v>771</v>
      </c>
      <c r="B205" t="s">
        <v>6020</v>
      </c>
      <c r="C205">
        <v>22807091</v>
      </c>
      <c r="D205" t="s">
        <v>2058</v>
      </c>
      <c r="E205" t="s">
        <v>5802</v>
      </c>
    </row>
    <row r="206" spans="1:5" x14ac:dyDescent="0.25">
      <c r="A206">
        <v>772</v>
      </c>
      <c r="B206" t="s">
        <v>6021</v>
      </c>
      <c r="C206">
        <v>23775568</v>
      </c>
      <c r="E206" t="s">
        <v>5802</v>
      </c>
    </row>
    <row r="207" spans="1:5" x14ac:dyDescent="0.25">
      <c r="A207">
        <v>775</v>
      </c>
      <c r="B207" t="s">
        <v>6022</v>
      </c>
      <c r="D207" t="s">
        <v>2065</v>
      </c>
      <c r="E207" t="s">
        <v>5804</v>
      </c>
    </row>
    <row r="208" spans="1:5" x14ac:dyDescent="0.25">
      <c r="A208">
        <v>782</v>
      </c>
      <c r="B208" t="s">
        <v>6023</v>
      </c>
      <c r="E208" t="s">
        <v>6024</v>
      </c>
    </row>
    <row r="209" spans="1:5" x14ac:dyDescent="0.25">
      <c r="A209">
        <v>783</v>
      </c>
      <c r="B209" t="s">
        <v>5901</v>
      </c>
      <c r="E209" t="s">
        <v>5902</v>
      </c>
    </row>
    <row r="210" spans="1:5" x14ac:dyDescent="0.25">
      <c r="A210">
        <v>788</v>
      </c>
      <c r="B210" t="s">
        <v>6025</v>
      </c>
      <c r="D210" t="s">
        <v>2093</v>
      </c>
      <c r="E210" t="s">
        <v>5804</v>
      </c>
    </row>
    <row r="211" spans="1:5" x14ac:dyDescent="0.25">
      <c r="A211">
        <v>793</v>
      </c>
      <c r="B211" t="s">
        <v>6026</v>
      </c>
      <c r="D211" t="s">
        <v>2107</v>
      </c>
      <c r="E211" t="s">
        <v>5804</v>
      </c>
    </row>
    <row r="212" spans="1:5" x14ac:dyDescent="0.25">
      <c r="A212">
        <v>804</v>
      </c>
      <c r="B212" t="s">
        <v>6027</v>
      </c>
      <c r="D212" t="s">
        <v>2131</v>
      </c>
      <c r="E212" t="s">
        <v>5804</v>
      </c>
    </row>
    <row r="213" spans="1:5" x14ac:dyDescent="0.25">
      <c r="A213">
        <v>816</v>
      </c>
      <c r="B213" t="s">
        <v>6028</v>
      </c>
      <c r="D213" t="s">
        <v>2154</v>
      </c>
      <c r="E213" t="s">
        <v>5804</v>
      </c>
    </row>
    <row r="214" spans="1:5" x14ac:dyDescent="0.25">
      <c r="A214">
        <v>822</v>
      </c>
      <c r="B214" t="s">
        <v>6029</v>
      </c>
      <c r="D214" t="s">
        <v>2173</v>
      </c>
      <c r="E214" t="s">
        <v>5804</v>
      </c>
    </row>
    <row r="215" spans="1:5" x14ac:dyDescent="0.25">
      <c r="A215">
        <v>831</v>
      </c>
      <c r="B215" t="s">
        <v>6030</v>
      </c>
      <c r="D215" t="s">
        <v>2200</v>
      </c>
      <c r="E215" t="s">
        <v>5804</v>
      </c>
    </row>
    <row r="216" spans="1:5" x14ac:dyDescent="0.25">
      <c r="A216">
        <v>833</v>
      </c>
      <c r="B216" t="s">
        <v>6031</v>
      </c>
      <c r="E216" t="s">
        <v>6032</v>
      </c>
    </row>
    <row r="217" spans="1:5" x14ac:dyDescent="0.25">
      <c r="A217">
        <v>835</v>
      </c>
      <c r="B217" t="s">
        <v>6033</v>
      </c>
      <c r="D217" t="s">
        <v>2211</v>
      </c>
      <c r="E217" t="s">
        <v>5804</v>
      </c>
    </row>
    <row r="218" spans="1:5" x14ac:dyDescent="0.25">
      <c r="A218">
        <v>840</v>
      </c>
      <c r="B218" t="s">
        <v>6034</v>
      </c>
      <c r="C218">
        <v>23782406</v>
      </c>
      <c r="E218" t="s">
        <v>5802</v>
      </c>
    </row>
    <row r="219" spans="1:5" x14ac:dyDescent="0.25">
      <c r="A219">
        <v>842</v>
      </c>
      <c r="B219" t="s">
        <v>6035</v>
      </c>
      <c r="C219">
        <v>23137753</v>
      </c>
      <c r="E219" t="s">
        <v>5802</v>
      </c>
    </row>
    <row r="220" spans="1:5" x14ac:dyDescent="0.25">
      <c r="A220">
        <v>847</v>
      </c>
      <c r="B220" t="s">
        <v>6036</v>
      </c>
      <c r="D220" t="s">
        <v>2251</v>
      </c>
      <c r="E220" t="s">
        <v>5804</v>
      </c>
    </row>
    <row r="221" spans="1:5" x14ac:dyDescent="0.25">
      <c r="A221">
        <v>862</v>
      </c>
      <c r="B221" t="s">
        <v>6037</v>
      </c>
      <c r="C221">
        <v>23837793</v>
      </c>
      <c r="E221" t="s">
        <v>5802</v>
      </c>
    </row>
    <row r="222" spans="1:5" x14ac:dyDescent="0.25">
      <c r="A222">
        <v>866</v>
      </c>
      <c r="B222" t="s">
        <v>6038</v>
      </c>
      <c r="E222" t="s">
        <v>6039</v>
      </c>
    </row>
    <row r="223" spans="1:5" x14ac:dyDescent="0.25">
      <c r="A223">
        <v>875</v>
      </c>
      <c r="B223" t="s">
        <v>6040</v>
      </c>
      <c r="D223" t="s">
        <v>2335</v>
      </c>
      <c r="E223" t="s">
        <v>5804</v>
      </c>
    </row>
    <row r="224" spans="1:5" x14ac:dyDescent="0.25">
      <c r="A224">
        <v>883</v>
      </c>
      <c r="B224" t="s">
        <v>6041</v>
      </c>
      <c r="C224">
        <v>23704353</v>
      </c>
      <c r="D224" t="s">
        <v>2356</v>
      </c>
      <c r="E224" t="s">
        <v>5802</v>
      </c>
    </row>
    <row r="225" spans="1:5" x14ac:dyDescent="0.25">
      <c r="A225">
        <v>885</v>
      </c>
      <c r="B225" t="s">
        <v>6042</v>
      </c>
      <c r="D225" t="s">
        <v>2364</v>
      </c>
      <c r="E225" t="s">
        <v>5804</v>
      </c>
    </row>
    <row r="226" spans="1:5" x14ac:dyDescent="0.25">
      <c r="A226">
        <v>886</v>
      </c>
      <c r="B226" t="s">
        <v>6043</v>
      </c>
      <c r="C226">
        <v>23319734</v>
      </c>
      <c r="D226" t="s">
        <v>2368</v>
      </c>
      <c r="E226" t="s">
        <v>5802</v>
      </c>
    </row>
    <row r="227" spans="1:5" x14ac:dyDescent="0.25">
      <c r="A227">
        <v>887</v>
      </c>
      <c r="B227" t="s">
        <v>6044</v>
      </c>
      <c r="D227" t="s">
        <v>2370</v>
      </c>
      <c r="E227" t="s">
        <v>5804</v>
      </c>
    </row>
    <row r="228" spans="1:5" x14ac:dyDescent="0.25">
      <c r="A228">
        <v>888</v>
      </c>
      <c r="B228" t="s">
        <v>6045</v>
      </c>
      <c r="C228">
        <v>23043264</v>
      </c>
      <c r="D228" t="s">
        <v>2374</v>
      </c>
      <c r="E228" t="s">
        <v>5802</v>
      </c>
    </row>
    <row r="229" spans="1:5" x14ac:dyDescent="0.25">
      <c r="A229">
        <v>889</v>
      </c>
      <c r="B229" t="s">
        <v>6046</v>
      </c>
      <c r="C229">
        <v>23438330</v>
      </c>
      <c r="D229" t="s">
        <v>2378</v>
      </c>
      <c r="E229" t="s">
        <v>5802</v>
      </c>
    </row>
    <row r="230" spans="1:5" x14ac:dyDescent="0.25">
      <c r="A230">
        <v>896</v>
      </c>
      <c r="B230" t="s">
        <v>6047</v>
      </c>
      <c r="C230">
        <v>23438216</v>
      </c>
      <c r="D230" t="s">
        <v>2397</v>
      </c>
      <c r="E230" t="s">
        <v>5802</v>
      </c>
    </row>
    <row r="231" spans="1:5" x14ac:dyDescent="0.25">
      <c r="A231">
        <v>897</v>
      </c>
      <c r="B231" t="s">
        <v>6048</v>
      </c>
      <c r="C231">
        <v>23291110</v>
      </c>
      <c r="E231" t="s">
        <v>5802</v>
      </c>
    </row>
    <row r="232" spans="1:5" x14ac:dyDescent="0.25">
      <c r="A232">
        <v>901</v>
      </c>
      <c r="B232" t="s">
        <v>6049</v>
      </c>
      <c r="C232">
        <v>23443656</v>
      </c>
      <c r="E232" t="s">
        <v>5802</v>
      </c>
    </row>
    <row r="233" spans="1:5" x14ac:dyDescent="0.25">
      <c r="A233">
        <v>902</v>
      </c>
      <c r="B233" t="s">
        <v>6050</v>
      </c>
      <c r="C233">
        <v>23166325</v>
      </c>
      <c r="E233" t="s">
        <v>5802</v>
      </c>
    </row>
    <row r="234" spans="1:5" x14ac:dyDescent="0.25">
      <c r="A234">
        <v>910</v>
      </c>
      <c r="B234" t="s">
        <v>6051</v>
      </c>
      <c r="E234" t="s">
        <v>6052</v>
      </c>
    </row>
    <row r="235" spans="1:5" x14ac:dyDescent="0.25">
      <c r="A235">
        <v>920</v>
      </c>
      <c r="B235" t="s">
        <v>6053</v>
      </c>
      <c r="C235">
        <v>23806636</v>
      </c>
      <c r="E235" t="s">
        <v>5802</v>
      </c>
    </row>
    <row r="236" spans="1:5" x14ac:dyDescent="0.25">
      <c r="A236">
        <v>929</v>
      </c>
      <c r="B236" t="s">
        <v>6054</v>
      </c>
      <c r="C236">
        <v>23748436</v>
      </c>
      <c r="E236" t="s">
        <v>5802</v>
      </c>
    </row>
    <row r="237" spans="1:5" x14ac:dyDescent="0.25">
      <c r="A237">
        <v>938</v>
      </c>
      <c r="B237" t="s">
        <v>6055</v>
      </c>
      <c r="C237">
        <v>23589301</v>
      </c>
      <c r="E237" t="s">
        <v>5802</v>
      </c>
    </row>
    <row r="238" spans="1:5" x14ac:dyDescent="0.25">
      <c r="A238">
        <v>939</v>
      </c>
      <c r="B238" t="s">
        <v>6056</v>
      </c>
      <c r="C238">
        <v>22610094</v>
      </c>
      <c r="E238" t="s">
        <v>5802</v>
      </c>
    </row>
    <row r="239" spans="1:5" x14ac:dyDescent="0.25">
      <c r="A239">
        <v>941</v>
      </c>
      <c r="B239" t="s">
        <v>6057</v>
      </c>
      <c r="C239">
        <v>23239883</v>
      </c>
      <c r="D239" t="s">
        <v>2520</v>
      </c>
      <c r="E239" t="s">
        <v>5802</v>
      </c>
    </row>
    <row r="240" spans="1:5" x14ac:dyDescent="0.25">
      <c r="A240">
        <v>955</v>
      </c>
      <c r="B240" t="s">
        <v>6058</v>
      </c>
      <c r="D240" t="s">
        <v>2548</v>
      </c>
      <c r="E240" t="s">
        <v>5804</v>
      </c>
    </row>
    <row r="241" spans="1:5" x14ac:dyDescent="0.25">
      <c r="A241">
        <v>957</v>
      </c>
      <c r="B241" t="s">
        <v>6059</v>
      </c>
      <c r="C241">
        <v>23344959</v>
      </c>
      <c r="D241" t="s">
        <v>2552</v>
      </c>
      <c r="E241" t="s">
        <v>5802</v>
      </c>
    </row>
    <row r="242" spans="1:5" x14ac:dyDescent="0.25">
      <c r="A242">
        <v>958</v>
      </c>
      <c r="B242" t="s">
        <v>6060</v>
      </c>
      <c r="D242" t="s">
        <v>2554</v>
      </c>
      <c r="E242" t="s">
        <v>5804</v>
      </c>
    </row>
    <row r="243" spans="1:5" x14ac:dyDescent="0.25">
      <c r="A243">
        <v>961</v>
      </c>
      <c r="B243" t="s">
        <v>6061</v>
      </c>
      <c r="C243">
        <v>23129765</v>
      </c>
      <c r="D243" t="s">
        <v>2560</v>
      </c>
      <c r="E243" t="s">
        <v>5802</v>
      </c>
    </row>
    <row r="244" spans="1:5" x14ac:dyDescent="0.25">
      <c r="A244">
        <v>967</v>
      </c>
      <c r="B244" t="s">
        <v>6062</v>
      </c>
      <c r="D244" t="s">
        <v>2571</v>
      </c>
      <c r="E244" t="s">
        <v>5804</v>
      </c>
    </row>
    <row r="245" spans="1:5" x14ac:dyDescent="0.25">
      <c r="A245">
        <v>969</v>
      </c>
      <c r="B245" t="s">
        <v>6063</v>
      </c>
      <c r="D245" t="s">
        <v>2575</v>
      </c>
      <c r="E245" t="s">
        <v>5804</v>
      </c>
    </row>
    <row r="246" spans="1:5" x14ac:dyDescent="0.25">
      <c r="A246">
        <v>972</v>
      </c>
      <c r="B246" t="s">
        <v>6064</v>
      </c>
      <c r="D246" t="s">
        <v>2581</v>
      </c>
      <c r="E246" t="s">
        <v>5804</v>
      </c>
    </row>
    <row r="247" spans="1:5" x14ac:dyDescent="0.25">
      <c r="A247">
        <v>974</v>
      </c>
      <c r="B247" t="s">
        <v>6065</v>
      </c>
      <c r="D247" t="s">
        <v>2585</v>
      </c>
      <c r="E247" t="s">
        <v>6066</v>
      </c>
    </row>
    <row r="248" spans="1:5" x14ac:dyDescent="0.25">
      <c r="A248">
        <v>976</v>
      </c>
      <c r="B248" t="s">
        <v>6067</v>
      </c>
      <c r="D248" t="s">
        <v>2589</v>
      </c>
      <c r="E248" t="s">
        <v>5804</v>
      </c>
    </row>
    <row r="249" spans="1:5" x14ac:dyDescent="0.25">
      <c r="A249">
        <v>977</v>
      </c>
      <c r="B249" t="s">
        <v>6068</v>
      </c>
      <c r="D249" t="s">
        <v>2591</v>
      </c>
      <c r="E249" t="s">
        <v>5804</v>
      </c>
    </row>
    <row r="250" spans="1:5" x14ac:dyDescent="0.25">
      <c r="A250">
        <v>981</v>
      </c>
      <c r="B250" t="s">
        <v>6069</v>
      </c>
      <c r="C250">
        <v>23569211</v>
      </c>
      <c r="D250" t="s">
        <v>2599</v>
      </c>
      <c r="E250" t="s">
        <v>5802</v>
      </c>
    </row>
    <row r="251" spans="1:5" x14ac:dyDescent="0.25">
      <c r="A251">
        <v>984</v>
      </c>
      <c r="B251" t="s">
        <v>6070</v>
      </c>
      <c r="D251" t="s">
        <v>2605</v>
      </c>
      <c r="E251" t="s">
        <v>5804</v>
      </c>
    </row>
    <row r="252" spans="1:5" x14ac:dyDescent="0.25">
      <c r="A252">
        <v>986</v>
      </c>
      <c r="B252" t="s">
        <v>6071</v>
      </c>
      <c r="D252" t="s">
        <v>2609</v>
      </c>
      <c r="E252" t="s">
        <v>5804</v>
      </c>
    </row>
    <row r="253" spans="1:5" x14ac:dyDescent="0.25">
      <c r="A253">
        <v>987</v>
      </c>
      <c r="B253" t="s">
        <v>6072</v>
      </c>
      <c r="D253" t="s">
        <v>2611</v>
      </c>
      <c r="E253" t="s">
        <v>5804</v>
      </c>
    </row>
    <row r="254" spans="1:5" x14ac:dyDescent="0.25">
      <c r="A254">
        <v>989</v>
      </c>
      <c r="B254" t="s">
        <v>6073</v>
      </c>
      <c r="D254" t="s">
        <v>2615</v>
      </c>
      <c r="E254" t="s">
        <v>5804</v>
      </c>
    </row>
    <row r="255" spans="1:5" x14ac:dyDescent="0.25">
      <c r="A255">
        <v>991</v>
      </c>
      <c r="B255" t="s">
        <v>6074</v>
      </c>
      <c r="C255">
        <v>23264619</v>
      </c>
      <c r="D255" t="s">
        <v>2619</v>
      </c>
      <c r="E255" t="s">
        <v>5802</v>
      </c>
    </row>
    <row r="256" spans="1:5" x14ac:dyDescent="0.25">
      <c r="A256">
        <v>992</v>
      </c>
      <c r="B256" t="s">
        <v>6075</v>
      </c>
      <c r="C256">
        <v>23704797</v>
      </c>
      <c r="D256" t="s">
        <v>2621</v>
      </c>
      <c r="E256" t="s">
        <v>5802</v>
      </c>
    </row>
    <row r="257" spans="1:5" x14ac:dyDescent="0.25">
      <c r="A257">
        <v>995</v>
      </c>
      <c r="B257" t="s">
        <v>6076</v>
      </c>
      <c r="C257">
        <v>22566126</v>
      </c>
      <c r="D257" t="s">
        <v>2632</v>
      </c>
      <c r="E257" t="s">
        <v>5802</v>
      </c>
    </row>
    <row r="258" spans="1:5" x14ac:dyDescent="0.25">
      <c r="A258">
        <v>998</v>
      </c>
      <c r="B258" t="s">
        <v>6077</v>
      </c>
      <c r="D258" t="s">
        <v>2640</v>
      </c>
      <c r="E258" t="s">
        <v>5804</v>
      </c>
    </row>
    <row r="259" spans="1:5" x14ac:dyDescent="0.25">
      <c r="A259">
        <v>999</v>
      </c>
      <c r="B259" t="s">
        <v>6078</v>
      </c>
      <c r="D259" t="s">
        <v>2642</v>
      </c>
      <c r="E259" t="s">
        <v>5804</v>
      </c>
    </row>
    <row r="260" spans="1:5" x14ac:dyDescent="0.25">
      <c r="A260">
        <v>1000</v>
      </c>
      <c r="B260" t="s">
        <v>6079</v>
      </c>
      <c r="D260" t="s">
        <v>2644</v>
      </c>
      <c r="E260" t="s">
        <v>5804</v>
      </c>
    </row>
    <row r="261" spans="1:5" x14ac:dyDescent="0.25">
      <c r="A261">
        <v>1004</v>
      </c>
      <c r="B261" t="s">
        <v>6080</v>
      </c>
      <c r="E261" t="s">
        <v>6081</v>
      </c>
    </row>
    <row r="262" spans="1:5" x14ac:dyDescent="0.25">
      <c r="A262">
        <v>1005</v>
      </c>
      <c r="B262" t="s">
        <v>6082</v>
      </c>
      <c r="D262" t="s">
        <v>2653</v>
      </c>
      <c r="E262" t="s">
        <v>5804</v>
      </c>
    </row>
    <row r="263" spans="1:5" x14ac:dyDescent="0.25">
      <c r="A263">
        <v>1009</v>
      </c>
      <c r="B263" t="s">
        <v>6083</v>
      </c>
      <c r="D263" t="s">
        <v>2666</v>
      </c>
      <c r="E263" t="s">
        <v>5804</v>
      </c>
    </row>
    <row r="264" spans="1:5" x14ac:dyDescent="0.25">
      <c r="A264">
        <v>1013</v>
      </c>
      <c r="B264" t="s">
        <v>6084</v>
      </c>
      <c r="D264" t="s">
        <v>2676</v>
      </c>
      <c r="E264" t="s">
        <v>5804</v>
      </c>
    </row>
    <row r="265" spans="1:5" x14ac:dyDescent="0.25">
      <c r="A265">
        <v>1015</v>
      </c>
      <c r="B265" t="s">
        <v>6085</v>
      </c>
      <c r="D265" t="s">
        <v>2682</v>
      </c>
      <c r="E265" t="s">
        <v>5804</v>
      </c>
    </row>
    <row r="266" spans="1:5" x14ac:dyDescent="0.25">
      <c r="A266">
        <v>1016</v>
      </c>
      <c r="B266" t="s">
        <v>6086</v>
      </c>
      <c r="D266" t="s">
        <v>2684</v>
      </c>
      <c r="E266" t="s">
        <v>5804</v>
      </c>
    </row>
    <row r="267" spans="1:5" x14ac:dyDescent="0.25">
      <c r="A267">
        <v>1017</v>
      </c>
      <c r="B267" t="s">
        <v>6087</v>
      </c>
      <c r="C267">
        <v>23337727</v>
      </c>
      <c r="D267" t="s">
        <v>2686</v>
      </c>
      <c r="E267" t="s">
        <v>5802</v>
      </c>
    </row>
    <row r="268" spans="1:5" x14ac:dyDescent="0.25">
      <c r="A268">
        <v>1020</v>
      </c>
      <c r="B268" t="s">
        <v>6088</v>
      </c>
      <c r="C268">
        <v>23365120</v>
      </c>
      <c r="D268" t="s">
        <v>2692</v>
      </c>
      <c r="E268" t="s">
        <v>5802</v>
      </c>
    </row>
    <row r="269" spans="1:5" x14ac:dyDescent="0.25">
      <c r="A269">
        <v>1027</v>
      </c>
      <c r="B269" t="s">
        <v>6089</v>
      </c>
      <c r="C269">
        <v>23386329</v>
      </c>
      <c r="E269" t="s">
        <v>5802</v>
      </c>
    </row>
    <row r="270" spans="1:5" x14ac:dyDescent="0.25">
      <c r="A270">
        <v>1034</v>
      </c>
      <c r="B270" t="s">
        <v>6090</v>
      </c>
      <c r="D270" t="s">
        <v>2734</v>
      </c>
      <c r="E270" t="s">
        <v>5804</v>
      </c>
    </row>
    <row r="271" spans="1:5" x14ac:dyDescent="0.25">
      <c r="A271">
        <v>1035</v>
      </c>
      <c r="B271" t="s">
        <v>6091</v>
      </c>
      <c r="D271" t="s">
        <v>2738</v>
      </c>
      <c r="E271" t="s">
        <v>5804</v>
      </c>
    </row>
    <row r="272" spans="1:5" x14ac:dyDescent="0.25">
      <c r="A272">
        <v>1042</v>
      </c>
      <c r="B272" t="s">
        <v>6092</v>
      </c>
      <c r="C272">
        <v>23668184</v>
      </c>
      <c r="E272" t="s">
        <v>5802</v>
      </c>
    </row>
    <row r="273" spans="1:5" x14ac:dyDescent="0.25">
      <c r="A273">
        <v>1045</v>
      </c>
      <c r="B273" t="s">
        <v>6093</v>
      </c>
      <c r="C273">
        <v>23421830</v>
      </c>
      <c r="D273" t="s">
        <v>2767</v>
      </c>
      <c r="E273" t="s">
        <v>5802</v>
      </c>
    </row>
    <row r="274" spans="1:5" x14ac:dyDescent="0.25">
      <c r="A274">
        <v>1052</v>
      </c>
      <c r="B274" t="s">
        <v>6094</v>
      </c>
      <c r="C274">
        <v>23324467</v>
      </c>
      <c r="D274" t="s">
        <v>2786</v>
      </c>
      <c r="E274" t="s">
        <v>5802</v>
      </c>
    </row>
    <row r="275" spans="1:5" x14ac:dyDescent="0.25">
      <c r="A275">
        <v>1064</v>
      </c>
      <c r="B275" t="s">
        <v>6095</v>
      </c>
      <c r="C275">
        <v>23455506</v>
      </c>
      <c r="D275" t="s">
        <v>2820</v>
      </c>
      <c r="E275" t="s">
        <v>5802</v>
      </c>
    </row>
    <row r="276" spans="1:5" x14ac:dyDescent="0.25">
      <c r="A276">
        <v>1068</v>
      </c>
      <c r="B276" t="s">
        <v>5806</v>
      </c>
      <c r="E276" t="s">
        <v>5807</v>
      </c>
    </row>
    <row r="277" spans="1:5" x14ac:dyDescent="0.25">
      <c r="A277">
        <v>1088</v>
      </c>
      <c r="B277" t="s">
        <v>6080</v>
      </c>
      <c r="E277" t="s">
        <v>6081</v>
      </c>
    </row>
    <row r="278" spans="1:5" x14ac:dyDescent="0.25">
      <c r="A278">
        <v>1089</v>
      </c>
      <c r="B278" t="s">
        <v>6096</v>
      </c>
      <c r="C278">
        <v>23983183</v>
      </c>
      <c r="D278" t="s">
        <v>2877</v>
      </c>
      <c r="E278" t="s">
        <v>5802</v>
      </c>
    </row>
    <row r="279" spans="1:5" x14ac:dyDescent="0.25">
      <c r="A279">
        <v>1097</v>
      </c>
      <c r="B279" t="s">
        <v>6097</v>
      </c>
      <c r="C279">
        <v>23412844</v>
      </c>
      <c r="D279" t="s">
        <v>2892</v>
      </c>
      <c r="E279" t="s">
        <v>5802</v>
      </c>
    </row>
    <row r="280" spans="1:5" x14ac:dyDescent="0.25">
      <c r="A280">
        <v>1098</v>
      </c>
      <c r="B280" t="s">
        <v>6098</v>
      </c>
      <c r="D280" t="s">
        <v>2896</v>
      </c>
      <c r="E280" t="s">
        <v>5804</v>
      </c>
    </row>
    <row r="281" spans="1:5" x14ac:dyDescent="0.25">
      <c r="A281">
        <v>1100</v>
      </c>
      <c r="B281" t="s">
        <v>6099</v>
      </c>
      <c r="C281">
        <v>23318955</v>
      </c>
      <c r="D281" t="s">
        <v>2902</v>
      </c>
      <c r="E281" t="s">
        <v>5802</v>
      </c>
    </row>
    <row r="282" spans="1:5" x14ac:dyDescent="0.25">
      <c r="A282">
        <v>1104</v>
      </c>
      <c r="B282" t="s">
        <v>6100</v>
      </c>
      <c r="C282">
        <v>23132913</v>
      </c>
      <c r="D282" t="s">
        <v>2910</v>
      </c>
      <c r="E282" t="s">
        <v>5802</v>
      </c>
    </row>
    <row r="283" spans="1:5" x14ac:dyDescent="0.25">
      <c r="A283">
        <v>1106</v>
      </c>
      <c r="B283" t="s">
        <v>5920</v>
      </c>
      <c r="E283" t="s">
        <v>5921</v>
      </c>
    </row>
    <row r="284" spans="1:5" x14ac:dyDescent="0.25">
      <c r="A284">
        <v>1107</v>
      </c>
      <c r="B284" t="s">
        <v>6101</v>
      </c>
      <c r="C284">
        <v>23474851</v>
      </c>
      <c r="D284" t="s">
        <v>2919</v>
      </c>
      <c r="E284" t="s">
        <v>5802</v>
      </c>
    </row>
    <row r="285" spans="1:5" x14ac:dyDescent="0.25">
      <c r="A285">
        <v>1132</v>
      </c>
      <c r="B285" t="s">
        <v>6102</v>
      </c>
      <c r="C285">
        <v>23554485</v>
      </c>
      <c r="D285" t="s">
        <v>2978</v>
      </c>
      <c r="E285" t="s">
        <v>5802</v>
      </c>
    </row>
    <row r="286" spans="1:5" x14ac:dyDescent="0.25">
      <c r="A286">
        <v>1134</v>
      </c>
      <c r="B286" t="s">
        <v>6103</v>
      </c>
      <c r="C286">
        <v>23447590</v>
      </c>
      <c r="D286" t="s">
        <v>2983</v>
      </c>
      <c r="E286" t="s">
        <v>5802</v>
      </c>
    </row>
    <row r="287" spans="1:5" x14ac:dyDescent="0.25">
      <c r="A287">
        <v>1135</v>
      </c>
      <c r="B287" t="s">
        <v>6104</v>
      </c>
      <c r="D287" t="s">
        <v>2985</v>
      </c>
      <c r="E287" t="s">
        <v>5804</v>
      </c>
    </row>
    <row r="288" spans="1:5" x14ac:dyDescent="0.25">
      <c r="A288">
        <v>1147</v>
      </c>
      <c r="B288" t="s">
        <v>6105</v>
      </c>
      <c r="D288" t="s">
        <v>3007</v>
      </c>
      <c r="E288" t="s">
        <v>5804</v>
      </c>
    </row>
    <row r="289" spans="1:5" x14ac:dyDescent="0.25">
      <c r="A289">
        <v>1150</v>
      </c>
      <c r="B289" t="s">
        <v>5930</v>
      </c>
      <c r="E289" t="s">
        <v>5931</v>
      </c>
    </row>
    <row r="290" spans="1:5" x14ac:dyDescent="0.25">
      <c r="A290">
        <v>1151</v>
      </c>
      <c r="B290" t="s">
        <v>6106</v>
      </c>
      <c r="C290">
        <v>23476740</v>
      </c>
      <c r="E290" t="s">
        <v>5802</v>
      </c>
    </row>
    <row r="291" spans="1:5" x14ac:dyDescent="0.25">
      <c r="A291">
        <v>1155</v>
      </c>
      <c r="B291" t="s">
        <v>6107</v>
      </c>
      <c r="D291" t="s">
        <v>3031</v>
      </c>
      <c r="E291" t="s">
        <v>5804</v>
      </c>
    </row>
    <row r="292" spans="1:5" x14ac:dyDescent="0.25">
      <c r="A292">
        <v>1158</v>
      </c>
      <c r="B292" t="s">
        <v>6108</v>
      </c>
      <c r="D292" t="s">
        <v>3037</v>
      </c>
      <c r="E292" t="s">
        <v>5804</v>
      </c>
    </row>
    <row r="293" spans="1:5" x14ac:dyDescent="0.25">
      <c r="A293">
        <v>1159</v>
      </c>
      <c r="B293" t="s">
        <v>6109</v>
      </c>
      <c r="D293" t="s">
        <v>3039</v>
      </c>
      <c r="E293" t="s">
        <v>5804</v>
      </c>
    </row>
    <row r="294" spans="1:5" x14ac:dyDescent="0.25">
      <c r="A294">
        <v>1162</v>
      </c>
      <c r="B294" t="s">
        <v>6110</v>
      </c>
      <c r="D294" t="s">
        <v>3044</v>
      </c>
      <c r="E294" t="s">
        <v>5804</v>
      </c>
    </row>
    <row r="295" spans="1:5" x14ac:dyDescent="0.25">
      <c r="A295">
        <v>1168</v>
      </c>
      <c r="B295" t="s">
        <v>6111</v>
      </c>
      <c r="C295">
        <v>26988110</v>
      </c>
      <c r="E295" t="s">
        <v>5802</v>
      </c>
    </row>
    <row r="296" spans="1:5" x14ac:dyDescent="0.25">
      <c r="A296">
        <v>1169</v>
      </c>
      <c r="B296" t="s">
        <v>6112</v>
      </c>
      <c r="C296">
        <v>23620542</v>
      </c>
      <c r="E296" t="s">
        <v>5802</v>
      </c>
    </row>
    <row r="297" spans="1:5" x14ac:dyDescent="0.25">
      <c r="A297">
        <v>1170</v>
      </c>
      <c r="B297" t="s">
        <v>6113</v>
      </c>
      <c r="D297" t="s">
        <v>3065</v>
      </c>
      <c r="E297" t="s">
        <v>5804</v>
      </c>
    </row>
    <row r="298" spans="1:5" x14ac:dyDescent="0.25">
      <c r="A298">
        <v>1171</v>
      </c>
      <c r="B298" t="s">
        <v>6114</v>
      </c>
      <c r="D298" t="s">
        <v>3068</v>
      </c>
      <c r="E298" t="s">
        <v>5804</v>
      </c>
    </row>
    <row r="299" spans="1:5" x14ac:dyDescent="0.25">
      <c r="A299">
        <v>1179</v>
      </c>
      <c r="B299" t="s">
        <v>6115</v>
      </c>
      <c r="D299" t="s">
        <v>3088</v>
      </c>
      <c r="E299" t="s">
        <v>5804</v>
      </c>
    </row>
    <row r="300" spans="1:5" x14ac:dyDescent="0.25">
      <c r="A300">
        <v>1183</v>
      </c>
      <c r="B300" t="s">
        <v>6116</v>
      </c>
      <c r="C300">
        <v>23400772</v>
      </c>
      <c r="D300" t="s">
        <v>3102</v>
      </c>
      <c r="E300" t="s">
        <v>5802</v>
      </c>
    </row>
    <row r="301" spans="1:5" x14ac:dyDescent="0.25">
      <c r="A301">
        <v>1184</v>
      </c>
      <c r="B301" t="s">
        <v>6117</v>
      </c>
      <c r="D301" t="s">
        <v>3106</v>
      </c>
      <c r="E301" t="s">
        <v>5804</v>
      </c>
    </row>
    <row r="302" spans="1:5" x14ac:dyDescent="0.25">
      <c r="A302">
        <v>1193</v>
      </c>
      <c r="B302" t="s">
        <v>6118</v>
      </c>
      <c r="D302" t="s">
        <v>3132</v>
      </c>
      <c r="E302" t="s">
        <v>5804</v>
      </c>
    </row>
    <row r="303" spans="1:5" x14ac:dyDescent="0.25">
      <c r="A303">
        <v>1197</v>
      </c>
      <c r="B303" t="s">
        <v>6119</v>
      </c>
      <c r="D303" t="s">
        <v>3145</v>
      </c>
      <c r="E303" t="s">
        <v>5804</v>
      </c>
    </row>
    <row r="304" spans="1:5" x14ac:dyDescent="0.25">
      <c r="A304">
        <v>1199</v>
      </c>
      <c r="B304" t="s">
        <v>6120</v>
      </c>
      <c r="E304" t="s">
        <v>6121</v>
      </c>
    </row>
    <row r="305" spans="1:5" x14ac:dyDescent="0.25">
      <c r="A305">
        <v>1201</v>
      </c>
      <c r="B305" t="s">
        <v>6122</v>
      </c>
      <c r="C305">
        <v>23782536</v>
      </c>
      <c r="E305" t="s">
        <v>5802</v>
      </c>
    </row>
    <row r="306" spans="1:5" x14ac:dyDescent="0.25">
      <c r="A306">
        <v>1206</v>
      </c>
      <c r="B306" t="s">
        <v>5830</v>
      </c>
      <c r="E306" t="s">
        <v>5831</v>
      </c>
    </row>
    <row r="307" spans="1:5" x14ac:dyDescent="0.25">
      <c r="A307">
        <v>1207</v>
      </c>
      <c r="B307" t="s">
        <v>5830</v>
      </c>
      <c r="E307" t="s">
        <v>5831</v>
      </c>
    </row>
    <row r="308" spans="1:5" x14ac:dyDescent="0.25">
      <c r="A308">
        <v>1208</v>
      </c>
      <c r="B308" t="s">
        <v>6123</v>
      </c>
      <c r="C308">
        <v>23785211</v>
      </c>
      <c r="D308" t="s">
        <v>3170</v>
      </c>
      <c r="E308" t="s">
        <v>5802</v>
      </c>
    </row>
    <row r="309" spans="1:5" x14ac:dyDescent="0.25">
      <c r="A309">
        <v>1213</v>
      </c>
      <c r="B309" t="s">
        <v>6124</v>
      </c>
      <c r="C309">
        <v>22875964</v>
      </c>
      <c r="D309" t="s">
        <v>3183</v>
      </c>
      <c r="E309" t="s">
        <v>5802</v>
      </c>
    </row>
    <row r="310" spans="1:5" x14ac:dyDescent="0.25">
      <c r="A310">
        <v>1220</v>
      </c>
      <c r="B310" t="s">
        <v>6125</v>
      </c>
      <c r="C310">
        <v>23567253</v>
      </c>
      <c r="D310" t="s">
        <v>3199</v>
      </c>
      <c r="E310" t="s">
        <v>5802</v>
      </c>
    </row>
    <row r="311" spans="1:5" x14ac:dyDescent="0.25">
      <c r="A311">
        <v>1225</v>
      </c>
      <c r="B311" t="s">
        <v>6126</v>
      </c>
      <c r="E311" t="s">
        <v>6127</v>
      </c>
    </row>
    <row r="312" spans="1:5" x14ac:dyDescent="0.25">
      <c r="A312">
        <v>1230</v>
      </c>
      <c r="B312" t="s">
        <v>6128</v>
      </c>
      <c r="D312" t="s">
        <v>3220</v>
      </c>
      <c r="E312" t="s">
        <v>5804</v>
      </c>
    </row>
    <row r="313" spans="1:5" x14ac:dyDescent="0.25">
      <c r="A313">
        <v>1232</v>
      </c>
      <c r="B313" t="s">
        <v>6129</v>
      </c>
      <c r="D313" t="s">
        <v>3225</v>
      </c>
      <c r="E313" t="s">
        <v>5804</v>
      </c>
    </row>
    <row r="314" spans="1:5" x14ac:dyDescent="0.25">
      <c r="A314">
        <v>1234</v>
      </c>
      <c r="B314" t="s">
        <v>6130</v>
      </c>
      <c r="D314" t="s">
        <v>3233</v>
      </c>
      <c r="E314" t="s">
        <v>5804</v>
      </c>
    </row>
    <row r="315" spans="1:5" x14ac:dyDescent="0.25">
      <c r="A315">
        <v>1240</v>
      </c>
      <c r="B315" t="s">
        <v>5895</v>
      </c>
      <c r="E315" t="s">
        <v>5896</v>
      </c>
    </row>
    <row r="316" spans="1:5" x14ac:dyDescent="0.25">
      <c r="A316">
        <v>1249</v>
      </c>
      <c r="B316" t="s">
        <v>6131</v>
      </c>
      <c r="D316" t="s">
        <v>3273</v>
      </c>
      <c r="E316" t="s">
        <v>5804</v>
      </c>
    </row>
    <row r="317" spans="1:5" x14ac:dyDescent="0.25">
      <c r="A317">
        <v>1250</v>
      </c>
      <c r="B317" t="s">
        <v>6132</v>
      </c>
      <c r="D317" t="s">
        <v>3275</v>
      </c>
      <c r="E317" t="s">
        <v>5804</v>
      </c>
    </row>
    <row r="318" spans="1:5" x14ac:dyDescent="0.25">
      <c r="A318">
        <v>1252</v>
      </c>
      <c r="B318" t="s">
        <v>6133</v>
      </c>
      <c r="C318">
        <v>22716184</v>
      </c>
      <c r="D318" t="s">
        <v>3281</v>
      </c>
      <c r="E318" t="s">
        <v>5802</v>
      </c>
    </row>
    <row r="319" spans="1:5" x14ac:dyDescent="0.25">
      <c r="A319">
        <v>1253</v>
      </c>
      <c r="B319" t="s">
        <v>6134</v>
      </c>
      <c r="C319">
        <v>23819872</v>
      </c>
      <c r="E319" t="s">
        <v>5802</v>
      </c>
    </row>
    <row r="320" spans="1:5" x14ac:dyDescent="0.25">
      <c r="A320">
        <v>1254</v>
      </c>
      <c r="B320" t="s">
        <v>6135</v>
      </c>
      <c r="D320" t="s">
        <v>3287</v>
      </c>
      <c r="E320" t="s">
        <v>5804</v>
      </c>
    </row>
    <row r="321" spans="1:5" x14ac:dyDescent="0.25">
      <c r="A321">
        <v>1264</v>
      </c>
      <c r="B321" t="s">
        <v>5806</v>
      </c>
      <c r="E321" t="s">
        <v>5807</v>
      </c>
    </row>
    <row r="322" spans="1:5" x14ac:dyDescent="0.25">
      <c r="A322">
        <v>1269</v>
      </c>
      <c r="B322" t="s">
        <v>6136</v>
      </c>
      <c r="D322" t="s">
        <v>3325</v>
      </c>
      <c r="E322" t="s">
        <v>5804</v>
      </c>
    </row>
    <row r="323" spans="1:5" x14ac:dyDescent="0.25">
      <c r="A323">
        <v>1280</v>
      </c>
      <c r="B323" t="s">
        <v>6137</v>
      </c>
      <c r="C323">
        <v>22906508</v>
      </c>
      <c r="E323" t="s">
        <v>5802</v>
      </c>
    </row>
    <row r="324" spans="1:5" x14ac:dyDescent="0.25">
      <c r="A324">
        <v>1281</v>
      </c>
      <c r="B324" t="s">
        <v>6138</v>
      </c>
      <c r="C324">
        <v>22735079</v>
      </c>
      <c r="E324" t="s">
        <v>5802</v>
      </c>
    </row>
    <row r="325" spans="1:5" x14ac:dyDescent="0.25">
      <c r="A325">
        <v>1282</v>
      </c>
      <c r="B325" t="s">
        <v>6139</v>
      </c>
      <c r="C325">
        <v>23057412</v>
      </c>
      <c r="D325" t="s">
        <v>3362</v>
      </c>
      <c r="E325" t="s">
        <v>5802</v>
      </c>
    </row>
    <row r="326" spans="1:5" x14ac:dyDescent="0.25">
      <c r="A326">
        <v>1295</v>
      </c>
      <c r="B326" t="s">
        <v>6138</v>
      </c>
      <c r="C326">
        <v>22735079</v>
      </c>
      <c r="E326" t="s">
        <v>5802</v>
      </c>
    </row>
    <row r="327" spans="1:5" x14ac:dyDescent="0.25">
      <c r="A327">
        <v>1298</v>
      </c>
      <c r="B327" t="s">
        <v>6140</v>
      </c>
      <c r="D327" t="s">
        <v>3404</v>
      </c>
      <c r="E327" t="s">
        <v>5804</v>
      </c>
    </row>
    <row r="328" spans="1:5" x14ac:dyDescent="0.25">
      <c r="A328">
        <v>1299</v>
      </c>
      <c r="B328" t="s">
        <v>6141</v>
      </c>
      <c r="C328">
        <v>23769672</v>
      </c>
      <c r="E328" t="s">
        <v>5802</v>
      </c>
    </row>
    <row r="329" spans="1:5" x14ac:dyDescent="0.25">
      <c r="A329">
        <v>1304</v>
      </c>
      <c r="B329" t="s">
        <v>6142</v>
      </c>
      <c r="D329" t="s">
        <v>3416</v>
      </c>
      <c r="E329" t="s">
        <v>5804</v>
      </c>
    </row>
    <row r="330" spans="1:5" x14ac:dyDescent="0.25">
      <c r="A330">
        <v>1305</v>
      </c>
      <c r="B330" t="s">
        <v>6143</v>
      </c>
      <c r="C330">
        <v>23686113</v>
      </c>
      <c r="E330" t="s">
        <v>5802</v>
      </c>
    </row>
    <row r="331" spans="1:5" x14ac:dyDescent="0.25">
      <c r="A331">
        <v>1311</v>
      </c>
      <c r="B331" t="s">
        <v>6144</v>
      </c>
      <c r="C331">
        <v>23256604</v>
      </c>
      <c r="D331" t="s">
        <v>3434</v>
      </c>
      <c r="E331" t="s">
        <v>5802</v>
      </c>
    </row>
    <row r="332" spans="1:5" x14ac:dyDescent="0.25">
      <c r="A332">
        <v>1312</v>
      </c>
      <c r="B332" t="s">
        <v>6145</v>
      </c>
      <c r="C332">
        <v>23710762</v>
      </c>
      <c r="E332" t="s">
        <v>5802</v>
      </c>
    </row>
    <row r="333" spans="1:5" x14ac:dyDescent="0.25">
      <c r="A333">
        <v>1319</v>
      </c>
      <c r="B333" t="s">
        <v>6146</v>
      </c>
      <c r="D333" t="s">
        <v>3447</v>
      </c>
      <c r="E333" t="s">
        <v>5804</v>
      </c>
    </row>
    <row r="334" spans="1:5" x14ac:dyDescent="0.25">
      <c r="A334">
        <v>1320</v>
      </c>
      <c r="B334" t="s">
        <v>6147</v>
      </c>
      <c r="D334" t="s">
        <v>3449</v>
      </c>
      <c r="E334" t="s">
        <v>5804</v>
      </c>
    </row>
    <row r="335" spans="1:5" x14ac:dyDescent="0.25">
      <c r="A335">
        <v>1336</v>
      </c>
      <c r="B335" t="s">
        <v>6148</v>
      </c>
      <c r="E335" t="s">
        <v>6149</v>
      </c>
    </row>
    <row r="336" spans="1:5" x14ac:dyDescent="0.25">
      <c r="A336">
        <v>1344</v>
      </c>
      <c r="B336" t="s">
        <v>6150</v>
      </c>
      <c r="C336">
        <v>23154792</v>
      </c>
      <c r="E336" t="s">
        <v>5802</v>
      </c>
    </row>
    <row r="337" spans="1:5" x14ac:dyDescent="0.25">
      <c r="A337">
        <v>1345</v>
      </c>
      <c r="B337" t="s">
        <v>6151</v>
      </c>
      <c r="C337">
        <v>23220929</v>
      </c>
      <c r="E337" t="s">
        <v>5802</v>
      </c>
    </row>
    <row r="338" spans="1:5" x14ac:dyDescent="0.25">
      <c r="A338">
        <v>1347</v>
      </c>
      <c r="B338" t="s">
        <v>6152</v>
      </c>
      <c r="C338">
        <v>23184970</v>
      </c>
      <c r="D338" t="s">
        <v>3513</v>
      </c>
      <c r="E338" t="s">
        <v>5802</v>
      </c>
    </row>
    <row r="339" spans="1:5" x14ac:dyDescent="0.25">
      <c r="A339">
        <v>1354</v>
      </c>
      <c r="B339" t="s">
        <v>5872</v>
      </c>
      <c r="E339" t="s">
        <v>5873</v>
      </c>
    </row>
    <row r="340" spans="1:5" x14ac:dyDescent="0.25">
      <c r="A340">
        <v>1356</v>
      </c>
      <c r="B340" t="s">
        <v>6153</v>
      </c>
      <c r="C340">
        <v>24108241</v>
      </c>
      <c r="E340" t="s">
        <v>5802</v>
      </c>
    </row>
    <row r="341" spans="1:5" x14ac:dyDescent="0.25">
      <c r="A341">
        <v>1374</v>
      </c>
      <c r="B341" t="s">
        <v>6154</v>
      </c>
      <c r="C341">
        <v>23434854</v>
      </c>
      <c r="D341" t="s">
        <v>3576</v>
      </c>
      <c r="E341" t="s">
        <v>5802</v>
      </c>
    </row>
    <row r="342" spans="1:5" x14ac:dyDescent="0.25">
      <c r="A342">
        <v>1387</v>
      </c>
      <c r="B342" t="s">
        <v>6155</v>
      </c>
      <c r="E342" t="s">
        <v>6156</v>
      </c>
    </row>
    <row r="343" spans="1:5" x14ac:dyDescent="0.25">
      <c r="A343">
        <v>1390</v>
      </c>
      <c r="B343" t="s">
        <v>6157</v>
      </c>
      <c r="C343">
        <v>23672768</v>
      </c>
      <c r="E343" t="s">
        <v>5802</v>
      </c>
    </row>
    <row r="344" spans="1:5" x14ac:dyDescent="0.25">
      <c r="A344">
        <v>1391</v>
      </c>
      <c r="B344" t="s">
        <v>6158</v>
      </c>
      <c r="C344">
        <v>23046981</v>
      </c>
      <c r="E344" t="s">
        <v>5802</v>
      </c>
    </row>
    <row r="345" spans="1:5" x14ac:dyDescent="0.25">
      <c r="A345">
        <v>1406</v>
      </c>
      <c r="B345" t="s">
        <v>6159</v>
      </c>
      <c r="E345" t="s">
        <v>6160</v>
      </c>
    </row>
    <row r="346" spans="1:5" x14ac:dyDescent="0.25">
      <c r="A346">
        <v>1408</v>
      </c>
      <c r="B346" t="s">
        <v>6161</v>
      </c>
      <c r="C346">
        <v>23194819</v>
      </c>
      <c r="D346" t="s">
        <v>3654</v>
      </c>
      <c r="E346" t="s">
        <v>5802</v>
      </c>
    </row>
    <row r="347" spans="1:5" x14ac:dyDescent="0.25">
      <c r="A347">
        <v>1425</v>
      </c>
      <c r="B347" t="s">
        <v>6162</v>
      </c>
      <c r="C347">
        <v>23845426</v>
      </c>
      <c r="E347" t="s">
        <v>5802</v>
      </c>
    </row>
    <row r="348" spans="1:5" x14ac:dyDescent="0.25">
      <c r="A348">
        <v>1426</v>
      </c>
      <c r="B348" t="s">
        <v>6163</v>
      </c>
      <c r="C348">
        <v>23085109</v>
      </c>
      <c r="D348" t="s">
        <v>3688</v>
      </c>
      <c r="E348" t="s">
        <v>5802</v>
      </c>
    </row>
    <row r="349" spans="1:5" x14ac:dyDescent="0.25">
      <c r="A349">
        <v>1436</v>
      </c>
      <c r="B349" t="s">
        <v>6164</v>
      </c>
      <c r="D349" t="s">
        <v>3712</v>
      </c>
      <c r="E349" t="s">
        <v>5804</v>
      </c>
    </row>
    <row r="350" spans="1:5" x14ac:dyDescent="0.25">
      <c r="A350">
        <v>1447</v>
      </c>
      <c r="B350" t="s">
        <v>5872</v>
      </c>
      <c r="E350" t="s">
        <v>5873</v>
      </c>
    </row>
    <row r="351" spans="1:5" x14ac:dyDescent="0.25">
      <c r="A351">
        <v>1451</v>
      </c>
      <c r="B351" t="s">
        <v>6165</v>
      </c>
      <c r="C351">
        <v>23178227</v>
      </c>
      <c r="D351" t="s">
        <v>3746</v>
      </c>
      <c r="E351" t="s">
        <v>5802</v>
      </c>
    </row>
    <row r="352" spans="1:5" x14ac:dyDescent="0.25">
      <c r="A352">
        <v>1453</v>
      </c>
      <c r="B352" t="s">
        <v>6166</v>
      </c>
      <c r="D352" t="s">
        <v>3751</v>
      </c>
      <c r="E352" t="s">
        <v>5804</v>
      </c>
    </row>
    <row r="353" spans="1:5" x14ac:dyDescent="0.25">
      <c r="A353">
        <v>1454</v>
      </c>
      <c r="B353" t="s">
        <v>6167</v>
      </c>
      <c r="D353" t="s">
        <v>3753</v>
      </c>
      <c r="E353" t="s">
        <v>5804</v>
      </c>
    </row>
    <row r="354" spans="1:5" x14ac:dyDescent="0.25">
      <c r="A354">
        <v>1465</v>
      </c>
      <c r="B354" t="s">
        <v>6168</v>
      </c>
      <c r="D354" t="s">
        <v>3779</v>
      </c>
      <c r="E354" t="s">
        <v>5804</v>
      </c>
    </row>
    <row r="355" spans="1:5" x14ac:dyDescent="0.25">
      <c r="A355">
        <v>1470</v>
      </c>
      <c r="B355" t="s">
        <v>6169</v>
      </c>
      <c r="D355" t="s">
        <v>3796</v>
      </c>
      <c r="E355" t="s">
        <v>5804</v>
      </c>
    </row>
    <row r="356" spans="1:5" x14ac:dyDescent="0.25">
      <c r="A356">
        <v>1471</v>
      </c>
      <c r="B356" t="s">
        <v>6170</v>
      </c>
      <c r="D356" t="s">
        <v>3798</v>
      </c>
      <c r="E356" t="s">
        <v>5804</v>
      </c>
    </row>
    <row r="357" spans="1:5" x14ac:dyDescent="0.25">
      <c r="A357">
        <v>1472</v>
      </c>
      <c r="B357" t="s">
        <v>6171</v>
      </c>
      <c r="D357" t="s">
        <v>3800</v>
      </c>
      <c r="E357" t="s">
        <v>5804</v>
      </c>
    </row>
    <row r="358" spans="1:5" x14ac:dyDescent="0.25">
      <c r="A358">
        <v>1473</v>
      </c>
      <c r="B358" t="s">
        <v>6172</v>
      </c>
      <c r="D358" t="s">
        <v>3802</v>
      </c>
      <c r="E358" t="s">
        <v>5804</v>
      </c>
    </row>
    <row r="359" spans="1:5" x14ac:dyDescent="0.25">
      <c r="A359">
        <v>1474</v>
      </c>
      <c r="B359" t="s">
        <v>6173</v>
      </c>
      <c r="D359" t="s">
        <v>3804</v>
      </c>
      <c r="E359" t="s">
        <v>5804</v>
      </c>
    </row>
    <row r="360" spans="1:5" x14ac:dyDescent="0.25">
      <c r="A360">
        <v>1475</v>
      </c>
      <c r="B360" t="s">
        <v>6174</v>
      </c>
      <c r="D360" t="s">
        <v>3806</v>
      </c>
      <c r="E360" t="s">
        <v>5804</v>
      </c>
    </row>
    <row r="361" spans="1:5" x14ac:dyDescent="0.25">
      <c r="A361">
        <v>1480</v>
      </c>
      <c r="B361" t="s">
        <v>6175</v>
      </c>
      <c r="C361">
        <v>23595147</v>
      </c>
      <c r="D361" t="s">
        <v>3815</v>
      </c>
      <c r="E361" t="s">
        <v>5802</v>
      </c>
    </row>
    <row r="362" spans="1:5" x14ac:dyDescent="0.25">
      <c r="A362">
        <v>1490</v>
      </c>
      <c r="B362" t="s">
        <v>6176</v>
      </c>
      <c r="D362" t="s">
        <v>3833</v>
      </c>
      <c r="E362" t="s">
        <v>5804</v>
      </c>
    </row>
    <row r="363" spans="1:5" x14ac:dyDescent="0.25">
      <c r="A363">
        <v>1510</v>
      </c>
      <c r="B363" t="s">
        <v>6177</v>
      </c>
      <c r="D363" t="s">
        <v>3886</v>
      </c>
      <c r="E363" t="s">
        <v>5804</v>
      </c>
    </row>
    <row r="364" spans="1:5" x14ac:dyDescent="0.25">
      <c r="A364">
        <v>1512</v>
      </c>
      <c r="B364" t="s">
        <v>6178</v>
      </c>
      <c r="D364" t="s">
        <v>3892</v>
      </c>
      <c r="E364" t="s">
        <v>5804</v>
      </c>
    </row>
    <row r="365" spans="1:5" x14ac:dyDescent="0.25">
      <c r="A365">
        <v>1514</v>
      </c>
      <c r="B365" t="s">
        <v>6179</v>
      </c>
      <c r="E365" t="s">
        <v>6180</v>
      </c>
    </row>
    <row r="366" spans="1:5" x14ac:dyDescent="0.25">
      <c r="A366">
        <v>1515</v>
      </c>
      <c r="B366" t="s">
        <v>6181</v>
      </c>
      <c r="C366">
        <v>23981980</v>
      </c>
      <c r="D366" t="s">
        <v>3903</v>
      </c>
      <c r="E366" t="s">
        <v>5802</v>
      </c>
    </row>
    <row r="367" spans="1:5" x14ac:dyDescent="0.25">
      <c r="A367">
        <v>1518</v>
      </c>
      <c r="B367" t="s">
        <v>6182</v>
      </c>
      <c r="C367">
        <v>23707280</v>
      </c>
      <c r="E367" t="s">
        <v>5802</v>
      </c>
    </row>
    <row r="368" spans="1:5" x14ac:dyDescent="0.25">
      <c r="A368">
        <v>1519</v>
      </c>
      <c r="B368" t="s">
        <v>6183</v>
      </c>
      <c r="E368" t="s">
        <v>6184</v>
      </c>
    </row>
    <row r="369" spans="1:5" x14ac:dyDescent="0.25">
      <c r="A369">
        <v>1520</v>
      </c>
      <c r="B369" t="s">
        <v>6185</v>
      </c>
      <c r="D369" t="s">
        <v>3916</v>
      </c>
      <c r="E369" t="s">
        <v>5804</v>
      </c>
    </row>
    <row r="370" spans="1:5" x14ac:dyDescent="0.25">
      <c r="A370">
        <v>1521</v>
      </c>
      <c r="B370" t="s">
        <v>6186</v>
      </c>
      <c r="D370" t="s">
        <v>3918</v>
      </c>
      <c r="E370" t="s">
        <v>5804</v>
      </c>
    </row>
    <row r="371" spans="1:5" x14ac:dyDescent="0.25">
      <c r="A371">
        <v>1522</v>
      </c>
      <c r="B371" t="s">
        <v>6187</v>
      </c>
      <c r="D371" t="s">
        <v>3922</v>
      </c>
      <c r="E371" t="s">
        <v>5804</v>
      </c>
    </row>
    <row r="372" spans="1:5" x14ac:dyDescent="0.25">
      <c r="A372">
        <v>1530</v>
      </c>
      <c r="B372" t="s">
        <v>6188</v>
      </c>
      <c r="C372">
        <v>23734876</v>
      </c>
      <c r="E372" t="s">
        <v>5802</v>
      </c>
    </row>
    <row r="373" spans="1:5" x14ac:dyDescent="0.25">
      <c r="A373">
        <v>1533</v>
      </c>
      <c r="B373" t="s">
        <v>6189</v>
      </c>
      <c r="C373">
        <v>23892176</v>
      </c>
      <c r="E373" t="s">
        <v>5802</v>
      </c>
    </row>
    <row r="374" spans="1:5" x14ac:dyDescent="0.25">
      <c r="A374">
        <v>1534</v>
      </c>
      <c r="B374" t="s">
        <v>6190</v>
      </c>
      <c r="D374" t="s">
        <v>3949</v>
      </c>
      <c r="E374" t="s">
        <v>5804</v>
      </c>
    </row>
    <row r="375" spans="1:5" x14ac:dyDescent="0.25">
      <c r="A375">
        <v>1535</v>
      </c>
      <c r="B375" t="s">
        <v>6031</v>
      </c>
      <c r="E375" t="s">
        <v>6032</v>
      </c>
    </row>
    <row r="376" spans="1:5" x14ac:dyDescent="0.25">
      <c r="A376">
        <v>1546</v>
      </c>
      <c r="B376" t="s">
        <v>6191</v>
      </c>
      <c r="C376">
        <v>23239765</v>
      </c>
      <c r="E376" t="s">
        <v>5802</v>
      </c>
    </row>
    <row r="377" spans="1:5" x14ac:dyDescent="0.25">
      <c r="A377">
        <v>1547</v>
      </c>
      <c r="B377" t="s">
        <v>6192</v>
      </c>
      <c r="C377">
        <v>24147036</v>
      </c>
      <c r="E377" t="s">
        <v>5802</v>
      </c>
    </row>
    <row r="378" spans="1:5" x14ac:dyDescent="0.25">
      <c r="A378">
        <v>1548</v>
      </c>
      <c r="B378" t="s">
        <v>6193</v>
      </c>
      <c r="C378">
        <v>23844111</v>
      </c>
      <c r="E378" t="s">
        <v>5802</v>
      </c>
    </row>
    <row r="379" spans="1:5" x14ac:dyDescent="0.25">
      <c r="A379">
        <v>1549</v>
      </c>
      <c r="B379" t="s">
        <v>6194</v>
      </c>
      <c r="C379">
        <v>23527131</v>
      </c>
      <c r="E379" t="s">
        <v>5802</v>
      </c>
    </row>
    <row r="380" spans="1:5" x14ac:dyDescent="0.25">
      <c r="A380">
        <v>1559</v>
      </c>
      <c r="B380" t="s">
        <v>6195</v>
      </c>
      <c r="C380">
        <v>23049479</v>
      </c>
      <c r="E380" t="s">
        <v>5802</v>
      </c>
    </row>
    <row r="381" spans="1:5" x14ac:dyDescent="0.25">
      <c r="A381">
        <v>1571</v>
      </c>
      <c r="B381" t="s">
        <v>6196</v>
      </c>
      <c r="D381" t="s">
        <v>4030</v>
      </c>
      <c r="E381" t="s">
        <v>5804</v>
      </c>
    </row>
    <row r="382" spans="1:5" x14ac:dyDescent="0.25">
      <c r="A382">
        <v>1583</v>
      </c>
      <c r="B382" t="s">
        <v>6197</v>
      </c>
      <c r="C382">
        <v>23341772</v>
      </c>
      <c r="E382" t="s">
        <v>5802</v>
      </c>
    </row>
    <row r="383" spans="1:5" x14ac:dyDescent="0.25">
      <c r="A383">
        <v>1588</v>
      </c>
      <c r="B383" t="s">
        <v>6198</v>
      </c>
      <c r="C383">
        <v>23818873</v>
      </c>
      <c r="E383" t="s">
        <v>5802</v>
      </c>
    </row>
    <row r="384" spans="1:5" x14ac:dyDescent="0.25">
      <c r="A384">
        <v>1593</v>
      </c>
      <c r="B384" t="s">
        <v>6199</v>
      </c>
      <c r="C384">
        <v>24039607</v>
      </c>
      <c r="D384" t="s">
        <v>4071</v>
      </c>
      <c r="E384" t="s">
        <v>5802</v>
      </c>
    </row>
    <row r="385" spans="1:5" x14ac:dyDescent="0.25">
      <c r="A385">
        <v>1614</v>
      </c>
      <c r="B385" t="s">
        <v>6200</v>
      </c>
      <c r="C385">
        <v>23326615</v>
      </c>
      <c r="D385" t="s">
        <v>4117</v>
      </c>
      <c r="E385" t="s">
        <v>5802</v>
      </c>
    </row>
    <row r="386" spans="1:5" x14ac:dyDescent="0.25">
      <c r="A386">
        <v>1617</v>
      </c>
      <c r="B386" t="s">
        <v>6201</v>
      </c>
      <c r="D386" t="s">
        <v>4122</v>
      </c>
      <c r="E386" t="s">
        <v>5804</v>
      </c>
    </row>
    <row r="387" spans="1:5" x14ac:dyDescent="0.25">
      <c r="A387">
        <v>1619</v>
      </c>
      <c r="B387" t="s">
        <v>6202</v>
      </c>
      <c r="C387">
        <v>23166848</v>
      </c>
      <c r="E387" t="s">
        <v>5802</v>
      </c>
    </row>
    <row r="388" spans="1:5" x14ac:dyDescent="0.25">
      <c r="A388">
        <v>1625</v>
      </c>
      <c r="B388" t="s">
        <v>6203</v>
      </c>
      <c r="D388" t="s">
        <v>4139</v>
      </c>
      <c r="E388" t="s">
        <v>5804</v>
      </c>
    </row>
    <row r="389" spans="1:5" x14ac:dyDescent="0.25">
      <c r="A389">
        <v>1627</v>
      </c>
      <c r="B389" t="s">
        <v>6204</v>
      </c>
      <c r="D389" t="s">
        <v>4143</v>
      </c>
      <c r="E389" t="s">
        <v>5804</v>
      </c>
    </row>
    <row r="390" spans="1:5" x14ac:dyDescent="0.25">
      <c r="A390">
        <v>1628</v>
      </c>
      <c r="B390" t="s">
        <v>6205</v>
      </c>
      <c r="D390" t="s">
        <v>4145</v>
      </c>
      <c r="E390" t="s">
        <v>5804</v>
      </c>
    </row>
    <row r="391" spans="1:5" x14ac:dyDescent="0.25">
      <c r="A391">
        <v>1629</v>
      </c>
      <c r="B391" t="s">
        <v>6206</v>
      </c>
      <c r="D391" t="s">
        <v>4147</v>
      </c>
      <c r="E391" t="s">
        <v>5804</v>
      </c>
    </row>
    <row r="392" spans="1:5" x14ac:dyDescent="0.25">
      <c r="A392">
        <v>1630</v>
      </c>
      <c r="B392" t="s">
        <v>6207</v>
      </c>
      <c r="D392" t="s">
        <v>4149</v>
      </c>
      <c r="E392" t="s">
        <v>5804</v>
      </c>
    </row>
    <row r="393" spans="1:5" x14ac:dyDescent="0.25">
      <c r="A393">
        <v>1631</v>
      </c>
      <c r="B393" t="s">
        <v>6208</v>
      </c>
      <c r="D393" t="s">
        <v>4151</v>
      </c>
      <c r="E393" t="s">
        <v>5804</v>
      </c>
    </row>
    <row r="394" spans="1:5" x14ac:dyDescent="0.25">
      <c r="A394">
        <v>1632</v>
      </c>
      <c r="B394" t="s">
        <v>6209</v>
      </c>
      <c r="D394" t="s">
        <v>4153</v>
      </c>
      <c r="E394" t="s">
        <v>5804</v>
      </c>
    </row>
    <row r="395" spans="1:5" x14ac:dyDescent="0.25">
      <c r="A395">
        <v>1634</v>
      </c>
      <c r="B395" t="s">
        <v>6210</v>
      </c>
      <c r="D395" t="s">
        <v>4157</v>
      </c>
      <c r="E395" t="s">
        <v>5804</v>
      </c>
    </row>
    <row r="396" spans="1:5" x14ac:dyDescent="0.25">
      <c r="A396">
        <v>1635</v>
      </c>
      <c r="B396" t="s">
        <v>6211</v>
      </c>
      <c r="D396" t="s">
        <v>4159</v>
      </c>
      <c r="E396" t="s">
        <v>5804</v>
      </c>
    </row>
    <row r="397" spans="1:5" x14ac:dyDescent="0.25">
      <c r="A397">
        <v>1636</v>
      </c>
      <c r="B397" t="s">
        <v>6212</v>
      </c>
      <c r="D397" t="s">
        <v>4161</v>
      </c>
      <c r="E397" t="s">
        <v>5804</v>
      </c>
    </row>
    <row r="398" spans="1:5" x14ac:dyDescent="0.25">
      <c r="A398">
        <v>1637</v>
      </c>
      <c r="B398" t="s">
        <v>6213</v>
      </c>
      <c r="D398" t="s">
        <v>4163</v>
      </c>
      <c r="E398" t="s">
        <v>5804</v>
      </c>
    </row>
    <row r="399" spans="1:5" x14ac:dyDescent="0.25">
      <c r="A399">
        <v>1638</v>
      </c>
      <c r="B399" t="s">
        <v>6214</v>
      </c>
      <c r="D399" t="s">
        <v>4165</v>
      </c>
      <c r="E399" t="s">
        <v>5804</v>
      </c>
    </row>
    <row r="400" spans="1:5" x14ac:dyDescent="0.25">
      <c r="A400">
        <v>1642</v>
      </c>
      <c r="B400" t="s">
        <v>6215</v>
      </c>
      <c r="D400" t="s">
        <v>4173</v>
      </c>
      <c r="E400" t="s">
        <v>5804</v>
      </c>
    </row>
    <row r="401" spans="1:5" x14ac:dyDescent="0.25">
      <c r="A401">
        <v>1657</v>
      </c>
      <c r="B401" t="s">
        <v>6016</v>
      </c>
      <c r="E401" t="s">
        <v>6017</v>
      </c>
    </row>
    <row r="402" spans="1:5" x14ac:dyDescent="0.25">
      <c r="A402">
        <v>1658</v>
      </c>
      <c r="B402" t="s">
        <v>6216</v>
      </c>
      <c r="D402" t="s">
        <v>4202</v>
      </c>
      <c r="E402" t="s">
        <v>5804</v>
      </c>
    </row>
    <row r="403" spans="1:5" x14ac:dyDescent="0.25">
      <c r="A403">
        <v>1659</v>
      </c>
      <c r="B403" t="s">
        <v>6217</v>
      </c>
      <c r="D403" t="s">
        <v>4204</v>
      </c>
      <c r="E403" t="s">
        <v>5804</v>
      </c>
    </row>
    <row r="404" spans="1:5" x14ac:dyDescent="0.25">
      <c r="A404">
        <v>1660</v>
      </c>
      <c r="B404" t="s">
        <v>6218</v>
      </c>
      <c r="D404" t="s">
        <v>4206</v>
      </c>
      <c r="E404" t="s">
        <v>5804</v>
      </c>
    </row>
    <row r="405" spans="1:5" x14ac:dyDescent="0.25">
      <c r="A405">
        <v>1661</v>
      </c>
      <c r="B405" t="s">
        <v>6219</v>
      </c>
      <c r="D405" t="s">
        <v>4208</v>
      </c>
      <c r="E405" t="s">
        <v>5804</v>
      </c>
    </row>
    <row r="406" spans="1:5" x14ac:dyDescent="0.25">
      <c r="A406">
        <v>1662</v>
      </c>
      <c r="B406" t="s">
        <v>6220</v>
      </c>
      <c r="D406" t="s">
        <v>4210</v>
      </c>
      <c r="E406" t="s">
        <v>5804</v>
      </c>
    </row>
    <row r="407" spans="1:5" x14ac:dyDescent="0.25">
      <c r="A407">
        <v>1663</v>
      </c>
      <c r="B407" t="s">
        <v>6221</v>
      </c>
      <c r="D407" t="s">
        <v>4212</v>
      </c>
      <c r="E407" t="s">
        <v>5804</v>
      </c>
    </row>
    <row r="408" spans="1:5" x14ac:dyDescent="0.25">
      <c r="A408">
        <v>1664</v>
      </c>
      <c r="B408" t="s">
        <v>6222</v>
      </c>
      <c r="D408" t="s">
        <v>4214</v>
      </c>
      <c r="E408" t="s">
        <v>5804</v>
      </c>
    </row>
    <row r="409" spans="1:5" x14ac:dyDescent="0.25">
      <c r="A409">
        <v>1665</v>
      </c>
      <c r="B409" t="s">
        <v>6223</v>
      </c>
      <c r="D409" t="s">
        <v>4216</v>
      </c>
      <c r="E409" t="s">
        <v>5804</v>
      </c>
    </row>
    <row r="410" spans="1:5" x14ac:dyDescent="0.25">
      <c r="A410">
        <v>1666</v>
      </c>
      <c r="B410" t="s">
        <v>6224</v>
      </c>
      <c r="D410" t="s">
        <v>4218</v>
      </c>
      <c r="E410" t="s">
        <v>5804</v>
      </c>
    </row>
    <row r="411" spans="1:5" x14ac:dyDescent="0.25">
      <c r="A411">
        <v>1667</v>
      </c>
      <c r="B411" t="s">
        <v>6225</v>
      </c>
      <c r="D411" t="s">
        <v>4220</v>
      </c>
      <c r="E411" t="s">
        <v>5804</v>
      </c>
    </row>
    <row r="412" spans="1:5" x14ac:dyDescent="0.25">
      <c r="A412">
        <v>1668</v>
      </c>
      <c r="B412" t="s">
        <v>6226</v>
      </c>
      <c r="D412" t="s">
        <v>4222</v>
      </c>
      <c r="E412" t="s">
        <v>5804</v>
      </c>
    </row>
    <row r="413" spans="1:5" x14ac:dyDescent="0.25">
      <c r="A413">
        <v>1669</v>
      </c>
      <c r="B413" t="s">
        <v>6227</v>
      </c>
      <c r="D413" t="s">
        <v>4224</v>
      </c>
      <c r="E413" t="s">
        <v>5804</v>
      </c>
    </row>
    <row r="414" spans="1:5" x14ac:dyDescent="0.25">
      <c r="A414">
        <v>1670</v>
      </c>
      <c r="B414" t="s">
        <v>6228</v>
      </c>
      <c r="D414" t="s">
        <v>4226</v>
      </c>
      <c r="E414" t="s">
        <v>5804</v>
      </c>
    </row>
    <row r="415" spans="1:5" x14ac:dyDescent="0.25">
      <c r="A415">
        <v>1684</v>
      </c>
      <c r="B415" t="s">
        <v>6229</v>
      </c>
      <c r="C415">
        <v>20975956</v>
      </c>
      <c r="E415" t="s">
        <v>5802</v>
      </c>
    </row>
    <row r="416" spans="1:5" x14ac:dyDescent="0.25">
      <c r="A416">
        <v>1689</v>
      </c>
      <c r="B416" t="s">
        <v>6230</v>
      </c>
      <c r="C416">
        <v>24124519</v>
      </c>
      <c r="D416" t="s">
        <v>4261</v>
      </c>
      <c r="E416" t="s">
        <v>5802</v>
      </c>
    </row>
    <row r="417" spans="1:5" x14ac:dyDescent="0.25">
      <c r="A417">
        <v>1700</v>
      </c>
      <c r="B417" t="s">
        <v>6231</v>
      </c>
      <c r="D417" t="s">
        <v>4282</v>
      </c>
      <c r="E417" t="s">
        <v>5804</v>
      </c>
    </row>
    <row r="418" spans="1:5" x14ac:dyDescent="0.25">
      <c r="A418">
        <v>1703</v>
      </c>
      <c r="B418" t="s">
        <v>6183</v>
      </c>
      <c r="E418" t="s">
        <v>6184</v>
      </c>
    </row>
    <row r="419" spans="1:5" x14ac:dyDescent="0.25">
      <c r="A419">
        <v>1714</v>
      </c>
      <c r="B419" t="s">
        <v>6232</v>
      </c>
      <c r="C419">
        <v>23840536</v>
      </c>
      <c r="E419" t="s">
        <v>5802</v>
      </c>
    </row>
    <row r="420" spans="1:5" x14ac:dyDescent="0.25">
      <c r="A420">
        <v>1715</v>
      </c>
      <c r="B420" t="s">
        <v>6233</v>
      </c>
      <c r="D420" t="s">
        <v>4308</v>
      </c>
      <c r="E420" t="s">
        <v>5804</v>
      </c>
    </row>
    <row r="421" spans="1:5" x14ac:dyDescent="0.25">
      <c r="A421">
        <v>1716</v>
      </c>
      <c r="B421" t="s">
        <v>6234</v>
      </c>
      <c r="D421" t="s">
        <v>4310</v>
      </c>
      <c r="E421" t="s">
        <v>5804</v>
      </c>
    </row>
    <row r="422" spans="1:5" x14ac:dyDescent="0.25">
      <c r="A422">
        <v>1717</v>
      </c>
      <c r="B422" t="s">
        <v>6235</v>
      </c>
      <c r="E422" t="s">
        <v>6236</v>
      </c>
    </row>
    <row r="423" spans="1:5" x14ac:dyDescent="0.25">
      <c r="A423">
        <v>1722</v>
      </c>
      <c r="B423" t="s">
        <v>6237</v>
      </c>
      <c r="D423" t="s">
        <v>4321</v>
      </c>
      <c r="E423" t="s">
        <v>5804</v>
      </c>
    </row>
    <row r="424" spans="1:5" x14ac:dyDescent="0.25">
      <c r="A424">
        <v>1743</v>
      </c>
      <c r="B424" t="s">
        <v>6238</v>
      </c>
      <c r="C424">
        <v>23805259</v>
      </c>
      <c r="D424" t="s">
        <v>4363</v>
      </c>
      <c r="E424" t="s">
        <v>5802</v>
      </c>
    </row>
    <row r="425" spans="1:5" x14ac:dyDescent="0.25">
      <c r="A425">
        <v>1762</v>
      </c>
      <c r="B425" t="s">
        <v>6239</v>
      </c>
      <c r="C425">
        <v>23285115</v>
      </c>
      <c r="E425" t="s">
        <v>5802</v>
      </c>
    </row>
    <row r="426" spans="1:5" x14ac:dyDescent="0.25">
      <c r="A426">
        <v>1763</v>
      </c>
      <c r="B426" t="s">
        <v>6240</v>
      </c>
      <c r="C426">
        <v>23285297</v>
      </c>
      <c r="E426" t="s">
        <v>5802</v>
      </c>
    </row>
    <row r="427" spans="1:5" x14ac:dyDescent="0.25">
      <c r="A427">
        <v>1772</v>
      </c>
      <c r="B427" t="s">
        <v>6241</v>
      </c>
      <c r="C427">
        <v>23840430</v>
      </c>
      <c r="D427" t="s">
        <v>4418</v>
      </c>
      <c r="E427" t="s">
        <v>5802</v>
      </c>
    </row>
    <row r="428" spans="1:5" x14ac:dyDescent="0.25">
      <c r="A428">
        <v>1774</v>
      </c>
      <c r="B428" t="s">
        <v>6242</v>
      </c>
      <c r="C428">
        <v>23613963</v>
      </c>
      <c r="E428" t="s">
        <v>5802</v>
      </c>
    </row>
    <row r="429" spans="1:5" x14ac:dyDescent="0.25">
      <c r="A429">
        <v>1783</v>
      </c>
      <c r="B429" t="s">
        <v>6243</v>
      </c>
      <c r="C429">
        <v>23505454</v>
      </c>
      <c r="E429" t="s">
        <v>5802</v>
      </c>
    </row>
    <row r="430" spans="1:5" x14ac:dyDescent="0.25">
      <c r="A430">
        <v>1790</v>
      </c>
      <c r="B430" t="s">
        <v>6244</v>
      </c>
      <c r="D430" t="s">
        <v>4452</v>
      </c>
      <c r="E430" t="s">
        <v>5804</v>
      </c>
    </row>
    <row r="431" spans="1:5" x14ac:dyDescent="0.25">
      <c r="A431">
        <v>1799</v>
      </c>
      <c r="B431" t="s">
        <v>6245</v>
      </c>
      <c r="C431">
        <v>23922795</v>
      </c>
      <c r="E431" t="s">
        <v>5802</v>
      </c>
    </row>
    <row r="432" spans="1:5" x14ac:dyDescent="0.25">
      <c r="A432">
        <v>1801</v>
      </c>
      <c r="B432" t="s">
        <v>6246</v>
      </c>
      <c r="C432">
        <v>23451279</v>
      </c>
      <c r="E432" t="s">
        <v>5802</v>
      </c>
    </row>
    <row r="433" spans="1:5" x14ac:dyDescent="0.25">
      <c r="A433">
        <v>1802</v>
      </c>
      <c r="B433" t="s">
        <v>6247</v>
      </c>
      <c r="C433">
        <v>23805333</v>
      </c>
      <c r="E433" t="s">
        <v>5802</v>
      </c>
    </row>
    <row r="434" spans="1:5" x14ac:dyDescent="0.25">
      <c r="A434">
        <v>1804</v>
      </c>
      <c r="B434" t="s">
        <v>6248</v>
      </c>
      <c r="C434">
        <v>23967111</v>
      </c>
      <c r="E434" t="s">
        <v>5802</v>
      </c>
    </row>
    <row r="435" spans="1:5" x14ac:dyDescent="0.25">
      <c r="A435">
        <v>1806</v>
      </c>
      <c r="B435" t="s">
        <v>6249</v>
      </c>
      <c r="C435">
        <v>23991236</v>
      </c>
      <c r="E435" t="s">
        <v>5802</v>
      </c>
    </row>
    <row r="436" spans="1:5" x14ac:dyDescent="0.25">
      <c r="A436">
        <v>1807</v>
      </c>
      <c r="B436" t="s">
        <v>6250</v>
      </c>
      <c r="C436">
        <v>23853603</v>
      </c>
      <c r="E436" t="s">
        <v>5802</v>
      </c>
    </row>
    <row r="437" spans="1:5" x14ac:dyDescent="0.25">
      <c r="A437">
        <v>1810</v>
      </c>
      <c r="B437" t="s">
        <v>6251</v>
      </c>
      <c r="D437" t="s">
        <v>4486</v>
      </c>
      <c r="E437" t="s">
        <v>5804</v>
      </c>
    </row>
    <row r="438" spans="1:5" x14ac:dyDescent="0.25">
      <c r="A438">
        <v>1814</v>
      </c>
      <c r="B438" t="s">
        <v>6252</v>
      </c>
      <c r="C438">
        <v>23326235</v>
      </c>
      <c r="E438" t="s">
        <v>5802</v>
      </c>
    </row>
    <row r="439" spans="1:5" x14ac:dyDescent="0.25">
      <c r="A439">
        <v>1815</v>
      </c>
      <c r="B439" t="s">
        <v>6253</v>
      </c>
      <c r="C439">
        <v>21483485</v>
      </c>
      <c r="E439" t="s">
        <v>5802</v>
      </c>
    </row>
    <row r="440" spans="1:5" x14ac:dyDescent="0.25">
      <c r="A440">
        <v>1816</v>
      </c>
      <c r="B440" t="s">
        <v>6254</v>
      </c>
      <c r="C440">
        <v>22241985</v>
      </c>
      <c r="E440" t="s">
        <v>5802</v>
      </c>
    </row>
    <row r="441" spans="1:5" x14ac:dyDescent="0.25">
      <c r="A441">
        <v>1817</v>
      </c>
      <c r="B441" t="s">
        <v>6255</v>
      </c>
      <c r="C441">
        <v>23308065</v>
      </c>
      <c r="E441" t="s">
        <v>5802</v>
      </c>
    </row>
    <row r="442" spans="1:5" x14ac:dyDescent="0.25">
      <c r="A442">
        <v>1828</v>
      </c>
      <c r="B442" t="s">
        <v>6256</v>
      </c>
      <c r="C442">
        <v>24098129</v>
      </c>
      <c r="E442" t="s">
        <v>5802</v>
      </c>
    </row>
    <row r="443" spans="1:5" x14ac:dyDescent="0.25">
      <c r="A443">
        <v>1832</v>
      </c>
      <c r="B443" t="s">
        <v>6257</v>
      </c>
      <c r="C443">
        <v>23505371</v>
      </c>
      <c r="E443" t="s">
        <v>5802</v>
      </c>
    </row>
    <row r="444" spans="1:5" x14ac:dyDescent="0.25">
      <c r="A444">
        <v>1845</v>
      </c>
      <c r="B444" t="s">
        <v>6258</v>
      </c>
      <c r="D444" t="s">
        <v>4552</v>
      </c>
      <c r="E444" t="s">
        <v>5804</v>
      </c>
    </row>
    <row r="445" spans="1:5" x14ac:dyDescent="0.25">
      <c r="A445">
        <v>1850</v>
      </c>
      <c r="B445" t="s">
        <v>6259</v>
      </c>
      <c r="D445" t="s">
        <v>4564</v>
      </c>
      <c r="E445" t="s">
        <v>5804</v>
      </c>
    </row>
    <row r="446" spans="1:5" x14ac:dyDescent="0.25">
      <c r="A446">
        <v>1855</v>
      </c>
      <c r="B446" t="s">
        <v>6016</v>
      </c>
      <c r="E446" t="s">
        <v>6017</v>
      </c>
    </row>
    <row r="447" spans="1:5" x14ac:dyDescent="0.25">
      <c r="A447">
        <v>1856</v>
      </c>
      <c r="B447" t="s">
        <v>6260</v>
      </c>
      <c r="C447">
        <v>23924687</v>
      </c>
      <c r="D447" t="s">
        <v>4581</v>
      </c>
      <c r="E447" t="s">
        <v>5802</v>
      </c>
    </row>
    <row r="448" spans="1:5" x14ac:dyDescent="0.25">
      <c r="A448">
        <v>1868</v>
      </c>
      <c r="B448" t="s">
        <v>6261</v>
      </c>
      <c r="C448">
        <v>23282992</v>
      </c>
      <c r="E448" t="s">
        <v>5802</v>
      </c>
    </row>
    <row r="449" spans="1:5" x14ac:dyDescent="0.25">
      <c r="A449">
        <v>1870</v>
      </c>
      <c r="B449" t="s">
        <v>6262</v>
      </c>
      <c r="D449" t="s">
        <v>4617</v>
      </c>
      <c r="E449" t="s">
        <v>5804</v>
      </c>
    </row>
    <row r="450" spans="1:5" x14ac:dyDescent="0.25">
      <c r="A450">
        <v>1871</v>
      </c>
      <c r="B450" t="s">
        <v>6263</v>
      </c>
      <c r="D450" t="s">
        <v>4619</v>
      </c>
      <c r="E450" t="s">
        <v>5804</v>
      </c>
    </row>
    <row r="451" spans="1:5" x14ac:dyDescent="0.25">
      <c r="A451">
        <v>1878</v>
      </c>
      <c r="B451" t="s">
        <v>6264</v>
      </c>
      <c r="D451" t="s">
        <v>4633</v>
      </c>
      <c r="E451" t="s">
        <v>5804</v>
      </c>
    </row>
    <row r="452" spans="1:5" x14ac:dyDescent="0.25">
      <c r="A452">
        <v>1881</v>
      </c>
      <c r="B452" t="s">
        <v>6265</v>
      </c>
      <c r="D452" t="s">
        <v>4639</v>
      </c>
      <c r="E452" t="s">
        <v>5804</v>
      </c>
    </row>
    <row r="453" spans="1:5" x14ac:dyDescent="0.25">
      <c r="A453">
        <v>1882</v>
      </c>
      <c r="B453" t="s">
        <v>6266</v>
      </c>
      <c r="C453">
        <v>23213245</v>
      </c>
      <c r="D453" t="s">
        <v>4641</v>
      </c>
      <c r="E453" t="s">
        <v>5802</v>
      </c>
    </row>
    <row r="454" spans="1:5" x14ac:dyDescent="0.25">
      <c r="A454">
        <v>1885</v>
      </c>
      <c r="B454" t="s">
        <v>6267</v>
      </c>
      <c r="C454">
        <v>23650371</v>
      </c>
      <c r="E454" t="s">
        <v>5802</v>
      </c>
    </row>
    <row r="455" spans="1:5" x14ac:dyDescent="0.25">
      <c r="A455">
        <v>1886</v>
      </c>
      <c r="B455" t="s">
        <v>6268</v>
      </c>
      <c r="D455" t="s">
        <v>4648</v>
      </c>
      <c r="E455" t="s">
        <v>5804</v>
      </c>
    </row>
    <row r="456" spans="1:5" x14ac:dyDescent="0.25">
      <c r="A456">
        <v>1887</v>
      </c>
      <c r="B456" t="s">
        <v>6269</v>
      </c>
      <c r="C456">
        <v>23341602</v>
      </c>
      <c r="D456" t="s">
        <v>4650</v>
      </c>
      <c r="E456" t="s">
        <v>5802</v>
      </c>
    </row>
    <row r="457" spans="1:5" x14ac:dyDescent="0.25">
      <c r="A457">
        <v>1896</v>
      </c>
      <c r="B457" t="s">
        <v>6270</v>
      </c>
      <c r="D457" t="s">
        <v>4669</v>
      </c>
      <c r="E457" t="s">
        <v>5804</v>
      </c>
    </row>
    <row r="458" spans="1:5" x14ac:dyDescent="0.25">
      <c r="A458">
        <v>1913</v>
      </c>
      <c r="B458" t="s">
        <v>5916</v>
      </c>
      <c r="E458" t="s">
        <v>5917</v>
      </c>
    </row>
    <row r="459" spans="1:5" x14ac:dyDescent="0.25">
      <c r="A459">
        <v>1914</v>
      </c>
      <c r="B459" t="s">
        <v>6271</v>
      </c>
      <c r="E459" t="s">
        <v>6272</v>
      </c>
    </row>
    <row r="460" spans="1:5" x14ac:dyDescent="0.25">
      <c r="A460">
        <v>1929</v>
      </c>
      <c r="B460" t="s">
        <v>6273</v>
      </c>
      <c r="C460">
        <v>23166732</v>
      </c>
      <c r="E460" t="s">
        <v>5802</v>
      </c>
    </row>
    <row r="461" spans="1:5" x14ac:dyDescent="0.25">
      <c r="A461">
        <v>1931</v>
      </c>
      <c r="B461" t="s">
        <v>6274</v>
      </c>
      <c r="E461" t="s">
        <v>6275</v>
      </c>
    </row>
    <row r="462" spans="1:5" x14ac:dyDescent="0.25">
      <c r="A462">
        <v>1936</v>
      </c>
      <c r="B462" t="s">
        <v>5830</v>
      </c>
      <c r="E462" t="s">
        <v>5831</v>
      </c>
    </row>
    <row r="463" spans="1:5" x14ac:dyDescent="0.25">
      <c r="A463">
        <v>1937</v>
      </c>
      <c r="B463" t="s">
        <v>6276</v>
      </c>
      <c r="C463">
        <v>22777780</v>
      </c>
      <c r="D463" t="s">
        <v>4780</v>
      </c>
      <c r="E463" t="s">
        <v>5802</v>
      </c>
    </row>
    <row r="464" spans="1:5" x14ac:dyDescent="0.25">
      <c r="A464">
        <v>1946</v>
      </c>
      <c r="B464" t="s">
        <v>6277</v>
      </c>
      <c r="D464" t="s">
        <v>4811</v>
      </c>
      <c r="E464" t="s">
        <v>5804</v>
      </c>
    </row>
    <row r="465" spans="1:5" x14ac:dyDescent="0.25">
      <c r="A465">
        <v>1947</v>
      </c>
      <c r="B465" t="s">
        <v>6278</v>
      </c>
      <c r="D465" t="s">
        <v>4815</v>
      </c>
      <c r="E465" t="s">
        <v>5804</v>
      </c>
    </row>
    <row r="466" spans="1:5" x14ac:dyDescent="0.25">
      <c r="A466">
        <v>1952</v>
      </c>
      <c r="B466" t="s">
        <v>6279</v>
      </c>
      <c r="C466">
        <v>23422316</v>
      </c>
      <c r="D466" t="s">
        <v>4828</v>
      </c>
      <c r="E466" t="s">
        <v>5802</v>
      </c>
    </row>
    <row r="467" spans="1:5" x14ac:dyDescent="0.25">
      <c r="A467">
        <v>1959</v>
      </c>
      <c r="B467" t="s">
        <v>6280</v>
      </c>
      <c r="C467">
        <v>23230506</v>
      </c>
      <c r="D467" t="s">
        <v>4846</v>
      </c>
      <c r="E467" t="s">
        <v>5802</v>
      </c>
    </row>
    <row r="468" spans="1:5" x14ac:dyDescent="0.25">
      <c r="A468">
        <v>1960</v>
      </c>
      <c r="B468" t="s">
        <v>5952</v>
      </c>
      <c r="E468" t="s">
        <v>5953</v>
      </c>
    </row>
    <row r="469" spans="1:5" x14ac:dyDescent="0.25">
      <c r="A469">
        <v>1971</v>
      </c>
      <c r="B469" t="s">
        <v>6281</v>
      </c>
      <c r="C469">
        <v>23698510</v>
      </c>
      <c r="D469" t="s">
        <v>4880</v>
      </c>
      <c r="E469" t="s">
        <v>5802</v>
      </c>
    </row>
    <row r="470" spans="1:5" x14ac:dyDescent="0.25">
      <c r="A470">
        <v>1976</v>
      </c>
      <c r="B470" t="s">
        <v>6282</v>
      </c>
      <c r="E470" t="s">
        <v>6283</v>
      </c>
    </row>
    <row r="471" spans="1:5" x14ac:dyDescent="0.25">
      <c r="A471">
        <v>1977</v>
      </c>
      <c r="B471" t="s">
        <v>6284</v>
      </c>
      <c r="E471" t="s">
        <v>6285</v>
      </c>
    </row>
    <row r="472" spans="1:5" x14ac:dyDescent="0.25">
      <c r="A472">
        <v>1990</v>
      </c>
      <c r="B472" t="s">
        <v>6286</v>
      </c>
      <c r="D472" t="s">
        <v>4922</v>
      </c>
      <c r="E472" t="s">
        <v>5804</v>
      </c>
    </row>
    <row r="473" spans="1:5" x14ac:dyDescent="0.25">
      <c r="A473">
        <v>1998</v>
      </c>
      <c r="B473" t="s">
        <v>6287</v>
      </c>
      <c r="C473">
        <v>23356787</v>
      </c>
      <c r="D473" t="s">
        <v>4941</v>
      </c>
      <c r="E473" t="s">
        <v>5802</v>
      </c>
    </row>
    <row r="474" spans="1:5" x14ac:dyDescent="0.25">
      <c r="A474">
        <v>1999</v>
      </c>
      <c r="B474" t="s">
        <v>5830</v>
      </c>
      <c r="E474" t="s">
        <v>5831</v>
      </c>
    </row>
    <row r="475" spans="1:5" x14ac:dyDescent="0.25">
      <c r="A475">
        <v>2001</v>
      </c>
      <c r="B475" t="s">
        <v>6288</v>
      </c>
      <c r="C475">
        <v>22618994</v>
      </c>
      <c r="D475" t="s">
        <v>4950</v>
      </c>
      <c r="E475" t="s">
        <v>5802</v>
      </c>
    </row>
    <row r="476" spans="1:5" x14ac:dyDescent="0.25">
      <c r="A476">
        <v>2002</v>
      </c>
      <c r="B476" t="s">
        <v>6289</v>
      </c>
      <c r="C476">
        <v>22897899</v>
      </c>
      <c r="D476" t="s">
        <v>4953</v>
      </c>
      <c r="E476" t="s">
        <v>5804</v>
      </c>
    </row>
    <row r="477" spans="1:5" x14ac:dyDescent="0.25">
      <c r="A477">
        <v>2005</v>
      </c>
      <c r="B477" t="s">
        <v>6290</v>
      </c>
      <c r="D477" t="s">
        <v>4964</v>
      </c>
      <c r="E477" t="s">
        <v>5804</v>
      </c>
    </row>
    <row r="478" spans="1:5" x14ac:dyDescent="0.25">
      <c r="A478">
        <v>2006</v>
      </c>
      <c r="B478" t="s">
        <v>6291</v>
      </c>
      <c r="D478" t="s">
        <v>4967</v>
      </c>
      <c r="E478" t="s">
        <v>5804</v>
      </c>
    </row>
    <row r="479" spans="1:5" x14ac:dyDescent="0.25">
      <c r="A479">
        <v>2018</v>
      </c>
      <c r="B479" t="s">
        <v>6292</v>
      </c>
      <c r="D479" t="s">
        <v>4995</v>
      </c>
      <c r="E479" t="s">
        <v>5804</v>
      </c>
    </row>
    <row r="480" spans="1:5" x14ac:dyDescent="0.25">
      <c r="A480">
        <v>2019</v>
      </c>
      <c r="B480" t="s">
        <v>5952</v>
      </c>
      <c r="E480" t="s">
        <v>5953</v>
      </c>
    </row>
    <row r="481" spans="1:5" x14ac:dyDescent="0.25">
      <c r="A481">
        <v>2022</v>
      </c>
      <c r="B481" t="s">
        <v>6293</v>
      </c>
      <c r="C481">
        <v>23375655</v>
      </c>
      <c r="D481" t="s">
        <v>5008</v>
      </c>
      <c r="E481" t="s">
        <v>5802</v>
      </c>
    </row>
    <row r="482" spans="1:5" x14ac:dyDescent="0.25">
      <c r="A482">
        <v>2038</v>
      </c>
      <c r="B482" t="s">
        <v>6294</v>
      </c>
      <c r="C482">
        <v>23253866</v>
      </c>
      <c r="E482" t="s">
        <v>5802</v>
      </c>
    </row>
    <row r="483" spans="1:5" x14ac:dyDescent="0.25">
      <c r="A483">
        <v>2039</v>
      </c>
      <c r="B483" t="s">
        <v>5830</v>
      </c>
      <c r="E483" t="s">
        <v>5831</v>
      </c>
    </row>
    <row r="484" spans="1:5" x14ac:dyDescent="0.25">
      <c r="A484">
        <v>2048</v>
      </c>
      <c r="B484" t="s">
        <v>6295</v>
      </c>
      <c r="C484">
        <v>23698002</v>
      </c>
      <c r="D484" t="s">
        <v>5067</v>
      </c>
      <c r="E484" t="s">
        <v>5802</v>
      </c>
    </row>
    <row r="485" spans="1:5" x14ac:dyDescent="0.25">
      <c r="A485">
        <v>2053</v>
      </c>
      <c r="B485" t="s">
        <v>6296</v>
      </c>
      <c r="C485">
        <v>23576705</v>
      </c>
      <c r="D485" t="s">
        <v>5081</v>
      </c>
      <c r="E485" t="s">
        <v>5802</v>
      </c>
    </row>
    <row r="486" spans="1:5" x14ac:dyDescent="0.25">
      <c r="A486">
        <v>2054</v>
      </c>
      <c r="B486" t="s">
        <v>6297</v>
      </c>
      <c r="C486">
        <v>23804098</v>
      </c>
      <c r="D486" t="s">
        <v>5084</v>
      </c>
      <c r="E486" t="s">
        <v>5802</v>
      </c>
    </row>
    <row r="487" spans="1:5" x14ac:dyDescent="0.25">
      <c r="A487">
        <v>2055</v>
      </c>
      <c r="B487" t="s">
        <v>6298</v>
      </c>
      <c r="C487">
        <v>23825402</v>
      </c>
      <c r="D487" t="s">
        <v>104</v>
      </c>
      <c r="E487" t="s">
        <v>5802</v>
      </c>
    </row>
    <row r="488" spans="1:5" x14ac:dyDescent="0.25">
      <c r="A488">
        <v>2072</v>
      </c>
      <c r="B488" t="s">
        <v>6299</v>
      </c>
      <c r="C488">
        <v>22901061</v>
      </c>
      <c r="D488" t="s">
        <v>5130</v>
      </c>
      <c r="E488" t="s">
        <v>5802</v>
      </c>
    </row>
    <row r="489" spans="1:5" x14ac:dyDescent="0.25">
      <c r="A489">
        <v>2075</v>
      </c>
      <c r="B489" t="s">
        <v>6300</v>
      </c>
      <c r="D489" t="s">
        <v>5137</v>
      </c>
      <c r="E489" t="s">
        <v>5804</v>
      </c>
    </row>
    <row r="490" spans="1:5" x14ac:dyDescent="0.25">
      <c r="A490">
        <v>2081</v>
      </c>
      <c r="B490" t="s">
        <v>5863</v>
      </c>
      <c r="E490" t="s">
        <v>5864</v>
      </c>
    </row>
    <row r="491" spans="1:5" x14ac:dyDescent="0.25">
      <c r="A491">
        <v>2088</v>
      </c>
      <c r="B491" t="s">
        <v>5920</v>
      </c>
      <c r="E491" t="s">
        <v>5921</v>
      </c>
    </row>
    <row r="492" spans="1:5" x14ac:dyDescent="0.25">
      <c r="A492">
        <v>2098</v>
      </c>
      <c r="B492" t="s">
        <v>6301</v>
      </c>
      <c r="C492">
        <v>22364555</v>
      </c>
      <c r="E492" t="s">
        <v>5802</v>
      </c>
    </row>
    <row r="493" spans="1:5" x14ac:dyDescent="0.25">
      <c r="A493">
        <v>2115</v>
      </c>
      <c r="B493" t="s">
        <v>6302</v>
      </c>
      <c r="C493">
        <v>23117109</v>
      </c>
      <c r="E493" t="s">
        <v>5802</v>
      </c>
    </row>
    <row r="494" spans="1:5" x14ac:dyDescent="0.25">
      <c r="A494">
        <v>2122</v>
      </c>
      <c r="B494" t="s">
        <v>6303</v>
      </c>
      <c r="C494">
        <v>23562481</v>
      </c>
      <c r="E494" t="s">
        <v>5802</v>
      </c>
    </row>
    <row r="495" spans="1:5" x14ac:dyDescent="0.25">
      <c r="A495">
        <v>2124</v>
      </c>
      <c r="B495" t="s">
        <v>6304</v>
      </c>
      <c r="C495">
        <v>23201205</v>
      </c>
      <c r="E495" t="s">
        <v>5802</v>
      </c>
    </row>
    <row r="496" spans="1:5" x14ac:dyDescent="0.25">
      <c r="A496">
        <v>2125</v>
      </c>
      <c r="B496" t="s">
        <v>5863</v>
      </c>
      <c r="E496" t="s">
        <v>5864</v>
      </c>
    </row>
    <row r="497" spans="1:5" x14ac:dyDescent="0.25">
      <c r="A497">
        <v>2126</v>
      </c>
      <c r="B497" t="s">
        <v>6305</v>
      </c>
      <c r="C497">
        <v>23200744</v>
      </c>
      <c r="D497" t="s">
        <v>5266</v>
      </c>
      <c r="E497" t="s">
        <v>5802</v>
      </c>
    </row>
  </sheetData>
  <autoFilter ref="A1:E49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29"/>
  <sheetViews>
    <sheetView zoomScale="120" zoomScaleNormal="120" workbookViewId="0">
      <selection activeCell="O86" sqref="O86"/>
    </sheetView>
  </sheetViews>
  <sheetFormatPr defaultColWidth="9" defaultRowHeight="13.2" x14ac:dyDescent="0.25"/>
  <cols>
    <col min="1" max="1" width="29.69921875" style="13" customWidth="1"/>
    <col min="2" max="2" width="25.796875" style="14" customWidth="1"/>
    <col min="3" max="3" width="27.796875" style="14" customWidth="1"/>
    <col min="4" max="4" width="11.69921875" style="14" customWidth="1"/>
    <col min="5" max="5" width="54.69921875" style="14" customWidth="1"/>
    <col min="6" max="6" width="13.796875" style="15" customWidth="1"/>
    <col min="7" max="16384" width="9" style="14"/>
  </cols>
  <sheetData>
    <row r="1" spans="1:12" s="19" customFormat="1" ht="17.25" customHeight="1" x14ac:dyDescent="0.25">
      <c r="A1" s="16" t="s">
        <v>5290</v>
      </c>
      <c r="B1" s="16" t="s">
        <v>3</v>
      </c>
      <c r="C1" s="16" t="s">
        <v>4</v>
      </c>
      <c r="D1" s="17" t="s">
        <v>5</v>
      </c>
      <c r="E1" s="16" t="s">
        <v>6</v>
      </c>
      <c r="F1" s="18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</row>
    <row r="2" spans="1:12" ht="26.4" x14ac:dyDescent="0.25">
      <c r="A2" s="20" t="s">
        <v>6306</v>
      </c>
      <c r="B2" s="14" t="s">
        <v>17</v>
      </c>
      <c r="C2" s="14" t="s">
        <v>18</v>
      </c>
      <c r="D2" s="14" t="s">
        <v>19</v>
      </c>
      <c r="E2" s="14" t="s">
        <v>20</v>
      </c>
      <c r="F2" s="21">
        <v>2379.54</v>
      </c>
      <c r="G2" s="14">
        <v>934</v>
      </c>
      <c r="H2" s="14">
        <v>0</v>
      </c>
      <c r="I2" s="14">
        <v>41</v>
      </c>
      <c r="J2" s="22">
        <v>0.94164318422332405</v>
      </c>
      <c r="K2" s="22">
        <v>5.8356815776676403E-2</v>
      </c>
      <c r="L2" s="14">
        <v>0</v>
      </c>
    </row>
    <row r="3" spans="1:12" x14ac:dyDescent="0.25">
      <c r="A3" s="13" t="s">
        <v>6307</v>
      </c>
      <c r="B3" s="14" t="s">
        <v>5317</v>
      </c>
      <c r="C3" s="14" t="s">
        <v>23</v>
      </c>
      <c r="D3" s="14" t="s">
        <v>24</v>
      </c>
      <c r="E3" s="14" t="s">
        <v>25</v>
      </c>
      <c r="F3" s="21">
        <v>1294.5899999999999</v>
      </c>
      <c r="G3" s="14">
        <v>823</v>
      </c>
      <c r="H3" s="14">
        <v>0</v>
      </c>
      <c r="I3" s="14">
        <v>45</v>
      </c>
      <c r="J3" s="22">
        <v>0.67563785822073097</v>
      </c>
      <c r="K3" s="22">
        <v>0.32436214177926898</v>
      </c>
      <c r="L3" s="14">
        <v>0</v>
      </c>
    </row>
    <row r="4" spans="1:12" x14ac:dyDescent="0.25">
      <c r="A4" s="13" t="s">
        <v>6308</v>
      </c>
      <c r="B4" s="14" t="s">
        <v>5317</v>
      </c>
      <c r="C4" s="14" t="s">
        <v>23</v>
      </c>
      <c r="D4" s="14" t="s">
        <v>24</v>
      </c>
      <c r="E4" s="14" t="s">
        <v>27</v>
      </c>
      <c r="F4" s="21">
        <v>1294.78</v>
      </c>
      <c r="G4" s="14">
        <v>866</v>
      </c>
      <c r="I4" s="14">
        <v>48</v>
      </c>
      <c r="J4" s="22">
        <v>0.98747018937856201</v>
      </c>
      <c r="K4" s="22">
        <v>1.25298106214385E-2</v>
      </c>
      <c r="L4" s="14">
        <v>0</v>
      </c>
    </row>
    <row r="5" spans="1:12" x14ac:dyDescent="0.25">
      <c r="B5" s="14" t="s">
        <v>22</v>
      </c>
      <c r="C5" s="14" t="s">
        <v>23</v>
      </c>
      <c r="D5" s="14" t="s">
        <v>24</v>
      </c>
      <c r="E5" s="14" t="s">
        <v>29</v>
      </c>
      <c r="F5" s="21">
        <v>947.07</v>
      </c>
      <c r="G5" s="14">
        <v>76</v>
      </c>
      <c r="H5" s="14">
        <v>1</v>
      </c>
      <c r="I5" s="14">
        <v>11</v>
      </c>
      <c r="J5" s="22">
        <v>3.6687967358434198E-3</v>
      </c>
      <c r="K5" s="22">
        <v>0.99633120326415703</v>
      </c>
      <c r="L5" s="14">
        <v>0</v>
      </c>
    </row>
    <row r="6" spans="1:12" x14ac:dyDescent="0.25">
      <c r="A6" s="13" t="s">
        <v>6309</v>
      </c>
      <c r="B6" s="14" t="s">
        <v>22</v>
      </c>
      <c r="C6" s="14" t="s">
        <v>23</v>
      </c>
      <c r="D6" s="14" t="s">
        <v>24</v>
      </c>
      <c r="E6" s="14" t="s">
        <v>32</v>
      </c>
      <c r="F6" s="21">
        <v>1267.76</v>
      </c>
      <c r="H6" s="14">
        <v>1</v>
      </c>
      <c r="I6" s="14">
        <v>21</v>
      </c>
      <c r="J6" s="22">
        <v>8.2053729853146407E-2</v>
      </c>
      <c r="K6" s="22">
        <v>0.91794627014685404</v>
      </c>
      <c r="L6" s="14">
        <v>0</v>
      </c>
    </row>
    <row r="7" spans="1:12" x14ac:dyDescent="0.25">
      <c r="A7" s="13" t="s">
        <v>6310</v>
      </c>
      <c r="B7" s="14" t="s">
        <v>22</v>
      </c>
      <c r="C7" s="14" t="s">
        <v>23</v>
      </c>
      <c r="D7" s="14" t="s">
        <v>24</v>
      </c>
      <c r="E7" s="14" t="s">
        <v>34</v>
      </c>
      <c r="F7" s="21">
        <v>2286.73</v>
      </c>
      <c r="G7" s="14">
        <v>179</v>
      </c>
      <c r="H7" s="14">
        <v>0</v>
      </c>
      <c r="I7" s="14">
        <v>9</v>
      </c>
      <c r="J7" s="22">
        <v>0.64735028721395405</v>
      </c>
      <c r="K7" s="22">
        <v>0.35264971278604601</v>
      </c>
      <c r="L7" s="14">
        <v>0</v>
      </c>
    </row>
    <row r="8" spans="1:12" ht="39.6" x14ac:dyDescent="0.25">
      <c r="A8" s="20" t="s">
        <v>6311</v>
      </c>
      <c r="B8" s="14" t="s">
        <v>22</v>
      </c>
      <c r="C8" s="14" t="s">
        <v>36</v>
      </c>
      <c r="D8" s="14" t="s">
        <v>37</v>
      </c>
      <c r="E8" s="14" t="s">
        <v>38</v>
      </c>
      <c r="F8" s="21">
        <v>1186.8</v>
      </c>
      <c r="G8" s="14">
        <v>45</v>
      </c>
      <c r="H8" s="14">
        <v>1</v>
      </c>
      <c r="I8" s="14">
        <v>18</v>
      </c>
      <c r="J8" s="22">
        <v>0.42829474511027399</v>
      </c>
      <c r="K8" s="22">
        <v>0.57170525488972601</v>
      </c>
      <c r="L8" s="14">
        <v>0</v>
      </c>
    </row>
    <row r="9" spans="1:12" x14ac:dyDescent="0.25">
      <c r="A9" s="13" t="s">
        <v>6312</v>
      </c>
      <c r="B9" s="14" t="s">
        <v>5319</v>
      </c>
      <c r="C9" s="14" t="s">
        <v>5502</v>
      </c>
      <c r="D9" s="14" t="s">
        <v>41</v>
      </c>
      <c r="E9" s="14" t="s">
        <v>6313</v>
      </c>
      <c r="F9" s="21">
        <v>642.89</v>
      </c>
      <c r="G9" s="14">
        <v>60</v>
      </c>
      <c r="H9" s="14">
        <v>0</v>
      </c>
      <c r="I9" s="14">
        <v>17</v>
      </c>
      <c r="J9" s="22">
        <v>0.27927523743329502</v>
      </c>
      <c r="K9" s="22">
        <v>0.72072476256670504</v>
      </c>
      <c r="L9" s="14">
        <v>0</v>
      </c>
    </row>
    <row r="10" spans="1:12" x14ac:dyDescent="0.25">
      <c r="A10" s="13">
        <v>23373658</v>
      </c>
      <c r="B10" s="14" t="s">
        <v>5320</v>
      </c>
      <c r="C10" s="14" t="s">
        <v>40</v>
      </c>
      <c r="D10" s="14" t="s">
        <v>41</v>
      </c>
      <c r="E10" s="14" t="s">
        <v>43</v>
      </c>
      <c r="F10" s="21">
        <v>693.39</v>
      </c>
      <c r="G10" s="14">
        <v>606</v>
      </c>
      <c r="H10" s="14">
        <v>0</v>
      </c>
      <c r="I10" s="14" t="s">
        <v>6314</v>
      </c>
      <c r="J10" s="22">
        <v>0.84485895104205899</v>
      </c>
      <c r="K10" s="22">
        <v>0.15514104895794101</v>
      </c>
      <c r="L10" s="14">
        <v>0</v>
      </c>
    </row>
    <row r="11" spans="1:12" ht="39.6" x14ac:dyDescent="0.25">
      <c r="A11" s="20" t="s">
        <v>6315</v>
      </c>
      <c r="B11" s="14" t="s">
        <v>6316</v>
      </c>
      <c r="C11" s="14" t="s">
        <v>6317</v>
      </c>
      <c r="D11" s="14" t="s">
        <v>47</v>
      </c>
      <c r="E11" s="14" t="s">
        <v>6318</v>
      </c>
      <c r="F11" s="21">
        <v>771.42</v>
      </c>
      <c r="G11" s="14">
        <v>480</v>
      </c>
      <c r="H11" s="14">
        <v>1</v>
      </c>
      <c r="I11" s="14">
        <v>22</v>
      </c>
      <c r="J11" s="22">
        <v>0.90950791768732897</v>
      </c>
      <c r="K11" s="22">
        <v>9.0492082312670599E-2</v>
      </c>
      <c r="L11" s="14">
        <v>0</v>
      </c>
    </row>
    <row r="12" spans="1:12" x14ac:dyDescent="0.25">
      <c r="A12" s="13" t="s">
        <v>6319</v>
      </c>
      <c r="B12" s="14" t="s">
        <v>45</v>
      </c>
      <c r="C12" s="14" t="s">
        <v>46</v>
      </c>
      <c r="D12" s="14" t="s">
        <v>47</v>
      </c>
      <c r="E12" s="14" t="s">
        <v>50</v>
      </c>
      <c r="F12" s="21">
        <v>773.74</v>
      </c>
      <c r="G12" s="14">
        <v>690</v>
      </c>
      <c r="H12" s="14">
        <v>1</v>
      </c>
      <c r="I12" s="14">
        <v>3</v>
      </c>
      <c r="J12" s="22">
        <v>0.65722672583686104</v>
      </c>
      <c r="K12" s="22">
        <v>0.34277327416313902</v>
      </c>
      <c r="L12" s="14">
        <v>0</v>
      </c>
    </row>
    <row r="13" spans="1:12" x14ac:dyDescent="0.25">
      <c r="A13" s="13" t="s">
        <v>6320</v>
      </c>
      <c r="B13" s="14" t="s">
        <v>5392</v>
      </c>
      <c r="C13" s="14" t="s">
        <v>52</v>
      </c>
      <c r="D13" s="14" t="s">
        <v>53</v>
      </c>
      <c r="E13" s="14" t="s">
        <v>54</v>
      </c>
      <c r="F13" s="21">
        <v>785.6</v>
      </c>
      <c r="G13" s="14">
        <v>603</v>
      </c>
      <c r="I13" s="14">
        <v>32</v>
      </c>
      <c r="J13" s="22">
        <v>0.54983985882351505</v>
      </c>
      <c r="K13" s="22">
        <v>0.45016014117648501</v>
      </c>
      <c r="L13" s="14">
        <v>0</v>
      </c>
    </row>
    <row r="14" spans="1:12" x14ac:dyDescent="0.25">
      <c r="A14" s="13" t="s">
        <v>6321</v>
      </c>
      <c r="B14" s="14" t="s">
        <v>5392</v>
      </c>
      <c r="C14" s="14" t="s">
        <v>52</v>
      </c>
      <c r="D14" s="14" t="s">
        <v>53</v>
      </c>
      <c r="E14" s="14" t="s">
        <v>56</v>
      </c>
      <c r="F14" s="21">
        <v>807.67</v>
      </c>
      <c r="G14" s="14">
        <v>485</v>
      </c>
      <c r="H14" s="14">
        <v>0</v>
      </c>
      <c r="I14" s="14">
        <v>40</v>
      </c>
      <c r="J14" s="22">
        <v>0.53955410043495999</v>
      </c>
      <c r="K14" s="22">
        <v>0.46044589956504001</v>
      </c>
      <c r="L14" s="14">
        <v>0</v>
      </c>
    </row>
    <row r="15" spans="1:12" ht="26.4" x14ac:dyDescent="0.25">
      <c r="A15" s="20" t="s">
        <v>6322</v>
      </c>
      <c r="B15" s="14" t="s">
        <v>45</v>
      </c>
      <c r="C15" s="14" t="s">
        <v>5504</v>
      </c>
      <c r="D15" s="14" t="s">
        <v>47</v>
      </c>
      <c r="E15" s="14" t="s">
        <v>58</v>
      </c>
      <c r="F15" s="21">
        <v>757.18</v>
      </c>
      <c r="G15" s="14">
        <v>15</v>
      </c>
      <c r="H15" s="14">
        <v>0</v>
      </c>
      <c r="I15" s="14">
        <v>49</v>
      </c>
      <c r="J15" s="22">
        <v>0.91762089530982904</v>
      </c>
      <c r="K15" s="22">
        <v>8.2379104690170596E-2</v>
      </c>
      <c r="L15" s="14">
        <v>0</v>
      </c>
    </row>
    <row r="16" spans="1:12" x14ac:dyDescent="0.25">
      <c r="A16" s="13" t="s">
        <v>6323</v>
      </c>
      <c r="B16" s="14" t="s">
        <v>45</v>
      </c>
      <c r="C16" s="14" t="s">
        <v>5505</v>
      </c>
      <c r="D16" s="14" t="s">
        <v>47</v>
      </c>
      <c r="E16" s="14" t="s">
        <v>60</v>
      </c>
      <c r="F16" s="21">
        <v>774.19</v>
      </c>
      <c r="G16" s="14">
        <v>376</v>
      </c>
      <c r="H16" s="14">
        <v>1</v>
      </c>
      <c r="I16" s="14">
        <v>15</v>
      </c>
      <c r="J16" s="22">
        <v>0.54700916684623002</v>
      </c>
      <c r="K16" s="22">
        <v>0.45299083315376998</v>
      </c>
      <c r="L16" s="14">
        <v>0</v>
      </c>
    </row>
    <row r="17" spans="1:15" x14ac:dyDescent="0.25">
      <c r="A17" s="13" t="s">
        <v>61</v>
      </c>
      <c r="B17" s="14" t="s">
        <v>45</v>
      </c>
      <c r="C17" s="14" t="s">
        <v>5506</v>
      </c>
      <c r="D17" s="14" t="s">
        <v>62</v>
      </c>
      <c r="E17" s="14" t="s">
        <v>63</v>
      </c>
      <c r="F17" s="21">
        <v>750.16</v>
      </c>
      <c r="G17" s="14">
        <v>904</v>
      </c>
      <c r="H17" s="14">
        <v>1</v>
      </c>
      <c r="I17" s="14">
        <v>19</v>
      </c>
      <c r="J17" s="22">
        <v>0.10131625495544</v>
      </c>
      <c r="K17" s="22">
        <v>0.89868374504455995</v>
      </c>
      <c r="L17" s="14">
        <v>0</v>
      </c>
    </row>
    <row r="18" spans="1:15" ht="39.6" x14ac:dyDescent="0.25">
      <c r="A18" s="13" t="s">
        <v>6324</v>
      </c>
      <c r="B18" s="14" t="s">
        <v>65</v>
      </c>
      <c r="C18" s="14" t="s">
        <v>5508</v>
      </c>
      <c r="D18" s="14" t="s">
        <v>67</v>
      </c>
      <c r="E18" s="23" t="s">
        <v>6325</v>
      </c>
      <c r="F18" s="21">
        <v>653.96</v>
      </c>
      <c r="G18" s="14">
        <v>322</v>
      </c>
      <c r="H18" s="14">
        <v>1</v>
      </c>
      <c r="I18" s="14">
        <v>25</v>
      </c>
      <c r="J18" s="22">
        <v>0.184078864503708</v>
      </c>
      <c r="K18" s="22">
        <v>0.81592113549629197</v>
      </c>
      <c r="L18" s="14">
        <v>0</v>
      </c>
    </row>
    <row r="19" spans="1:15" x14ac:dyDescent="0.25">
      <c r="A19" s="13" t="s">
        <v>6326</v>
      </c>
      <c r="B19" s="14" t="s">
        <v>69</v>
      </c>
      <c r="C19" s="14" t="s">
        <v>70</v>
      </c>
      <c r="D19" s="14" t="s">
        <v>62</v>
      </c>
      <c r="E19" s="14" t="s">
        <v>71</v>
      </c>
      <c r="F19" s="21" t="s">
        <v>6327</v>
      </c>
      <c r="G19" s="14">
        <v>544</v>
      </c>
      <c r="H19" s="14">
        <v>0</v>
      </c>
      <c r="I19" s="14" t="s">
        <v>6314</v>
      </c>
      <c r="J19" s="22">
        <v>0.21081328626975199</v>
      </c>
      <c r="K19" s="22">
        <v>0.78918671373024796</v>
      </c>
      <c r="L19" s="14">
        <v>0</v>
      </c>
    </row>
    <row r="20" spans="1:15" x14ac:dyDescent="0.25">
      <c r="A20" s="13" t="s">
        <v>72</v>
      </c>
      <c r="B20" s="14" t="s">
        <v>45</v>
      </c>
      <c r="C20" s="14" t="s">
        <v>5507</v>
      </c>
      <c r="D20" s="14" t="s">
        <v>73</v>
      </c>
      <c r="E20" s="14" t="s">
        <v>74</v>
      </c>
      <c r="F20" s="21">
        <v>754.9</v>
      </c>
      <c r="G20" s="14">
        <v>476</v>
      </c>
      <c r="H20" s="14">
        <v>1</v>
      </c>
      <c r="I20" s="14">
        <v>19</v>
      </c>
      <c r="J20" s="22">
        <v>0.29987595933679601</v>
      </c>
      <c r="K20" s="22">
        <v>0.70012404066320399</v>
      </c>
      <c r="L20" s="14">
        <v>0</v>
      </c>
    </row>
    <row r="21" spans="1:15" x14ac:dyDescent="0.25">
      <c r="A21" s="13" t="s">
        <v>75</v>
      </c>
      <c r="B21" s="14" t="s">
        <v>69</v>
      </c>
      <c r="C21" s="14" t="s">
        <v>5509</v>
      </c>
      <c r="D21" s="14" t="s">
        <v>77</v>
      </c>
      <c r="E21" s="14" t="s">
        <v>78</v>
      </c>
      <c r="F21" s="21">
        <v>1901.04</v>
      </c>
      <c r="G21" s="14">
        <v>666</v>
      </c>
      <c r="H21" s="14">
        <v>0</v>
      </c>
      <c r="I21" s="14" t="s">
        <v>6314</v>
      </c>
      <c r="J21" s="22">
        <v>0.29481324006985898</v>
      </c>
      <c r="K21" s="22">
        <v>0.70518675993014102</v>
      </c>
      <c r="L21" s="14">
        <v>0</v>
      </c>
    </row>
    <row r="22" spans="1:15" x14ac:dyDescent="0.25">
      <c r="B22" s="14" t="s">
        <v>69</v>
      </c>
      <c r="C22" s="14" t="s">
        <v>76</v>
      </c>
      <c r="D22" s="14" t="s">
        <v>77</v>
      </c>
      <c r="E22" s="14" t="s">
        <v>6328</v>
      </c>
      <c r="F22" s="21">
        <v>1884.01</v>
      </c>
      <c r="G22" s="14">
        <v>94</v>
      </c>
      <c r="H22" s="14">
        <v>1</v>
      </c>
      <c r="I22" s="14">
        <v>10</v>
      </c>
      <c r="J22" s="22">
        <v>0.38723498224019398</v>
      </c>
      <c r="K22" s="22">
        <v>0.61276501775980596</v>
      </c>
      <c r="L22" s="14">
        <v>0</v>
      </c>
    </row>
    <row r="23" spans="1:15" x14ac:dyDescent="0.25">
      <c r="A23" s="13" t="s">
        <v>80</v>
      </c>
      <c r="B23" s="14" t="s">
        <v>69</v>
      </c>
      <c r="C23" s="14" t="s">
        <v>76</v>
      </c>
      <c r="D23" s="14" t="s">
        <v>77</v>
      </c>
      <c r="E23" s="14" t="s">
        <v>81</v>
      </c>
      <c r="F23" s="21">
        <v>2250.9699999999998</v>
      </c>
      <c r="G23" s="14">
        <v>62</v>
      </c>
      <c r="H23" s="14">
        <v>1</v>
      </c>
      <c r="I23" s="14">
        <v>26</v>
      </c>
      <c r="J23" s="22">
        <v>0.32758913089719199</v>
      </c>
      <c r="K23" s="22">
        <v>0.67241086910280801</v>
      </c>
      <c r="L23" s="14">
        <v>0</v>
      </c>
    </row>
    <row r="24" spans="1:15" x14ac:dyDescent="0.25">
      <c r="A24" s="13">
        <v>3535376</v>
      </c>
      <c r="B24" s="14" t="s">
        <v>69</v>
      </c>
      <c r="C24" s="14" t="s">
        <v>76</v>
      </c>
      <c r="D24" s="14" t="s">
        <v>77</v>
      </c>
      <c r="E24" s="14" t="s">
        <v>83</v>
      </c>
      <c r="F24" s="21">
        <v>7299879.1200000001</v>
      </c>
      <c r="G24" s="14">
        <v>188</v>
      </c>
      <c r="H24" s="14">
        <v>1</v>
      </c>
      <c r="I24" s="14">
        <v>34</v>
      </c>
      <c r="J24" s="22">
        <v>1.9121600004575402E-2</v>
      </c>
      <c r="K24" s="22">
        <v>0.98087839999542503</v>
      </c>
      <c r="L24" s="14">
        <v>0</v>
      </c>
      <c r="O24" s="26"/>
    </row>
    <row r="25" spans="1:15" x14ac:dyDescent="0.25">
      <c r="A25" s="13" t="s">
        <v>85</v>
      </c>
      <c r="B25" s="14" t="s">
        <v>5493</v>
      </c>
      <c r="C25" s="14" t="s">
        <v>5510</v>
      </c>
      <c r="D25" s="14" t="s">
        <v>88</v>
      </c>
      <c r="E25" s="14" t="s">
        <v>89</v>
      </c>
      <c r="F25" s="21">
        <v>2270.16</v>
      </c>
      <c r="G25" s="14">
        <v>764</v>
      </c>
      <c r="H25" s="14">
        <v>0</v>
      </c>
      <c r="I25" s="14">
        <v>15</v>
      </c>
      <c r="J25" s="22">
        <v>0.80451020197608503</v>
      </c>
      <c r="K25" s="22">
        <v>0.195489798023915</v>
      </c>
      <c r="L25" s="14">
        <v>0</v>
      </c>
    </row>
    <row r="26" spans="1:15" x14ac:dyDescent="0.25">
      <c r="A26" s="13" t="s">
        <v>6329</v>
      </c>
      <c r="B26" s="14" t="s">
        <v>86</v>
      </c>
      <c r="C26" s="14" t="s">
        <v>91</v>
      </c>
      <c r="D26" s="14" t="s">
        <v>92</v>
      </c>
      <c r="E26" s="14" t="s">
        <v>93</v>
      </c>
      <c r="F26" s="21">
        <v>1991.5</v>
      </c>
      <c r="G26" s="14">
        <v>513</v>
      </c>
      <c r="H26" s="14">
        <v>0</v>
      </c>
      <c r="I26" s="14">
        <v>8</v>
      </c>
      <c r="J26" s="22">
        <v>0.34607205157472598</v>
      </c>
      <c r="K26" s="22">
        <v>0.65392794842527402</v>
      </c>
      <c r="L26" s="14">
        <v>0</v>
      </c>
    </row>
    <row r="27" spans="1:15" x14ac:dyDescent="0.25">
      <c r="A27" s="13" t="s">
        <v>5806</v>
      </c>
      <c r="B27" s="14" t="s">
        <v>86</v>
      </c>
      <c r="C27" s="14" t="s">
        <v>94</v>
      </c>
      <c r="D27" s="14" t="s">
        <v>95</v>
      </c>
      <c r="E27" s="14" t="s">
        <v>96</v>
      </c>
      <c r="F27" s="21">
        <v>1919.51</v>
      </c>
      <c r="G27" s="14">
        <v>180</v>
      </c>
      <c r="H27" s="14">
        <v>0</v>
      </c>
      <c r="I27" s="14">
        <v>43</v>
      </c>
      <c r="J27" s="22">
        <v>0.96653616661646802</v>
      </c>
      <c r="K27" s="22">
        <v>3.3463833383531899E-2</v>
      </c>
      <c r="L27" s="14">
        <v>0</v>
      </c>
    </row>
    <row r="28" spans="1:15" x14ac:dyDescent="0.25">
      <c r="A28" s="13">
        <v>23734913</v>
      </c>
      <c r="B28" s="14" t="s">
        <v>86</v>
      </c>
      <c r="C28" s="14" t="s">
        <v>94</v>
      </c>
      <c r="D28" s="14" t="s">
        <v>95</v>
      </c>
      <c r="E28" s="14" t="s">
        <v>97</v>
      </c>
      <c r="F28" s="21">
        <v>2352.94</v>
      </c>
      <c r="G28" s="14">
        <v>520</v>
      </c>
      <c r="H28" s="14">
        <v>0</v>
      </c>
      <c r="I28" s="14">
        <v>31</v>
      </c>
      <c r="J28" s="22">
        <v>8.6637113231671906E-2</v>
      </c>
      <c r="K28" s="22">
        <v>0.913362886768328</v>
      </c>
      <c r="L28" s="14">
        <v>0</v>
      </c>
    </row>
    <row r="29" spans="1:15" x14ac:dyDescent="0.25">
      <c r="B29" s="14" t="s">
        <v>69</v>
      </c>
      <c r="C29" s="14" t="s">
        <v>98</v>
      </c>
      <c r="D29" s="14" t="s">
        <v>99</v>
      </c>
      <c r="E29" s="14" t="s">
        <v>100</v>
      </c>
      <c r="F29" s="21">
        <v>1928.45</v>
      </c>
      <c r="G29" s="14">
        <v>818</v>
      </c>
      <c r="H29" s="14">
        <v>0</v>
      </c>
      <c r="I29" s="14">
        <v>15</v>
      </c>
      <c r="J29" s="22">
        <v>0.78811469213136298</v>
      </c>
      <c r="K29" s="22">
        <v>0.21188530786863699</v>
      </c>
      <c r="L29" s="14">
        <v>0</v>
      </c>
    </row>
    <row r="30" spans="1:15" x14ac:dyDescent="0.25">
      <c r="B30" s="14" t="s">
        <v>69</v>
      </c>
      <c r="C30" s="14" t="s">
        <v>98</v>
      </c>
      <c r="D30" s="14" t="s">
        <v>99</v>
      </c>
      <c r="E30" s="14" t="s">
        <v>101</v>
      </c>
      <c r="F30" s="21">
        <v>1928.46</v>
      </c>
      <c r="G30" s="14">
        <v>153</v>
      </c>
      <c r="H30" s="14">
        <v>1</v>
      </c>
      <c r="I30" s="14">
        <v>1</v>
      </c>
      <c r="J30" s="22">
        <v>0.46789625515227101</v>
      </c>
      <c r="K30" s="22">
        <v>0.53210374484772904</v>
      </c>
      <c r="L30" s="14">
        <v>0</v>
      </c>
    </row>
    <row r="31" spans="1:15" x14ac:dyDescent="0.25">
      <c r="B31" s="14" t="s">
        <v>69</v>
      </c>
      <c r="C31" s="14" t="s">
        <v>98</v>
      </c>
      <c r="D31" s="14" t="s">
        <v>99</v>
      </c>
      <c r="E31" s="14" t="s">
        <v>102</v>
      </c>
      <c r="F31" s="21">
        <v>1928.46</v>
      </c>
      <c r="G31" s="14">
        <v>606</v>
      </c>
      <c r="H31" s="14">
        <v>0</v>
      </c>
      <c r="I31" s="14">
        <v>20</v>
      </c>
      <c r="J31" s="22">
        <v>0.32231036910097199</v>
      </c>
      <c r="K31" s="22">
        <v>0.67768963089902801</v>
      </c>
      <c r="L31" s="14">
        <v>0</v>
      </c>
    </row>
    <row r="32" spans="1:15" x14ac:dyDescent="0.25">
      <c r="B32" s="14" t="s">
        <v>69</v>
      </c>
      <c r="C32" s="14" t="s">
        <v>98</v>
      </c>
      <c r="D32" s="14" t="s">
        <v>99</v>
      </c>
      <c r="E32" s="14" t="s">
        <v>103</v>
      </c>
      <c r="F32" s="21">
        <v>1928.46</v>
      </c>
      <c r="G32" s="14">
        <v>288</v>
      </c>
      <c r="H32" s="14">
        <v>1</v>
      </c>
      <c r="I32" s="14">
        <v>2</v>
      </c>
      <c r="J32" s="22">
        <v>0.45128437586041298</v>
      </c>
      <c r="K32" s="22">
        <v>0.54871562413958797</v>
      </c>
      <c r="L32" s="14">
        <v>0</v>
      </c>
    </row>
    <row r="33" spans="1:12" x14ac:dyDescent="0.25">
      <c r="A33" s="13" t="s">
        <v>6330</v>
      </c>
      <c r="B33" s="14" t="s">
        <v>5455</v>
      </c>
      <c r="C33" s="14" t="s">
        <v>105</v>
      </c>
      <c r="D33" s="14" t="s">
        <v>106</v>
      </c>
      <c r="E33" s="14" t="s">
        <v>107</v>
      </c>
      <c r="F33" s="21">
        <v>2338.2800000000002</v>
      </c>
      <c r="G33" s="14">
        <v>528</v>
      </c>
      <c r="H33" s="14">
        <v>1</v>
      </c>
      <c r="I33" s="14">
        <v>9</v>
      </c>
      <c r="J33" s="22">
        <v>0.26363813785956203</v>
      </c>
      <c r="K33" s="22">
        <v>0.73636186214043897</v>
      </c>
      <c r="L33" s="14">
        <v>0</v>
      </c>
    </row>
    <row r="34" spans="1:12" x14ac:dyDescent="0.25">
      <c r="A34" s="13">
        <v>23340916</v>
      </c>
      <c r="B34" s="14" t="s">
        <v>5457</v>
      </c>
      <c r="C34" s="14" t="s">
        <v>5511</v>
      </c>
      <c r="D34" s="14" t="s">
        <v>106</v>
      </c>
      <c r="E34" s="14" t="s">
        <v>108</v>
      </c>
      <c r="F34" s="21">
        <v>2002</v>
      </c>
      <c r="G34" s="14">
        <v>420</v>
      </c>
      <c r="H34" s="14">
        <v>1</v>
      </c>
      <c r="I34" s="14">
        <v>45</v>
      </c>
      <c r="J34" s="22">
        <v>0.101240673602363</v>
      </c>
      <c r="K34" s="22">
        <v>0.898759326397637</v>
      </c>
      <c r="L34" s="14">
        <v>0</v>
      </c>
    </row>
    <row r="35" spans="1:12" x14ac:dyDescent="0.25">
      <c r="A35" s="13" t="s">
        <v>6331</v>
      </c>
      <c r="B35" s="14" t="s">
        <v>110</v>
      </c>
      <c r="C35" s="14" t="s">
        <v>111</v>
      </c>
      <c r="D35" s="14" t="s">
        <v>106</v>
      </c>
      <c r="E35" s="14" t="s">
        <v>112</v>
      </c>
      <c r="F35" s="21">
        <v>2040</v>
      </c>
      <c r="G35" s="14">
        <v>371</v>
      </c>
      <c r="H35" s="14">
        <v>1</v>
      </c>
      <c r="I35" s="14">
        <v>25</v>
      </c>
      <c r="J35" s="22">
        <v>0.99817274940258205</v>
      </c>
      <c r="K35" s="22">
        <v>1.8272505974179501E-3</v>
      </c>
      <c r="L35" s="14">
        <v>0</v>
      </c>
    </row>
    <row r="36" spans="1:12" x14ac:dyDescent="0.25">
      <c r="B36" s="14" t="s">
        <v>113</v>
      </c>
      <c r="C36" s="14" t="s">
        <v>5512</v>
      </c>
      <c r="D36" s="14" t="s">
        <v>115</v>
      </c>
      <c r="E36" s="14" t="s">
        <v>116</v>
      </c>
      <c r="F36" s="21">
        <v>1695</v>
      </c>
      <c r="G36" s="14">
        <v>363</v>
      </c>
      <c r="H36" s="14">
        <v>0</v>
      </c>
      <c r="I36" s="14">
        <v>2</v>
      </c>
      <c r="J36" s="22">
        <v>0.88108645004680397</v>
      </c>
      <c r="K36" s="22">
        <v>0.118913549953196</v>
      </c>
      <c r="L36" s="14">
        <v>0</v>
      </c>
    </row>
    <row r="37" spans="1:12" x14ac:dyDescent="0.25">
      <c r="A37" s="13" t="s">
        <v>5811</v>
      </c>
      <c r="B37" s="14" t="s">
        <v>86</v>
      </c>
      <c r="C37" s="14" t="s">
        <v>117</v>
      </c>
      <c r="D37" s="14" t="s">
        <v>118</v>
      </c>
      <c r="E37" s="14" t="s">
        <v>119</v>
      </c>
      <c r="F37" s="21">
        <v>1970.57</v>
      </c>
      <c r="G37" s="14">
        <v>288</v>
      </c>
      <c r="I37" s="14">
        <v>41</v>
      </c>
      <c r="J37" s="22">
        <v>0.51888946128159097</v>
      </c>
      <c r="K37" s="22">
        <v>0.48111053871840898</v>
      </c>
      <c r="L37" s="14">
        <v>0</v>
      </c>
    </row>
    <row r="38" spans="1:12" x14ac:dyDescent="0.25">
      <c r="A38" s="13" t="s">
        <v>120</v>
      </c>
      <c r="B38" s="14" t="s">
        <v>121</v>
      </c>
      <c r="C38" s="14" t="s">
        <v>122</v>
      </c>
      <c r="D38" s="14" t="s">
        <v>123</v>
      </c>
      <c r="E38" s="14" t="s">
        <v>124</v>
      </c>
      <c r="F38" s="21">
        <v>1968.63</v>
      </c>
      <c r="G38" s="14">
        <v>372</v>
      </c>
      <c r="H38" s="14">
        <v>0</v>
      </c>
      <c r="I38" s="14">
        <v>27</v>
      </c>
      <c r="J38" s="22">
        <v>0.72814812604696</v>
      </c>
      <c r="K38" s="22">
        <v>0.27185187395304</v>
      </c>
      <c r="L38" s="14">
        <v>0</v>
      </c>
    </row>
    <row r="39" spans="1:12" x14ac:dyDescent="0.25">
      <c r="A39" s="13">
        <v>3748854</v>
      </c>
      <c r="B39" s="14" t="s">
        <v>6332</v>
      </c>
      <c r="C39" s="14" t="s">
        <v>122</v>
      </c>
      <c r="D39" s="14" t="s">
        <v>123</v>
      </c>
      <c r="E39" s="14" t="s">
        <v>126</v>
      </c>
      <c r="F39" s="21" t="s">
        <v>6333</v>
      </c>
      <c r="G39" s="14">
        <v>968</v>
      </c>
      <c r="H39" s="14">
        <v>0</v>
      </c>
      <c r="I39" s="14" t="s">
        <v>6314</v>
      </c>
      <c r="J39" s="22">
        <v>0.55407174470302301</v>
      </c>
      <c r="K39" s="22">
        <v>0.44592825529697699</v>
      </c>
      <c r="L39" s="14">
        <v>1582</v>
      </c>
    </row>
    <row r="40" spans="1:12" ht="39.6" x14ac:dyDescent="0.25">
      <c r="A40" s="20" t="s">
        <v>6334</v>
      </c>
      <c r="B40" s="14" t="s">
        <v>5500</v>
      </c>
      <c r="C40" s="14" t="s">
        <v>122</v>
      </c>
      <c r="D40" s="14" t="s">
        <v>123</v>
      </c>
      <c r="E40" s="14" t="s">
        <v>128</v>
      </c>
      <c r="F40" s="21">
        <v>2374.52</v>
      </c>
      <c r="G40" s="14">
        <v>202</v>
      </c>
      <c r="H40" s="14">
        <v>1</v>
      </c>
      <c r="I40" s="14">
        <v>20</v>
      </c>
      <c r="J40" s="22">
        <v>0.43837387226268798</v>
      </c>
      <c r="K40" s="22">
        <v>0.56162612773731202</v>
      </c>
      <c r="L40" s="14">
        <v>0</v>
      </c>
    </row>
    <row r="41" spans="1:12" x14ac:dyDescent="0.25">
      <c r="A41" s="13">
        <v>3633780</v>
      </c>
      <c r="B41" s="14" t="s">
        <v>6335</v>
      </c>
      <c r="C41" s="14" t="s">
        <v>5513</v>
      </c>
      <c r="D41" s="14" t="s">
        <v>131</v>
      </c>
      <c r="E41" s="14" t="s">
        <v>132</v>
      </c>
      <c r="F41" s="21">
        <v>1834.77</v>
      </c>
      <c r="G41" s="14">
        <v>154</v>
      </c>
      <c r="H41" s="14">
        <v>1</v>
      </c>
      <c r="I41" s="14">
        <v>31</v>
      </c>
      <c r="J41" s="22">
        <v>0.76078285956708802</v>
      </c>
      <c r="K41" s="22">
        <v>0.23921714043291201</v>
      </c>
      <c r="L41" s="14">
        <v>998</v>
      </c>
    </row>
    <row r="42" spans="1:12" x14ac:dyDescent="0.25">
      <c r="A42" s="13" t="s">
        <v>5806</v>
      </c>
      <c r="B42" s="14" t="s">
        <v>5460</v>
      </c>
      <c r="C42" s="14" t="s">
        <v>5514</v>
      </c>
      <c r="D42" s="14" t="s">
        <v>135</v>
      </c>
      <c r="E42" s="14" t="s">
        <v>136</v>
      </c>
      <c r="F42" s="21">
        <v>2145.6</v>
      </c>
      <c r="G42" s="14">
        <v>223</v>
      </c>
      <c r="H42" s="14">
        <v>0</v>
      </c>
      <c r="I42" s="14">
        <v>33</v>
      </c>
      <c r="J42" s="22">
        <v>0.68969294807591996</v>
      </c>
      <c r="K42" s="22">
        <v>0.31030705192407998</v>
      </c>
      <c r="L42" s="14">
        <v>0</v>
      </c>
    </row>
    <row r="43" spans="1:12" ht="26.4" x14ac:dyDescent="0.25">
      <c r="A43" s="20" t="s">
        <v>6336</v>
      </c>
      <c r="B43" s="14" t="s">
        <v>5460</v>
      </c>
      <c r="C43" s="14" t="s">
        <v>134</v>
      </c>
      <c r="D43" s="14" t="s">
        <v>135</v>
      </c>
      <c r="E43" s="14" t="s">
        <v>138</v>
      </c>
      <c r="F43" s="21">
        <v>2399.2800000000002</v>
      </c>
      <c r="G43" s="14">
        <v>124</v>
      </c>
      <c r="H43" s="14">
        <v>0</v>
      </c>
      <c r="I43" s="14">
        <v>10</v>
      </c>
      <c r="J43" s="22">
        <v>0.67490891341098902</v>
      </c>
      <c r="K43" s="22">
        <v>0.32509108658901098</v>
      </c>
      <c r="L43" s="14">
        <v>0</v>
      </c>
    </row>
    <row r="44" spans="1:12" ht="26.4" x14ac:dyDescent="0.25">
      <c r="A44" s="20" t="s">
        <v>6337</v>
      </c>
      <c r="B44" s="14" t="s">
        <v>5460</v>
      </c>
      <c r="C44" s="14" t="s">
        <v>134</v>
      </c>
      <c r="D44" s="14" t="s">
        <v>135</v>
      </c>
      <c r="E44" s="14" t="s">
        <v>140</v>
      </c>
      <c r="F44" s="21">
        <v>2399.2800000000002</v>
      </c>
      <c r="G44" s="14">
        <v>47</v>
      </c>
      <c r="H44" s="14">
        <v>1</v>
      </c>
      <c r="I44" s="14">
        <v>41</v>
      </c>
      <c r="J44" s="22">
        <v>3.2079190253510602E-2</v>
      </c>
      <c r="K44" s="22">
        <v>0.96792080974648897</v>
      </c>
      <c r="L44" s="14">
        <v>0</v>
      </c>
    </row>
    <row r="45" spans="1:12" ht="39.6" x14ac:dyDescent="0.25">
      <c r="A45" s="20" t="s">
        <v>6338</v>
      </c>
      <c r="B45" s="14" t="s">
        <v>133</v>
      </c>
      <c r="C45" s="14" t="s">
        <v>5514</v>
      </c>
      <c r="D45" s="14" t="s">
        <v>135</v>
      </c>
      <c r="E45" s="14" t="s">
        <v>142</v>
      </c>
      <c r="F45" s="21">
        <v>2232.7399999999998</v>
      </c>
      <c r="G45" s="14">
        <v>906</v>
      </c>
      <c r="H45" s="14">
        <v>1</v>
      </c>
      <c r="I45" s="14">
        <v>42</v>
      </c>
      <c r="J45" s="22">
        <v>0.33505783428337399</v>
      </c>
      <c r="K45" s="22">
        <v>0.66494216571662601</v>
      </c>
      <c r="L45" s="14">
        <v>0</v>
      </c>
    </row>
    <row r="46" spans="1:12" x14ac:dyDescent="0.25">
      <c r="A46" s="13" t="s">
        <v>143</v>
      </c>
      <c r="B46" s="14" t="s">
        <v>121</v>
      </c>
      <c r="C46" s="14" t="s">
        <v>144</v>
      </c>
      <c r="D46" s="14" t="s">
        <v>145</v>
      </c>
      <c r="E46" s="14" t="s">
        <v>146</v>
      </c>
      <c r="F46" s="21">
        <v>2015.72</v>
      </c>
      <c r="H46" s="14">
        <v>0</v>
      </c>
      <c r="I46" s="14">
        <v>13</v>
      </c>
      <c r="J46" s="22">
        <v>0.69217947024827398</v>
      </c>
      <c r="K46" s="22">
        <v>0.30782052975172602</v>
      </c>
      <c r="L46" s="14">
        <v>0</v>
      </c>
    </row>
    <row r="47" spans="1:12" x14ac:dyDescent="0.25">
      <c r="A47" s="13" t="s">
        <v>6339</v>
      </c>
      <c r="B47" s="14" t="s">
        <v>5343</v>
      </c>
      <c r="C47" s="14" t="s">
        <v>149</v>
      </c>
      <c r="D47" s="14" t="s">
        <v>150</v>
      </c>
      <c r="E47" s="14" t="s">
        <v>151</v>
      </c>
      <c r="F47" s="21">
        <v>1240</v>
      </c>
      <c r="G47" s="14">
        <v>187</v>
      </c>
      <c r="H47" s="14">
        <v>1</v>
      </c>
      <c r="I47" s="14">
        <v>19</v>
      </c>
      <c r="J47" s="22">
        <v>0.95668546876723104</v>
      </c>
      <c r="K47" s="22">
        <v>4.3314531232769203E-2</v>
      </c>
      <c r="L47" s="14">
        <v>0</v>
      </c>
    </row>
    <row r="48" spans="1:12" x14ac:dyDescent="0.25">
      <c r="A48" s="13" t="s">
        <v>6340</v>
      </c>
      <c r="B48" s="14" t="s">
        <v>121</v>
      </c>
      <c r="C48" s="14" t="s">
        <v>153</v>
      </c>
      <c r="D48" s="14" t="s">
        <v>154</v>
      </c>
      <c r="E48" s="14" t="s">
        <v>155</v>
      </c>
      <c r="F48" s="21">
        <v>1836.92</v>
      </c>
      <c r="G48" s="14">
        <v>781</v>
      </c>
      <c r="H48" s="14">
        <v>1</v>
      </c>
      <c r="I48" s="14">
        <v>39</v>
      </c>
      <c r="J48" s="22">
        <v>0.49013332509823998</v>
      </c>
      <c r="K48" s="22">
        <v>0.50986667490175996</v>
      </c>
      <c r="L48" s="14">
        <v>0</v>
      </c>
    </row>
    <row r="49" spans="1:12" x14ac:dyDescent="0.25">
      <c r="A49" s="13" t="s">
        <v>6341</v>
      </c>
      <c r="B49" s="14" t="s">
        <v>121</v>
      </c>
      <c r="C49" s="14" t="s">
        <v>153</v>
      </c>
      <c r="D49" s="14" t="s">
        <v>154</v>
      </c>
      <c r="E49" s="14" t="s">
        <v>6342</v>
      </c>
      <c r="F49" s="21">
        <v>1836.92</v>
      </c>
      <c r="G49" s="14">
        <v>220</v>
      </c>
      <c r="H49" s="14">
        <v>0</v>
      </c>
      <c r="I49" s="14">
        <v>36</v>
      </c>
      <c r="J49" s="22">
        <v>0.91862639317919004</v>
      </c>
      <c r="K49" s="22">
        <v>8.1373606820810296E-2</v>
      </c>
      <c r="L49" s="14">
        <v>0</v>
      </c>
    </row>
    <row r="50" spans="1:12" x14ac:dyDescent="0.25">
      <c r="A50" s="13" t="s">
        <v>158</v>
      </c>
      <c r="B50" s="14" t="s">
        <v>5417</v>
      </c>
      <c r="C50" s="14" t="s">
        <v>159</v>
      </c>
      <c r="D50" s="14" t="s">
        <v>160</v>
      </c>
      <c r="E50" s="14" t="s">
        <v>161</v>
      </c>
      <c r="F50" s="21">
        <v>2040</v>
      </c>
      <c r="G50" s="14">
        <v>663</v>
      </c>
      <c r="H50" s="14">
        <v>0</v>
      </c>
      <c r="I50" s="14">
        <v>1</v>
      </c>
      <c r="J50" s="22">
        <v>0.26470402478694199</v>
      </c>
      <c r="K50" s="22">
        <v>0.73529597521305801</v>
      </c>
      <c r="L50" s="14">
        <v>0</v>
      </c>
    </row>
    <row r="51" spans="1:12" ht="26.4" x14ac:dyDescent="0.25">
      <c r="A51" s="20" t="s">
        <v>6343</v>
      </c>
      <c r="B51" s="14" t="s">
        <v>86</v>
      </c>
      <c r="C51" s="14" t="s">
        <v>5515</v>
      </c>
      <c r="D51" s="14" t="s">
        <v>164</v>
      </c>
      <c r="E51" s="14" t="s">
        <v>165</v>
      </c>
      <c r="F51" s="21">
        <v>2373.59</v>
      </c>
      <c r="H51" s="14">
        <v>1</v>
      </c>
      <c r="I51" s="14">
        <v>11</v>
      </c>
      <c r="J51" s="22">
        <v>0.87654668036542904</v>
      </c>
      <c r="K51" s="22">
        <v>0.123453319634571</v>
      </c>
      <c r="L51" s="14">
        <v>0</v>
      </c>
    </row>
    <row r="52" spans="1:12" ht="26.4" x14ac:dyDescent="0.25">
      <c r="A52" s="20" t="s">
        <v>6344</v>
      </c>
      <c r="B52" s="14" t="s">
        <v>86</v>
      </c>
      <c r="C52" s="14" t="s">
        <v>5515</v>
      </c>
      <c r="D52" s="14" t="s">
        <v>164</v>
      </c>
      <c r="E52" s="14" t="s">
        <v>167</v>
      </c>
      <c r="F52" s="21">
        <v>2373.59</v>
      </c>
      <c r="G52" s="14">
        <v>963</v>
      </c>
      <c r="H52" s="14">
        <v>0</v>
      </c>
      <c r="I52" s="14" t="s">
        <v>6314</v>
      </c>
      <c r="J52" s="22">
        <v>0.28264502943067599</v>
      </c>
      <c r="K52" s="22">
        <v>0.71735497056932396</v>
      </c>
      <c r="L52" s="14">
        <v>0</v>
      </c>
    </row>
    <row r="53" spans="1:12" x14ac:dyDescent="0.25">
      <c r="A53" s="13">
        <v>23514390</v>
      </c>
      <c r="B53" s="14" t="s">
        <v>6345</v>
      </c>
      <c r="C53" s="14" t="s">
        <v>5516</v>
      </c>
      <c r="D53" s="14" t="s">
        <v>6346</v>
      </c>
      <c r="E53" s="14" t="s">
        <v>170</v>
      </c>
      <c r="F53" s="21">
        <v>1804.19</v>
      </c>
      <c r="G53" s="14">
        <v>896</v>
      </c>
      <c r="H53" s="14">
        <v>0</v>
      </c>
      <c r="I53" s="14">
        <v>4</v>
      </c>
      <c r="J53" s="22">
        <v>0.45372108306441999</v>
      </c>
      <c r="K53" s="22">
        <v>0.54627891693557995</v>
      </c>
      <c r="L53" s="14">
        <v>0</v>
      </c>
    </row>
    <row r="54" spans="1:12" x14ac:dyDescent="0.25">
      <c r="A54" s="13">
        <v>3516067</v>
      </c>
      <c r="B54" s="14" t="s">
        <v>6347</v>
      </c>
      <c r="C54" s="14" t="s">
        <v>5524</v>
      </c>
      <c r="D54" s="14" t="s">
        <v>174</v>
      </c>
      <c r="E54" s="14" t="s">
        <v>175</v>
      </c>
      <c r="F54" s="21">
        <v>1152.5</v>
      </c>
      <c r="G54" s="14">
        <v>232</v>
      </c>
      <c r="H54" s="14">
        <v>1</v>
      </c>
      <c r="I54" s="14">
        <v>42</v>
      </c>
      <c r="J54" s="22">
        <v>0.91886063580893096</v>
      </c>
      <c r="K54" s="22">
        <v>8.1139364191068597E-2</v>
      </c>
      <c r="L54" s="14">
        <v>0</v>
      </c>
    </row>
    <row r="55" spans="1:12" x14ac:dyDescent="0.25">
      <c r="A55" s="13">
        <v>23599091</v>
      </c>
      <c r="B55" s="14" t="s">
        <v>176</v>
      </c>
      <c r="C55" s="14" t="s">
        <v>5523</v>
      </c>
      <c r="D55" s="14" t="s">
        <v>178</v>
      </c>
      <c r="E55" s="14" t="s">
        <v>179</v>
      </c>
      <c r="F55" s="21">
        <v>2350.02</v>
      </c>
      <c r="G55" s="14">
        <v>898</v>
      </c>
      <c r="H55" s="14">
        <v>1</v>
      </c>
      <c r="I55" s="14" t="s">
        <v>6314</v>
      </c>
      <c r="J55" s="22">
        <v>7.6149394182248906E-2</v>
      </c>
      <c r="K55" s="22">
        <v>0.92385060581775102</v>
      </c>
      <c r="L55" s="14">
        <v>0</v>
      </c>
    </row>
    <row r="56" spans="1:12" x14ac:dyDescent="0.25">
      <c r="A56" s="13" t="s">
        <v>5818</v>
      </c>
      <c r="B56" s="14" t="s">
        <v>22</v>
      </c>
      <c r="C56" s="14" t="s">
        <v>22</v>
      </c>
      <c r="D56" s="14" t="s">
        <v>181</v>
      </c>
      <c r="E56" s="14" t="s">
        <v>182</v>
      </c>
      <c r="F56" s="21">
        <v>1533.29</v>
      </c>
      <c r="G56" s="14">
        <v>836</v>
      </c>
      <c r="H56" s="14">
        <v>0</v>
      </c>
      <c r="I56" s="14">
        <v>6</v>
      </c>
      <c r="J56" s="22">
        <v>0.78163229945874602</v>
      </c>
      <c r="K56" s="22">
        <v>0.21836770054125401</v>
      </c>
      <c r="L56" s="14">
        <v>0</v>
      </c>
    </row>
    <row r="57" spans="1:12" x14ac:dyDescent="0.25">
      <c r="B57" s="14" t="s">
        <v>86</v>
      </c>
      <c r="C57" s="14" t="s">
        <v>183</v>
      </c>
      <c r="D57" s="14" t="s">
        <v>184</v>
      </c>
      <c r="E57" s="14" t="s">
        <v>185</v>
      </c>
      <c r="F57" s="21">
        <v>1870.32</v>
      </c>
      <c r="G57" s="14">
        <v>577</v>
      </c>
      <c r="H57" s="14">
        <v>0</v>
      </c>
      <c r="I57" s="14">
        <v>40</v>
      </c>
      <c r="J57" s="22">
        <v>8.2446470114451199E-3</v>
      </c>
      <c r="K57" s="22">
        <v>0.99175535298855499</v>
      </c>
      <c r="L57" s="14">
        <v>0</v>
      </c>
    </row>
    <row r="58" spans="1:12" x14ac:dyDescent="0.25">
      <c r="B58" s="14" t="s">
        <v>6348</v>
      </c>
      <c r="C58" s="14" t="s">
        <v>183</v>
      </c>
      <c r="D58" s="14" t="s">
        <v>184</v>
      </c>
      <c r="E58" s="14" t="s">
        <v>186</v>
      </c>
      <c r="F58" s="21">
        <v>1870.67</v>
      </c>
      <c r="G58" s="14">
        <v>902</v>
      </c>
      <c r="H58" s="14">
        <v>0</v>
      </c>
      <c r="I58" s="14">
        <v>9</v>
      </c>
      <c r="J58" s="22">
        <v>0.77091583934752195</v>
      </c>
      <c r="K58" s="22">
        <v>0.229084160652478</v>
      </c>
      <c r="L58" s="14">
        <v>0</v>
      </c>
    </row>
    <row r="59" spans="1:12" x14ac:dyDescent="0.25">
      <c r="A59" s="13" t="s">
        <v>187</v>
      </c>
      <c r="B59" s="14" t="s">
        <v>5417</v>
      </c>
      <c r="C59" s="14" t="s">
        <v>5518</v>
      </c>
      <c r="E59" s="14" t="s">
        <v>189</v>
      </c>
      <c r="F59" s="21">
        <v>2040</v>
      </c>
      <c r="G59" s="14">
        <v>309</v>
      </c>
      <c r="H59" s="14">
        <v>0</v>
      </c>
      <c r="I59" s="14">
        <v>22</v>
      </c>
      <c r="J59" s="22">
        <v>0.40418154303838799</v>
      </c>
      <c r="K59" s="22">
        <v>0.59581845696161195</v>
      </c>
      <c r="L59" s="14">
        <v>0</v>
      </c>
    </row>
    <row r="60" spans="1:12" ht="26.4" x14ac:dyDescent="0.25">
      <c r="A60" s="20" t="s">
        <v>6349</v>
      </c>
      <c r="B60" s="14" t="s">
        <v>191</v>
      </c>
      <c r="C60" s="14" t="s">
        <v>5517</v>
      </c>
      <c r="D60" s="14" t="s">
        <v>193</v>
      </c>
      <c r="E60" s="14" t="s">
        <v>194</v>
      </c>
      <c r="F60" s="21">
        <v>1891.19</v>
      </c>
      <c r="G60" s="14">
        <v>742</v>
      </c>
      <c r="H60" s="14">
        <v>0</v>
      </c>
      <c r="I60" s="14">
        <v>1</v>
      </c>
      <c r="J60" s="22">
        <v>0.77604857592957199</v>
      </c>
      <c r="K60" s="22">
        <v>0.22395142407042801</v>
      </c>
      <c r="L60" s="14">
        <v>0</v>
      </c>
    </row>
    <row r="61" spans="1:12" x14ac:dyDescent="0.25">
      <c r="A61" s="13" t="s">
        <v>195</v>
      </c>
      <c r="B61" s="14" t="s">
        <v>133</v>
      </c>
      <c r="C61" s="14" t="s">
        <v>196</v>
      </c>
      <c r="D61" s="14" t="s">
        <v>197</v>
      </c>
      <c r="E61" s="14" t="s">
        <v>198</v>
      </c>
      <c r="F61" s="21">
        <v>2465.77</v>
      </c>
      <c r="G61" s="14">
        <v>598</v>
      </c>
      <c r="H61" s="14">
        <v>1</v>
      </c>
      <c r="I61" s="14" t="s">
        <v>6314</v>
      </c>
      <c r="J61" s="22">
        <v>0.24321978732071101</v>
      </c>
      <c r="K61" s="22">
        <v>0.75678021267928897</v>
      </c>
      <c r="L61" s="14">
        <v>0</v>
      </c>
    </row>
    <row r="62" spans="1:12" x14ac:dyDescent="0.25">
      <c r="A62" s="13" t="s">
        <v>6350</v>
      </c>
      <c r="B62" s="14" t="s">
        <v>191</v>
      </c>
      <c r="C62" s="14" t="s">
        <v>192</v>
      </c>
      <c r="D62" s="14" t="s">
        <v>193</v>
      </c>
      <c r="E62" s="14" t="s">
        <v>200</v>
      </c>
      <c r="F62" s="21">
        <v>1953.76</v>
      </c>
      <c r="G62" s="14">
        <v>353</v>
      </c>
      <c r="H62" s="14">
        <v>1</v>
      </c>
      <c r="I62" s="14">
        <v>39</v>
      </c>
      <c r="J62" s="22">
        <v>0.88438689013302296</v>
      </c>
      <c r="K62" s="22">
        <v>0.115613109866977</v>
      </c>
      <c r="L62" s="14">
        <v>0</v>
      </c>
    </row>
    <row r="63" spans="1:12" x14ac:dyDescent="0.25">
      <c r="A63" s="13">
        <v>3813311</v>
      </c>
      <c r="B63" s="14" t="s">
        <v>5417</v>
      </c>
      <c r="C63" s="14" t="s">
        <v>188</v>
      </c>
      <c r="D63" s="14" t="s">
        <v>202</v>
      </c>
      <c r="E63" s="14" t="s">
        <v>203</v>
      </c>
      <c r="F63" s="21">
        <v>2040</v>
      </c>
      <c r="G63" s="14">
        <v>963</v>
      </c>
      <c r="H63" s="14">
        <v>0</v>
      </c>
      <c r="I63" s="14">
        <v>40</v>
      </c>
      <c r="J63" s="22">
        <v>9.6936973392792197E-2</v>
      </c>
      <c r="K63" s="22">
        <v>0.90306302660720805</v>
      </c>
      <c r="L63" s="14">
        <v>0</v>
      </c>
    </row>
    <row r="64" spans="1:12" x14ac:dyDescent="0.25">
      <c r="A64" s="13" t="s">
        <v>204</v>
      </c>
      <c r="B64" s="14" t="s">
        <v>5417</v>
      </c>
      <c r="C64" s="14" t="s">
        <v>188</v>
      </c>
      <c r="D64" s="14" t="s">
        <v>202</v>
      </c>
      <c r="E64" s="14" t="s">
        <v>205</v>
      </c>
      <c r="F64" s="21">
        <v>2040</v>
      </c>
      <c r="G64" s="14">
        <v>626</v>
      </c>
      <c r="H64" s="14">
        <v>1</v>
      </c>
      <c r="I64" s="14" t="s">
        <v>6314</v>
      </c>
      <c r="J64" s="22">
        <v>0.54027734880990397</v>
      </c>
      <c r="K64" s="22">
        <v>0.45972265119009598</v>
      </c>
      <c r="L64" s="14">
        <v>0</v>
      </c>
    </row>
    <row r="65" spans="1:12" x14ac:dyDescent="0.25">
      <c r="A65" s="13" t="s">
        <v>6351</v>
      </c>
      <c r="B65" s="14" t="s">
        <v>110</v>
      </c>
      <c r="C65" s="14" t="s">
        <v>188</v>
      </c>
      <c r="D65" s="14" t="s">
        <v>202</v>
      </c>
      <c r="E65" s="14" t="s">
        <v>207</v>
      </c>
      <c r="F65" s="21">
        <v>1700</v>
      </c>
      <c r="G65" s="14">
        <v>289</v>
      </c>
      <c r="H65" s="14">
        <v>1</v>
      </c>
      <c r="I65" s="14">
        <v>19</v>
      </c>
      <c r="J65" s="22">
        <v>0.78390842804966199</v>
      </c>
      <c r="K65" s="22">
        <v>0.21609157195033801</v>
      </c>
      <c r="L65" s="14">
        <v>0</v>
      </c>
    </row>
    <row r="66" spans="1:12" x14ac:dyDescent="0.25">
      <c r="A66" s="13" t="s">
        <v>6352</v>
      </c>
      <c r="B66" s="14" t="s">
        <v>17</v>
      </c>
      <c r="C66" s="14" t="s">
        <v>209</v>
      </c>
      <c r="D66" s="14" t="s">
        <v>210</v>
      </c>
      <c r="E66" s="14" t="s">
        <v>211</v>
      </c>
      <c r="F66" s="21">
        <v>2404.5300000000002</v>
      </c>
      <c r="G66" s="14">
        <v>671</v>
      </c>
      <c r="H66" s="14">
        <v>1</v>
      </c>
      <c r="I66" s="14">
        <v>38</v>
      </c>
      <c r="J66" s="22">
        <v>0.21261847494813399</v>
      </c>
      <c r="K66" s="22">
        <v>0.78738152505186598</v>
      </c>
      <c r="L66" s="14">
        <v>0</v>
      </c>
    </row>
    <row r="67" spans="1:12" x14ac:dyDescent="0.25">
      <c r="A67" s="13" t="s">
        <v>212</v>
      </c>
      <c r="B67" s="14" t="s">
        <v>213</v>
      </c>
      <c r="C67" s="14" t="s">
        <v>214</v>
      </c>
      <c r="D67" s="14" t="s">
        <v>215</v>
      </c>
      <c r="E67" s="14" t="s">
        <v>216</v>
      </c>
      <c r="F67" s="21">
        <v>2418.34</v>
      </c>
      <c r="G67" s="14">
        <v>865</v>
      </c>
      <c r="H67" s="14">
        <v>1</v>
      </c>
      <c r="I67" s="14">
        <v>31</v>
      </c>
      <c r="J67" s="22">
        <v>0.52011426511201597</v>
      </c>
      <c r="K67" s="22">
        <v>0.47988573488798397</v>
      </c>
      <c r="L67" s="14">
        <v>0</v>
      </c>
    </row>
    <row r="68" spans="1:12" x14ac:dyDescent="0.25">
      <c r="A68" s="13" t="s">
        <v>217</v>
      </c>
      <c r="B68" s="14" t="s">
        <v>17</v>
      </c>
      <c r="C68" s="14" t="s">
        <v>214</v>
      </c>
      <c r="D68" s="14" t="s">
        <v>215</v>
      </c>
      <c r="E68" s="14" t="s">
        <v>218</v>
      </c>
      <c r="F68" s="21">
        <v>2296.94</v>
      </c>
      <c r="G68" s="14">
        <v>522</v>
      </c>
      <c r="I68" s="14">
        <v>48</v>
      </c>
      <c r="J68" s="22">
        <v>0.66591684945169105</v>
      </c>
      <c r="K68" s="22">
        <v>0.334083150548309</v>
      </c>
      <c r="L68" s="14">
        <v>0</v>
      </c>
    </row>
    <row r="69" spans="1:12" x14ac:dyDescent="0.25">
      <c r="A69" s="13" t="s">
        <v>219</v>
      </c>
      <c r="B69" s="14" t="s">
        <v>17</v>
      </c>
      <c r="C69" s="14" t="s">
        <v>214</v>
      </c>
      <c r="D69" s="14" t="s">
        <v>215</v>
      </c>
      <c r="E69" s="14" t="s">
        <v>220</v>
      </c>
      <c r="F69" s="21">
        <v>2334.41</v>
      </c>
      <c r="G69" s="14">
        <v>658</v>
      </c>
      <c r="H69" s="14">
        <v>1</v>
      </c>
      <c r="I69" s="14">
        <v>12</v>
      </c>
      <c r="J69" s="22">
        <v>0.36606357614541002</v>
      </c>
      <c r="K69" s="22">
        <v>0.63393642385459004</v>
      </c>
      <c r="L69" s="14">
        <v>0</v>
      </c>
    </row>
    <row r="70" spans="1:12" x14ac:dyDescent="0.25">
      <c r="A70" s="13" t="s">
        <v>221</v>
      </c>
      <c r="B70" s="14" t="s">
        <v>17</v>
      </c>
      <c r="C70" s="14" t="s">
        <v>214</v>
      </c>
      <c r="D70" s="14" t="s">
        <v>215</v>
      </c>
      <c r="E70" s="14" t="s">
        <v>222</v>
      </c>
      <c r="F70" s="21">
        <v>2434.04</v>
      </c>
      <c r="G70" s="14">
        <v>14</v>
      </c>
      <c r="H70" s="14">
        <v>1</v>
      </c>
      <c r="I70" s="14">
        <v>17</v>
      </c>
      <c r="J70" s="22">
        <v>0.71742881260550595</v>
      </c>
      <c r="K70" s="22">
        <v>0.28257118739449399</v>
      </c>
      <c r="L70" s="14">
        <v>0</v>
      </c>
    </row>
    <row r="71" spans="1:12" x14ac:dyDescent="0.25">
      <c r="A71" s="13">
        <v>3567269</v>
      </c>
      <c r="B71" s="14" t="s">
        <v>17</v>
      </c>
      <c r="C71" s="14" t="s">
        <v>214</v>
      </c>
      <c r="D71" s="14" t="s">
        <v>215</v>
      </c>
      <c r="E71" s="14" t="s">
        <v>224</v>
      </c>
      <c r="F71" s="21">
        <v>3938.82</v>
      </c>
      <c r="G71" s="14">
        <v>714</v>
      </c>
      <c r="H71" s="14">
        <v>1</v>
      </c>
      <c r="I71" s="14">
        <v>19</v>
      </c>
      <c r="J71" s="22">
        <v>0.60827238330046896</v>
      </c>
      <c r="K71" s="22">
        <v>0.39172761669953099</v>
      </c>
      <c r="L71" s="14">
        <v>0</v>
      </c>
    </row>
    <row r="72" spans="1:12" x14ac:dyDescent="0.25">
      <c r="A72" s="13" t="s">
        <v>225</v>
      </c>
      <c r="B72" s="14" t="s">
        <v>5477</v>
      </c>
      <c r="C72" s="14" t="s">
        <v>226</v>
      </c>
      <c r="D72" s="14" t="s">
        <v>227</v>
      </c>
      <c r="E72" s="14" t="s">
        <v>228</v>
      </c>
      <c r="F72" s="21">
        <v>2307.0100000000002</v>
      </c>
      <c r="G72" s="14">
        <v>756</v>
      </c>
      <c r="H72" s="14">
        <v>1</v>
      </c>
      <c r="I72" s="14">
        <v>41</v>
      </c>
      <c r="J72" s="22">
        <v>0.34304247626972501</v>
      </c>
      <c r="K72" s="22">
        <v>0.65695752373027505</v>
      </c>
      <c r="L72" s="14">
        <v>0</v>
      </c>
    </row>
    <row r="73" spans="1:12" x14ac:dyDescent="0.25">
      <c r="A73" s="13" t="s">
        <v>5821</v>
      </c>
      <c r="B73" s="14" t="s">
        <v>86</v>
      </c>
      <c r="C73" s="14" t="s">
        <v>5522</v>
      </c>
      <c r="D73" s="14" t="s">
        <v>230</v>
      </c>
      <c r="E73" s="14" t="s">
        <v>231</v>
      </c>
      <c r="F73" s="21">
        <v>1500</v>
      </c>
      <c r="H73" s="14">
        <v>0</v>
      </c>
      <c r="I73" s="14" t="s">
        <v>6314</v>
      </c>
      <c r="J73" s="22">
        <v>0.59058504793205302</v>
      </c>
      <c r="K73" s="22">
        <v>0.40941495206794698</v>
      </c>
      <c r="L73" s="14">
        <v>0</v>
      </c>
    </row>
    <row r="74" spans="1:12" x14ac:dyDescent="0.25">
      <c r="A74" s="13">
        <v>3947303</v>
      </c>
      <c r="B74" s="14" t="s">
        <v>233</v>
      </c>
      <c r="C74" s="14" t="s">
        <v>234</v>
      </c>
      <c r="D74" s="14" t="s">
        <v>178</v>
      </c>
      <c r="E74" s="14" t="s">
        <v>235</v>
      </c>
      <c r="F74" s="21">
        <v>995.31</v>
      </c>
      <c r="G74" s="14">
        <v>106</v>
      </c>
      <c r="H74" s="14">
        <v>1</v>
      </c>
      <c r="I74" s="14">
        <v>18</v>
      </c>
      <c r="J74" s="22">
        <v>0.17713949197503301</v>
      </c>
      <c r="K74" s="22">
        <v>0.82286050802496702</v>
      </c>
      <c r="L74" s="14">
        <v>0</v>
      </c>
    </row>
    <row r="75" spans="1:12" x14ac:dyDescent="0.25">
      <c r="A75" s="13" t="s">
        <v>6353</v>
      </c>
      <c r="B75" s="14" t="s">
        <v>17</v>
      </c>
      <c r="C75" s="14" t="s">
        <v>237</v>
      </c>
      <c r="D75" s="14" t="s">
        <v>238</v>
      </c>
      <c r="E75" s="14" t="s">
        <v>239</v>
      </c>
      <c r="F75" s="21">
        <v>2377.65</v>
      </c>
      <c r="G75" s="14">
        <v>317</v>
      </c>
      <c r="H75" s="14">
        <v>0</v>
      </c>
      <c r="I75" s="14">
        <v>45</v>
      </c>
      <c r="J75" s="22">
        <v>0.43688484240471998</v>
      </c>
      <c r="K75" s="22">
        <v>0.56311515759527997</v>
      </c>
      <c r="L75" s="14">
        <v>0</v>
      </c>
    </row>
    <row r="76" spans="1:12" x14ac:dyDescent="0.25">
      <c r="A76" s="13" t="s">
        <v>6354</v>
      </c>
      <c r="B76" s="14" t="s">
        <v>17</v>
      </c>
      <c r="C76" s="14" t="s">
        <v>237</v>
      </c>
      <c r="D76" s="14" t="s">
        <v>238</v>
      </c>
      <c r="E76" s="14" t="s">
        <v>241</v>
      </c>
      <c r="F76" s="21">
        <v>2377.65</v>
      </c>
      <c r="G76" s="14">
        <v>210</v>
      </c>
      <c r="H76" s="14">
        <v>1</v>
      </c>
      <c r="I76" s="14">
        <v>32</v>
      </c>
      <c r="J76" s="22">
        <v>0.61042730930158695</v>
      </c>
      <c r="K76" s="22">
        <v>0.38957269069841299</v>
      </c>
      <c r="L76" s="14">
        <v>0</v>
      </c>
    </row>
    <row r="77" spans="1:12" x14ac:dyDescent="0.25">
      <c r="A77" s="13">
        <v>3708126</v>
      </c>
      <c r="B77" s="14" t="s">
        <v>6355</v>
      </c>
      <c r="C77" s="14" t="s">
        <v>6356</v>
      </c>
      <c r="D77" s="14" t="s">
        <v>238</v>
      </c>
      <c r="E77" s="14" t="s">
        <v>6357</v>
      </c>
      <c r="F77" s="21">
        <v>1834.77</v>
      </c>
      <c r="G77" s="14">
        <v>825</v>
      </c>
      <c r="H77" s="14">
        <v>0</v>
      </c>
      <c r="I77" s="14" t="s">
        <v>6314</v>
      </c>
      <c r="J77" s="22">
        <v>0.34321372070998701</v>
      </c>
      <c r="K77" s="22">
        <v>0.65678627929001299</v>
      </c>
      <c r="L77" s="14">
        <v>0</v>
      </c>
    </row>
    <row r="78" spans="1:12" x14ac:dyDescent="0.25">
      <c r="B78" s="14" t="s">
        <v>244</v>
      </c>
      <c r="C78" s="14" t="s">
        <v>177</v>
      </c>
      <c r="D78" s="14" t="s">
        <v>178</v>
      </c>
      <c r="E78" s="14" t="s">
        <v>245</v>
      </c>
      <c r="F78" s="21">
        <v>2351.73</v>
      </c>
      <c r="I78" s="14">
        <v>19</v>
      </c>
      <c r="J78" s="22">
        <v>0.30198471952205003</v>
      </c>
      <c r="K78" s="22">
        <v>0.69801528047795003</v>
      </c>
      <c r="L78" s="14">
        <v>0</v>
      </c>
    </row>
    <row r="79" spans="1:12" x14ac:dyDescent="0.25">
      <c r="A79" s="13" t="s">
        <v>5825</v>
      </c>
      <c r="B79" s="14" t="s">
        <v>246</v>
      </c>
      <c r="C79" s="14" t="s">
        <v>247</v>
      </c>
      <c r="D79" s="14" t="s">
        <v>248</v>
      </c>
      <c r="E79" s="14" t="s">
        <v>249</v>
      </c>
      <c r="F79" s="21">
        <v>1422.25</v>
      </c>
      <c r="G79" s="14">
        <v>217</v>
      </c>
      <c r="H79" s="14">
        <v>1</v>
      </c>
      <c r="I79" s="14">
        <v>22</v>
      </c>
      <c r="J79" s="22">
        <v>2.9030202201105901E-2</v>
      </c>
      <c r="K79" s="22">
        <v>0.97096979779889403</v>
      </c>
      <c r="L79" s="14">
        <v>0</v>
      </c>
    </row>
    <row r="80" spans="1:12" x14ac:dyDescent="0.25">
      <c r="A80" s="13" t="s">
        <v>6358</v>
      </c>
      <c r="B80" s="14" t="s">
        <v>5493</v>
      </c>
      <c r="C80" s="14" t="s">
        <v>250</v>
      </c>
      <c r="D80" s="14" t="s">
        <v>251</v>
      </c>
      <c r="E80" s="14" t="s">
        <v>252</v>
      </c>
      <c r="F80" s="21">
        <v>1884.3</v>
      </c>
      <c r="G80" s="14">
        <v>28</v>
      </c>
      <c r="H80" s="14">
        <v>0</v>
      </c>
      <c r="I80" s="14">
        <v>22</v>
      </c>
      <c r="J80" s="22">
        <v>0.64727691847617697</v>
      </c>
      <c r="K80" s="22">
        <v>0.35272308152382298</v>
      </c>
      <c r="L80" s="14">
        <v>0</v>
      </c>
    </row>
    <row r="81" spans="1:15" x14ac:dyDescent="0.25">
      <c r="A81" s="13" t="s">
        <v>253</v>
      </c>
      <c r="B81" s="14" t="s">
        <v>5493</v>
      </c>
      <c r="C81" s="14" t="s">
        <v>250</v>
      </c>
      <c r="D81" s="14" t="s">
        <v>251</v>
      </c>
      <c r="E81" s="14" t="s">
        <v>254</v>
      </c>
      <c r="F81" s="21">
        <v>2373.84</v>
      </c>
      <c r="G81" s="14">
        <v>419</v>
      </c>
      <c r="H81" s="14">
        <v>1</v>
      </c>
      <c r="I81" s="14">
        <v>20</v>
      </c>
      <c r="J81" s="22">
        <v>0.80848275715662998</v>
      </c>
      <c r="K81" s="22">
        <v>0.19151724284336999</v>
      </c>
      <c r="L81" s="14">
        <v>0</v>
      </c>
    </row>
    <row r="82" spans="1:15" x14ac:dyDescent="0.25">
      <c r="A82" s="13" t="s">
        <v>255</v>
      </c>
      <c r="B82" s="14" t="s">
        <v>5494</v>
      </c>
      <c r="C82" s="14" t="s">
        <v>250</v>
      </c>
      <c r="D82" s="14" t="s">
        <v>251</v>
      </c>
      <c r="E82" s="14" t="s">
        <v>256</v>
      </c>
      <c r="F82" s="21">
        <v>1900.7</v>
      </c>
      <c r="G82" s="14">
        <v>68</v>
      </c>
      <c r="H82" s="14">
        <v>0</v>
      </c>
      <c r="I82" s="14">
        <v>8</v>
      </c>
      <c r="J82" s="22">
        <v>0.55484267225238404</v>
      </c>
      <c r="K82" s="22">
        <v>0.44515732774761602</v>
      </c>
      <c r="L82" s="14">
        <v>0</v>
      </c>
    </row>
    <row r="83" spans="1:15" x14ac:dyDescent="0.25">
      <c r="A83" s="13" t="s">
        <v>257</v>
      </c>
      <c r="B83" s="14" t="s">
        <v>5475</v>
      </c>
      <c r="C83" s="14" t="s">
        <v>5525</v>
      </c>
      <c r="D83" s="14" t="s">
        <v>174</v>
      </c>
      <c r="E83" s="14" t="s">
        <v>258</v>
      </c>
      <c r="F83" s="21">
        <v>1646.36</v>
      </c>
      <c r="G83" s="14">
        <v>109</v>
      </c>
      <c r="H83" s="14">
        <v>1</v>
      </c>
      <c r="I83" s="14" t="s">
        <v>6314</v>
      </c>
      <c r="J83" s="22">
        <v>0.58972684594711799</v>
      </c>
      <c r="K83" s="22">
        <v>0.41027315405288201</v>
      </c>
      <c r="L83" s="14">
        <v>0</v>
      </c>
    </row>
    <row r="84" spans="1:15" x14ac:dyDescent="0.25">
      <c r="A84" s="13" t="s">
        <v>259</v>
      </c>
      <c r="B84" s="14" t="s">
        <v>5475</v>
      </c>
      <c r="C84" s="14" t="s">
        <v>5525</v>
      </c>
      <c r="D84" s="14" t="s">
        <v>174</v>
      </c>
      <c r="E84" s="14" t="s">
        <v>260</v>
      </c>
      <c r="F84" s="21">
        <v>1646.36</v>
      </c>
      <c r="G84" s="14">
        <v>517</v>
      </c>
      <c r="H84" s="14">
        <v>0</v>
      </c>
      <c r="I84" s="14">
        <v>42</v>
      </c>
      <c r="J84" s="22">
        <v>0.887769948884233</v>
      </c>
      <c r="K84" s="22">
        <v>0.112230051115767</v>
      </c>
      <c r="L84" s="14">
        <v>0</v>
      </c>
    </row>
    <row r="85" spans="1:15" x14ac:dyDescent="0.25">
      <c r="A85" s="13" t="s">
        <v>261</v>
      </c>
      <c r="B85" s="14" t="s">
        <v>5475</v>
      </c>
      <c r="C85" s="14" t="s">
        <v>5525</v>
      </c>
      <c r="D85" s="14" t="s">
        <v>174</v>
      </c>
      <c r="E85" s="14" t="s">
        <v>262</v>
      </c>
      <c r="F85" s="21">
        <v>1651.3</v>
      </c>
      <c r="G85" s="14">
        <v>955</v>
      </c>
      <c r="H85" s="14">
        <v>0</v>
      </c>
      <c r="I85" s="14">
        <v>29</v>
      </c>
      <c r="J85" s="22">
        <v>0.44988666358180102</v>
      </c>
      <c r="K85" s="22">
        <v>0.55011333641819904</v>
      </c>
      <c r="L85" s="14">
        <v>0</v>
      </c>
    </row>
    <row r="86" spans="1:15" x14ac:dyDescent="0.25">
      <c r="B86" s="14" t="s">
        <v>263</v>
      </c>
      <c r="C86" s="14" t="s">
        <v>263</v>
      </c>
      <c r="D86" s="14" t="s">
        <v>264</v>
      </c>
      <c r="E86" s="14" t="s">
        <v>265</v>
      </c>
      <c r="F86" s="21">
        <v>45.94</v>
      </c>
      <c r="G86" s="14">
        <v>896</v>
      </c>
      <c r="H86" s="14">
        <v>1</v>
      </c>
      <c r="I86" s="14">
        <v>41</v>
      </c>
      <c r="J86" s="22">
        <v>0.110627443784718</v>
      </c>
      <c r="K86" s="22">
        <v>0.889372556215282</v>
      </c>
      <c r="L86" s="14">
        <v>0</v>
      </c>
      <c r="O86" s="26"/>
    </row>
    <row r="87" spans="1:15" x14ac:dyDescent="0.25">
      <c r="A87" s="13" t="s">
        <v>267</v>
      </c>
      <c r="B87" s="14" t="s">
        <v>69</v>
      </c>
      <c r="C87" s="14" t="s">
        <v>5526</v>
      </c>
      <c r="D87" s="14" t="s">
        <v>269</v>
      </c>
      <c r="E87" s="14" t="s">
        <v>270</v>
      </c>
      <c r="F87" s="21">
        <v>1902.97</v>
      </c>
      <c r="G87" s="14">
        <v>988</v>
      </c>
      <c r="H87" s="14">
        <v>1</v>
      </c>
      <c r="I87" s="14">
        <v>2</v>
      </c>
      <c r="J87" s="22">
        <v>0.353765103646621</v>
      </c>
      <c r="K87" s="22">
        <v>0.64623489635337905</v>
      </c>
      <c r="L87" s="14">
        <v>0</v>
      </c>
    </row>
    <row r="88" spans="1:15" x14ac:dyDescent="0.25">
      <c r="A88" s="13" t="s">
        <v>6359</v>
      </c>
      <c r="B88" s="14" t="s">
        <v>17</v>
      </c>
      <c r="C88" s="14" t="s">
        <v>272</v>
      </c>
      <c r="D88" s="14" t="s">
        <v>273</v>
      </c>
      <c r="E88" s="14" t="s">
        <v>274</v>
      </c>
      <c r="F88" s="21">
        <v>2381.62</v>
      </c>
      <c r="G88" s="14">
        <v>171</v>
      </c>
      <c r="H88" s="14">
        <v>1</v>
      </c>
      <c r="I88" s="14" t="s">
        <v>6314</v>
      </c>
      <c r="J88" s="22">
        <v>0.76864344623978498</v>
      </c>
      <c r="K88" s="22">
        <v>0.23135655376021499</v>
      </c>
      <c r="L88" s="14">
        <v>0</v>
      </c>
    </row>
    <row r="89" spans="1:15" x14ac:dyDescent="0.25">
      <c r="A89" s="13" t="s">
        <v>275</v>
      </c>
      <c r="B89" s="14" t="s">
        <v>22</v>
      </c>
      <c r="C89" s="14" t="s">
        <v>276</v>
      </c>
      <c r="E89" s="14" t="s">
        <v>277</v>
      </c>
      <c r="F89" s="21">
        <v>759.67</v>
      </c>
      <c r="G89" s="14">
        <v>106</v>
      </c>
      <c r="H89" s="14">
        <v>1</v>
      </c>
      <c r="I89" s="14">
        <v>24</v>
      </c>
      <c r="J89" s="22">
        <v>0.26631865721012599</v>
      </c>
      <c r="K89" s="22">
        <v>0.73368134278987496</v>
      </c>
      <c r="L89" s="14">
        <v>0</v>
      </c>
    </row>
    <row r="90" spans="1:15" x14ac:dyDescent="0.25">
      <c r="A90" s="13">
        <v>23072351</v>
      </c>
      <c r="B90" s="14" t="s">
        <v>22</v>
      </c>
      <c r="C90" s="14" t="s">
        <v>276</v>
      </c>
      <c r="E90" s="14" t="s">
        <v>278</v>
      </c>
      <c r="F90" s="21">
        <v>2082.7399999999998</v>
      </c>
      <c r="G90" s="14">
        <v>524</v>
      </c>
      <c r="H90" s="14">
        <v>0</v>
      </c>
      <c r="I90" s="14">
        <v>38</v>
      </c>
      <c r="J90" s="22">
        <v>0.960327627347072</v>
      </c>
      <c r="K90" s="22">
        <v>3.96723726529278E-2</v>
      </c>
      <c r="L90" s="14">
        <v>0</v>
      </c>
    </row>
    <row r="91" spans="1:15" x14ac:dyDescent="0.25">
      <c r="A91" s="13" t="s">
        <v>279</v>
      </c>
      <c r="B91" s="14" t="s">
        <v>22</v>
      </c>
      <c r="C91" s="14" t="s">
        <v>276</v>
      </c>
      <c r="E91" s="14" t="s">
        <v>280</v>
      </c>
      <c r="F91" s="21">
        <v>2314.1</v>
      </c>
      <c r="G91" s="14">
        <v>253</v>
      </c>
      <c r="H91" s="14">
        <v>0</v>
      </c>
      <c r="I91" s="14">
        <v>2</v>
      </c>
      <c r="J91" s="22">
        <v>0.155547457981312</v>
      </c>
      <c r="K91" s="22">
        <v>0.84445254201868802</v>
      </c>
      <c r="L91" s="14">
        <v>0</v>
      </c>
    </row>
    <row r="92" spans="1:15" x14ac:dyDescent="0.25">
      <c r="A92" s="13" t="s">
        <v>6360</v>
      </c>
      <c r="B92" s="14" t="s">
        <v>5495</v>
      </c>
      <c r="C92" s="14" t="s">
        <v>5527</v>
      </c>
      <c r="D92" s="14" t="s">
        <v>283</v>
      </c>
      <c r="E92" s="14" t="s">
        <v>284</v>
      </c>
      <c r="F92" s="21">
        <v>3026.17</v>
      </c>
      <c r="G92" s="14">
        <v>549</v>
      </c>
      <c r="H92" s="14">
        <v>0</v>
      </c>
      <c r="I92" s="14">
        <v>17</v>
      </c>
      <c r="J92" s="22">
        <v>0.120933001595992</v>
      </c>
      <c r="K92" s="22">
        <v>0.87906699840400804</v>
      </c>
      <c r="L92" s="14">
        <v>0</v>
      </c>
    </row>
    <row r="93" spans="1:15" x14ac:dyDescent="0.25">
      <c r="A93" s="13" t="s">
        <v>285</v>
      </c>
      <c r="B93" s="14" t="s">
        <v>86</v>
      </c>
      <c r="C93" s="14" t="s">
        <v>5528</v>
      </c>
      <c r="D93" s="14" t="s">
        <v>286</v>
      </c>
      <c r="E93" s="14" t="s">
        <v>287</v>
      </c>
      <c r="F93" s="21">
        <v>2979.91</v>
      </c>
      <c r="G93" s="14">
        <v>66</v>
      </c>
      <c r="H93" s="14">
        <v>1</v>
      </c>
      <c r="I93" s="14">
        <v>2</v>
      </c>
      <c r="J93" s="22">
        <v>0.46722532270212902</v>
      </c>
      <c r="K93" s="22">
        <v>0.53277467729787098</v>
      </c>
      <c r="L93" s="14">
        <v>0</v>
      </c>
    </row>
    <row r="94" spans="1:15" x14ac:dyDescent="0.25">
      <c r="B94" s="14" t="s">
        <v>86</v>
      </c>
      <c r="C94" s="14" t="s">
        <v>5529</v>
      </c>
      <c r="D94" s="14" t="s">
        <v>286</v>
      </c>
      <c r="E94" s="14" t="s">
        <v>288</v>
      </c>
      <c r="F94" s="21">
        <v>2250</v>
      </c>
      <c r="G94" s="14">
        <v>985</v>
      </c>
      <c r="H94" s="14">
        <v>1</v>
      </c>
      <c r="I94" s="14">
        <v>28</v>
      </c>
      <c r="J94" s="22">
        <v>2.7110986709305299E-2</v>
      </c>
      <c r="K94" s="22">
        <v>0.97288901329069499</v>
      </c>
      <c r="L94" s="14">
        <v>0</v>
      </c>
    </row>
    <row r="95" spans="1:15" x14ac:dyDescent="0.25">
      <c r="A95" s="13" t="s">
        <v>6361</v>
      </c>
      <c r="B95" s="14" t="s">
        <v>5493</v>
      </c>
      <c r="C95" s="14" t="s">
        <v>282</v>
      </c>
      <c r="D95" s="14" t="s">
        <v>290</v>
      </c>
      <c r="E95" s="14" t="s">
        <v>291</v>
      </c>
      <c r="F95" s="21">
        <v>2437.19</v>
      </c>
      <c r="G95" s="14">
        <v>488</v>
      </c>
      <c r="H95" s="14">
        <v>1</v>
      </c>
      <c r="I95" s="14">
        <v>4</v>
      </c>
      <c r="J95" s="22">
        <v>0.655121350150629</v>
      </c>
      <c r="K95" s="22">
        <v>0.344878649849371</v>
      </c>
      <c r="L95" s="14">
        <v>0</v>
      </c>
    </row>
    <row r="96" spans="1:15" x14ac:dyDescent="0.25">
      <c r="A96" s="13" t="s">
        <v>6362</v>
      </c>
      <c r="B96" s="14" t="s">
        <v>5493</v>
      </c>
      <c r="C96" s="14" t="s">
        <v>282</v>
      </c>
      <c r="D96" s="14" t="s">
        <v>290</v>
      </c>
      <c r="E96" s="14" t="s">
        <v>293</v>
      </c>
      <c r="F96" s="21">
        <v>2437.19</v>
      </c>
      <c r="G96" s="14">
        <v>432</v>
      </c>
      <c r="H96" s="14">
        <v>0</v>
      </c>
      <c r="I96" s="14">
        <v>36</v>
      </c>
      <c r="J96" s="22">
        <v>0.39412542164367398</v>
      </c>
      <c r="K96" s="22">
        <v>0.60587457835632597</v>
      </c>
      <c r="L96" s="14">
        <v>0</v>
      </c>
    </row>
    <row r="97" spans="1:12" x14ac:dyDescent="0.25">
      <c r="A97" s="13" t="s">
        <v>6363</v>
      </c>
      <c r="B97" s="14" t="s">
        <v>5493</v>
      </c>
      <c r="C97" s="14" t="s">
        <v>282</v>
      </c>
      <c r="D97" s="14" t="s">
        <v>290</v>
      </c>
      <c r="E97" s="14" t="s">
        <v>295</v>
      </c>
      <c r="F97" s="21">
        <v>2437.19</v>
      </c>
      <c r="G97" s="14">
        <v>574</v>
      </c>
      <c r="H97" s="14">
        <v>1</v>
      </c>
      <c r="I97" s="14">
        <v>47</v>
      </c>
      <c r="J97" s="22">
        <v>0.20765139029779101</v>
      </c>
      <c r="K97" s="22">
        <v>0.79234860970220899</v>
      </c>
      <c r="L97" s="14">
        <v>0</v>
      </c>
    </row>
    <row r="98" spans="1:12" x14ac:dyDescent="0.25">
      <c r="A98" s="13" t="s">
        <v>296</v>
      </c>
      <c r="B98" s="14" t="s">
        <v>17</v>
      </c>
      <c r="C98" s="14" t="s">
        <v>297</v>
      </c>
      <c r="D98" s="14" t="s">
        <v>298</v>
      </c>
      <c r="E98" s="14" t="s">
        <v>299</v>
      </c>
      <c r="F98" s="21">
        <v>1806.38</v>
      </c>
      <c r="G98" s="14">
        <v>778</v>
      </c>
      <c r="H98" s="14">
        <v>0</v>
      </c>
      <c r="I98" s="14">
        <v>15</v>
      </c>
      <c r="J98" s="22">
        <v>0.78916660216052903</v>
      </c>
      <c r="K98" s="22">
        <v>0.210833397839471</v>
      </c>
      <c r="L98" s="14">
        <v>0</v>
      </c>
    </row>
    <row r="99" spans="1:12" x14ac:dyDescent="0.25">
      <c r="A99" s="13" t="s">
        <v>300</v>
      </c>
      <c r="B99" s="14" t="s">
        <v>17</v>
      </c>
      <c r="C99" s="14" t="s">
        <v>297</v>
      </c>
      <c r="D99" s="14" t="s">
        <v>298</v>
      </c>
      <c r="E99" s="14" t="s">
        <v>301</v>
      </c>
      <c r="F99" s="21">
        <v>1816.38</v>
      </c>
      <c r="G99" s="14">
        <v>418</v>
      </c>
      <c r="H99" s="14">
        <v>0</v>
      </c>
      <c r="I99" s="14" t="s">
        <v>6314</v>
      </c>
      <c r="J99" s="22">
        <v>0.108819477900474</v>
      </c>
      <c r="K99" s="22">
        <v>0.89118052209952603</v>
      </c>
      <c r="L99" s="14">
        <v>0</v>
      </c>
    </row>
    <row r="100" spans="1:12" x14ac:dyDescent="0.25">
      <c r="A100" s="13" t="s">
        <v>302</v>
      </c>
      <c r="B100" s="14" t="s">
        <v>86</v>
      </c>
      <c r="C100" s="14" t="s">
        <v>303</v>
      </c>
      <c r="D100" s="14" t="s">
        <v>304</v>
      </c>
      <c r="E100" s="14" t="s">
        <v>305</v>
      </c>
      <c r="F100" s="21">
        <v>2234.61</v>
      </c>
      <c r="G100" s="14">
        <v>774</v>
      </c>
      <c r="H100" s="14">
        <v>0</v>
      </c>
      <c r="I100" s="14">
        <v>11</v>
      </c>
      <c r="J100" s="22">
        <v>0.502114841996252</v>
      </c>
      <c r="K100" s="22">
        <v>0.497885158003748</v>
      </c>
      <c r="L100" s="14">
        <v>0</v>
      </c>
    </row>
    <row r="101" spans="1:12" x14ac:dyDescent="0.25">
      <c r="A101" s="13" t="s">
        <v>6364</v>
      </c>
      <c r="B101" s="14" t="s">
        <v>86</v>
      </c>
      <c r="C101" s="14" t="s">
        <v>307</v>
      </c>
      <c r="D101" s="14" t="s">
        <v>308</v>
      </c>
      <c r="E101" s="14" t="s">
        <v>309</v>
      </c>
      <c r="F101" s="21">
        <v>1500</v>
      </c>
      <c r="G101" s="14">
        <v>995</v>
      </c>
      <c r="H101" s="14">
        <v>1</v>
      </c>
      <c r="I101" s="14">
        <v>12</v>
      </c>
      <c r="J101" s="22">
        <v>0.56197428564004204</v>
      </c>
      <c r="K101" s="22">
        <v>0.43802571435995802</v>
      </c>
      <c r="L101" s="14">
        <v>0</v>
      </c>
    </row>
    <row r="102" spans="1:12" x14ac:dyDescent="0.25">
      <c r="A102" s="13" t="s">
        <v>310</v>
      </c>
      <c r="B102" s="14" t="s">
        <v>86</v>
      </c>
      <c r="C102" s="14" t="s">
        <v>307</v>
      </c>
      <c r="D102" s="14" t="s">
        <v>308</v>
      </c>
      <c r="E102" s="14" t="s">
        <v>311</v>
      </c>
      <c r="F102" s="21">
        <v>2184.2199999999998</v>
      </c>
      <c r="G102" s="14">
        <v>826</v>
      </c>
      <c r="H102" s="14">
        <v>0</v>
      </c>
      <c r="I102" s="14">
        <v>31</v>
      </c>
      <c r="J102" s="22">
        <v>0.62771935761527897</v>
      </c>
      <c r="K102" s="22">
        <v>0.37228064238472097</v>
      </c>
      <c r="L102" s="14">
        <v>0</v>
      </c>
    </row>
    <row r="103" spans="1:12" x14ac:dyDescent="0.25">
      <c r="A103" s="13" t="s">
        <v>312</v>
      </c>
      <c r="B103" s="14" t="s">
        <v>5493</v>
      </c>
      <c r="C103" s="14" t="s">
        <v>307</v>
      </c>
      <c r="D103" s="14" t="s">
        <v>308</v>
      </c>
      <c r="E103" s="14" t="s">
        <v>313</v>
      </c>
      <c r="F103" s="21">
        <v>2276.48</v>
      </c>
      <c r="G103" s="14">
        <v>730</v>
      </c>
      <c r="H103" s="14">
        <v>0</v>
      </c>
      <c r="I103" s="14">
        <v>19</v>
      </c>
      <c r="J103" s="22">
        <v>0.47342730518430898</v>
      </c>
      <c r="K103" s="22">
        <v>0.52657269481569102</v>
      </c>
      <c r="L103" s="14">
        <v>0</v>
      </c>
    </row>
    <row r="104" spans="1:12" ht="26.4" x14ac:dyDescent="0.25">
      <c r="A104" s="20" t="s">
        <v>6365</v>
      </c>
      <c r="B104" s="14" t="s">
        <v>86</v>
      </c>
      <c r="C104" s="14" t="s">
        <v>6366</v>
      </c>
      <c r="D104" s="14" t="s">
        <v>308</v>
      </c>
      <c r="E104" s="14" t="s">
        <v>315</v>
      </c>
      <c r="F104" s="21">
        <v>2010.24</v>
      </c>
      <c r="G104" s="14">
        <v>196</v>
      </c>
      <c r="H104" s="14">
        <v>0</v>
      </c>
      <c r="I104" s="14">
        <v>33</v>
      </c>
      <c r="J104" s="22">
        <v>0.87717195275607895</v>
      </c>
      <c r="K104" s="22">
        <v>0.122828047243921</v>
      </c>
      <c r="L104" s="14">
        <v>0</v>
      </c>
    </row>
    <row r="105" spans="1:12" ht="39.6" x14ac:dyDescent="0.25">
      <c r="A105" s="20" t="s">
        <v>6367</v>
      </c>
      <c r="B105" s="14" t="s">
        <v>86</v>
      </c>
      <c r="C105" s="14" t="s">
        <v>6366</v>
      </c>
      <c r="D105" s="14" t="s">
        <v>308</v>
      </c>
      <c r="E105" s="14" t="s">
        <v>317</v>
      </c>
      <c r="F105" s="21">
        <v>2010.24</v>
      </c>
      <c r="G105" s="14">
        <v>167</v>
      </c>
      <c r="H105" s="14">
        <v>1</v>
      </c>
      <c r="I105" s="14">
        <v>7</v>
      </c>
      <c r="J105" s="22">
        <v>0.12591185526672699</v>
      </c>
      <c r="K105" s="22">
        <v>0.87408814473327301</v>
      </c>
      <c r="L105" s="14">
        <v>0</v>
      </c>
    </row>
    <row r="106" spans="1:12" x14ac:dyDescent="0.25">
      <c r="A106" s="13" t="s">
        <v>318</v>
      </c>
      <c r="B106" s="14" t="s">
        <v>5460</v>
      </c>
      <c r="C106" s="14" t="s">
        <v>319</v>
      </c>
      <c r="D106" s="14" t="s">
        <v>320</v>
      </c>
      <c r="E106" s="14" t="s">
        <v>321</v>
      </c>
      <c r="F106" s="21">
        <v>2337.6</v>
      </c>
      <c r="G106" s="14">
        <v>591</v>
      </c>
      <c r="H106" s="14">
        <v>0</v>
      </c>
      <c r="I106" s="14">
        <v>34</v>
      </c>
      <c r="J106" s="22">
        <v>4.8964606614512202E-3</v>
      </c>
      <c r="K106" s="22">
        <v>0.995103539338549</v>
      </c>
      <c r="L106" s="14">
        <v>0</v>
      </c>
    </row>
    <row r="107" spans="1:12" x14ac:dyDescent="0.25">
      <c r="B107" s="14" t="s">
        <v>86</v>
      </c>
      <c r="C107" s="14" t="s">
        <v>322</v>
      </c>
      <c r="D107" s="14" t="s">
        <v>323</v>
      </c>
      <c r="E107" s="14" t="s">
        <v>324</v>
      </c>
      <c r="F107" s="21">
        <v>1500</v>
      </c>
      <c r="G107" s="14">
        <v>383</v>
      </c>
      <c r="H107" s="14">
        <v>0</v>
      </c>
      <c r="I107" s="14">
        <v>1</v>
      </c>
      <c r="J107" s="22">
        <v>0.37754438905749699</v>
      </c>
      <c r="K107" s="22">
        <v>0.62245561094250301</v>
      </c>
      <c r="L107" s="14">
        <v>0</v>
      </c>
    </row>
    <row r="108" spans="1:12" x14ac:dyDescent="0.25">
      <c r="A108" s="13" t="s">
        <v>325</v>
      </c>
      <c r="B108" s="14" t="s">
        <v>86</v>
      </c>
      <c r="C108" s="14" t="s">
        <v>322</v>
      </c>
      <c r="D108" s="14" t="s">
        <v>323</v>
      </c>
      <c r="E108" s="14" t="s">
        <v>326</v>
      </c>
      <c r="F108" s="21">
        <v>2293.27</v>
      </c>
      <c r="G108" s="14">
        <v>986</v>
      </c>
      <c r="H108" s="14">
        <v>1</v>
      </c>
      <c r="I108" s="14">
        <v>42</v>
      </c>
      <c r="J108" s="22">
        <v>0.126725050098426</v>
      </c>
      <c r="K108" s="22">
        <v>0.87327494990157395</v>
      </c>
      <c r="L108" s="14">
        <v>0</v>
      </c>
    </row>
    <row r="109" spans="1:12" x14ac:dyDescent="0.25">
      <c r="A109" s="13" t="s">
        <v>6368</v>
      </c>
      <c r="B109" s="14" t="s">
        <v>328</v>
      </c>
      <c r="C109" s="14" t="s">
        <v>5530</v>
      </c>
      <c r="D109" s="14" t="s">
        <v>330</v>
      </c>
      <c r="E109" s="14" t="s">
        <v>331</v>
      </c>
      <c r="F109" s="21">
        <v>1831.18</v>
      </c>
      <c r="G109" s="14">
        <v>37</v>
      </c>
      <c r="H109" s="14">
        <v>1</v>
      </c>
      <c r="I109" s="14">
        <v>4</v>
      </c>
      <c r="J109" s="22">
        <v>0.43106742565133199</v>
      </c>
      <c r="K109" s="22">
        <v>0.56893257434866795</v>
      </c>
      <c r="L109" s="14">
        <v>0</v>
      </c>
    </row>
    <row r="110" spans="1:12" x14ac:dyDescent="0.25">
      <c r="A110" s="13" t="s">
        <v>6369</v>
      </c>
      <c r="B110" s="14" t="s">
        <v>333</v>
      </c>
      <c r="C110" s="14" t="s">
        <v>329</v>
      </c>
      <c r="D110" s="14" t="s">
        <v>330</v>
      </c>
      <c r="E110" s="14" t="s">
        <v>334</v>
      </c>
      <c r="F110" s="21">
        <v>1287.19</v>
      </c>
      <c r="G110" s="14">
        <v>20</v>
      </c>
      <c r="H110" s="14">
        <v>1</v>
      </c>
      <c r="I110" s="14">
        <v>39</v>
      </c>
      <c r="J110" s="22">
        <v>0.74699297873485404</v>
      </c>
      <c r="K110" s="22">
        <v>0.25300702126514601</v>
      </c>
      <c r="L110" s="14">
        <v>0</v>
      </c>
    </row>
    <row r="111" spans="1:12" x14ac:dyDescent="0.25">
      <c r="A111" s="13" t="s">
        <v>6370</v>
      </c>
      <c r="B111" s="14" t="s">
        <v>333</v>
      </c>
      <c r="C111" s="14" t="s">
        <v>329</v>
      </c>
      <c r="D111" s="14" t="s">
        <v>330</v>
      </c>
      <c r="E111" s="14" t="s">
        <v>336</v>
      </c>
      <c r="F111" s="21">
        <v>1287.2</v>
      </c>
      <c r="G111" s="14">
        <v>217</v>
      </c>
      <c r="H111" s="14">
        <v>0</v>
      </c>
      <c r="I111" s="14">
        <v>32</v>
      </c>
      <c r="J111" s="22">
        <v>0.92397073684804298</v>
      </c>
      <c r="K111" s="22">
        <v>7.6029263151957502E-2</v>
      </c>
      <c r="L111" s="14">
        <v>0</v>
      </c>
    </row>
    <row r="112" spans="1:12" x14ac:dyDescent="0.25">
      <c r="A112" s="13" t="s">
        <v>6371</v>
      </c>
      <c r="B112" s="14" t="s">
        <v>333</v>
      </c>
      <c r="C112" s="14" t="s">
        <v>329</v>
      </c>
      <c r="D112" s="14" t="s">
        <v>330</v>
      </c>
      <c r="E112" s="14" t="s">
        <v>338</v>
      </c>
      <c r="F112" s="21">
        <v>1521.66</v>
      </c>
      <c r="G112" s="14">
        <v>976</v>
      </c>
      <c r="H112" s="14">
        <v>1</v>
      </c>
      <c r="I112" s="14">
        <v>29</v>
      </c>
      <c r="J112" s="22">
        <v>0.916660903825952</v>
      </c>
      <c r="K112" s="22">
        <v>8.3339096174047805E-2</v>
      </c>
      <c r="L112" s="14">
        <v>0</v>
      </c>
    </row>
    <row r="113" spans="1:12" x14ac:dyDescent="0.25">
      <c r="A113" s="13" t="s">
        <v>6372</v>
      </c>
      <c r="B113" s="14" t="s">
        <v>5334</v>
      </c>
      <c r="C113" s="14" t="s">
        <v>329</v>
      </c>
      <c r="D113" s="14" t="s">
        <v>330</v>
      </c>
      <c r="E113" s="14" t="s">
        <v>340</v>
      </c>
      <c r="F113" s="21">
        <v>1299.3900000000001</v>
      </c>
      <c r="G113" s="14">
        <v>469</v>
      </c>
      <c r="H113" s="14">
        <v>1</v>
      </c>
      <c r="I113" s="14">
        <v>48</v>
      </c>
      <c r="J113" s="22">
        <v>0.43845076090483198</v>
      </c>
      <c r="K113" s="22">
        <v>0.56154923909516796</v>
      </c>
      <c r="L113" s="14">
        <v>0</v>
      </c>
    </row>
    <row r="114" spans="1:12" x14ac:dyDescent="0.25">
      <c r="A114" s="13">
        <v>23877697</v>
      </c>
      <c r="B114" s="14" t="s">
        <v>333</v>
      </c>
      <c r="C114" s="14" t="s">
        <v>5531</v>
      </c>
      <c r="D114" s="14" t="s">
        <v>330</v>
      </c>
      <c r="E114" s="14" t="s">
        <v>341</v>
      </c>
      <c r="F114" s="21">
        <v>3750.05</v>
      </c>
      <c r="G114" s="14">
        <v>225</v>
      </c>
      <c r="H114" s="14">
        <v>1</v>
      </c>
      <c r="I114" s="14">
        <v>11</v>
      </c>
      <c r="J114" s="22">
        <v>0.56794138459707499</v>
      </c>
      <c r="K114" s="22">
        <v>0.43205861540292501</v>
      </c>
      <c r="L114" s="14">
        <v>0</v>
      </c>
    </row>
    <row r="115" spans="1:12" x14ac:dyDescent="0.25">
      <c r="A115" s="13" t="s">
        <v>342</v>
      </c>
      <c r="B115" s="14" t="s">
        <v>343</v>
      </c>
      <c r="C115" s="14" t="s">
        <v>5532</v>
      </c>
      <c r="D115" s="14" t="s">
        <v>345</v>
      </c>
      <c r="E115" s="14" t="s">
        <v>346</v>
      </c>
      <c r="F115" s="21">
        <v>1347.79</v>
      </c>
      <c r="G115" s="14">
        <v>509</v>
      </c>
      <c r="H115" s="14">
        <v>1</v>
      </c>
      <c r="I115" s="14">
        <v>48</v>
      </c>
      <c r="J115" s="22">
        <v>0.39561025861275101</v>
      </c>
      <c r="K115" s="22">
        <v>0.60438974138724899</v>
      </c>
      <c r="L115" s="14">
        <v>0</v>
      </c>
    </row>
    <row r="116" spans="1:12" x14ac:dyDescent="0.25">
      <c r="A116" s="13" t="s">
        <v>6373</v>
      </c>
      <c r="B116" s="14" t="s">
        <v>343</v>
      </c>
      <c r="C116" s="14" t="s">
        <v>344</v>
      </c>
      <c r="D116" s="14" t="s">
        <v>345</v>
      </c>
      <c r="E116" s="14" t="s">
        <v>347</v>
      </c>
      <c r="F116" s="21">
        <v>1681.94</v>
      </c>
      <c r="G116" s="14">
        <v>350</v>
      </c>
      <c r="H116" s="14">
        <v>1</v>
      </c>
      <c r="I116" s="14">
        <v>25</v>
      </c>
      <c r="J116" s="22">
        <v>0.32588619969515098</v>
      </c>
      <c r="K116" s="22">
        <v>0.67411380030484902</v>
      </c>
      <c r="L116" s="14">
        <v>0</v>
      </c>
    </row>
    <row r="117" spans="1:12" x14ac:dyDescent="0.25">
      <c r="A117" s="13">
        <v>23758132</v>
      </c>
      <c r="B117" s="14" t="s">
        <v>5402</v>
      </c>
      <c r="C117" s="14" t="s">
        <v>344</v>
      </c>
      <c r="D117" s="14" t="s">
        <v>345</v>
      </c>
      <c r="E117" s="14" t="s">
        <v>348</v>
      </c>
      <c r="F117" s="21">
        <v>2528.64</v>
      </c>
      <c r="G117" s="14">
        <v>741</v>
      </c>
      <c r="H117" s="14">
        <v>0</v>
      </c>
      <c r="I117" s="14">
        <v>22</v>
      </c>
      <c r="J117" s="22">
        <v>0.23920996637775899</v>
      </c>
      <c r="K117" s="22">
        <v>0.76079003362224096</v>
      </c>
      <c r="L117" s="14">
        <v>0</v>
      </c>
    </row>
    <row r="118" spans="1:12" x14ac:dyDescent="0.25">
      <c r="A118" s="13" t="s">
        <v>5830</v>
      </c>
      <c r="B118" s="14" t="s">
        <v>17</v>
      </c>
      <c r="C118" s="14" t="s">
        <v>349</v>
      </c>
      <c r="D118" s="14" t="s">
        <v>350</v>
      </c>
      <c r="E118" s="14" t="s">
        <v>351</v>
      </c>
      <c r="F118" s="21">
        <v>2377.65</v>
      </c>
      <c r="G118" s="14">
        <v>964</v>
      </c>
      <c r="H118" s="14">
        <v>0</v>
      </c>
      <c r="I118" s="14">
        <v>25</v>
      </c>
      <c r="J118" s="22">
        <v>0.70590029846050895</v>
      </c>
      <c r="K118" s="22">
        <v>0.294099701539492</v>
      </c>
      <c r="L118" s="14">
        <v>0</v>
      </c>
    </row>
    <row r="119" spans="1:12" x14ac:dyDescent="0.25">
      <c r="A119" s="13">
        <v>21903599</v>
      </c>
      <c r="B119" s="14" t="s">
        <v>5348</v>
      </c>
      <c r="C119" s="14" t="s">
        <v>353</v>
      </c>
      <c r="D119" s="14" t="s">
        <v>354</v>
      </c>
      <c r="E119" s="14" t="s">
        <v>355</v>
      </c>
      <c r="F119" s="21">
        <v>2040</v>
      </c>
      <c r="G119" s="14">
        <v>72</v>
      </c>
      <c r="H119" s="14">
        <v>0</v>
      </c>
      <c r="I119" s="14">
        <v>6</v>
      </c>
      <c r="J119" s="22">
        <v>0.95620303489284697</v>
      </c>
      <c r="K119" s="22">
        <v>4.3796965107153502E-2</v>
      </c>
      <c r="L119" s="14">
        <v>0</v>
      </c>
    </row>
    <row r="120" spans="1:12" x14ac:dyDescent="0.25">
      <c r="A120" s="13">
        <v>24061777</v>
      </c>
      <c r="B120" s="14" t="s">
        <v>5348</v>
      </c>
      <c r="C120" s="14" t="s">
        <v>353</v>
      </c>
      <c r="D120" s="14" t="s">
        <v>354</v>
      </c>
      <c r="E120" s="14" t="s">
        <v>356</v>
      </c>
      <c r="F120" s="21">
        <v>2340</v>
      </c>
      <c r="G120" s="14">
        <v>225</v>
      </c>
      <c r="H120" s="14">
        <v>1</v>
      </c>
      <c r="I120" s="14">
        <v>22</v>
      </c>
      <c r="J120" s="22">
        <v>0.31029469707414198</v>
      </c>
      <c r="K120" s="22">
        <v>0.68970530292585797</v>
      </c>
      <c r="L120" s="14">
        <v>0</v>
      </c>
    </row>
    <row r="121" spans="1:12" x14ac:dyDescent="0.25">
      <c r="A121" s="13" t="s">
        <v>6374</v>
      </c>
      <c r="B121" s="14" t="s">
        <v>5350</v>
      </c>
      <c r="C121" s="14" t="s">
        <v>353</v>
      </c>
      <c r="D121" s="14" t="s">
        <v>354</v>
      </c>
      <c r="E121" s="14" t="s">
        <v>6375</v>
      </c>
      <c r="F121" s="21">
        <v>2040</v>
      </c>
      <c r="G121" s="14">
        <v>132</v>
      </c>
      <c r="H121" s="14">
        <v>1</v>
      </c>
      <c r="I121" s="14">
        <v>11</v>
      </c>
      <c r="J121" s="22">
        <v>0.40256899836910098</v>
      </c>
      <c r="K121" s="22">
        <v>0.59743100163089902</v>
      </c>
      <c r="L121" s="14">
        <v>0</v>
      </c>
    </row>
    <row r="122" spans="1:12" ht="39.6" x14ac:dyDescent="0.25">
      <c r="A122" s="20" t="s">
        <v>6376</v>
      </c>
      <c r="B122" s="14" t="s">
        <v>86</v>
      </c>
      <c r="C122" s="14" t="s">
        <v>5533</v>
      </c>
      <c r="D122" s="14" t="s">
        <v>361</v>
      </c>
      <c r="E122" s="14" t="s">
        <v>362</v>
      </c>
      <c r="F122" s="21">
        <v>1000</v>
      </c>
      <c r="G122" s="14">
        <v>644</v>
      </c>
      <c r="H122" s="14">
        <v>1</v>
      </c>
      <c r="I122" s="14">
        <v>50</v>
      </c>
      <c r="J122" s="22">
        <v>0.73377191651389095</v>
      </c>
      <c r="K122" s="22">
        <v>0.26622808348610899</v>
      </c>
      <c r="L122" s="14">
        <v>0</v>
      </c>
    </row>
    <row r="123" spans="1:12" ht="26.4" x14ac:dyDescent="0.25">
      <c r="A123" s="20" t="s">
        <v>6377</v>
      </c>
      <c r="B123" s="14" t="s">
        <v>86</v>
      </c>
      <c r="C123" s="14" t="s">
        <v>5533</v>
      </c>
      <c r="D123" s="14" t="s">
        <v>361</v>
      </c>
      <c r="E123" s="14" t="s">
        <v>364</v>
      </c>
      <c r="F123" s="21">
        <v>1500</v>
      </c>
      <c r="H123" s="14">
        <v>0</v>
      </c>
      <c r="I123" s="14">
        <v>47</v>
      </c>
      <c r="J123" s="22">
        <v>0.35190068630917098</v>
      </c>
      <c r="K123" s="22">
        <v>0.64809931369082896</v>
      </c>
      <c r="L123" s="14">
        <v>0</v>
      </c>
    </row>
    <row r="124" spans="1:12" x14ac:dyDescent="0.25">
      <c r="B124" s="14" t="s">
        <v>86</v>
      </c>
      <c r="C124" s="14" t="s">
        <v>5533</v>
      </c>
      <c r="D124" s="14" t="s">
        <v>361</v>
      </c>
      <c r="E124" s="14" t="s">
        <v>365</v>
      </c>
      <c r="F124" s="21">
        <v>1969.02</v>
      </c>
      <c r="G124" s="14">
        <v>980</v>
      </c>
      <c r="H124" s="14">
        <v>0</v>
      </c>
      <c r="I124" s="14">
        <v>11</v>
      </c>
      <c r="J124" s="22">
        <v>0.64105258584588398</v>
      </c>
      <c r="K124" s="22">
        <v>0.35894741415411702</v>
      </c>
      <c r="L124" s="14">
        <v>0</v>
      </c>
    </row>
    <row r="125" spans="1:12" x14ac:dyDescent="0.25">
      <c r="A125" s="13" t="s">
        <v>6378</v>
      </c>
      <c r="B125" s="14" t="s">
        <v>86</v>
      </c>
      <c r="C125" s="14" t="s">
        <v>360</v>
      </c>
      <c r="D125" s="14" t="s">
        <v>361</v>
      </c>
      <c r="E125" s="14" t="s">
        <v>367</v>
      </c>
      <c r="F125" s="21">
        <v>1500</v>
      </c>
      <c r="G125" s="14">
        <v>770</v>
      </c>
      <c r="H125" s="14">
        <v>1</v>
      </c>
      <c r="I125" s="14">
        <v>37</v>
      </c>
      <c r="J125" s="22">
        <v>0.65169100746127395</v>
      </c>
      <c r="K125" s="22">
        <v>0.34830899253872599</v>
      </c>
      <c r="L125" s="14">
        <v>0</v>
      </c>
    </row>
    <row r="126" spans="1:12" x14ac:dyDescent="0.25">
      <c r="A126" s="13" t="s">
        <v>5835</v>
      </c>
      <c r="B126" s="14" t="s">
        <v>86</v>
      </c>
      <c r="C126" s="14" t="s">
        <v>360</v>
      </c>
      <c r="D126" s="14" t="s">
        <v>361</v>
      </c>
      <c r="E126" s="14" t="s">
        <v>369</v>
      </c>
      <c r="F126" s="21">
        <v>1500</v>
      </c>
      <c r="G126" s="14">
        <v>890</v>
      </c>
      <c r="H126" s="14">
        <v>0</v>
      </c>
      <c r="I126" s="14" t="s">
        <v>6314</v>
      </c>
      <c r="J126" s="22">
        <v>0.13421521297026701</v>
      </c>
      <c r="K126" s="22">
        <v>0.86578478702973305</v>
      </c>
      <c r="L126" s="14">
        <v>0</v>
      </c>
    </row>
    <row r="127" spans="1:12" x14ac:dyDescent="0.25">
      <c r="A127" s="13" t="s">
        <v>6379</v>
      </c>
      <c r="B127" s="14" t="s">
        <v>148</v>
      </c>
      <c r="C127" s="14" t="s">
        <v>5534</v>
      </c>
      <c r="D127" s="14" t="s">
        <v>371</v>
      </c>
      <c r="E127" s="14" t="s">
        <v>372</v>
      </c>
      <c r="F127" s="21">
        <v>1608</v>
      </c>
      <c r="G127" s="14">
        <v>365</v>
      </c>
      <c r="H127" s="14">
        <v>1</v>
      </c>
      <c r="I127" s="14">
        <v>3</v>
      </c>
      <c r="J127" s="22">
        <v>0.99579023544568201</v>
      </c>
      <c r="K127" s="22">
        <v>4.2097645543182098E-3</v>
      </c>
      <c r="L127" s="14">
        <v>0</v>
      </c>
    </row>
    <row r="128" spans="1:12" x14ac:dyDescent="0.25">
      <c r="B128" s="14" t="s">
        <v>5345</v>
      </c>
      <c r="C128" s="14" t="s">
        <v>370</v>
      </c>
      <c r="D128" s="14" t="s">
        <v>371</v>
      </c>
      <c r="E128" s="14" t="s">
        <v>373</v>
      </c>
      <c r="F128" s="21">
        <v>1315.8</v>
      </c>
      <c r="G128" s="14">
        <v>765</v>
      </c>
      <c r="H128" s="14">
        <v>0</v>
      </c>
      <c r="I128" s="14">
        <v>31</v>
      </c>
      <c r="J128" s="22">
        <v>0.217586340982</v>
      </c>
      <c r="K128" s="22">
        <v>0.78241365901799997</v>
      </c>
      <c r="L128" s="14">
        <v>0</v>
      </c>
    </row>
    <row r="129" spans="1:12" x14ac:dyDescent="0.25">
      <c r="A129" s="13" t="s">
        <v>5806</v>
      </c>
      <c r="B129" s="14" t="s">
        <v>17</v>
      </c>
      <c r="C129" s="14" t="s">
        <v>374</v>
      </c>
      <c r="D129" s="14" t="s">
        <v>178</v>
      </c>
      <c r="E129" s="14" t="s">
        <v>375</v>
      </c>
      <c r="F129" s="21">
        <v>2014.59</v>
      </c>
      <c r="G129" s="14">
        <v>829</v>
      </c>
      <c r="H129" s="14">
        <v>1</v>
      </c>
      <c r="I129" s="14">
        <v>44</v>
      </c>
      <c r="J129" s="22">
        <v>0.287943717305848</v>
      </c>
      <c r="K129" s="22">
        <v>0.712056282694152</v>
      </c>
      <c r="L129" s="14">
        <v>0</v>
      </c>
    </row>
    <row r="130" spans="1:12" x14ac:dyDescent="0.25">
      <c r="A130" s="13" t="s">
        <v>6380</v>
      </c>
      <c r="B130" s="14" t="s">
        <v>17</v>
      </c>
      <c r="C130" s="14" t="s">
        <v>374</v>
      </c>
      <c r="D130" s="14" t="s">
        <v>178</v>
      </c>
      <c r="E130" s="14" t="s">
        <v>377</v>
      </c>
      <c r="F130" s="21">
        <v>2423.27</v>
      </c>
      <c r="H130" s="14">
        <v>0</v>
      </c>
      <c r="I130" s="14">
        <v>27</v>
      </c>
      <c r="J130" s="22">
        <v>0.43206271809130098</v>
      </c>
      <c r="K130" s="22">
        <v>0.56793728190869897</v>
      </c>
      <c r="L130" s="14">
        <v>0</v>
      </c>
    </row>
    <row r="131" spans="1:12" x14ac:dyDescent="0.25">
      <c r="B131" s="14" t="s">
        <v>378</v>
      </c>
      <c r="C131" s="14" t="s">
        <v>379</v>
      </c>
      <c r="D131" s="14" t="s">
        <v>380</v>
      </c>
      <c r="E131" s="14" t="s">
        <v>381</v>
      </c>
      <c r="F131" s="21">
        <v>1453.42</v>
      </c>
      <c r="G131" s="14">
        <v>207</v>
      </c>
      <c r="H131" s="14">
        <v>0</v>
      </c>
      <c r="I131" s="14">
        <v>43</v>
      </c>
      <c r="J131" s="22">
        <v>0.31991419302996299</v>
      </c>
      <c r="K131" s="22">
        <v>0.68008580697003695</v>
      </c>
      <c r="L131" s="14">
        <v>0</v>
      </c>
    </row>
    <row r="132" spans="1:12" x14ac:dyDescent="0.25">
      <c r="B132" s="14" t="s">
        <v>17</v>
      </c>
      <c r="C132" s="14" t="s">
        <v>382</v>
      </c>
      <c r="D132" s="14" t="s">
        <v>383</v>
      </c>
      <c r="E132" s="14" t="s">
        <v>384</v>
      </c>
      <c r="F132" s="21">
        <v>2317.94</v>
      </c>
      <c r="G132" s="14">
        <v>792</v>
      </c>
      <c r="H132" s="14">
        <v>0</v>
      </c>
      <c r="I132" s="14">
        <v>1</v>
      </c>
      <c r="J132" s="22">
        <v>0.56027911909518402</v>
      </c>
      <c r="K132" s="22">
        <v>0.43972088090481598</v>
      </c>
      <c r="L132" s="14">
        <v>0</v>
      </c>
    </row>
    <row r="133" spans="1:12" x14ac:dyDescent="0.25">
      <c r="A133" s="13" t="s">
        <v>385</v>
      </c>
      <c r="B133" s="14" t="s">
        <v>17</v>
      </c>
      <c r="C133" s="14" t="s">
        <v>382</v>
      </c>
      <c r="D133" s="14" t="s">
        <v>383</v>
      </c>
      <c r="E133" s="14" t="s">
        <v>386</v>
      </c>
      <c r="F133" s="21">
        <v>2404.27</v>
      </c>
      <c r="G133" s="14">
        <v>45</v>
      </c>
      <c r="H133" s="14">
        <v>0</v>
      </c>
      <c r="I133" s="14">
        <v>36</v>
      </c>
      <c r="J133" s="22">
        <v>0.13799960787059801</v>
      </c>
      <c r="K133" s="22">
        <v>0.86200039212940205</v>
      </c>
      <c r="L133" s="14">
        <v>0</v>
      </c>
    </row>
    <row r="134" spans="1:12" ht="26.4" x14ac:dyDescent="0.25">
      <c r="A134" s="13" t="s">
        <v>5836</v>
      </c>
      <c r="B134" s="14" t="s">
        <v>388</v>
      </c>
      <c r="C134" s="14" t="s">
        <v>389</v>
      </c>
      <c r="D134" s="14" t="s">
        <v>390</v>
      </c>
      <c r="E134" s="23" t="s">
        <v>6381</v>
      </c>
      <c r="F134" s="21">
        <v>601.1</v>
      </c>
      <c r="G134" s="14">
        <v>127</v>
      </c>
      <c r="H134" s="14">
        <v>1</v>
      </c>
      <c r="I134" s="14">
        <v>29</v>
      </c>
      <c r="J134" s="22">
        <v>0.79445659286224801</v>
      </c>
      <c r="K134" s="22">
        <v>0.20554340713775199</v>
      </c>
      <c r="L134" s="14">
        <v>0</v>
      </c>
    </row>
    <row r="135" spans="1:12" x14ac:dyDescent="0.25">
      <c r="B135" s="14" t="s">
        <v>5459</v>
      </c>
      <c r="C135" s="14" t="s">
        <v>6382</v>
      </c>
      <c r="D135" s="14" t="s">
        <v>393</v>
      </c>
      <c r="E135" s="14" t="s">
        <v>394</v>
      </c>
      <c r="F135" s="21">
        <v>1823.76</v>
      </c>
      <c r="G135" s="14">
        <v>530</v>
      </c>
      <c r="H135" s="14">
        <v>1</v>
      </c>
      <c r="I135" s="14">
        <v>44</v>
      </c>
      <c r="J135" s="22">
        <v>0.71899534692184297</v>
      </c>
      <c r="K135" s="22">
        <v>0.28100465307815697</v>
      </c>
      <c r="L135" s="14">
        <v>0</v>
      </c>
    </row>
    <row r="136" spans="1:12" x14ac:dyDescent="0.25">
      <c r="A136" s="13" t="s">
        <v>395</v>
      </c>
      <c r="B136" s="14" t="s">
        <v>17</v>
      </c>
      <c r="C136" s="14" t="s">
        <v>5540</v>
      </c>
      <c r="D136" s="14" t="s">
        <v>397</v>
      </c>
      <c r="E136" s="14" t="s">
        <v>398</v>
      </c>
      <c r="F136" s="21">
        <v>2366.5700000000002</v>
      </c>
      <c r="G136" s="14">
        <v>550</v>
      </c>
      <c r="H136" s="14">
        <v>0</v>
      </c>
      <c r="I136" s="14">
        <v>14</v>
      </c>
      <c r="J136" s="22">
        <v>0.55725185033171598</v>
      </c>
      <c r="K136" s="22">
        <v>0.44274814966828402</v>
      </c>
      <c r="L136" s="14">
        <v>0</v>
      </c>
    </row>
    <row r="137" spans="1:12" x14ac:dyDescent="0.25">
      <c r="A137" s="13" t="s">
        <v>399</v>
      </c>
      <c r="B137" s="14" t="s">
        <v>17</v>
      </c>
      <c r="C137" s="14" t="s">
        <v>5535</v>
      </c>
      <c r="D137" s="14" t="s">
        <v>401</v>
      </c>
      <c r="E137" s="14" t="s">
        <v>402</v>
      </c>
      <c r="F137" s="21">
        <v>2212.09</v>
      </c>
      <c r="G137" s="14">
        <v>133</v>
      </c>
      <c r="H137" s="14">
        <v>0</v>
      </c>
      <c r="I137" s="14">
        <v>42</v>
      </c>
      <c r="J137" s="22">
        <v>0.197001971693058</v>
      </c>
      <c r="K137" s="22">
        <v>0.802998028306942</v>
      </c>
      <c r="L137" s="14">
        <v>0</v>
      </c>
    </row>
    <row r="138" spans="1:12" x14ac:dyDescent="0.25">
      <c r="A138" s="13" t="s">
        <v>403</v>
      </c>
      <c r="B138" s="14" t="s">
        <v>17</v>
      </c>
      <c r="C138" s="14" t="s">
        <v>5535</v>
      </c>
      <c r="D138" s="14" t="s">
        <v>401</v>
      </c>
      <c r="E138" s="14" t="s">
        <v>404</v>
      </c>
      <c r="F138" s="21">
        <v>2335.37</v>
      </c>
      <c r="G138" s="14">
        <v>922</v>
      </c>
      <c r="H138" s="14">
        <v>0</v>
      </c>
      <c r="I138" s="14">
        <v>50</v>
      </c>
      <c r="J138" s="22">
        <v>0.24943508287008401</v>
      </c>
      <c r="K138" s="22">
        <v>0.75056491712991602</v>
      </c>
      <c r="L138" s="14">
        <v>1029</v>
      </c>
    </row>
    <row r="139" spans="1:12" x14ac:dyDescent="0.25">
      <c r="A139" s="13" t="s">
        <v>6383</v>
      </c>
      <c r="B139" s="14" t="s">
        <v>406</v>
      </c>
      <c r="C139" s="14" t="s">
        <v>407</v>
      </c>
      <c r="E139" s="14" t="s">
        <v>408</v>
      </c>
      <c r="F139" s="21">
        <v>3021.72</v>
      </c>
      <c r="G139" s="14">
        <v>694</v>
      </c>
      <c r="H139" s="14">
        <v>1</v>
      </c>
      <c r="I139" s="14">
        <v>16</v>
      </c>
      <c r="J139" s="22">
        <v>0.41479309801477099</v>
      </c>
      <c r="K139" s="22">
        <v>0.58520690198522896</v>
      </c>
      <c r="L139" s="14">
        <v>0</v>
      </c>
    </row>
    <row r="140" spans="1:12" x14ac:dyDescent="0.25">
      <c r="A140" s="13" t="s">
        <v>6384</v>
      </c>
      <c r="B140" s="14" t="s">
        <v>406</v>
      </c>
      <c r="C140" s="14" t="s">
        <v>407</v>
      </c>
      <c r="E140" s="14" t="s">
        <v>410</v>
      </c>
      <c r="F140" s="21">
        <v>3209.63</v>
      </c>
      <c r="G140" s="14">
        <v>473</v>
      </c>
      <c r="H140" s="14">
        <v>1</v>
      </c>
      <c r="I140" s="14">
        <v>38</v>
      </c>
      <c r="J140" s="22">
        <v>0.97838035256612399</v>
      </c>
      <c r="K140" s="22">
        <v>2.1619647433875799E-2</v>
      </c>
      <c r="L140" s="14">
        <v>0</v>
      </c>
    </row>
    <row r="141" spans="1:12" x14ac:dyDescent="0.25">
      <c r="A141" s="13" t="s">
        <v>5839</v>
      </c>
      <c r="B141" s="14" t="s">
        <v>406</v>
      </c>
      <c r="C141" s="14" t="s">
        <v>407</v>
      </c>
      <c r="E141" s="14" t="s">
        <v>412</v>
      </c>
      <c r="F141" s="21">
        <v>3211.77</v>
      </c>
      <c r="H141" s="14">
        <v>1</v>
      </c>
      <c r="I141" s="14" t="s">
        <v>6314</v>
      </c>
      <c r="J141" s="22">
        <v>0.68644135676050899</v>
      </c>
      <c r="K141" s="22">
        <v>0.31355864323949101</v>
      </c>
      <c r="L141" s="14">
        <v>0</v>
      </c>
    </row>
    <row r="142" spans="1:12" x14ac:dyDescent="0.25">
      <c r="A142" s="13" t="s">
        <v>413</v>
      </c>
      <c r="B142" s="14" t="s">
        <v>17</v>
      </c>
      <c r="C142" s="14" t="s">
        <v>400</v>
      </c>
      <c r="D142" s="14" t="s">
        <v>401</v>
      </c>
      <c r="E142" s="14" t="s">
        <v>414</v>
      </c>
      <c r="F142" s="21">
        <v>2269.5300000000002</v>
      </c>
      <c r="G142" s="14">
        <v>793</v>
      </c>
      <c r="H142" s="14">
        <v>0</v>
      </c>
      <c r="I142" s="14">
        <v>5</v>
      </c>
      <c r="J142" s="22">
        <v>0.180723228525622</v>
      </c>
      <c r="K142" s="22">
        <v>0.81927677147437805</v>
      </c>
      <c r="L142" s="14">
        <v>0</v>
      </c>
    </row>
    <row r="143" spans="1:12" x14ac:dyDescent="0.25">
      <c r="A143" s="13" t="s">
        <v>415</v>
      </c>
      <c r="B143" s="14" t="s">
        <v>17</v>
      </c>
      <c r="C143" s="14" t="s">
        <v>400</v>
      </c>
      <c r="D143" s="14" t="s">
        <v>401</v>
      </c>
      <c r="E143" s="14" t="s">
        <v>416</v>
      </c>
      <c r="F143" s="21">
        <v>2269.5300000000002</v>
      </c>
      <c r="G143" s="14">
        <v>25</v>
      </c>
      <c r="H143" s="14">
        <v>1</v>
      </c>
      <c r="I143" s="14">
        <v>50</v>
      </c>
      <c r="J143" s="22">
        <v>0.92195327238603497</v>
      </c>
      <c r="K143" s="22">
        <v>7.8046727613965403E-2</v>
      </c>
      <c r="L143" s="14">
        <v>0</v>
      </c>
    </row>
    <row r="144" spans="1:12" ht="39.6" x14ac:dyDescent="0.25">
      <c r="A144" s="20" t="s">
        <v>6385</v>
      </c>
      <c r="B144" s="14" t="s">
        <v>17</v>
      </c>
      <c r="C144" s="14" t="s">
        <v>418</v>
      </c>
      <c r="D144" s="14" t="s">
        <v>419</v>
      </c>
      <c r="E144" s="14" t="s">
        <v>420</v>
      </c>
      <c r="F144" s="21">
        <v>2298.35</v>
      </c>
      <c r="H144" s="14">
        <v>1</v>
      </c>
      <c r="I144" s="14">
        <v>28</v>
      </c>
      <c r="J144" s="22">
        <v>5.9009588549878901E-2</v>
      </c>
      <c r="K144" s="22">
        <v>0.94099041145012097</v>
      </c>
      <c r="L144" s="14">
        <v>0</v>
      </c>
    </row>
    <row r="145" spans="1:12" x14ac:dyDescent="0.25">
      <c r="A145" s="13">
        <v>23162054</v>
      </c>
      <c r="B145" s="14" t="s">
        <v>110</v>
      </c>
      <c r="C145" s="14" t="s">
        <v>5542</v>
      </c>
      <c r="D145" s="14" t="s">
        <v>422</v>
      </c>
      <c r="E145" s="14" t="s">
        <v>423</v>
      </c>
      <c r="F145" s="21">
        <v>1047</v>
      </c>
      <c r="G145" s="14">
        <v>128</v>
      </c>
      <c r="H145" s="14">
        <v>0</v>
      </c>
      <c r="I145" s="14">
        <v>41</v>
      </c>
      <c r="J145" s="22">
        <v>0.55140872806075103</v>
      </c>
      <c r="K145" s="22">
        <v>0.44859127193924903</v>
      </c>
      <c r="L145" s="14">
        <v>0</v>
      </c>
    </row>
    <row r="146" spans="1:12" x14ac:dyDescent="0.25">
      <c r="A146" s="13">
        <v>23713614</v>
      </c>
      <c r="B146" s="14" t="s">
        <v>5425</v>
      </c>
      <c r="C146" s="14" t="s">
        <v>5425</v>
      </c>
      <c r="D146" s="14" t="s">
        <v>425</v>
      </c>
      <c r="E146" s="14" t="s">
        <v>426</v>
      </c>
      <c r="F146" s="21">
        <v>1800</v>
      </c>
      <c r="G146" s="14">
        <v>649</v>
      </c>
      <c r="H146" s="14">
        <v>1</v>
      </c>
      <c r="I146" s="14">
        <v>40</v>
      </c>
      <c r="J146" s="22">
        <v>6.3872977642634998E-3</v>
      </c>
      <c r="K146" s="22">
        <v>0.99361270223573706</v>
      </c>
      <c r="L146" s="14">
        <v>0</v>
      </c>
    </row>
    <row r="147" spans="1:12" x14ac:dyDescent="0.25">
      <c r="A147" s="13" t="s">
        <v>427</v>
      </c>
      <c r="B147" s="14" t="s">
        <v>5427</v>
      </c>
      <c r="C147" s="14" t="s">
        <v>5538</v>
      </c>
      <c r="D147" s="14" t="s">
        <v>429</v>
      </c>
      <c r="E147" s="14" t="s">
        <v>6386</v>
      </c>
      <c r="F147" s="21">
        <v>1800</v>
      </c>
      <c r="G147" s="14">
        <v>489</v>
      </c>
      <c r="H147" s="14">
        <v>0</v>
      </c>
      <c r="I147" s="14">
        <v>46</v>
      </c>
      <c r="J147" s="22">
        <v>0.75933138120649901</v>
      </c>
      <c r="K147" s="22">
        <v>0.24066861879350099</v>
      </c>
      <c r="L147" s="14">
        <v>0</v>
      </c>
    </row>
    <row r="148" spans="1:12" ht="39.6" x14ac:dyDescent="0.25">
      <c r="A148" s="20" t="s">
        <v>6387</v>
      </c>
      <c r="B148" s="14" t="s">
        <v>17</v>
      </c>
      <c r="C148" s="14" t="s">
        <v>432</v>
      </c>
      <c r="D148" s="14" t="s">
        <v>433</v>
      </c>
      <c r="E148" s="14" t="s">
        <v>434</v>
      </c>
      <c r="F148" s="21">
        <v>1475.4</v>
      </c>
      <c r="G148" s="14">
        <v>147</v>
      </c>
      <c r="H148" s="14">
        <v>1</v>
      </c>
      <c r="I148" s="14">
        <v>14</v>
      </c>
      <c r="J148" s="22">
        <v>0.49806253117567501</v>
      </c>
      <c r="K148" s="22">
        <v>0.50193746882432499</v>
      </c>
      <c r="L148" s="14">
        <v>0</v>
      </c>
    </row>
    <row r="149" spans="1:12" x14ac:dyDescent="0.25">
      <c r="A149" s="13" t="s">
        <v>6388</v>
      </c>
      <c r="B149" s="14" t="s">
        <v>17</v>
      </c>
      <c r="C149" s="14" t="s">
        <v>432</v>
      </c>
      <c r="D149" s="14" t="s">
        <v>433</v>
      </c>
      <c r="E149" s="14" t="s">
        <v>436</v>
      </c>
      <c r="F149" s="21">
        <v>2246.4</v>
      </c>
      <c r="G149" s="14">
        <v>669</v>
      </c>
      <c r="H149" s="14">
        <v>1</v>
      </c>
      <c r="I149" s="14" t="s">
        <v>6314</v>
      </c>
      <c r="J149" s="22">
        <v>0.99205034780333001</v>
      </c>
      <c r="K149" s="22">
        <v>7.9496521966701001E-3</v>
      </c>
      <c r="L149" s="14">
        <v>0</v>
      </c>
    </row>
    <row r="150" spans="1:12" x14ac:dyDescent="0.25">
      <c r="A150" s="13">
        <v>3685266</v>
      </c>
      <c r="B150" s="14" t="s">
        <v>5426</v>
      </c>
      <c r="C150" s="14" t="s">
        <v>424</v>
      </c>
      <c r="D150" s="14" t="s">
        <v>425</v>
      </c>
      <c r="E150" s="14" t="s">
        <v>438</v>
      </c>
      <c r="F150" s="21">
        <v>1800</v>
      </c>
      <c r="G150" s="14">
        <v>422</v>
      </c>
      <c r="H150" s="14">
        <v>1</v>
      </c>
      <c r="I150" s="14">
        <v>8</v>
      </c>
      <c r="J150" s="22">
        <v>0.15811898520776599</v>
      </c>
      <c r="K150" s="22">
        <v>0.84188101479223398</v>
      </c>
      <c r="L150" s="14">
        <v>0</v>
      </c>
    </row>
    <row r="151" spans="1:12" x14ac:dyDescent="0.25">
      <c r="A151" s="13" t="s">
        <v>6389</v>
      </c>
      <c r="B151" s="14" t="s">
        <v>378</v>
      </c>
      <c r="C151" s="14" t="s">
        <v>424</v>
      </c>
      <c r="D151" s="14" t="s">
        <v>425</v>
      </c>
      <c r="E151" s="14" t="s">
        <v>440</v>
      </c>
      <c r="F151" s="21">
        <v>1800</v>
      </c>
      <c r="G151" s="14">
        <v>7</v>
      </c>
      <c r="H151" s="14">
        <v>1</v>
      </c>
      <c r="I151" s="14" t="s">
        <v>6314</v>
      </c>
      <c r="J151" s="22">
        <v>0.59676218544122295</v>
      </c>
      <c r="K151" s="22">
        <v>0.403237814558777</v>
      </c>
      <c r="L151" s="14">
        <v>0</v>
      </c>
    </row>
    <row r="152" spans="1:12" x14ac:dyDescent="0.25">
      <c r="A152" s="13" t="s">
        <v>6390</v>
      </c>
      <c r="B152" s="14" t="s">
        <v>378</v>
      </c>
      <c r="C152" s="14" t="s">
        <v>424</v>
      </c>
      <c r="D152" s="14" t="s">
        <v>425</v>
      </c>
      <c r="E152" s="14" t="s">
        <v>442</v>
      </c>
      <c r="F152" s="21">
        <v>1800</v>
      </c>
      <c r="G152" s="14">
        <v>696</v>
      </c>
      <c r="H152" s="14">
        <v>1</v>
      </c>
      <c r="I152" s="14">
        <v>40</v>
      </c>
      <c r="J152" s="22">
        <v>0.179499835913458</v>
      </c>
      <c r="K152" s="22">
        <v>0.82050016408654203</v>
      </c>
      <c r="L152" s="14">
        <v>0</v>
      </c>
    </row>
    <row r="153" spans="1:12" x14ac:dyDescent="0.25">
      <c r="A153" s="13" t="s">
        <v>443</v>
      </c>
      <c r="B153" s="14" t="s">
        <v>378</v>
      </c>
      <c r="C153" s="14" t="s">
        <v>424</v>
      </c>
      <c r="D153" s="14" t="s">
        <v>425</v>
      </c>
      <c r="E153" s="14" t="s">
        <v>444</v>
      </c>
      <c r="F153" s="21">
        <v>2050</v>
      </c>
      <c r="G153" s="14">
        <v>565</v>
      </c>
      <c r="H153" s="14">
        <v>0</v>
      </c>
      <c r="I153" s="14">
        <v>11</v>
      </c>
      <c r="J153" s="22">
        <v>0.92101998067934499</v>
      </c>
      <c r="K153" s="22">
        <v>7.8980019320655404E-2</v>
      </c>
      <c r="L153" s="14">
        <v>0</v>
      </c>
    </row>
    <row r="154" spans="1:12" x14ac:dyDescent="0.25">
      <c r="A154" s="13" t="s">
        <v>6391</v>
      </c>
      <c r="B154" s="14" t="s">
        <v>5428</v>
      </c>
      <c r="C154" s="14" t="s">
        <v>424</v>
      </c>
      <c r="D154" s="14" t="s">
        <v>425</v>
      </c>
      <c r="E154" s="14" t="s">
        <v>446</v>
      </c>
      <c r="F154" s="21">
        <v>1800</v>
      </c>
      <c r="G154" s="14">
        <v>891</v>
      </c>
      <c r="H154" s="14">
        <v>1</v>
      </c>
      <c r="I154" s="14">
        <v>10</v>
      </c>
      <c r="J154" s="22">
        <v>0.82278904387843299</v>
      </c>
      <c r="K154" s="22">
        <v>0.17721095612156701</v>
      </c>
      <c r="L154" s="14">
        <v>0</v>
      </c>
    </row>
    <row r="155" spans="1:12" x14ac:dyDescent="0.25">
      <c r="A155" s="13" t="s">
        <v>6392</v>
      </c>
      <c r="B155" s="14" t="s">
        <v>5428</v>
      </c>
      <c r="C155" s="14" t="s">
        <v>424</v>
      </c>
      <c r="D155" s="14" t="s">
        <v>425</v>
      </c>
      <c r="E155" s="14" t="s">
        <v>448</v>
      </c>
      <c r="F155" s="21">
        <v>1800</v>
      </c>
      <c r="G155" s="14">
        <v>891</v>
      </c>
      <c r="H155" s="14">
        <v>0</v>
      </c>
      <c r="I155" s="14">
        <v>27</v>
      </c>
      <c r="J155" s="22">
        <v>3.4624682692109499E-2</v>
      </c>
      <c r="K155" s="22">
        <v>0.96537531730789095</v>
      </c>
      <c r="L155" s="14">
        <v>0</v>
      </c>
    </row>
    <row r="156" spans="1:12" x14ac:dyDescent="0.25">
      <c r="A156" s="13" t="s">
        <v>6393</v>
      </c>
      <c r="B156" s="14" t="s">
        <v>5428</v>
      </c>
      <c r="C156" s="14" t="s">
        <v>424</v>
      </c>
      <c r="D156" s="14" t="s">
        <v>425</v>
      </c>
      <c r="E156" s="14" t="s">
        <v>450</v>
      </c>
      <c r="F156" s="21">
        <v>1800</v>
      </c>
      <c r="H156" s="14">
        <v>1</v>
      </c>
      <c r="I156" s="14">
        <v>41</v>
      </c>
      <c r="J156" s="22">
        <v>0.399202693637424</v>
      </c>
      <c r="K156" s="22">
        <v>0.600797306362576</v>
      </c>
      <c r="L156" s="14">
        <v>0</v>
      </c>
    </row>
    <row r="157" spans="1:12" x14ac:dyDescent="0.25">
      <c r="A157" s="13" t="s">
        <v>6394</v>
      </c>
      <c r="B157" s="14" t="s">
        <v>5428</v>
      </c>
      <c r="C157" s="14" t="s">
        <v>424</v>
      </c>
      <c r="D157" s="14" t="s">
        <v>425</v>
      </c>
      <c r="E157" s="14" t="s">
        <v>452</v>
      </c>
      <c r="F157" s="21">
        <v>1800</v>
      </c>
      <c r="G157" s="14">
        <v>542</v>
      </c>
      <c r="H157" s="14">
        <v>1</v>
      </c>
      <c r="I157" s="14">
        <v>21</v>
      </c>
      <c r="J157" s="22">
        <v>0.67365962117631895</v>
      </c>
      <c r="K157" s="22">
        <v>0.326340378823682</v>
      </c>
      <c r="L157" s="14">
        <v>0</v>
      </c>
    </row>
    <row r="158" spans="1:12" x14ac:dyDescent="0.25">
      <c r="A158" s="13" t="s">
        <v>6395</v>
      </c>
      <c r="B158" s="14" t="s">
        <v>5428</v>
      </c>
      <c r="C158" s="14" t="s">
        <v>424</v>
      </c>
      <c r="D158" s="14" t="s">
        <v>425</v>
      </c>
      <c r="E158" s="14" t="s">
        <v>6396</v>
      </c>
      <c r="F158" s="21">
        <v>2100</v>
      </c>
      <c r="G158" s="14">
        <v>406</v>
      </c>
      <c r="H158" s="14">
        <v>0</v>
      </c>
      <c r="I158" s="14">
        <v>47</v>
      </c>
      <c r="J158" s="22">
        <v>0.820384943966325</v>
      </c>
      <c r="K158" s="22">
        <v>0.179615056033675</v>
      </c>
      <c r="L158" s="14">
        <v>0</v>
      </c>
    </row>
    <row r="159" spans="1:12" x14ac:dyDescent="0.25">
      <c r="A159" s="13" t="s">
        <v>6397</v>
      </c>
      <c r="B159" s="14" t="s">
        <v>5428</v>
      </c>
      <c r="C159" s="14" t="s">
        <v>424</v>
      </c>
      <c r="D159" s="14" t="s">
        <v>425</v>
      </c>
      <c r="E159" s="14" t="s">
        <v>456</v>
      </c>
      <c r="F159" s="21">
        <v>2100</v>
      </c>
      <c r="H159" s="14">
        <v>0</v>
      </c>
      <c r="I159" s="14">
        <v>47</v>
      </c>
      <c r="J159" s="22">
        <v>0.29121360012296499</v>
      </c>
      <c r="K159" s="22">
        <v>0.70878639987703496</v>
      </c>
      <c r="L159" s="14">
        <v>0</v>
      </c>
    </row>
    <row r="160" spans="1:12" x14ac:dyDescent="0.25">
      <c r="A160" s="13" t="s">
        <v>6398</v>
      </c>
      <c r="B160" s="14" t="s">
        <v>5428</v>
      </c>
      <c r="C160" s="14" t="s">
        <v>424</v>
      </c>
      <c r="D160" s="14" t="s">
        <v>425</v>
      </c>
      <c r="E160" s="14" t="s">
        <v>458</v>
      </c>
      <c r="F160" s="21">
        <v>2100</v>
      </c>
      <c r="G160" s="14">
        <v>400</v>
      </c>
      <c r="H160" s="14">
        <v>0</v>
      </c>
      <c r="I160" s="14">
        <v>17</v>
      </c>
      <c r="J160" s="22">
        <v>0.45579639942856198</v>
      </c>
      <c r="K160" s="22">
        <v>0.54420360057143802</v>
      </c>
      <c r="L160" s="14">
        <v>0</v>
      </c>
    </row>
    <row r="161" spans="1:12" x14ac:dyDescent="0.25">
      <c r="B161" s="14" t="s">
        <v>5428</v>
      </c>
      <c r="C161" s="14" t="s">
        <v>424</v>
      </c>
      <c r="D161" s="14" t="s">
        <v>425</v>
      </c>
      <c r="E161" s="14" t="s">
        <v>459</v>
      </c>
      <c r="F161" s="21">
        <v>2100</v>
      </c>
      <c r="G161" s="14">
        <v>546</v>
      </c>
      <c r="H161" s="14">
        <v>0</v>
      </c>
      <c r="I161" s="14" t="s">
        <v>6314</v>
      </c>
      <c r="J161" s="22">
        <v>8.1806949003282697E-2</v>
      </c>
      <c r="K161" s="22">
        <v>0.918193050996717</v>
      </c>
      <c r="L161" s="14">
        <v>0</v>
      </c>
    </row>
    <row r="162" spans="1:12" x14ac:dyDescent="0.25">
      <c r="A162" s="13" t="s">
        <v>460</v>
      </c>
      <c r="B162" s="14" t="s">
        <v>378</v>
      </c>
      <c r="C162" s="14" t="s">
        <v>5536</v>
      </c>
      <c r="D162" s="14" t="s">
        <v>425</v>
      </c>
      <c r="E162" s="14" t="s">
        <v>461</v>
      </c>
      <c r="F162" s="21">
        <v>1800</v>
      </c>
      <c r="G162" s="14">
        <v>40</v>
      </c>
      <c r="H162" s="14">
        <v>0</v>
      </c>
      <c r="I162" s="14">
        <v>33</v>
      </c>
      <c r="J162" s="22">
        <v>0.21784060412453601</v>
      </c>
      <c r="K162" s="22">
        <v>0.78215939587546401</v>
      </c>
      <c r="L162" s="14">
        <v>0</v>
      </c>
    </row>
    <row r="163" spans="1:12" x14ac:dyDescent="0.25">
      <c r="A163" s="13" t="s">
        <v>462</v>
      </c>
      <c r="B163" s="14" t="s">
        <v>17</v>
      </c>
      <c r="C163" s="14" t="s">
        <v>463</v>
      </c>
      <c r="D163" s="14" t="s">
        <v>464</v>
      </c>
      <c r="E163" s="14" t="s">
        <v>6399</v>
      </c>
      <c r="F163" s="21">
        <v>2961.924</v>
      </c>
      <c r="G163" s="14">
        <v>308</v>
      </c>
      <c r="H163" s="14">
        <v>0</v>
      </c>
      <c r="I163" s="14" t="s">
        <v>6314</v>
      </c>
      <c r="J163" s="22">
        <v>0.90052969269615502</v>
      </c>
      <c r="K163" s="22">
        <v>9.9470307303845401E-2</v>
      </c>
      <c r="L163" s="14">
        <v>0</v>
      </c>
    </row>
    <row r="164" spans="1:12" x14ac:dyDescent="0.25">
      <c r="A164" s="13" t="s">
        <v>6400</v>
      </c>
      <c r="B164" s="14" t="s">
        <v>378</v>
      </c>
      <c r="C164" s="14" t="s">
        <v>428</v>
      </c>
      <c r="D164" s="14" t="s">
        <v>467</v>
      </c>
      <c r="E164" s="14" t="s">
        <v>468</v>
      </c>
      <c r="F164" s="21">
        <v>900</v>
      </c>
      <c r="H164" s="14">
        <v>1</v>
      </c>
      <c r="I164" s="14">
        <v>22</v>
      </c>
      <c r="J164" s="22">
        <v>0.26074018253112702</v>
      </c>
      <c r="K164" s="22">
        <v>0.73925981746887304</v>
      </c>
      <c r="L164" s="14">
        <v>0</v>
      </c>
    </row>
    <row r="165" spans="1:12" x14ac:dyDescent="0.25">
      <c r="A165" s="13" t="s">
        <v>6401</v>
      </c>
      <c r="B165" s="14" t="s">
        <v>378</v>
      </c>
      <c r="C165" s="14" t="s">
        <v>428</v>
      </c>
      <c r="D165" s="14" t="s">
        <v>467</v>
      </c>
      <c r="E165" s="14" t="s">
        <v>470</v>
      </c>
      <c r="F165" s="21">
        <v>2100</v>
      </c>
      <c r="G165" s="14">
        <v>606</v>
      </c>
      <c r="H165" s="14">
        <v>1</v>
      </c>
      <c r="I165" s="14">
        <v>47</v>
      </c>
      <c r="J165" s="22">
        <v>0.40284124774241598</v>
      </c>
      <c r="K165" s="22">
        <v>0.59715875225758497</v>
      </c>
      <c r="L165" s="14">
        <v>0</v>
      </c>
    </row>
    <row r="166" spans="1:12" ht="39.6" x14ac:dyDescent="0.25">
      <c r="A166" s="20" t="s">
        <v>6402</v>
      </c>
      <c r="B166" s="14" t="s">
        <v>5428</v>
      </c>
      <c r="C166" s="14" t="s">
        <v>428</v>
      </c>
      <c r="D166" s="14" t="s">
        <v>467</v>
      </c>
      <c r="E166" s="14" t="s">
        <v>472</v>
      </c>
      <c r="F166" s="21">
        <v>1800</v>
      </c>
      <c r="G166" s="14">
        <v>661</v>
      </c>
      <c r="H166" s="14">
        <v>1</v>
      </c>
      <c r="I166" s="14">
        <v>15</v>
      </c>
      <c r="J166" s="22">
        <v>0.66567002182649604</v>
      </c>
      <c r="K166" s="22">
        <v>0.33432997817350502</v>
      </c>
      <c r="L166" s="14">
        <v>0</v>
      </c>
    </row>
    <row r="167" spans="1:12" x14ac:dyDescent="0.25">
      <c r="A167" s="13" t="s">
        <v>6403</v>
      </c>
      <c r="B167" s="14" t="s">
        <v>5318</v>
      </c>
      <c r="C167" s="14" t="s">
        <v>474</v>
      </c>
      <c r="D167" s="14" t="s">
        <v>475</v>
      </c>
      <c r="E167" s="14" t="s">
        <v>476</v>
      </c>
      <c r="F167" s="21">
        <v>665.64</v>
      </c>
      <c r="G167" s="14">
        <v>861</v>
      </c>
      <c r="H167" s="14">
        <v>0</v>
      </c>
      <c r="I167" s="14">
        <v>4</v>
      </c>
      <c r="J167" s="22">
        <v>0.96636501270754005</v>
      </c>
      <c r="K167" s="22">
        <v>3.3634987292459603E-2</v>
      </c>
      <c r="L167" s="14">
        <v>0</v>
      </c>
    </row>
    <row r="168" spans="1:12" x14ac:dyDescent="0.25">
      <c r="A168" s="13" t="s">
        <v>6404</v>
      </c>
      <c r="B168" s="14" t="s">
        <v>17</v>
      </c>
      <c r="C168" s="14" t="s">
        <v>5539</v>
      </c>
      <c r="D168" s="14" t="s">
        <v>478</v>
      </c>
      <c r="E168" s="14" t="s">
        <v>479</v>
      </c>
      <c r="F168" s="21">
        <v>2476.42</v>
      </c>
      <c r="G168" s="14">
        <v>449</v>
      </c>
      <c r="H168" s="14">
        <v>0</v>
      </c>
      <c r="I168" s="14" t="s">
        <v>6314</v>
      </c>
      <c r="J168" s="22">
        <v>0.76250820916833095</v>
      </c>
      <c r="K168" s="22">
        <v>0.23749179083166899</v>
      </c>
      <c r="L168" s="14">
        <v>0</v>
      </c>
    </row>
    <row r="169" spans="1:12" x14ac:dyDescent="0.25">
      <c r="A169" s="13" t="s">
        <v>6405</v>
      </c>
      <c r="B169" s="14" t="s">
        <v>17</v>
      </c>
      <c r="C169" s="14" t="s">
        <v>5541</v>
      </c>
      <c r="D169" s="14" t="s">
        <v>397</v>
      </c>
      <c r="E169" s="14" t="s">
        <v>481</v>
      </c>
      <c r="F169" s="21">
        <v>2307.23</v>
      </c>
      <c r="G169" s="14">
        <v>983</v>
      </c>
      <c r="H169" s="14">
        <v>1</v>
      </c>
      <c r="I169" s="14">
        <v>49</v>
      </c>
      <c r="J169" s="22">
        <v>0.66807203038849305</v>
      </c>
      <c r="K169" s="22">
        <v>0.331927969611507</v>
      </c>
      <c r="L169" s="14">
        <v>0</v>
      </c>
    </row>
    <row r="170" spans="1:12" x14ac:dyDescent="0.25">
      <c r="A170" s="13" t="s">
        <v>482</v>
      </c>
      <c r="B170" s="14" t="s">
        <v>17</v>
      </c>
      <c r="C170" s="14" t="s">
        <v>396</v>
      </c>
      <c r="D170" s="14" t="s">
        <v>397</v>
      </c>
      <c r="E170" s="14" t="s">
        <v>483</v>
      </c>
      <c r="F170" s="21">
        <v>2370.96</v>
      </c>
      <c r="G170" s="14">
        <v>455</v>
      </c>
      <c r="H170" s="14">
        <v>1</v>
      </c>
      <c r="I170" s="14">
        <v>14</v>
      </c>
      <c r="J170" s="22">
        <v>0.68967805466467202</v>
      </c>
      <c r="K170" s="22">
        <v>0.31032194533532798</v>
      </c>
      <c r="L170" s="14">
        <v>0</v>
      </c>
    </row>
    <row r="171" spans="1:12" x14ac:dyDescent="0.25">
      <c r="B171" s="14" t="s">
        <v>17</v>
      </c>
      <c r="C171" s="14" t="s">
        <v>484</v>
      </c>
      <c r="D171" s="14" t="s">
        <v>485</v>
      </c>
      <c r="E171" s="14" t="s">
        <v>486</v>
      </c>
      <c r="F171" s="21">
        <v>2415.37</v>
      </c>
      <c r="G171" s="14">
        <v>903</v>
      </c>
      <c r="H171" s="14">
        <v>0</v>
      </c>
      <c r="I171" s="14">
        <v>26</v>
      </c>
      <c r="J171" s="22">
        <v>0.19963019614444499</v>
      </c>
      <c r="K171" s="22">
        <v>0.80036980385555501</v>
      </c>
      <c r="L171" s="14">
        <v>0</v>
      </c>
    </row>
    <row r="172" spans="1:12" x14ac:dyDescent="0.25">
      <c r="A172" s="13" t="s">
        <v>487</v>
      </c>
      <c r="B172" s="14" t="s">
        <v>17</v>
      </c>
      <c r="C172" s="14" t="s">
        <v>488</v>
      </c>
      <c r="D172" s="14" t="s">
        <v>489</v>
      </c>
      <c r="E172" s="14" t="s">
        <v>490</v>
      </c>
      <c r="F172" s="21">
        <v>2315.48</v>
      </c>
      <c r="G172" s="14">
        <v>154</v>
      </c>
      <c r="H172" s="14">
        <v>0</v>
      </c>
      <c r="I172" s="14" t="s">
        <v>6314</v>
      </c>
      <c r="J172" s="22">
        <v>0.79300088779811895</v>
      </c>
      <c r="K172" s="22">
        <v>0.206999112201881</v>
      </c>
      <c r="L172" s="14">
        <v>0</v>
      </c>
    </row>
    <row r="173" spans="1:12" x14ac:dyDescent="0.25">
      <c r="A173" s="13" t="s">
        <v>6406</v>
      </c>
      <c r="B173" s="14" t="s">
        <v>22</v>
      </c>
      <c r="C173" s="14" t="s">
        <v>492</v>
      </c>
      <c r="D173" s="14" t="s">
        <v>47</v>
      </c>
      <c r="E173" s="14" t="s">
        <v>493</v>
      </c>
      <c r="F173" s="21">
        <v>1565.26</v>
      </c>
      <c r="G173" s="14">
        <v>471</v>
      </c>
      <c r="H173" s="14">
        <v>1</v>
      </c>
      <c r="I173" s="14">
        <v>9</v>
      </c>
      <c r="J173" s="22">
        <v>0.96855017071725402</v>
      </c>
      <c r="K173" s="22">
        <v>3.1449829282746103E-2</v>
      </c>
      <c r="L173" s="14">
        <v>0</v>
      </c>
    </row>
    <row r="174" spans="1:12" x14ac:dyDescent="0.25">
      <c r="A174" s="13">
        <v>3654172</v>
      </c>
      <c r="B174" s="14" t="s">
        <v>86</v>
      </c>
      <c r="C174" s="14" t="s">
        <v>495</v>
      </c>
      <c r="D174" s="14" t="s">
        <v>496</v>
      </c>
      <c r="E174" s="14" t="s">
        <v>497</v>
      </c>
      <c r="F174" s="21">
        <v>1901.02</v>
      </c>
      <c r="G174" s="14">
        <v>988</v>
      </c>
      <c r="H174" s="14">
        <v>0</v>
      </c>
      <c r="I174" s="14" t="s">
        <v>6314</v>
      </c>
      <c r="J174" s="22">
        <v>0.54027342733383199</v>
      </c>
      <c r="K174" s="22">
        <v>0.45972657266616801</v>
      </c>
      <c r="L174" s="14">
        <v>0</v>
      </c>
    </row>
    <row r="175" spans="1:12" x14ac:dyDescent="0.25">
      <c r="A175" s="13" t="s">
        <v>6407</v>
      </c>
      <c r="B175" s="14" t="s">
        <v>86</v>
      </c>
      <c r="C175" s="14" t="s">
        <v>495</v>
      </c>
      <c r="D175" s="14" t="s">
        <v>496</v>
      </c>
      <c r="E175" s="14" t="s">
        <v>499</v>
      </c>
      <c r="F175" s="21">
        <v>1969.41</v>
      </c>
      <c r="G175" s="14">
        <v>907</v>
      </c>
      <c r="H175" s="14">
        <v>0</v>
      </c>
      <c r="I175" s="14">
        <v>17</v>
      </c>
      <c r="J175" s="22">
        <v>0.22889992027078801</v>
      </c>
      <c r="K175" s="22">
        <v>0.77110007972921202</v>
      </c>
      <c r="L175" s="14">
        <v>0</v>
      </c>
    </row>
    <row r="176" spans="1:12" x14ac:dyDescent="0.25">
      <c r="A176" s="13" t="s">
        <v>500</v>
      </c>
      <c r="B176" s="14" t="s">
        <v>86</v>
      </c>
      <c r="C176" s="14" t="s">
        <v>495</v>
      </c>
      <c r="D176" s="14" t="s">
        <v>496</v>
      </c>
      <c r="E176" s="14" t="s">
        <v>6408</v>
      </c>
      <c r="F176" s="21">
        <v>1969.41</v>
      </c>
      <c r="G176" s="14">
        <v>340</v>
      </c>
      <c r="H176" s="14">
        <v>0</v>
      </c>
      <c r="I176" s="14">
        <v>15</v>
      </c>
      <c r="J176" s="22">
        <v>0.28279406488255499</v>
      </c>
      <c r="K176" s="22">
        <v>0.71720593511744501</v>
      </c>
      <c r="L176" s="14">
        <v>0</v>
      </c>
    </row>
    <row r="177" spans="1:12" x14ac:dyDescent="0.25">
      <c r="A177" s="13" t="s">
        <v>502</v>
      </c>
      <c r="B177" s="14" t="s">
        <v>6348</v>
      </c>
      <c r="C177" s="14" t="s">
        <v>495</v>
      </c>
      <c r="D177" s="14" t="s">
        <v>496</v>
      </c>
      <c r="E177" s="14" t="s">
        <v>503</v>
      </c>
      <c r="F177" s="21">
        <v>1898.01</v>
      </c>
      <c r="G177" s="14">
        <v>13</v>
      </c>
      <c r="H177" s="14">
        <v>0</v>
      </c>
      <c r="I177" s="14">
        <v>26</v>
      </c>
      <c r="J177" s="22">
        <v>0.53365610612593395</v>
      </c>
      <c r="K177" s="22">
        <v>0.466343893874066</v>
      </c>
      <c r="L177" s="14">
        <v>1375</v>
      </c>
    </row>
    <row r="178" spans="1:12" x14ac:dyDescent="0.25">
      <c r="A178" s="13">
        <v>3847282</v>
      </c>
      <c r="B178" s="14" t="s">
        <v>69</v>
      </c>
      <c r="C178" s="14" t="s">
        <v>505</v>
      </c>
      <c r="D178" s="14" t="s">
        <v>506</v>
      </c>
      <c r="E178" s="14" t="s">
        <v>507</v>
      </c>
      <c r="F178" s="21">
        <v>2282.59</v>
      </c>
      <c r="G178" s="14">
        <v>247</v>
      </c>
      <c r="H178" s="14">
        <v>0</v>
      </c>
      <c r="I178" s="14">
        <v>29</v>
      </c>
      <c r="J178" s="22">
        <v>0.133385381462268</v>
      </c>
      <c r="K178" s="22">
        <v>0.86661461853773203</v>
      </c>
      <c r="L178" s="14">
        <v>0</v>
      </c>
    </row>
    <row r="179" spans="1:12" x14ac:dyDescent="0.25">
      <c r="A179" s="13" t="s">
        <v>508</v>
      </c>
      <c r="B179" s="14" t="s">
        <v>110</v>
      </c>
      <c r="C179" s="14" t="s">
        <v>421</v>
      </c>
      <c r="D179" s="14" t="s">
        <v>509</v>
      </c>
      <c r="E179" s="14" t="s">
        <v>510</v>
      </c>
      <c r="F179" s="21">
        <v>1700</v>
      </c>
      <c r="G179" s="14">
        <v>897</v>
      </c>
      <c r="H179" s="14">
        <v>0</v>
      </c>
      <c r="I179" s="14">
        <v>30</v>
      </c>
      <c r="J179" s="22">
        <v>0.73324044563617297</v>
      </c>
      <c r="K179" s="22">
        <v>0.26675955436382698</v>
      </c>
      <c r="L179" s="14">
        <v>0</v>
      </c>
    </row>
    <row r="180" spans="1:12" ht="26.4" x14ac:dyDescent="0.25">
      <c r="A180" s="20" t="s">
        <v>6409</v>
      </c>
      <c r="B180" s="14" t="s">
        <v>110</v>
      </c>
      <c r="C180" s="14" t="s">
        <v>421</v>
      </c>
      <c r="D180" s="14" t="s">
        <v>509</v>
      </c>
      <c r="E180" s="14" t="s">
        <v>512</v>
      </c>
      <c r="F180" s="21">
        <v>1700</v>
      </c>
      <c r="G180" s="14">
        <v>864</v>
      </c>
      <c r="H180" s="14">
        <v>1</v>
      </c>
      <c r="I180" s="14">
        <v>24</v>
      </c>
      <c r="J180" s="22">
        <v>0.43214180988946799</v>
      </c>
      <c r="K180" s="22">
        <v>0.56785819011053296</v>
      </c>
      <c r="L180" s="14">
        <v>0</v>
      </c>
    </row>
    <row r="181" spans="1:12" x14ac:dyDescent="0.25">
      <c r="A181" s="13" t="s">
        <v>6410</v>
      </c>
      <c r="B181" s="14" t="s">
        <v>110</v>
      </c>
      <c r="C181" s="14" t="s">
        <v>421</v>
      </c>
      <c r="D181" s="14" t="s">
        <v>509</v>
      </c>
      <c r="E181" s="14" t="s">
        <v>514</v>
      </c>
      <c r="F181" s="21">
        <v>2040</v>
      </c>
      <c r="G181" s="14">
        <v>86</v>
      </c>
      <c r="H181" s="14">
        <v>1</v>
      </c>
      <c r="I181" s="14">
        <v>49</v>
      </c>
      <c r="J181" s="22">
        <v>0.90582490348649003</v>
      </c>
      <c r="K181" s="22">
        <v>9.4175096513510095E-2</v>
      </c>
      <c r="L181" s="14">
        <v>0</v>
      </c>
    </row>
    <row r="182" spans="1:12" x14ac:dyDescent="0.25">
      <c r="A182" s="13" t="s">
        <v>6411</v>
      </c>
      <c r="B182" s="14" t="s">
        <v>110</v>
      </c>
      <c r="C182" s="14" t="s">
        <v>421</v>
      </c>
      <c r="D182" s="14" t="s">
        <v>509</v>
      </c>
      <c r="E182" s="14" t="s">
        <v>516</v>
      </c>
      <c r="F182" s="21">
        <v>2100</v>
      </c>
      <c r="G182" s="14">
        <v>241</v>
      </c>
      <c r="H182" s="14">
        <v>1</v>
      </c>
      <c r="I182" s="14">
        <v>20</v>
      </c>
      <c r="J182" s="22">
        <v>0.87395222751986601</v>
      </c>
      <c r="K182" s="22">
        <v>0.12604777248013399</v>
      </c>
      <c r="L182" s="14">
        <v>0</v>
      </c>
    </row>
    <row r="183" spans="1:12" x14ac:dyDescent="0.25">
      <c r="A183" s="13" t="s">
        <v>517</v>
      </c>
      <c r="B183" s="14" t="s">
        <v>5419</v>
      </c>
      <c r="C183" s="14" t="s">
        <v>5543</v>
      </c>
      <c r="D183" s="14" t="s">
        <v>518</v>
      </c>
      <c r="E183" s="14" t="s">
        <v>519</v>
      </c>
      <c r="F183" s="21" t="s">
        <v>6412</v>
      </c>
      <c r="G183" s="14">
        <v>812</v>
      </c>
      <c r="H183" s="14">
        <v>0</v>
      </c>
      <c r="I183" s="14">
        <v>15</v>
      </c>
      <c r="J183" s="22">
        <v>0.30933347888974999</v>
      </c>
      <c r="K183" s="22">
        <v>0.69066652111024995</v>
      </c>
      <c r="L183" s="14">
        <v>0</v>
      </c>
    </row>
    <row r="184" spans="1:12" x14ac:dyDescent="0.25">
      <c r="A184" s="13" t="s">
        <v>520</v>
      </c>
      <c r="B184" s="14" t="s">
        <v>110</v>
      </c>
      <c r="C184" s="14" t="s">
        <v>5543</v>
      </c>
      <c r="D184" s="14" t="s">
        <v>518</v>
      </c>
      <c r="E184" s="14" t="s">
        <v>521</v>
      </c>
      <c r="F184" s="21" t="s">
        <v>6412</v>
      </c>
      <c r="G184" s="14">
        <v>207</v>
      </c>
      <c r="H184" s="14">
        <v>0</v>
      </c>
      <c r="I184" s="14">
        <v>3</v>
      </c>
      <c r="J184" s="22">
        <v>0.38649302419509501</v>
      </c>
      <c r="K184" s="22">
        <v>0.61350697580490499</v>
      </c>
      <c r="L184" s="14">
        <v>0</v>
      </c>
    </row>
    <row r="185" spans="1:12" x14ac:dyDescent="0.25">
      <c r="A185" s="13" t="s">
        <v>522</v>
      </c>
      <c r="B185" s="14" t="s">
        <v>110</v>
      </c>
      <c r="C185" s="14" t="s">
        <v>5543</v>
      </c>
      <c r="D185" s="14" t="s">
        <v>518</v>
      </c>
      <c r="E185" s="14" t="s">
        <v>523</v>
      </c>
      <c r="F185" s="21">
        <v>1700</v>
      </c>
      <c r="G185" s="14">
        <v>412</v>
      </c>
      <c r="H185" s="14">
        <v>1</v>
      </c>
      <c r="I185" s="14">
        <v>42</v>
      </c>
      <c r="J185" s="22">
        <v>0.66222400880023002</v>
      </c>
      <c r="K185" s="22">
        <v>0.33777599119976998</v>
      </c>
      <c r="L185" s="14">
        <v>0</v>
      </c>
    </row>
    <row r="186" spans="1:12" x14ac:dyDescent="0.25">
      <c r="A186" s="13" t="s">
        <v>6413</v>
      </c>
      <c r="B186" s="14" t="s">
        <v>5466</v>
      </c>
      <c r="C186" s="14" t="s">
        <v>5547</v>
      </c>
      <c r="D186" s="14" t="s">
        <v>527</v>
      </c>
      <c r="E186" s="14" t="s">
        <v>6414</v>
      </c>
      <c r="F186" s="21">
        <v>1014.74</v>
      </c>
      <c r="G186" s="14">
        <v>193</v>
      </c>
      <c r="H186" s="14">
        <v>1</v>
      </c>
      <c r="I186" s="14">
        <v>6</v>
      </c>
      <c r="J186" s="22">
        <v>0.68031174055150001</v>
      </c>
      <c r="K186" s="22">
        <v>0.31968825944850099</v>
      </c>
      <c r="L186" s="14">
        <v>0</v>
      </c>
    </row>
    <row r="187" spans="1:12" x14ac:dyDescent="0.25">
      <c r="A187" s="13" t="s">
        <v>6415</v>
      </c>
      <c r="B187" s="14" t="s">
        <v>5325</v>
      </c>
      <c r="C187" s="14" t="s">
        <v>5544</v>
      </c>
      <c r="D187" s="14" t="s">
        <v>532</v>
      </c>
      <c r="E187" s="14" t="s">
        <v>6416</v>
      </c>
      <c r="F187" s="21">
        <v>946.55</v>
      </c>
      <c r="G187" s="14">
        <v>965</v>
      </c>
      <c r="H187" s="14">
        <v>0</v>
      </c>
      <c r="I187" s="14">
        <v>30</v>
      </c>
      <c r="J187" s="22">
        <v>0.98346791725010796</v>
      </c>
      <c r="K187" s="22">
        <v>1.65320827498922E-2</v>
      </c>
      <c r="L187" s="14">
        <v>0</v>
      </c>
    </row>
    <row r="188" spans="1:12" x14ac:dyDescent="0.25">
      <c r="A188" s="13" t="s">
        <v>534</v>
      </c>
      <c r="B188" s="14" t="s">
        <v>17</v>
      </c>
      <c r="C188" s="14" t="s">
        <v>535</v>
      </c>
      <c r="D188" s="14" t="s">
        <v>464</v>
      </c>
      <c r="E188" s="14" t="s">
        <v>536</v>
      </c>
      <c r="F188" s="21">
        <v>2142.9299999999998</v>
      </c>
      <c r="G188" s="14">
        <v>197</v>
      </c>
      <c r="H188" s="14">
        <v>0</v>
      </c>
      <c r="I188" s="14">
        <v>49</v>
      </c>
      <c r="J188" s="22">
        <v>0.94884595300954599</v>
      </c>
      <c r="K188" s="22">
        <v>5.11540469904537E-2</v>
      </c>
      <c r="L188" s="14">
        <v>0</v>
      </c>
    </row>
    <row r="189" spans="1:12" x14ac:dyDescent="0.25">
      <c r="A189" s="13" t="s">
        <v>6417</v>
      </c>
      <c r="B189" s="14" t="s">
        <v>17</v>
      </c>
      <c r="C189" s="14" t="s">
        <v>535</v>
      </c>
      <c r="D189" s="14" t="s">
        <v>464</v>
      </c>
      <c r="E189" s="14" t="s">
        <v>537</v>
      </c>
      <c r="F189" s="21">
        <v>2330.13</v>
      </c>
      <c r="G189" s="14">
        <v>562</v>
      </c>
      <c r="H189" s="14">
        <v>1</v>
      </c>
      <c r="I189" s="14" t="s">
        <v>6314</v>
      </c>
      <c r="J189" s="22">
        <v>0.94742120513396899</v>
      </c>
      <c r="K189" s="22">
        <v>5.25787948660306E-2</v>
      </c>
      <c r="L189" s="14">
        <v>0</v>
      </c>
    </row>
    <row r="190" spans="1:12" x14ac:dyDescent="0.25">
      <c r="A190" s="13" t="s">
        <v>6418</v>
      </c>
      <c r="B190" s="14" t="s">
        <v>17</v>
      </c>
      <c r="C190" s="14" t="s">
        <v>535</v>
      </c>
      <c r="D190" s="14" t="s">
        <v>464</v>
      </c>
      <c r="E190" s="14" t="s">
        <v>538</v>
      </c>
      <c r="F190" s="21">
        <v>2429.17</v>
      </c>
      <c r="G190" s="14">
        <v>981</v>
      </c>
      <c r="H190" s="14">
        <v>1</v>
      </c>
      <c r="I190" s="14">
        <v>36</v>
      </c>
      <c r="J190" s="22">
        <v>0.99347884087748495</v>
      </c>
      <c r="K190" s="22">
        <v>6.5211591225151598E-3</v>
      </c>
      <c r="L190" s="14">
        <v>0</v>
      </c>
    </row>
    <row r="191" spans="1:12" x14ac:dyDescent="0.25">
      <c r="A191" s="13" t="s">
        <v>6419</v>
      </c>
      <c r="B191" s="14" t="s">
        <v>17</v>
      </c>
      <c r="C191" s="14" t="s">
        <v>535</v>
      </c>
      <c r="D191" s="14" t="s">
        <v>464</v>
      </c>
      <c r="E191" s="14" t="s">
        <v>539</v>
      </c>
      <c r="F191" s="21">
        <v>2469.9499999999998</v>
      </c>
      <c r="G191" s="14">
        <v>740</v>
      </c>
      <c r="H191" s="14">
        <v>0</v>
      </c>
      <c r="I191" s="14">
        <v>14</v>
      </c>
      <c r="J191" s="22">
        <v>3.2008489945982502E-2</v>
      </c>
      <c r="K191" s="22">
        <v>0.96799151005401796</v>
      </c>
      <c r="L191" s="14">
        <v>0</v>
      </c>
    </row>
    <row r="192" spans="1:12" ht="39.6" x14ac:dyDescent="0.25">
      <c r="A192" s="13" t="s">
        <v>540</v>
      </c>
      <c r="B192" s="14" t="s">
        <v>17</v>
      </c>
      <c r="C192" s="14" t="s">
        <v>5546</v>
      </c>
      <c r="D192" s="14" t="s">
        <v>542</v>
      </c>
      <c r="E192" s="23" t="s">
        <v>6420</v>
      </c>
      <c r="F192" s="21">
        <v>2435.38</v>
      </c>
      <c r="G192" s="14">
        <v>85</v>
      </c>
      <c r="H192" s="14">
        <v>1</v>
      </c>
      <c r="I192" s="14">
        <v>15</v>
      </c>
      <c r="J192" s="22">
        <v>0.25020676113976298</v>
      </c>
      <c r="K192" s="22">
        <v>0.74979323886023697</v>
      </c>
      <c r="L192" s="14">
        <v>0</v>
      </c>
    </row>
    <row r="193" spans="1:12" x14ac:dyDescent="0.25">
      <c r="A193" s="13" t="s">
        <v>544</v>
      </c>
      <c r="B193" s="14" t="s">
        <v>5325</v>
      </c>
      <c r="C193" s="14" t="s">
        <v>5545</v>
      </c>
      <c r="D193" s="14" t="s">
        <v>47</v>
      </c>
      <c r="E193" s="14" t="s">
        <v>545</v>
      </c>
      <c r="F193" s="21">
        <v>1281.5899999999999</v>
      </c>
      <c r="G193" s="14">
        <v>320</v>
      </c>
      <c r="H193" s="14">
        <v>0</v>
      </c>
      <c r="I193" s="14">
        <v>43</v>
      </c>
      <c r="J193" s="22">
        <v>0.89394575669417498</v>
      </c>
      <c r="K193" s="22">
        <v>0.106054243305825</v>
      </c>
      <c r="L193" s="14">
        <v>0</v>
      </c>
    </row>
    <row r="194" spans="1:12" ht="39.6" x14ac:dyDescent="0.25">
      <c r="A194" s="20" t="s">
        <v>6421</v>
      </c>
      <c r="B194" s="14" t="s">
        <v>547</v>
      </c>
      <c r="C194" s="14" t="s">
        <v>548</v>
      </c>
      <c r="D194" s="14" t="s">
        <v>549</v>
      </c>
      <c r="E194" s="14" t="s">
        <v>550</v>
      </c>
      <c r="F194" s="21">
        <v>1836.91</v>
      </c>
      <c r="G194" s="14">
        <v>382</v>
      </c>
      <c r="H194" s="14">
        <v>0</v>
      </c>
      <c r="I194" s="14">
        <v>13</v>
      </c>
      <c r="J194" s="22">
        <v>0.56643943028462695</v>
      </c>
      <c r="K194" s="22">
        <v>0.43356056971537299</v>
      </c>
      <c r="L194" s="14">
        <v>0</v>
      </c>
    </row>
    <row r="195" spans="1:12" x14ac:dyDescent="0.25">
      <c r="A195" s="13" t="s">
        <v>551</v>
      </c>
      <c r="B195" s="14" t="s">
        <v>5473</v>
      </c>
      <c r="C195" s="14" t="s">
        <v>553</v>
      </c>
      <c r="D195" s="14" t="s">
        <v>554</v>
      </c>
      <c r="E195" s="14" t="s">
        <v>555</v>
      </c>
      <c r="F195" s="21">
        <v>1260</v>
      </c>
      <c r="G195" s="14">
        <v>303</v>
      </c>
      <c r="H195" s="14">
        <v>0</v>
      </c>
      <c r="I195" s="14">
        <v>26</v>
      </c>
      <c r="J195" s="22">
        <v>0.121997633909391</v>
      </c>
      <c r="K195" s="22">
        <v>0.878002366090609</v>
      </c>
      <c r="L195" s="14">
        <v>0</v>
      </c>
    </row>
    <row r="196" spans="1:12" x14ac:dyDescent="0.25">
      <c r="A196" s="13" t="s">
        <v>556</v>
      </c>
      <c r="B196" s="14" t="s">
        <v>5473</v>
      </c>
      <c r="C196" s="14" t="s">
        <v>553</v>
      </c>
      <c r="D196" s="14" t="s">
        <v>554</v>
      </c>
      <c r="E196" s="14" t="s">
        <v>557</v>
      </c>
      <c r="F196" s="21">
        <v>1680</v>
      </c>
      <c r="G196" s="14">
        <v>901</v>
      </c>
      <c r="H196" s="14">
        <v>1</v>
      </c>
      <c r="I196" s="14">
        <v>19</v>
      </c>
      <c r="J196" s="22">
        <v>0.41726813353929798</v>
      </c>
      <c r="K196" s="22">
        <v>0.58273186646070296</v>
      </c>
      <c r="L196" s="14">
        <v>0</v>
      </c>
    </row>
    <row r="197" spans="1:12" x14ac:dyDescent="0.25">
      <c r="A197" s="13" t="s">
        <v>558</v>
      </c>
      <c r="B197" s="14" t="s">
        <v>5473</v>
      </c>
      <c r="C197" s="14" t="s">
        <v>553</v>
      </c>
      <c r="D197" s="14" t="s">
        <v>554</v>
      </c>
      <c r="E197" s="14" t="s">
        <v>559</v>
      </c>
      <c r="F197" s="21">
        <v>1680</v>
      </c>
      <c r="G197" s="14">
        <v>859</v>
      </c>
      <c r="H197" s="14">
        <v>1</v>
      </c>
      <c r="I197" s="14">
        <v>20</v>
      </c>
      <c r="J197" s="22">
        <v>0.65199348029877902</v>
      </c>
      <c r="K197" s="22">
        <v>0.34800651970122098</v>
      </c>
      <c r="L197" s="14">
        <v>0</v>
      </c>
    </row>
    <row r="198" spans="1:12" x14ac:dyDescent="0.25">
      <c r="A198" s="13" t="s">
        <v>560</v>
      </c>
      <c r="B198" s="14" t="s">
        <v>5473</v>
      </c>
      <c r="C198" s="14" t="s">
        <v>553</v>
      </c>
      <c r="D198" s="14" t="s">
        <v>554</v>
      </c>
      <c r="E198" s="14" t="s">
        <v>561</v>
      </c>
      <c r="F198" s="21">
        <v>2040</v>
      </c>
      <c r="G198" s="14">
        <v>997</v>
      </c>
      <c r="H198" s="14">
        <v>1</v>
      </c>
      <c r="I198" s="14">
        <v>26</v>
      </c>
      <c r="J198" s="22">
        <v>0.94957461406139398</v>
      </c>
      <c r="K198" s="22">
        <v>5.0425385938606099E-2</v>
      </c>
      <c r="L198" s="14">
        <v>0</v>
      </c>
    </row>
    <row r="199" spans="1:12" x14ac:dyDescent="0.25">
      <c r="A199" s="13" t="s">
        <v>6422</v>
      </c>
      <c r="B199" s="14" t="s">
        <v>5463</v>
      </c>
      <c r="C199" s="14" t="s">
        <v>526</v>
      </c>
      <c r="D199" s="14" t="s">
        <v>518</v>
      </c>
      <c r="E199" s="14" t="s">
        <v>563</v>
      </c>
      <c r="F199" s="21">
        <v>1044</v>
      </c>
      <c r="G199" s="14">
        <v>795</v>
      </c>
      <c r="H199" s="14">
        <v>0</v>
      </c>
      <c r="I199" s="14">
        <v>25</v>
      </c>
      <c r="J199" s="22">
        <v>0.25848581046554098</v>
      </c>
      <c r="K199" s="22">
        <v>0.74151418953445902</v>
      </c>
      <c r="L199" s="14">
        <v>0</v>
      </c>
    </row>
    <row r="200" spans="1:12" x14ac:dyDescent="0.25">
      <c r="A200" s="13">
        <v>3558749</v>
      </c>
      <c r="B200" s="14" t="s">
        <v>5463</v>
      </c>
      <c r="C200" s="14" t="s">
        <v>526</v>
      </c>
      <c r="D200" s="14" t="s">
        <v>518</v>
      </c>
      <c r="E200" s="14" t="s">
        <v>565</v>
      </c>
      <c r="F200" s="21">
        <v>1044</v>
      </c>
      <c r="G200" s="14">
        <v>794</v>
      </c>
      <c r="H200" s="14">
        <v>0</v>
      </c>
      <c r="I200" s="14">
        <v>34</v>
      </c>
      <c r="J200" s="22">
        <v>0.117654796044963</v>
      </c>
      <c r="K200" s="22">
        <v>0.88234520395503702</v>
      </c>
      <c r="L200" s="14">
        <v>0</v>
      </c>
    </row>
    <row r="201" spans="1:12" x14ac:dyDescent="0.25">
      <c r="B201" s="14" t="s">
        <v>5463</v>
      </c>
      <c r="C201" s="14" t="s">
        <v>526</v>
      </c>
      <c r="D201" s="14" t="s">
        <v>518</v>
      </c>
      <c r="E201" s="14" t="s">
        <v>566</v>
      </c>
      <c r="F201" s="21">
        <v>1044</v>
      </c>
      <c r="G201" s="14">
        <v>405</v>
      </c>
      <c r="H201" s="14">
        <v>1</v>
      </c>
      <c r="I201" s="14">
        <v>13</v>
      </c>
      <c r="J201" s="22">
        <v>0.90222454988603795</v>
      </c>
      <c r="K201" s="22">
        <v>9.7775450113961604E-2</v>
      </c>
      <c r="L201" s="14">
        <v>0</v>
      </c>
    </row>
    <row r="202" spans="1:12" x14ac:dyDescent="0.25">
      <c r="A202" s="13" t="s">
        <v>567</v>
      </c>
      <c r="B202" s="14" t="s">
        <v>5465</v>
      </c>
      <c r="C202" s="14" t="s">
        <v>526</v>
      </c>
      <c r="D202" s="14" t="s">
        <v>518</v>
      </c>
      <c r="E202" s="14" t="s">
        <v>568</v>
      </c>
      <c r="F202" s="21">
        <v>1044</v>
      </c>
      <c r="G202" s="14">
        <v>228</v>
      </c>
      <c r="H202" s="14">
        <v>1</v>
      </c>
      <c r="I202" s="14">
        <v>33</v>
      </c>
      <c r="J202" s="22">
        <v>0.71889940973021904</v>
      </c>
      <c r="K202" s="22">
        <v>0.28110059026978101</v>
      </c>
      <c r="L202" s="14">
        <v>0</v>
      </c>
    </row>
    <row r="203" spans="1:12" x14ac:dyDescent="0.25">
      <c r="A203" s="13">
        <v>3744075</v>
      </c>
      <c r="B203" s="14" t="s">
        <v>5467</v>
      </c>
      <c r="C203" s="14" t="s">
        <v>526</v>
      </c>
      <c r="D203" s="14" t="s">
        <v>518</v>
      </c>
      <c r="E203" s="14" t="s">
        <v>570</v>
      </c>
      <c r="F203" s="21">
        <v>1044</v>
      </c>
      <c r="G203" s="14">
        <v>701</v>
      </c>
      <c r="H203" s="14">
        <v>1</v>
      </c>
      <c r="I203" s="14">
        <v>25</v>
      </c>
      <c r="J203" s="22">
        <v>0.54886341609637301</v>
      </c>
      <c r="K203" s="22">
        <v>0.45113658390362699</v>
      </c>
      <c r="L203" s="14">
        <v>0</v>
      </c>
    </row>
    <row r="204" spans="1:12" x14ac:dyDescent="0.25">
      <c r="A204" s="13" t="s">
        <v>571</v>
      </c>
      <c r="B204" s="14" t="s">
        <v>5316</v>
      </c>
      <c r="C204" s="14" t="s">
        <v>572</v>
      </c>
      <c r="D204" s="14" t="s">
        <v>573</v>
      </c>
      <c r="E204" s="14" t="s">
        <v>574</v>
      </c>
      <c r="F204" s="21">
        <v>2381.04</v>
      </c>
      <c r="G204" s="14">
        <v>267</v>
      </c>
      <c r="H204" s="14">
        <v>0</v>
      </c>
      <c r="I204" s="14">
        <v>1</v>
      </c>
      <c r="J204" s="22">
        <v>0.13756436765562899</v>
      </c>
      <c r="K204" s="22">
        <v>0.86243563234437104</v>
      </c>
      <c r="L204" s="14">
        <v>0</v>
      </c>
    </row>
    <row r="205" spans="1:12" x14ac:dyDescent="0.25">
      <c r="A205" s="13" t="s">
        <v>575</v>
      </c>
      <c r="B205" s="14" t="s">
        <v>17</v>
      </c>
      <c r="C205" s="14" t="s">
        <v>576</v>
      </c>
      <c r="D205" s="14" t="s">
        <v>577</v>
      </c>
      <c r="E205" s="14" t="s">
        <v>578</v>
      </c>
      <c r="F205" s="21">
        <v>2329.0300000000002</v>
      </c>
      <c r="G205" s="14">
        <v>579</v>
      </c>
      <c r="H205" s="14">
        <v>0</v>
      </c>
      <c r="I205" s="14">
        <v>44</v>
      </c>
      <c r="J205" s="22">
        <v>0.77209498199763005</v>
      </c>
      <c r="K205" s="22">
        <v>0.22790501800237001</v>
      </c>
      <c r="L205" s="14">
        <v>0</v>
      </c>
    </row>
    <row r="206" spans="1:12" ht="39.6" x14ac:dyDescent="0.25">
      <c r="A206" s="20" t="s">
        <v>6423</v>
      </c>
      <c r="B206" s="14" t="s">
        <v>17</v>
      </c>
      <c r="C206" s="14" t="s">
        <v>576</v>
      </c>
      <c r="D206" s="14" t="s">
        <v>577</v>
      </c>
      <c r="E206" s="14" t="s">
        <v>580</v>
      </c>
      <c r="F206" s="21">
        <v>2466.39</v>
      </c>
      <c r="G206" s="14">
        <v>432</v>
      </c>
      <c r="H206" s="14">
        <v>1</v>
      </c>
      <c r="I206" s="14">
        <v>5</v>
      </c>
      <c r="J206" s="22">
        <v>0.85386911118085795</v>
      </c>
      <c r="K206" s="22">
        <v>0.14613088881914199</v>
      </c>
      <c r="L206" s="14">
        <v>0</v>
      </c>
    </row>
    <row r="207" spans="1:12" x14ac:dyDescent="0.25">
      <c r="A207" s="13" t="s">
        <v>5848</v>
      </c>
      <c r="B207" s="14" t="s">
        <v>148</v>
      </c>
      <c r="C207" s="14" t="s">
        <v>148</v>
      </c>
      <c r="D207" s="14" t="s">
        <v>47</v>
      </c>
      <c r="E207" s="14" t="s">
        <v>6424</v>
      </c>
      <c r="F207" s="21">
        <v>1350</v>
      </c>
      <c r="G207" s="14">
        <v>76</v>
      </c>
      <c r="H207" s="14">
        <v>0</v>
      </c>
      <c r="I207" s="14">
        <v>20</v>
      </c>
      <c r="J207" s="22">
        <v>0.75359922883157304</v>
      </c>
      <c r="K207" s="22">
        <v>0.24640077116842701</v>
      </c>
      <c r="L207" s="14">
        <v>0</v>
      </c>
    </row>
    <row r="208" spans="1:12" ht="26.4" x14ac:dyDescent="0.25">
      <c r="A208" s="20" t="s">
        <v>6425</v>
      </c>
      <c r="B208" s="14" t="s">
        <v>69</v>
      </c>
      <c r="C208" s="14" t="s">
        <v>584</v>
      </c>
      <c r="D208" s="14" t="s">
        <v>585</v>
      </c>
      <c r="E208" s="14" t="s">
        <v>586</v>
      </c>
      <c r="F208" s="21">
        <v>2236.16</v>
      </c>
      <c r="G208" s="14">
        <v>130</v>
      </c>
      <c r="H208" s="14">
        <v>1</v>
      </c>
      <c r="I208" s="14">
        <v>34</v>
      </c>
      <c r="J208" s="22">
        <v>0.60679171350880201</v>
      </c>
      <c r="K208" s="22">
        <v>0.39320828649119799</v>
      </c>
      <c r="L208" s="14">
        <v>0</v>
      </c>
    </row>
    <row r="209" spans="1:12" x14ac:dyDescent="0.25">
      <c r="A209" s="13">
        <v>23225165</v>
      </c>
      <c r="B209" s="14" t="s">
        <v>5456</v>
      </c>
      <c r="C209" s="14" t="s">
        <v>587</v>
      </c>
      <c r="D209" s="14" t="s">
        <v>588</v>
      </c>
      <c r="E209" s="14" t="s">
        <v>589</v>
      </c>
      <c r="F209" s="21">
        <v>1930.88</v>
      </c>
      <c r="G209" s="14">
        <v>472</v>
      </c>
      <c r="H209" s="14">
        <v>0</v>
      </c>
      <c r="I209" s="14">
        <v>4</v>
      </c>
      <c r="J209" s="22">
        <v>0.72146045773843903</v>
      </c>
      <c r="K209" s="22">
        <v>0.27853954226156102</v>
      </c>
      <c r="L209" s="14">
        <v>0</v>
      </c>
    </row>
    <row r="210" spans="1:12" x14ac:dyDescent="0.25">
      <c r="A210" s="13">
        <v>23179061</v>
      </c>
      <c r="B210" s="14" t="s">
        <v>5458</v>
      </c>
      <c r="C210" s="14" t="s">
        <v>587</v>
      </c>
      <c r="D210" s="14" t="s">
        <v>588</v>
      </c>
      <c r="E210" s="14" t="s">
        <v>6426</v>
      </c>
      <c r="F210" s="21">
        <v>1916.11</v>
      </c>
      <c r="G210" s="14">
        <v>182</v>
      </c>
      <c r="H210" s="14">
        <v>0</v>
      </c>
      <c r="I210" s="14">
        <v>2</v>
      </c>
      <c r="J210" s="22">
        <v>0.23492550078884999</v>
      </c>
      <c r="K210" s="22">
        <v>0.76507449921115001</v>
      </c>
      <c r="L210" s="14">
        <v>0</v>
      </c>
    </row>
    <row r="211" spans="1:12" x14ac:dyDescent="0.25">
      <c r="A211" s="13" t="s">
        <v>6427</v>
      </c>
      <c r="B211" s="14" t="s">
        <v>592</v>
      </c>
      <c r="C211" s="14" t="s">
        <v>593</v>
      </c>
      <c r="D211" s="14" t="s">
        <v>425</v>
      </c>
      <c r="E211" s="14" t="s">
        <v>594</v>
      </c>
      <c r="F211" s="21">
        <v>675.29</v>
      </c>
      <c r="G211" s="14">
        <v>819</v>
      </c>
      <c r="H211" s="14">
        <v>0</v>
      </c>
      <c r="I211" s="14">
        <v>27</v>
      </c>
      <c r="J211" s="22">
        <v>0.230884045326577</v>
      </c>
      <c r="K211" s="22">
        <v>0.76911595467342297</v>
      </c>
      <c r="L211" s="14">
        <v>0</v>
      </c>
    </row>
    <row r="212" spans="1:12" x14ac:dyDescent="0.25">
      <c r="A212" s="13" t="s">
        <v>6428</v>
      </c>
      <c r="B212" s="14" t="s">
        <v>592</v>
      </c>
      <c r="C212" s="14" t="s">
        <v>593</v>
      </c>
      <c r="D212" s="14" t="s">
        <v>425</v>
      </c>
      <c r="E212" s="14" t="s">
        <v>596</v>
      </c>
      <c r="F212" s="21">
        <v>683.96</v>
      </c>
      <c r="G212" s="14">
        <v>429</v>
      </c>
      <c r="H212" s="14">
        <v>0</v>
      </c>
      <c r="I212" s="14">
        <v>33</v>
      </c>
      <c r="J212" s="22">
        <v>0.49258523690593597</v>
      </c>
      <c r="K212" s="22">
        <v>0.50741476309406497</v>
      </c>
      <c r="L212" s="14">
        <v>0</v>
      </c>
    </row>
    <row r="213" spans="1:12" x14ac:dyDescent="0.25">
      <c r="A213" s="13" t="s">
        <v>6429</v>
      </c>
      <c r="B213" s="14" t="s">
        <v>5346</v>
      </c>
      <c r="C213" s="14" t="s">
        <v>593</v>
      </c>
      <c r="D213" s="14" t="s">
        <v>425</v>
      </c>
      <c r="E213" s="14" t="s">
        <v>598</v>
      </c>
      <c r="F213" s="21">
        <v>671.04</v>
      </c>
      <c r="G213" s="14">
        <v>457</v>
      </c>
      <c r="H213" s="14">
        <v>1</v>
      </c>
      <c r="I213" s="14">
        <v>8</v>
      </c>
      <c r="J213" s="22">
        <v>0.33016198396441498</v>
      </c>
      <c r="K213" s="22">
        <v>0.66983801603558502</v>
      </c>
      <c r="L213" s="14">
        <v>0</v>
      </c>
    </row>
    <row r="214" spans="1:12" x14ac:dyDescent="0.25">
      <c r="A214" s="13" t="s">
        <v>6430</v>
      </c>
      <c r="B214" s="14" t="s">
        <v>5481</v>
      </c>
      <c r="C214" s="14" t="s">
        <v>600</v>
      </c>
      <c r="D214" s="14" t="s">
        <v>554</v>
      </c>
      <c r="E214" s="14" t="s">
        <v>601</v>
      </c>
      <c r="F214" s="21">
        <v>1981.72</v>
      </c>
      <c r="H214" s="14">
        <v>1</v>
      </c>
      <c r="I214" s="14" t="s">
        <v>6314</v>
      </c>
      <c r="J214" s="22">
        <v>0.78310334327004605</v>
      </c>
      <c r="K214" s="22">
        <v>0.21689665672995401</v>
      </c>
      <c r="L214" s="14">
        <v>0</v>
      </c>
    </row>
    <row r="215" spans="1:12" x14ac:dyDescent="0.25">
      <c r="B215" s="14" t="s">
        <v>86</v>
      </c>
      <c r="C215" s="14" t="s">
        <v>600</v>
      </c>
      <c r="D215" s="14" t="s">
        <v>554</v>
      </c>
      <c r="E215" s="14" t="s">
        <v>602</v>
      </c>
      <c r="F215" s="21">
        <v>1981.77</v>
      </c>
      <c r="H215" s="14">
        <v>1</v>
      </c>
      <c r="I215" s="14">
        <v>4</v>
      </c>
      <c r="J215" s="22">
        <v>0.28950316730565401</v>
      </c>
      <c r="K215" s="22">
        <v>0.71049683269434605</v>
      </c>
      <c r="L215" s="14">
        <v>0</v>
      </c>
    </row>
    <row r="216" spans="1:12" x14ac:dyDescent="0.25">
      <c r="A216" s="13" t="s">
        <v>6431</v>
      </c>
      <c r="B216" s="14" t="s">
        <v>5428</v>
      </c>
      <c r="C216" s="14" t="s">
        <v>604</v>
      </c>
      <c r="D216" s="14" t="s">
        <v>605</v>
      </c>
      <c r="E216" s="14" t="s">
        <v>606</v>
      </c>
      <c r="F216" s="21">
        <v>834</v>
      </c>
      <c r="G216" s="14">
        <v>978</v>
      </c>
      <c r="H216" s="14">
        <v>1</v>
      </c>
      <c r="I216" s="14">
        <v>24</v>
      </c>
      <c r="J216" s="22">
        <v>0.72726689468559202</v>
      </c>
      <c r="K216" s="22">
        <v>0.27273310531440798</v>
      </c>
      <c r="L216" s="14">
        <v>0</v>
      </c>
    </row>
    <row r="217" spans="1:12" x14ac:dyDescent="0.25">
      <c r="B217" s="14" t="s">
        <v>5411</v>
      </c>
      <c r="C217" s="14" t="s">
        <v>608</v>
      </c>
      <c r="D217" s="14" t="s">
        <v>47</v>
      </c>
      <c r="E217" s="14" t="s">
        <v>609</v>
      </c>
      <c r="F217" s="21">
        <v>1800</v>
      </c>
      <c r="G217" s="14">
        <v>922</v>
      </c>
      <c r="H217" s="14">
        <v>1</v>
      </c>
      <c r="I217" s="14">
        <v>31</v>
      </c>
      <c r="J217" s="22">
        <v>0.58436720450778701</v>
      </c>
      <c r="K217" s="22">
        <v>0.41563279549221399</v>
      </c>
      <c r="L217" s="14">
        <v>0</v>
      </c>
    </row>
    <row r="218" spans="1:12" x14ac:dyDescent="0.25">
      <c r="A218" s="13" t="s">
        <v>610</v>
      </c>
      <c r="B218" s="14" t="s">
        <v>6432</v>
      </c>
      <c r="C218" s="14" t="s">
        <v>5548</v>
      </c>
      <c r="D218" s="14" t="s">
        <v>47</v>
      </c>
      <c r="E218" s="14" t="s">
        <v>612</v>
      </c>
      <c r="F218" s="21">
        <v>1920</v>
      </c>
      <c r="G218" s="14">
        <v>251</v>
      </c>
      <c r="H218" s="14">
        <v>0</v>
      </c>
      <c r="I218" s="14">
        <v>16</v>
      </c>
      <c r="J218" s="22">
        <v>0.45518517330679897</v>
      </c>
      <c r="K218" s="22">
        <v>0.54481482669320103</v>
      </c>
      <c r="L218" s="14">
        <v>0</v>
      </c>
    </row>
    <row r="219" spans="1:12" x14ac:dyDescent="0.25">
      <c r="A219" s="13" t="s">
        <v>613</v>
      </c>
      <c r="B219" s="14" t="s">
        <v>17</v>
      </c>
      <c r="C219" s="14" t="s">
        <v>614</v>
      </c>
      <c r="D219" s="14" t="s">
        <v>615</v>
      </c>
      <c r="E219" s="14" t="s">
        <v>616</v>
      </c>
      <c r="F219" s="21">
        <v>2863.73</v>
      </c>
      <c r="G219" s="14">
        <v>4</v>
      </c>
      <c r="H219" s="14">
        <v>0</v>
      </c>
      <c r="I219" s="14">
        <v>35</v>
      </c>
      <c r="J219" s="22">
        <v>0.75325098607603302</v>
      </c>
      <c r="K219" s="22">
        <v>0.246749013923967</v>
      </c>
      <c r="L219" s="14">
        <v>0</v>
      </c>
    </row>
    <row r="220" spans="1:12" x14ac:dyDescent="0.25">
      <c r="B220" s="14" t="s">
        <v>86</v>
      </c>
      <c r="C220" s="14" t="s">
        <v>617</v>
      </c>
      <c r="D220" s="14" t="s">
        <v>618</v>
      </c>
      <c r="E220" s="14" t="s">
        <v>619</v>
      </c>
      <c r="F220" s="21">
        <v>1500</v>
      </c>
      <c r="G220" s="14">
        <v>12</v>
      </c>
      <c r="H220" s="14">
        <v>0</v>
      </c>
      <c r="I220" s="14">
        <v>26</v>
      </c>
      <c r="J220" s="22">
        <v>0.71431062654525501</v>
      </c>
      <c r="K220" s="22">
        <v>0.28568937345474499</v>
      </c>
      <c r="L220" s="14">
        <v>0</v>
      </c>
    </row>
    <row r="221" spans="1:12" x14ac:dyDescent="0.25">
      <c r="B221" s="14" t="s">
        <v>86</v>
      </c>
      <c r="C221" s="14" t="s">
        <v>6433</v>
      </c>
      <c r="D221" s="14" t="s">
        <v>618</v>
      </c>
      <c r="E221" s="14" t="s">
        <v>620</v>
      </c>
      <c r="F221" s="21">
        <v>1500</v>
      </c>
      <c r="H221" s="14">
        <v>0</v>
      </c>
      <c r="I221" s="14">
        <v>19</v>
      </c>
      <c r="J221" s="22">
        <v>0.68825462364333301</v>
      </c>
      <c r="K221" s="22">
        <v>0.31174537635666699</v>
      </c>
      <c r="L221" s="14">
        <v>0</v>
      </c>
    </row>
    <row r="222" spans="1:12" x14ac:dyDescent="0.25">
      <c r="A222" s="13" t="s">
        <v>621</v>
      </c>
      <c r="B222" s="14" t="s">
        <v>758</v>
      </c>
      <c r="C222" s="14" t="s">
        <v>5559</v>
      </c>
      <c r="D222" s="14" t="s">
        <v>623</v>
      </c>
      <c r="E222" s="14" t="s">
        <v>624</v>
      </c>
      <c r="F222" s="21">
        <v>2340</v>
      </c>
      <c r="G222" s="14">
        <v>954</v>
      </c>
      <c r="H222" s="14">
        <v>0</v>
      </c>
      <c r="I222" s="14">
        <v>16</v>
      </c>
      <c r="J222" s="22">
        <v>0.64847499569603495</v>
      </c>
      <c r="K222" s="22">
        <v>0.35152500430396599</v>
      </c>
      <c r="L222" s="14">
        <v>0</v>
      </c>
    </row>
    <row r="223" spans="1:12" ht="26.4" x14ac:dyDescent="0.25">
      <c r="A223" s="20" t="s">
        <v>6434</v>
      </c>
      <c r="B223" s="14" t="s">
        <v>5433</v>
      </c>
      <c r="C223" s="14" t="s">
        <v>627</v>
      </c>
      <c r="D223" s="14" t="s">
        <v>628</v>
      </c>
      <c r="E223" s="14" t="s">
        <v>629</v>
      </c>
      <c r="F223" s="21">
        <v>3000</v>
      </c>
      <c r="G223" s="14">
        <v>494</v>
      </c>
      <c r="H223" s="14">
        <v>1</v>
      </c>
      <c r="I223" s="14">
        <v>23</v>
      </c>
      <c r="J223" s="22">
        <v>0.87732165297743703</v>
      </c>
      <c r="K223" s="22">
        <v>0.122678347022563</v>
      </c>
      <c r="L223" s="14">
        <v>0</v>
      </c>
    </row>
    <row r="224" spans="1:12" x14ac:dyDescent="0.25">
      <c r="B224" s="14" t="s">
        <v>5336</v>
      </c>
      <c r="C224" s="14" t="s">
        <v>631</v>
      </c>
      <c r="D224" s="14" t="s">
        <v>632</v>
      </c>
      <c r="E224" s="14" t="s">
        <v>633</v>
      </c>
      <c r="F224" s="21">
        <v>1260.26</v>
      </c>
      <c r="H224" s="14">
        <v>1</v>
      </c>
      <c r="I224" s="14">
        <v>26</v>
      </c>
      <c r="J224" s="22">
        <v>0.64002132206862095</v>
      </c>
      <c r="K224" s="22">
        <v>0.359978677931379</v>
      </c>
      <c r="L224" s="14">
        <v>0</v>
      </c>
    </row>
    <row r="225" spans="1:12" x14ac:dyDescent="0.25">
      <c r="B225" s="14" t="s">
        <v>5336</v>
      </c>
      <c r="C225" s="14" t="s">
        <v>631</v>
      </c>
      <c r="D225" s="14" t="s">
        <v>632</v>
      </c>
      <c r="E225" s="14" t="s">
        <v>634</v>
      </c>
      <c r="F225" s="21">
        <v>1260.26</v>
      </c>
      <c r="G225" s="14">
        <v>37</v>
      </c>
      <c r="H225" s="14">
        <v>1</v>
      </c>
      <c r="I225" s="14">
        <v>28</v>
      </c>
      <c r="J225" s="22">
        <v>0.91273648850585998</v>
      </c>
      <c r="K225" s="22">
        <v>8.7263511494139703E-2</v>
      </c>
      <c r="L225" s="14">
        <v>0</v>
      </c>
    </row>
    <row r="226" spans="1:12" x14ac:dyDescent="0.25">
      <c r="B226" s="14" t="s">
        <v>630</v>
      </c>
      <c r="C226" s="14" t="s">
        <v>631</v>
      </c>
      <c r="D226" s="14" t="s">
        <v>632</v>
      </c>
      <c r="E226" s="14" t="s">
        <v>635</v>
      </c>
      <c r="F226" s="21">
        <v>1230.4000000000001</v>
      </c>
      <c r="H226" s="14">
        <v>0</v>
      </c>
      <c r="I226" s="14">
        <v>14</v>
      </c>
      <c r="J226" s="22">
        <v>0.54887502660055099</v>
      </c>
      <c r="K226" s="22">
        <v>0.45112497339944901</v>
      </c>
      <c r="L226" s="14">
        <v>0</v>
      </c>
    </row>
    <row r="227" spans="1:12" x14ac:dyDescent="0.25">
      <c r="A227" s="13" t="s">
        <v>636</v>
      </c>
      <c r="B227" s="14" t="s">
        <v>630</v>
      </c>
      <c r="C227" s="14" t="s">
        <v>631</v>
      </c>
      <c r="D227" s="14" t="s">
        <v>632</v>
      </c>
      <c r="E227" s="14" t="s">
        <v>637</v>
      </c>
      <c r="F227" s="21">
        <v>1288.1400000000001</v>
      </c>
      <c r="G227" s="14">
        <v>32</v>
      </c>
      <c r="H227" s="14">
        <v>1</v>
      </c>
      <c r="I227" s="14">
        <v>8</v>
      </c>
      <c r="J227" s="22">
        <v>0.61306356928611205</v>
      </c>
      <c r="K227" s="22">
        <v>0.386936430713888</v>
      </c>
      <c r="L227" s="14">
        <v>0</v>
      </c>
    </row>
    <row r="228" spans="1:12" x14ac:dyDescent="0.25">
      <c r="A228" s="13" t="s">
        <v>6435</v>
      </c>
      <c r="B228" s="14" t="s">
        <v>630</v>
      </c>
      <c r="C228" s="14" t="s">
        <v>631</v>
      </c>
      <c r="D228" s="14" t="s">
        <v>632</v>
      </c>
      <c r="E228" s="14" t="s">
        <v>639</v>
      </c>
      <c r="F228" s="21">
        <v>1340.75</v>
      </c>
      <c r="G228" s="14">
        <v>883</v>
      </c>
      <c r="I228" s="14">
        <v>36</v>
      </c>
      <c r="J228" s="22">
        <v>0.96305822095236804</v>
      </c>
      <c r="K228" s="22">
        <v>3.6941779047632302E-2</v>
      </c>
      <c r="L228" s="14">
        <v>0</v>
      </c>
    </row>
    <row r="229" spans="1:12" x14ac:dyDescent="0.25">
      <c r="A229" s="13" t="s">
        <v>6436</v>
      </c>
      <c r="B229" s="14" t="s">
        <v>630</v>
      </c>
      <c r="C229" s="14" t="s">
        <v>631</v>
      </c>
      <c r="D229" s="14" t="s">
        <v>632</v>
      </c>
      <c r="E229" s="14" t="s">
        <v>641</v>
      </c>
      <c r="F229" s="21">
        <v>1527.2</v>
      </c>
      <c r="G229" s="14">
        <v>490</v>
      </c>
      <c r="H229" s="14">
        <v>0</v>
      </c>
      <c r="I229" s="14">
        <v>19</v>
      </c>
      <c r="J229" s="22">
        <v>1.4952061480548199E-2</v>
      </c>
      <c r="K229" s="22">
        <v>0.98504793851945205</v>
      </c>
      <c r="L229" s="14">
        <v>0</v>
      </c>
    </row>
    <row r="230" spans="1:12" ht="26.4" x14ac:dyDescent="0.25">
      <c r="A230" s="20" t="s">
        <v>6437</v>
      </c>
      <c r="B230" s="14" t="s">
        <v>630</v>
      </c>
      <c r="C230" s="14" t="s">
        <v>631</v>
      </c>
      <c r="D230" s="14" t="s">
        <v>632</v>
      </c>
      <c r="E230" s="14" t="s">
        <v>643</v>
      </c>
      <c r="F230" s="21">
        <v>1543.44</v>
      </c>
      <c r="G230" s="14">
        <v>771</v>
      </c>
      <c r="H230" s="14">
        <v>1</v>
      </c>
      <c r="I230" s="14">
        <v>47</v>
      </c>
      <c r="J230" s="22">
        <v>0.26410971902637598</v>
      </c>
      <c r="K230" s="22">
        <v>0.73589028097362397</v>
      </c>
      <c r="L230" s="14">
        <v>0</v>
      </c>
    </row>
    <row r="231" spans="1:12" x14ac:dyDescent="0.25">
      <c r="A231" s="13" t="s">
        <v>6438</v>
      </c>
      <c r="B231" s="14" t="s">
        <v>5337</v>
      </c>
      <c r="C231" s="14" t="s">
        <v>5549</v>
      </c>
      <c r="D231" s="14" t="s">
        <v>645</v>
      </c>
      <c r="E231" s="14" t="s">
        <v>646</v>
      </c>
      <c r="F231" s="21">
        <v>1597.98</v>
      </c>
      <c r="G231" s="14">
        <v>248</v>
      </c>
      <c r="H231" s="14">
        <v>0</v>
      </c>
      <c r="I231" s="14">
        <v>31</v>
      </c>
      <c r="J231" s="22">
        <v>0.755383356459286</v>
      </c>
      <c r="K231" s="22">
        <v>0.244616643540714</v>
      </c>
      <c r="L231" s="14">
        <v>0</v>
      </c>
    </row>
    <row r="232" spans="1:12" x14ac:dyDescent="0.25">
      <c r="A232" s="13" t="s">
        <v>6439</v>
      </c>
      <c r="B232" s="14" t="s">
        <v>630</v>
      </c>
      <c r="C232" s="14" t="s">
        <v>5549</v>
      </c>
      <c r="D232" s="14" t="s">
        <v>645</v>
      </c>
      <c r="E232" s="14" t="s">
        <v>648</v>
      </c>
      <c r="F232" s="21">
        <v>1578.43</v>
      </c>
      <c r="G232" s="14">
        <v>526</v>
      </c>
      <c r="H232" s="14">
        <v>1</v>
      </c>
      <c r="I232" s="14">
        <v>23</v>
      </c>
      <c r="J232" s="22">
        <v>0.331653184826672</v>
      </c>
      <c r="K232" s="22">
        <v>0.66834681517332795</v>
      </c>
      <c r="L232" s="14">
        <v>0</v>
      </c>
    </row>
    <row r="233" spans="1:12" x14ac:dyDescent="0.25">
      <c r="A233" s="13" t="s">
        <v>6440</v>
      </c>
      <c r="B233" s="14" t="s">
        <v>5341</v>
      </c>
      <c r="C233" s="14" t="s">
        <v>6441</v>
      </c>
      <c r="D233" s="14" t="s">
        <v>651</v>
      </c>
      <c r="E233" s="14" t="s">
        <v>652</v>
      </c>
      <c r="F233" s="21">
        <v>1536</v>
      </c>
      <c r="H233" s="14">
        <v>0</v>
      </c>
      <c r="I233" s="14">
        <v>9</v>
      </c>
      <c r="J233" s="22">
        <v>3.85186099547681E-2</v>
      </c>
      <c r="K233" s="22">
        <v>0.96148139004523203</v>
      </c>
      <c r="L233" s="14">
        <v>0</v>
      </c>
    </row>
    <row r="234" spans="1:12" x14ac:dyDescent="0.25">
      <c r="A234" s="13" t="s">
        <v>653</v>
      </c>
      <c r="B234" s="14" t="s">
        <v>148</v>
      </c>
      <c r="C234" s="14" t="s">
        <v>654</v>
      </c>
      <c r="D234" s="14" t="s">
        <v>655</v>
      </c>
      <c r="E234" s="14" t="s">
        <v>656</v>
      </c>
      <c r="F234" s="21">
        <v>1674</v>
      </c>
      <c r="G234" s="14">
        <v>922</v>
      </c>
      <c r="H234" s="14">
        <v>0</v>
      </c>
      <c r="I234" s="14">
        <v>29</v>
      </c>
      <c r="J234" s="22">
        <v>0.96053125412592899</v>
      </c>
      <c r="K234" s="22">
        <v>3.9468745874070899E-2</v>
      </c>
      <c r="L234" s="14">
        <v>0</v>
      </c>
    </row>
    <row r="235" spans="1:12" x14ac:dyDescent="0.25">
      <c r="A235" s="13" t="s">
        <v>6442</v>
      </c>
      <c r="B235" s="14" t="s">
        <v>148</v>
      </c>
      <c r="C235" s="14" t="s">
        <v>658</v>
      </c>
      <c r="D235" s="14" t="s">
        <v>659</v>
      </c>
      <c r="E235" s="14" t="s">
        <v>660</v>
      </c>
      <c r="F235" s="21">
        <v>1375.8</v>
      </c>
      <c r="G235" s="14">
        <v>193</v>
      </c>
      <c r="H235" s="14">
        <v>1</v>
      </c>
      <c r="I235" s="14">
        <v>4</v>
      </c>
      <c r="J235" s="22">
        <v>2.9690235281824101E-2</v>
      </c>
      <c r="K235" s="22">
        <v>0.97030976471817598</v>
      </c>
      <c r="L235" s="14">
        <v>0</v>
      </c>
    </row>
    <row r="236" spans="1:12" x14ac:dyDescent="0.25">
      <c r="A236" s="13" t="s">
        <v>6443</v>
      </c>
      <c r="B236" s="14" t="s">
        <v>148</v>
      </c>
      <c r="C236" s="14" t="s">
        <v>661</v>
      </c>
      <c r="E236" s="14" t="s">
        <v>662</v>
      </c>
      <c r="F236" s="21">
        <v>2010</v>
      </c>
      <c r="G236" s="14">
        <v>801</v>
      </c>
      <c r="H236" s="14">
        <v>0</v>
      </c>
      <c r="I236" s="14">
        <v>14</v>
      </c>
      <c r="J236" s="22">
        <v>3.6488048546832998E-2</v>
      </c>
      <c r="K236" s="22">
        <v>0.96351195145316704</v>
      </c>
      <c r="L236" s="14">
        <v>0</v>
      </c>
    </row>
    <row r="237" spans="1:12" x14ac:dyDescent="0.25">
      <c r="A237" s="13" t="s">
        <v>663</v>
      </c>
      <c r="B237" s="14" t="s">
        <v>148</v>
      </c>
      <c r="C237" s="14" t="s">
        <v>664</v>
      </c>
      <c r="D237" s="14" t="s">
        <v>659</v>
      </c>
      <c r="E237" s="14" t="s">
        <v>665</v>
      </c>
      <c r="F237" s="21">
        <v>1204.3800000000001</v>
      </c>
      <c r="G237" s="14">
        <v>835</v>
      </c>
      <c r="H237" s="14">
        <v>0</v>
      </c>
      <c r="I237" s="14">
        <v>11</v>
      </c>
      <c r="J237" s="22">
        <v>0.70012352314615101</v>
      </c>
      <c r="K237" s="22">
        <v>0.29987647685384999</v>
      </c>
      <c r="L237" s="14">
        <v>0</v>
      </c>
    </row>
    <row r="238" spans="1:12" ht="26.4" x14ac:dyDescent="0.25">
      <c r="A238" s="20" t="s">
        <v>6444</v>
      </c>
      <c r="B238" s="14" t="s">
        <v>148</v>
      </c>
      <c r="C238" s="14" t="s">
        <v>664</v>
      </c>
      <c r="D238" s="14" t="s">
        <v>659</v>
      </c>
      <c r="E238" s="14" t="s">
        <v>667</v>
      </c>
      <c r="F238" s="21">
        <v>1254.5999999999999</v>
      </c>
      <c r="G238" s="14">
        <v>404</v>
      </c>
      <c r="H238" s="14">
        <v>1</v>
      </c>
      <c r="I238" s="14">
        <v>25</v>
      </c>
      <c r="J238" s="22">
        <v>1.55452927790847E-2</v>
      </c>
      <c r="K238" s="22">
        <v>0.98445470722091499</v>
      </c>
      <c r="L238" s="14">
        <v>0</v>
      </c>
    </row>
    <row r="239" spans="1:12" x14ac:dyDescent="0.25">
      <c r="A239" s="13">
        <v>3526451</v>
      </c>
      <c r="B239" s="14" t="s">
        <v>5342</v>
      </c>
      <c r="C239" s="14" t="s">
        <v>664</v>
      </c>
      <c r="D239" s="14" t="s">
        <v>659</v>
      </c>
      <c r="E239" s="14" t="s">
        <v>669</v>
      </c>
      <c r="F239" s="21">
        <v>1476</v>
      </c>
      <c r="G239" s="14">
        <v>297</v>
      </c>
      <c r="H239" s="14">
        <v>1</v>
      </c>
      <c r="I239" s="14">
        <v>23</v>
      </c>
      <c r="J239" s="22">
        <v>0.42256597051064998</v>
      </c>
      <c r="K239" s="22">
        <v>0.57743402948934996</v>
      </c>
      <c r="L239" s="14">
        <v>0</v>
      </c>
    </row>
    <row r="240" spans="1:12" x14ac:dyDescent="0.25">
      <c r="A240" s="13">
        <v>3681581</v>
      </c>
      <c r="B240" s="14" t="s">
        <v>6445</v>
      </c>
      <c r="C240" s="14" t="s">
        <v>664</v>
      </c>
      <c r="D240" s="14" t="s">
        <v>659</v>
      </c>
      <c r="E240" s="14" t="s">
        <v>671</v>
      </c>
      <c r="F240" s="21">
        <v>608.52</v>
      </c>
      <c r="G240" s="14">
        <v>126</v>
      </c>
      <c r="H240" s="14">
        <v>1</v>
      </c>
      <c r="I240" s="14">
        <v>42</v>
      </c>
      <c r="J240" s="22">
        <v>0.192729486840411</v>
      </c>
      <c r="K240" s="22">
        <v>0.80727051315958898</v>
      </c>
      <c r="L240" s="14">
        <v>0</v>
      </c>
    </row>
    <row r="241" spans="1:12" x14ac:dyDescent="0.25">
      <c r="A241" s="13">
        <v>3708772</v>
      </c>
      <c r="B241" s="14" t="s">
        <v>6445</v>
      </c>
      <c r="C241" s="14" t="s">
        <v>5550</v>
      </c>
      <c r="D241" s="14" t="s">
        <v>659</v>
      </c>
      <c r="E241" s="14" t="s">
        <v>673</v>
      </c>
      <c r="F241" s="21">
        <v>608.52</v>
      </c>
      <c r="G241" s="14">
        <v>693</v>
      </c>
      <c r="H241" s="14">
        <v>0</v>
      </c>
      <c r="I241" s="14">
        <v>27</v>
      </c>
      <c r="J241" s="22">
        <v>0.63070184591312395</v>
      </c>
      <c r="K241" s="22">
        <v>0.369298154086876</v>
      </c>
      <c r="L241" s="14">
        <v>0</v>
      </c>
    </row>
    <row r="242" spans="1:12" ht="39.6" x14ac:dyDescent="0.25">
      <c r="A242" s="20" t="s">
        <v>6446</v>
      </c>
      <c r="B242" s="14" t="s">
        <v>148</v>
      </c>
      <c r="C242" s="14" t="s">
        <v>675</v>
      </c>
      <c r="D242" s="14" t="s">
        <v>676</v>
      </c>
      <c r="E242" s="14" t="s">
        <v>677</v>
      </c>
      <c r="F242" s="21">
        <v>1536</v>
      </c>
      <c r="G242" s="14">
        <v>96</v>
      </c>
      <c r="H242" s="14">
        <v>0</v>
      </c>
      <c r="I242" s="14">
        <v>33</v>
      </c>
      <c r="J242" s="22">
        <v>1.1272261789186701E-2</v>
      </c>
      <c r="K242" s="22">
        <v>0.98872773821081295</v>
      </c>
      <c r="L242" s="14">
        <v>0</v>
      </c>
    </row>
    <row r="243" spans="1:12" x14ac:dyDescent="0.25">
      <c r="A243" s="13" t="s">
        <v>678</v>
      </c>
      <c r="B243" s="14" t="s">
        <v>5345</v>
      </c>
      <c r="C243" s="14" t="s">
        <v>675</v>
      </c>
      <c r="D243" s="14" t="s">
        <v>676</v>
      </c>
      <c r="E243" s="14" t="s">
        <v>6447</v>
      </c>
      <c r="F243" s="21">
        <v>1128</v>
      </c>
      <c r="G243" s="14">
        <v>986</v>
      </c>
      <c r="H243" s="14">
        <v>1</v>
      </c>
      <c r="I243" s="14">
        <v>49</v>
      </c>
      <c r="J243" s="22">
        <v>0.77572908965333698</v>
      </c>
      <c r="K243" s="22">
        <v>0.22427091034666299</v>
      </c>
      <c r="L243" s="14">
        <v>0</v>
      </c>
    </row>
    <row r="244" spans="1:12" x14ac:dyDescent="0.25">
      <c r="A244" s="13" t="s">
        <v>6448</v>
      </c>
      <c r="B244" s="14" t="s">
        <v>5344</v>
      </c>
      <c r="C244" s="14" t="s">
        <v>5552</v>
      </c>
      <c r="D244" s="14" t="s">
        <v>682</v>
      </c>
      <c r="E244" s="14" t="s">
        <v>683</v>
      </c>
      <c r="F244" s="21">
        <v>1536</v>
      </c>
      <c r="G244" s="14">
        <v>131</v>
      </c>
      <c r="H244" s="14">
        <v>0</v>
      </c>
      <c r="I244" s="14">
        <v>4</v>
      </c>
      <c r="J244" s="22">
        <v>0.72414179921519095</v>
      </c>
      <c r="K244" s="22">
        <v>0.27585820078480899</v>
      </c>
      <c r="L244" s="14">
        <v>0</v>
      </c>
    </row>
    <row r="245" spans="1:12" x14ac:dyDescent="0.25">
      <c r="A245" s="13" t="s">
        <v>684</v>
      </c>
      <c r="B245" s="14" t="s">
        <v>5345</v>
      </c>
      <c r="C245" s="14" t="s">
        <v>681</v>
      </c>
      <c r="D245" s="14" t="s">
        <v>682</v>
      </c>
      <c r="E245" s="14" t="s">
        <v>685</v>
      </c>
      <c r="F245" s="21">
        <v>1375.8</v>
      </c>
      <c r="G245" s="14">
        <v>537</v>
      </c>
      <c r="H245" s="14">
        <v>1</v>
      </c>
      <c r="I245" s="14">
        <v>8</v>
      </c>
      <c r="J245" s="22">
        <v>0.56708809870694898</v>
      </c>
      <c r="K245" s="22">
        <v>0.43291190129305201</v>
      </c>
      <c r="L245" s="14">
        <v>0</v>
      </c>
    </row>
    <row r="246" spans="1:12" x14ac:dyDescent="0.25">
      <c r="A246" s="13">
        <v>3639180</v>
      </c>
      <c r="B246" s="14" t="s">
        <v>6445</v>
      </c>
      <c r="C246" s="14" t="s">
        <v>6449</v>
      </c>
      <c r="D246" s="14" t="s">
        <v>687</v>
      </c>
      <c r="E246" s="14" t="s">
        <v>688</v>
      </c>
      <c r="F246" s="21">
        <v>1280</v>
      </c>
      <c r="G246" s="14">
        <v>88</v>
      </c>
      <c r="H246" s="14">
        <v>1</v>
      </c>
      <c r="I246" s="14">
        <v>37</v>
      </c>
      <c r="J246" s="22">
        <v>0.46289223411875502</v>
      </c>
      <c r="K246" s="22">
        <v>0.53710776588124598</v>
      </c>
      <c r="L246" s="14">
        <v>0</v>
      </c>
    </row>
    <row r="247" spans="1:12" ht="39.6" x14ac:dyDescent="0.25">
      <c r="A247" s="20" t="s">
        <v>6450</v>
      </c>
      <c r="B247" s="14" t="s">
        <v>5345</v>
      </c>
      <c r="C247" s="14" t="s">
        <v>690</v>
      </c>
      <c r="D247" s="14" t="s">
        <v>691</v>
      </c>
      <c r="E247" s="14" t="s">
        <v>692</v>
      </c>
      <c r="F247" s="21">
        <v>1315.8</v>
      </c>
      <c r="G247" s="14">
        <v>516</v>
      </c>
      <c r="H247" s="14">
        <v>0</v>
      </c>
      <c r="I247" s="14">
        <v>5</v>
      </c>
      <c r="J247" s="22">
        <v>0.23524531095629</v>
      </c>
      <c r="K247" s="22">
        <v>0.76475468904371002</v>
      </c>
      <c r="L247" s="14">
        <v>0</v>
      </c>
    </row>
    <row r="248" spans="1:12" x14ac:dyDescent="0.25">
      <c r="A248" s="13">
        <v>3570299</v>
      </c>
      <c r="B248" s="14" t="s">
        <v>148</v>
      </c>
      <c r="C248" s="14" t="s">
        <v>694</v>
      </c>
      <c r="D248" s="14" t="s">
        <v>659</v>
      </c>
      <c r="E248" s="14" t="s">
        <v>695</v>
      </c>
      <c r="F248" s="21">
        <v>1536</v>
      </c>
      <c r="G248" s="14">
        <v>420</v>
      </c>
      <c r="H248" s="14">
        <v>1</v>
      </c>
      <c r="I248" s="14">
        <v>43</v>
      </c>
      <c r="J248" s="22">
        <v>0.52393171343404799</v>
      </c>
      <c r="K248" s="22">
        <v>0.47606828656595201</v>
      </c>
      <c r="L248" s="14">
        <v>0</v>
      </c>
    </row>
    <row r="249" spans="1:12" x14ac:dyDescent="0.25">
      <c r="A249" s="13" t="s">
        <v>5806</v>
      </c>
      <c r="B249" s="14" t="s">
        <v>5345</v>
      </c>
      <c r="C249" s="14" t="s">
        <v>696</v>
      </c>
      <c r="D249" s="14" t="s">
        <v>682</v>
      </c>
      <c r="E249" s="14" t="s">
        <v>697</v>
      </c>
      <c r="F249" s="21">
        <v>1290</v>
      </c>
      <c r="G249" s="14">
        <v>867</v>
      </c>
      <c r="H249" s="14">
        <v>1</v>
      </c>
      <c r="I249" s="14" t="s">
        <v>6314</v>
      </c>
      <c r="J249" s="22">
        <v>0.96987690488801903</v>
      </c>
      <c r="K249" s="22">
        <v>3.0123095111981101E-2</v>
      </c>
      <c r="L249" s="14">
        <v>0</v>
      </c>
    </row>
    <row r="250" spans="1:12" x14ac:dyDescent="0.25">
      <c r="A250" s="13" t="s">
        <v>698</v>
      </c>
      <c r="B250" s="14" t="s">
        <v>148</v>
      </c>
      <c r="C250" s="14" t="s">
        <v>699</v>
      </c>
      <c r="D250" s="14" t="s">
        <v>700</v>
      </c>
      <c r="E250" s="14" t="s">
        <v>701</v>
      </c>
      <c r="F250" s="21">
        <v>1734</v>
      </c>
      <c r="G250" s="14">
        <v>475</v>
      </c>
      <c r="H250" s="14">
        <v>1</v>
      </c>
      <c r="I250" s="14">
        <v>45</v>
      </c>
      <c r="J250" s="22">
        <v>0.35062281411073098</v>
      </c>
      <c r="K250" s="22">
        <v>0.64937718588926896</v>
      </c>
      <c r="L250" s="14">
        <v>0</v>
      </c>
    </row>
    <row r="251" spans="1:12" x14ac:dyDescent="0.25">
      <c r="A251" s="13" t="s">
        <v>702</v>
      </c>
      <c r="B251" s="14" t="s">
        <v>148</v>
      </c>
      <c r="C251" s="14" t="s">
        <v>699</v>
      </c>
      <c r="D251" s="14" t="s">
        <v>700</v>
      </c>
      <c r="E251" s="14" t="s">
        <v>703</v>
      </c>
      <c r="F251" s="21">
        <v>1794</v>
      </c>
      <c r="G251" s="14">
        <v>618</v>
      </c>
      <c r="H251" s="14">
        <v>0</v>
      </c>
      <c r="I251" s="14">
        <v>34</v>
      </c>
      <c r="J251" s="22">
        <v>0.86797185775012098</v>
      </c>
      <c r="K251" s="22">
        <v>0.13202814224987999</v>
      </c>
      <c r="L251" s="14">
        <v>0</v>
      </c>
    </row>
    <row r="252" spans="1:12" x14ac:dyDescent="0.25">
      <c r="A252" s="13" t="s">
        <v>5806</v>
      </c>
      <c r="B252" s="14" t="s">
        <v>5345</v>
      </c>
      <c r="C252" s="14" t="s">
        <v>699</v>
      </c>
      <c r="D252" s="14" t="s">
        <v>700</v>
      </c>
      <c r="E252" s="14" t="s">
        <v>704</v>
      </c>
      <c r="F252" s="21">
        <v>1605.3</v>
      </c>
      <c r="H252" s="14">
        <v>0</v>
      </c>
      <c r="I252" s="14" t="s">
        <v>6314</v>
      </c>
      <c r="J252" s="22">
        <v>0.82989932831549496</v>
      </c>
      <c r="K252" s="22">
        <v>0.17010067168450499</v>
      </c>
      <c r="L252" s="14">
        <v>0</v>
      </c>
    </row>
    <row r="253" spans="1:12" x14ac:dyDescent="0.25">
      <c r="A253" s="13" t="s">
        <v>705</v>
      </c>
      <c r="B253" s="14" t="s">
        <v>148</v>
      </c>
      <c r="C253" s="14" t="s">
        <v>706</v>
      </c>
      <c r="D253" s="14" t="s">
        <v>700</v>
      </c>
      <c r="E253" s="14" t="s">
        <v>707</v>
      </c>
      <c r="F253" s="21">
        <v>1375.8</v>
      </c>
      <c r="G253" s="14">
        <v>594</v>
      </c>
      <c r="H253" s="14">
        <v>0</v>
      </c>
      <c r="I253" s="14">
        <v>20</v>
      </c>
      <c r="J253" s="22">
        <v>0.20236374890331299</v>
      </c>
      <c r="K253" s="22">
        <v>0.79763625109668701</v>
      </c>
      <c r="L253" s="14">
        <v>0</v>
      </c>
    </row>
    <row r="254" spans="1:12" x14ac:dyDescent="0.25">
      <c r="A254" s="13" t="s">
        <v>708</v>
      </c>
      <c r="B254" s="14" t="s">
        <v>148</v>
      </c>
      <c r="C254" s="14" t="s">
        <v>709</v>
      </c>
      <c r="D254" s="14" t="s">
        <v>655</v>
      </c>
      <c r="E254" s="14" t="s">
        <v>6451</v>
      </c>
      <c r="F254" s="21">
        <v>1536</v>
      </c>
      <c r="H254" s="14">
        <v>0</v>
      </c>
      <c r="I254" s="14">
        <v>27</v>
      </c>
      <c r="J254" s="22">
        <v>0.74563403724320598</v>
      </c>
      <c r="K254" s="22">
        <v>0.25436596275679402</v>
      </c>
      <c r="L254" s="14">
        <v>0</v>
      </c>
    </row>
    <row r="255" spans="1:12" x14ac:dyDescent="0.25">
      <c r="A255" s="13" t="s">
        <v>711</v>
      </c>
      <c r="B255" s="14" t="s">
        <v>148</v>
      </c>
      <c r="C255" s="14" t="s">
        <v>712</v>
      </c>
      <c r="D255" s="14" t="s">
        <v>713</v>
      </c>
      <c r="E255" s="14" t="s">
        <v>714</v>
      </c>
      <c r="F255" s="21">
        <v>1476</v>
      </c>
      <c r="G255" s="14">
        <v>861</v>
      </c>
      <c r="H255" s="14">
        <v>1</v>
      </c>
      <c r="I255" s="14">
        <v>11</v>
      </c>
      <c r="J255" s="22">
        <v>0.961468124072418</v>
      </c>
      <c r="K255" s="22">
        <v>3.8531875927581602E-2</v>
      </c>
      <c r="L255" s="14">
        <v>0</v>
      </c>
    </row>
    <row r="256" spans="1:12" x14ac:dyDescent="0.25">
      <c r="A256" s="13" t="s">
        <v>715</v>
      </c>
      <c r="B256" s="14" t="s">
        <v>148</v>
      </c>
      <c r="C256" s="14" t="s">
        <v>716</v>
      </c>
      <c r="E256" s="14" t="s">
        <v>717</v>
      </c>
      <c r="F256" s="21">
        <v>1314.6</v>
      </c>
      <c r="G256" s="14">
        <v>2</v>
      </c>
      <c r="H256" s="14">
        <v>1</v>
      </c>
      <c r="I256" s="14">
        <v>32</v>
      </c>
      <c r="J256" s="22">
        <v>0.54363361424339496</v>
      </c>
      <c r="K256" s="22">
        <v>0.45636638575660499</v>
      </c>
      <c r="L256" s="14">
        <v>0</v>
      </c>
    </row>
    <row r="257" spans="1:12" x14ac:dyDescent="0.25">
      <c r="A257" s="13" t="s">
        <v>6452</v>
      </c>
      <c r="B257" s="14" t="s">
        <v>5343</v>
      </c>
      <c r="C257" s="14" t="s">
        <v>719</v>
      </c>
      <c r="D257" s="14" t="s">
        <v>720</v>
      </c>
      <c r="E257" s="14" t="s">
        <v>721</v>
      </c>
      <c r="F257" s="21">
        <v>1280</v>
      </c>
      <c r="G257" s="14">
        <v>156</v>
      </c>
      <c r="H257" s="14">
        <v>0</v>
      </c>
      <c r="I257" s="14" t="s">
        <v>6314</v>
      </c>
      <c r="J257" s="22">
        <v>0.59800706041451102</v>
      </c>
      <c r="K257" s="22">
        <v>0.40199293958548898</v>
      </c>
      <c r="L257" s="14">
        <v>0</v>
      </c>
    </row>
    <row r="258" spans="1:12" x14ac:dyDescent="0.25">
      <c r="A258" s="13" t="s">
        <v>722</v>
      </c>
      <c r="B258" s="14" t="s">
        <v>5341</v>
      </c>
      <c r="C258" s="14" t="s">
        <v>723</v>
      </c>
      <c r="D258" s="14" t="s">
        <v>720</v>
      </c>
      <c r="E258" s="14" t="s">
        <v>724</v>
      </c>
      <c r="F258" s="21">
        <v>1180.8</v>
      </c>
      <c r="G258" s="14">
        <v>386</v>
      </c>
      <c r="I258" s="14">
        <v>42</v>
      </c>
      <c r="J258" s="22">
        <v>0.74078030639683301</v>
      </c>
      <c r="K258" s="22">
        <v>0.25921969360316699</v>
      </c>
      <c r="L258" s="14">
        <v>0</v>
      </c>
    </row>
    <row r="259" spans="1:12" x14ac:dyDescent="0.25">
      <c r="A259" s="13">
        <v>3637822</v>
      </c>
      <c r="B259" s="14" t="s">
        <v>5342</v>
      </c>
      <c r="C259" s="14" t="s">
        <v>723</v>
      </c>
      <c r="D259" s="14" t="s">
        <v>720</v>
      </c>
      <c r="E259" s="14" t="s">
        <v>726</v>
      </c>
      <c r="F259" s="21">
        <v>1650.51</v>
      </c>
      <c r="G259" s="14">
        <v>580</v>
      </c>
      <c r="H259" s="14">
        <v>1</v>
      </c>
      <c r="I259" s="14">
        <v>47</v>
      </c>
      <c r="J259" s="22">
        <v>1.1381825738603E-2</v>
      </c>
      <c r="K259" s="22">
        <v>0.98861817426139698</v>
      </c>
      <c r="L259" s="14">
        <v>0</v>
      </c>
    </row>
    <row r="260" spans="1:12" x14ac:dyDescent="0.25">
      <c r="A260" s="13" t="s">
        <v>5862</v>
      </c>
      <c r="B260" s="14" t="s">
        <v>148</v>
      </c>
      <c r="C260" s="14" t="s">
        <v>650</v>
      </c>
      <c r="D260" s="14" t="s">
        <v>651</v>
      </c>
      <c r="E260" s="14" t="s">
        <v>728</v>
      </c>
      <c r="F260" s="21">
        <v>437</v>
      </c>
      <c r="G260" s="14">
        <v>319</v>
      </c>
      <c r="H260" s="14">
        <v>0</v>
      </c>
      <c r="I260" s="14">
        <v>30</v>
      </c>
      <c r="J260" s="22">
        <v>0.23181135190538399</v>
      </c>
      <c r="K260" s="22">
        <v>0.76818864809461596</v>
      </c>
      <c r="L260" s="14">
        <v>0</v>
      </c>
    </row>
    <row r="261" spans="1:12" ht="39.6" x14ac:dyDescent="0.25">
      <c r="A261" s="20" t="s">
        <v>6453</v>
      </c>
      <c r="B261" s="14" t="s">
        <v>148</v>
      </c>
      <c r="C261" s="14" t="s">
        <v>650</v>
      </c>
      <c r="D261" s="14" t="s">
        <v>651</v>
      </c>
      <c r="E261" s="14" t="s">
        <v>730</v>
      </c>
      <c r="F261" s="21">
        <v>1314.6</v>
      </c>
      <c r="G261" s="14">
        <v>253</v>
      </c>
      <c r="H261" s="14">
        <v>0</v>
      </c>
      <c r="I261" s="14" t="s">
        <v>6314</v>
      </c>
      <c r="J261" s="22">
        <v>0.84199664790700102</v>
      </c>
      <c r="K261" s="22">
        <v>0.15800335209299901</v>
      </c>
      <c r="L261" s="14">
        <v>0</v>
      </c>
    </row>
    <row r="262" spans="1:12" ht="39.6" x14ac:dyDescent="0.25">
      <c r="A262" s="20" t="s">
        <v>6454</v>
      </c>
      <c r="B262" s="14" t="s">
        <v>148</v>
      </c>
      <c r="C262" s="14" t="s">
        <v>650</v>
      </c>
      <c r="D262" s="14" t="s">
        <v>651</v>
      </c>
      <c r="E262" s="14" t="s">
        <v>732</v>
      </c>
      <c r="F262" s="21">
        <v>1536</v>
      </c>
      <c r="G262" s="14">
        <v>447</v>
      </c>
      <c r="H262" s="14">
        <v>1</v>
      </c>
      <c r="I262" s="14">
        <v>26</v>
      </c>
      <c r="J262" s="22">
        <v>0.43604779568698299</v>
      </c>
      <c r="K262" s="22">
        <v>0.56395220431301796</v>
      </c>
      <c r="L262" s="14">
        <v>0</v>
      </c>
    </row>
    <row r="263" spans="1:12" x14ac:dyDescent="0.25">
      <c r="A263" s="13" t="s">
        <v>6455</v>
      </c>
      <c r="B263" s="14" t="s">
        <v>5343</v>
      </c>
      <c r="C263" s="14" t="s">
        <v>650</v>
      </c>
      <c r="D263" s="14" t="s">
        <v>651</v>
      </c>
      <c r="E263" s="14" t="s">
        <v>734</v>
      </c>
      <c r="F263" s="21">
        <v>1280</v>
      </c>
      <c r="G263" s="14">
        <v>432</v>
      </c>
      <c r="H263" s="14">
        <v>0</v>
      </c>
      <c r="I263" s="14">
        <v>32</v>
      </c>
      <c r="J263" s="22">
        <v>0.95309524824444602</v>
      </c>
      <c r="K263" s="22">
        <v>4.69047517555536E-2</v>
      </c>
      <c r="L263" s="14">
        <v>0</v>
      </c>
    </row>
    <row r="264" spans="1:12" x14ac:dyDescent="0.25">
      <c r="A264" s="13" t="s">
        <v>6452</v>
      </c>
      <c r="B264" s="14" t="s">
        <v>5343</v>
      </c>
      <c r="C264" s="14" t="s">
        <v>650</v>
      </c>
      <c r="D264" s="14" t="s">
        <v>651</v>
      </c>
      <c r="E264" s="14" t="s">
        <v>735</v>
      </c>
      <c r="F264" s="21">
        <v>1280</v>
      </c>
      <c r="G264" s="14">
        <v>874</v>
      </c>
      <c r="H264" s="14">
        <v>0</v>
      </c>
      <c r="I264" s="14">
        <v>41</v>
      </c>
      <c r="J264" s="22">
        <v>0.97645922888146996</v>
      </c>
      <c r="K264" s="22">
        <v>2.3540771118530299E-2</v>
      </c>
      <c r="L264" s="14">
        <v>0</v>
      </c>
    </row>
    <row r="265" spans="1:12" x14ac:dyDescent="0.25">
      <c r="A265" s="13" t="s">
        <v>6456</v>
      </c>
      <c r="B265" s="14" t="s">
        <v>5343</v>
      </c>
      <c r="C265" s="14" t="s">
        <v>650</v>
      </c>
      <c r="D265" s="14" t="s">
        <v>651</v>
      </c>
      <c r="E265" s="14" t="s">
        <v>737</v>
      </c>
      <c r="F265" s="21">
        <v>1280</v>
      </c>
      <c r="G265" s="14">
        <v>775</v>
      </c>
      <c r="H265" s="14">
        <v>1</v>
      </c>
      <c r="I265" s="14">
        <v>9</v>
      </c>
      <c r="J265" s="22">
        <v>0.25577019912229898</v>
      </c>
      <c r="K265" s="22">
        <v>0.74422980087770096</v>
      </c>
      <c r="L265" s="14">
        <v>0</v>
      </c>
    </row>
    <row r="266" spans="1:12" x14ac:dyDescent="0.25">
      <c r="A266" s="13" t="s">
        <v>738</v>
      </c>
      <c r="B266" s="14" t="s">
        <v>5345</v>
      </c>
      <c r="C266" s="14" t="s">
        <v>650</v>
      </c>
      <c r="D266" s="14" t="s">
        <v>651</v>
      </c>
      <c r="E266" s="14" t="s">
        <v>739</v>
      </c>
      <c r="F266" s="21">
        <v>475.62</v>
      </c>
      <c r="G266" s="14">
        <v>745</v>
      </c>
      <c r="H266" s="14">
        <v>0</v>
      </c>
      <c r="I266" s="14">
        <v>8</v>
      </c>
      <c r="J266" s="22">
        <v>0.27857623544001697</v>
      </c>
      <c r="K266" s="22">
        <v>0.72142376455998303</v>
      </c>
      <c r="L266" s="14">
        <v>0</v>
      </c>
    </row>
    <row r="267" spans="1:12" x14ac:dyDescent="0.25">
      <c r="B267" s="14" t="s">
        <v>5345</v>
      </c>
      <c r="C267" s="14" t="s">
        <v>650</v>
      </c>
      <c r="D267" s="14" t="s">
        <v>651</v>
      </c>
      <c r="E267" s="14" t="s">
        <v>740</v>
      </c>
      <c r="F267" s="21">
        <v>1254.5999999999999</v>
      </c>
      <c r="G267" s="14">
        <v>332</v>
      </c>
      <c r="H267" s="14">
        <v>0</v>
      </c>
      <c r="I267" s="14">
        <v>14</v>
      </c>
      <c r="J267" s="22">
        <v>0.184179539103828</v>
      </c>
      <c r="K267" s="22">
        <v>0.815820460896172</v>
      </c>
      <c r="L267" s="14">
        <v>0</v>
      </c>
    </row>
    <row r="268" spans="1:12" x14ac:dyDescent="0.25">
      <c r="A268" s="13" t="s">
        <v>741</v>
      </c>
      <c r="B268" s="14" t="s">
        <v>5345</v>
      </c>
      <c r="C268" s="14" t="s">
        <v>650</v>
      </c>
      <c r="D268" s="14" t="s">
        <v>651</v>
      </c>
      <c r="E268" s="14" t="s">
        <v>742</v>
      </c>
      <c r="F268" s="21">
        <v>1315.8</v>
      </c>
      <c r="G268" s="14">
        <v>537</v>
      </c>
      <c r="H268" s="14">
        <v>0</v>
      </c>
      <c r="I268" s="14">
        <v>39</v>
      </c>
      <c r="J268" s="22">
        <v>0.27927354958580097</v>
      </c>
      <c r="K268" s="22">
        <v>0.72072645041419903</v>
      </c>
      <c r="L268" s="14">
        <v>0</v>
      </c>
    </row>
    <row r="269" spans="1:12" x14ac:dyDescent="0.25">
      <c r="B269" s="14" t="s">
        <v>5345</v>
      </c>
      <c r="C269" s="14" t="s">
        <v>650</v>
      </c>
      <c r="D269" s="14" t="s">
        <v>651</v>
      </c>
      <c r="E269" s="14" t="s">
        <v>743</v>
      </c>
      <c r="F269" s="21">
        <v>1315.8</v>
      </c>
      <c r="G269" s="14">
        <v>952</v>
      </c>
      <c r="H269" s="14">
        <v>0</v>
      </c>
      <c r="I269" s="14">
        <v>15</v>
      </c>
      <c r="J269" s="22">
        <v>0.41625908422673302</v>
      </c>
      <c r="K269" s="22">
        <v>0.58374091577326703</v>
      </c>
      <c r="L269" s="14">
        <v>0</v>
      </c>
    </row>
    <row r="270" spans="1:12" x14ac:dyDescent="0.25">
      <c r="A270" s="13" t="s">
        <v>5863</v>
      </c>
      <c r="B270" s="14" t="s">
        <v>5345</v>
      </c>
      <c r="C270" s="14" t="s">
        <v>650</v>
      </c>
      <c r="D270" s="14" t="s">
        <v>651</v>
      </c>
      <c r="E270" s="14" t="s">
        <v>744</v>
      </c>
      <c r="F270" s="21">
        <v>1315.8</v>
      </c>
      <c r="G270" s="14">
        <v>183</v>
      </c>
      <c r="H270" s="14">
        <v>0</v>
      </c>
      <c r="I270" s="14">
        <v>48</v>
      </c>
      <c r="J270" s="22">
        <v>0.82715588979268895</v>
      </c>
      <c r="K270" s="22">
        <v>0.172844110207311</v>
      </c>
      <c r="L270" s="14">
        <v>0</v>
      </c>
    </row>
    <row r="271" spans="1:12" x14ac:dyDescent="0.25">
      <c r="A271" s="13" t="s">
        <v>745</v>
      </c>
      <c r="B271" s="14" t="s">
        <v>5345</v>
      </c>
      <c r="C271" s="14" t="s">
        <v>650</v>
      </c>
      <c r="D271" s="14" t="s">
        <v>651</v>
      </c>
      <c r="E271" s="14" t="s">
        <v>746</v>
      </c>
      <c r="F271" s="21">
        <v>1536</v>
      </c>
      <c r="G271" s="14">
        <v>939</v>
      </c>
      <c r="H271" s="14">
        <v>0</v>
      </c>
      <c r="I271" s="14">
        <v>20</v>
      </c>
      <c r="J271" s="22">
        <v>0.93516648770828004</v>
      </c>
      <c r="K271" s="22">
        <v>6.4833512291719894E-2</v>
      </c>
      <c r="L271" s="14">
        <v>0</v>
      </c>
    </row>
    <row r="272" spans="1:12" x14ac:dyDescent="0.25">
      <c r="A272" s="13" t="s">
        <v>6457</v>
      </c>
      <c r="B272" s="14" t="s">
        <v>5345</v>
      </c>
      <c r="C272" s="14" t="s">
        <v>650</v>
      </c>
      <c r="D272" s="14" t="s">
        <v>651</v>
      </c>
      <c r="E272" s="14" t="s">
        <v>748</v>
      </c>
      <c r="F272" s="21">
        <v>1536</v>
      </c>
      <c r="G272" s="14">
        <v>901</v>
      </c>
      <c r="H272" s="14">
        <v>1</v>
      </c>
      <c r="I272" s="14" t="s">
        <v>6314</v>
      </c>
      <c r="J272" s="22">
        <v>0.75193134996558797</v>
      </c>
      <c r="K272" s="22">
        <v>0.248068650034412</v>
      </c>
      <c r="L272" s="14">
        <v>0</v>
      </c>
    </row>
    <row r="273" spans="1:12" x14ac:dyDescent="0.25">
      <c r="A273" s="13" t="s">
        <v>625</v>
      </c>
      <c r="B273" s="14" t="s">
        <v>5345</v>
      </c>
      <c r="C273" s="14" t="s">
        <v>650</v>
      </c>
      <c r="D273" s="14" t="s">
        <v>651</v>
      </c>
      <c r="E273" s="14" t="s">
        <v>749</v>
      </c>
      <c r="F273" s="21">
        <v>1608</v>
      </c>
      <c r="G273" s="14">
        <v>851</v>
      </c>
      <c r="H273" s="14">
        <v>0</v>
      </c>
      <c r="I273" s="14">
        <v>26</v>
      </c>
      <c r="J273" s="22">
        <v>0.70082316317210003</v>
      </c>
      <c r="K273" s="22">
        <v>0.29917683682789997</v>
      </c>
      <c r="L273" s="14">
        <v>0</v>
      </c>
    </row>
    <row r="274" spans="1:12" ht="26.4" x14ac:dyDescent="0.25">
      <c r="A274" s="20" t="s">
        <v>6458</v>
      </c>
      <c r="B274" s="14" t="s">
        <v>5342</v>
      </c>
      <c r="C274" s="14" t="s">
        <v>751</v>
      </c>
      <c r="D274" s="14" t="s">
        <v>713</v>
      </c>
      <c r="E274" s="14" t="s">
        <v>752</v>
      </c>
      <c r="F274" s="21">
        <v>729.3</v>
      </c>
      <c r="G274" s="14">
        <v>917</v>
      </c>
      <c r="H274" s="14">
        <v>0</v>
      </c>
      <c r="I274" s="14">
        <v>1</v>
      </c>
      <c r="J274" s="22">
        <v>0.42024304796865097</v>
      </c>
      <c r="K274" s="22">
        <v>0.57975695203134903</v>
      </c>
      <c r="L274" s="14">
        <v>0</v>
      </c>
    </row>
    <row r="275" spans="1:12" x14ac:dyDescent="0.25">
      <c r="A275" s="13" t="s">
        <v>753</v>
      </c>
      <c r="B275" s="14" t="s">
        <v>5342</v>
      </c>
      <c r="C275" s="14" t="s">
        <v>754</v>
      </c>
      <c r="D275" s="14" t="s">
        <v>755</v>
      </c>
      <c r="E275" s="14" t="s">
        <v>756</v>
      </c>
      <c r="F275" s="21">
        <v>1230</v>
      </c>
      <c r="G275" s="14">
        <v>550</v>
      </c>
      <c r="H275" s="14">
        <v>1</v>
      </c>
      <c r="I275" s="14">
        <v>13</v>
      </c>
      <c r="J275" s="22">
        <v>0.73219444093240105</v>
      </c>
      <c r="K275" s="22">
        <v>0.26780555906759901</v>
      </c>
      <c r="L275" s="14">
        <v>0</v>
      </c>
    </row>
    <row r="276" spans="1:12" x14ac:dyDescent="0.25">
      <c r="A276" s="13" t="s">
        <v>757</v>
      </c>
      <c r="B276" s="14" t="s">
        <v>758</v>
      </c>
      <c r="C276" s="14" t="s">
        <v>758</v>
      </c>
      <c r="D276" s="14" t="s">
        <v>759</v>
      </c>
      <c r="E276" s="14" t="s">
        <v>6459</v>
      </c>
      <c r="F276" s="21">
        <v>810</v>
      </c>
      <c r="G276" s="14">
        <v>310</v>
      </c>
      <c r="H276" s="14">
        <v>1</v>
      </c>
      <c r="I276" s="14">
        <v>46</v>
      </c>
      <c r="J276" s="22">
        <v>0.58710781676469603</v>
      </c>
      <c r="K276" s="22">
        <v>0.41289218323530402</v>
      </c>
      <c r="L276" s="14">
        <v>0</v>
      </c>
    </row>
    <row r="277" spans="1:12" x14ac:dyDescent="0.25">
      <c r="A277" s="13" t="s">
        <v>761</v>
      </c>
      <c r="B277" s="14" t="s">
        <v>758</v>
      </c>
      <c r="C277" s="14" t="s">
        <v>758</v>
      </c>
      <c r="D277" s="14" t="s">
        <v>759</v>
      </c>
      <c r="E277" s="14" t="s">
        <v>762</v>
      </c>
      <c r="F277" s="21">
        <v>3000</v>
      </c>
      <c r="G277" s="14">
        <v>342</v>
      </c>
      <c r="H277" s="14">
        <v>1</v>
      </c>
      <c r="I277" s="14">
        <v>29</v>
      </c>
      <c r="J277" s="22">
        <v>0.57288318679153005</v>
      </c>
      <c r="K277" s="22">
        <v>0.42711681320847</v>
      </c>
      <c r="L277" s="14">
        <v>0</v>
      </c>
    </row>
    <row r="278" spans="1:12" x14ac:dyDescent="0.25">
      <c r="B278" s="14" t="s">
        <v>758</v>
      </c>
      <c r="C278" s="14" t="s">
        <v>758</v>
      </c>
      <c r="D278" s="14" t="s">
        <v>759</v>
      </c>
      <c r="E278" s="14" t="s">
        <v>763</v>
      </c>
      <c r="F278" s="21">
        <v>3600</v>
      </c>
      <c r="G278" s="14">
        <v>567</v>
      </c>
      <c r="H278" s="14">
        <v>0</v>
      </c>
      <c r="I278" s="14">
        <v>42</v>
      </c>
      <c r="J278" s="22">
        <v>2.8651921201621099E-2</v>
      </c>
      <c r="K278" s="22">
        <v>0.97134807879837903</v>
      </c>
      <c r="L278" s="14">
        <v>0</v>
      </c>
    </row>
    <row r="279" spans="1:12" x14ac:dyDescent="0.25">
      <c r="A279" s="13" t="s">
        <v>764</v>
      </c>
      <c r="B279" s="14" t="s">
        <v>6460</v>
      </c>
      <c r="C279" s="14" t="s">
        <v>758</v>
      </c>
      <c r="D279" s="14" t="s">
        <v>759</v>
      </c>
      <c r="E279" s="14" t="s">
        <v>765</v>
      </c>
      <c r="F279" s="21">
        <v>1500</v>
      </c>
      <c r="G279" s="14">
        <v>768</v>
      </c>
      <c r="H279" s="14">
        <v>0</v>
      </c>
      <c r="I279" s="14">
        <v>41</v>
      </c>
      <c r="J279" s="22">
        <v>0.82097498531354496</v>
      </c>
      <c r="K279" s="22">
        <v>0.17902501468645601</v>
      </c>
      <c r="L279" s="14">
        <v>0</v>
      </c>
    </row>
    <row r="280" spans="1:12" x14ac:dyDescent="0.25">
      <c r="A280" s="13" t="s">
        <v>766</v>
      </c>
      <c r="B280" s="14" t="s">
        <v>5348</v>
      </c>
      <c r="C280" s="14" t="s">
        <v>758</v>
      </c>
      <c r="D280" s="14" t="s">
        <v>759</v>
      </c>
      <c r="E280" s="14" t="s">
        <v>767</v>
      </c>
      <c r="F280" s="21">
        <v>3600</v>
      </c>
      <c r="G280" s="14">
        <v>694</v>
      </c>
      <c r="I280" s="14">
        <v>33</v>
      </c>
      <c r="J280" s="22">
        <v>0.154669948770988</v>
      </c>
      <c r="K280" s="22">
        <v>0.84533005122901195</v>
      </c>
      <c r="L280" s="14">
        <v>0</v>
      </c>
    </row>
    <row r="281" spans="1:12" x14ac:dyDescent="0.25">
      <c r="A281" s="13" t="s">
        <v>768</v>
      </c>
      <c r="B281" s="14" t="s">
        <v>352</v>
      </c>
      <c r="C281" s="14" t="s">
        <v>758</v>
      </c>
      <c r="D281" s="14" t="s">
        <v>759</v>
      </c>
      <c r="E281" s="14" t="s">
        <v>6461</v>
      </c>
      <c r="F281" s="21">
        <v>3000</v>
      </c>
      <c r="G281" s="14">
        <v>753</v>
      </c>
      <c r="H281" s="14">
        <v>0</v>
      </c>
      <c r="I281" s="14">
        <v>29</v>
      </c>
      <c r="J281" s="22">
        <v>7.9611570355536093E-2</v>
      </c>
      <c r="K281" s="22">
        <v>0.92038842964446399</v>
      </c>
      <c r="L281" s="14">
        <v>0</v>
      </c>
    </row>
    <row r="282" spans="1:12" x14ac:dyDescent="0.25">
      <c r="B282" s="14" t="s">
        <v>5352</v>
      </c>
      <c r="C282" s="14" t="s">
        <v>758</v>
      </c>
      <c r="D282" s="14" t="s">
        <v>759</v>
      </c>
      <c r="E282" s="14" t="s">
        <v>6462</v>
      </c>
      <c r="F282" s="21">
        <v>3000</v>
      </c>
      <c r="G282" s="14">
        <v>250</v>
      </c>
      <c r="H282" s="14">
        <v>0</v>
      </c>
      <c r="I282" s="14">
        <v>48</v>
      </c>
      <c r="J282" s="22">
        <v>0.53468451439235698</v>
      </c>
      <c r="K282" s="22">
        <v>0.46531548560764302</v>
      </c>
      <c r="L282" s="14">
        <v>0</v>
      </c>
    </row>
    <row r="283" spans="1:12" x14ac:dyDescent="0.25">
      <c r="B283" s="14" t="s">
        <v>5352</v>
      </c>
      <c r="C283" s="14" t="s">
        <v>758</v>
      </c>
      <c r="D283" s="14" t="s">
        <v>759</v>
      </c>
      <c r="E283" s="14" t="s">
        <v>771</v>
      </c>
      <c r="F283" s="21">
        <v>3000</v>
      </c>
      <c r="G283" s="14">
        <v>911</v>
      </c>
      <c r="H283" s="14">
        <v>0</v>
      </c>
      <c r="I283" s="14">
        <v>37</v>
      </c>
      <c r="J283" s="22">
        <v>0.48845838758253102</v>
      </c>
      <c r="K283" s="22">
        <v>0.51154161241746898</v>
      </c>
      <c r="L283" s="14">
        <v>0</v>
      </c>
    </row>
    <row r="284" spans="1:12" x14ac:dyDescent="0.25">
      <c r="B284" s="14" t="s">
        <v>5352</v>
      </c>
      <c r="C284" s="14" t="s">
        <v>758</v>
      </c>
      <c r="D284" s="14" t="s">
        <v>759</v>
      </c>
      <c r="E284" s="14" t="s">
        <v>772</v>
      </c>
      <c r="F284" s="21">
        <v>3000</v>
      </c>
      <c r="G284" s="14">
        <v>595</v>
      </c>
      <c r="H284" s="14">
        <v>1</v>
      </c>
      <c r="I284" s="14">
        <v>25</v>
      </c>
      <c r="J284" s="22">
        <v>1.4055642382093799E-2</v>
      </c>
      <c r="K284" s="22">
        <v>0.985944357617906</v>
      </c>
      <c r="L284" s="14">
        <v>0</v>
      </c>
    </row>
    <row r="285" spans="1:12" x14ac:dyDescent="0.25">
      <c r="B285" s="14" t="s">
        <v>5352</v>
      </c>
      <c r="C285" s="14" t="s">
        <v>758</v>
      </c>
      <c r="D285" s="14" t="s">
        <v>759</v>
      </c>
      <c r="E285" s="14" t="s">
        <v>773</v>
      </c>
      <c r="F285" s="21">
        <v>3000</v>
      </c>
      <c r="G285" s="14">
        <v>750</v>
      </c>
      <c r="H285" s="14">
        <v>1</v>
      </c>
      <c r="I285" s="14" t="s">
        <v>6314</v>
      </c>
      <c r="J285" s="22">
        <v>0.35973679403415598</v>
      </c>
      <c r="K285" s="22">
        <v>0.64026320596584396</v>
      </c>
      <c r="L285" s="14">
        <v>0</v>
      </c>
    </row>
    <row r="286" spans="1:12" x14ac:dyDescent="0.25">
      <c r="A286" s="13" t="s">
        <v>774</v>
      </c>
      <c r="B286" s="14" t="s">
        <v>758</v>
      </c>
      <c r="C286" s="14" t="s">
        <v>775</v>
      </c>
      <c r="D286" s="14" t="s">
        <v>776</v>
      </c>
      <c r="E286" s="14" t="s">
        <v>777</v>
      </c>
      <c r="F286" s="21">
        <v>1500</v>
      </c>
      <c r="G286" s="14">
        <v>839</v>
      </c>
      <c r="H286" s="14">
        <v>1</v>
      </c>
      <c r="I286" s="14">
        <v>31</v>
      </c>
      <c r="J286" s="22">
        <v>0.75435439607344001</v>
      </c>
      <c r="K286" s="22">
        <v>0.24564560392656101</v>
      </c>
      <c r="L286" s="14">
        <v>0</v>
      </c>
    </row>
    <row r="287" spans="1:12" x14ac:dyDescent="0.25">
      <c r="A287" s="13" t="s">
        <v>778</v>
      </c>
      <c r="B287" s="14" t="s">
        <v>758</v>
      </c>
      <c r="C287" s="14" t="s">
        <v>775</v>
      </c>
      <c r="D287" s="14" t="s">
        <v>776</v>
      </c>
      <c r="E287" s="14" t="s">
        <v>779</v>
      </c>
      <c r="F287" s="21">
        <v>1620</v>
      </c>
      <c r="G287" s="14">
        <v>357</v>
      </c>
      <c r="H287" s="14">
        <v>1</v>
      </c>
      <c r="I287" s="14" t="s">
        <v>6314</v>
      </c>
      <c r="J287" s="22">
        <v>0.101226726713188</v>
      </c>
      <c r="K287" s="22">
        <v>0.898773273286812</v>
      </c>
      <c r="L287" s="14">
        <v>0</v>
      </c>
    </row>
    <row r="288" spans="1:12" ht="39.6" x14ac:dyDescent="0.25">
      <c r="A288" s="20" t="s">
        <v>6463</v>
      </c>
      <c r="B288" s="14" t="s">
        <v>758</v>
      </c>
      <c r="C288" s="14" t="s">
        <v>775</v>
      </c>
      <c r="D288" s="14" t="s">
        <v>776</v>
      </c>
      <c r="E288" s="14" t="s">
        <v>781</v>
      </c>
      <c r="F288" s="21">
        <v>1652.4</v>
      </c>
      <c r="G288" s="14">
        <v>678</v>
      </c>
      <c r="H288" s="14">
        <v>1</v>
      </c>
      <c r="I288" s="14">
        <v>25</v>
      </c>
      <c r="J288" s="22">
        <v>0.97690526953134205</v>
      </c>
      <c r="K288" s="22">
        <v>2.3094730468658401E-2</v>
      </c>
      <c r="L288" s="14">
        <v>0</v>
      </c>
    </row>
    <row r="289" spans="1:12" ht="39.6" x14ac:dyDescent="0.25">
      <c r="A289" s="20" t="s">
        <v>6464</v>
      </c>
      <c r="B289" s="14" t="s">
        <v>758</v>
      </c>
      <c r="C289" s="14" t="s">
        <v>775</v>
      </c>
      <c r="D289" s="14" t="s">
        <v>776</v>
      </c>
      <c r="E289" s="14" t="s">
        <v>783</v>
      </c>
      <c r="F289" s="21">
        <v>1652.4</v>
      </c>
      <c r="G289" s="14">
        <v>356</v>
      </c>
      <c r="H289" s="14">
        <v>0</v>
      </c>
      <c r="I289" s="14">
        <v>12</v>
      </c>
      <c r="J289" s="22">
        <v>0.544136278120534</v>
      </c>
      <c r="K289" s="22">
        <v>0.455863721879466</v>
      </c>
      <c r="L289" s="14">
        <v>0</v>
      </c>
    </row>
    <row r="290" spans="1:12" ht="39.6" x14ac:dyDescent="0.25">
      <c r="A290" s="20" t="s">
        <v>6465</v>
      </c>
      <c r="B290" s="14" t="s">
        <v>5348</v>
      </c>
      <c r="C290" s="14" t="s">
        <v>775</v>
      </c>
      <c r="D290" s="14" t="s">
        <v>776</v>
      </c>
      <c r="E290" s="14" t="s">
        <v>785</v>
      </c>
      <c r="F290" s="21">
        <v>1500</v>
      </c>
      <c r="G290" s="14">
        <v>906</v>
      </c>
      <c r="H290" s="14">
        <v>0</v>
      </c>
      <c r="I290" s="14">
        <v>13</v>
      </c>
      <c r="J290" s="22">
        <v>0.30070746444722901</v>
      </c>
      <c r="K290" s="22">
        <v>0.69929253555277104</v>
      </c>
      <c r="L290" s="14">
        <v>0</v>
      </c>
    </row>
    <row r="291" spans="1:12" x14ac:dyDescent="0.25">
      <c r="A291" s="13" t="s">
        <v>786</v>
      </c>
      <c r="B291" s="14" t="s">
        <v>5348</v>
      </c>
      <c r="C291" s="14" t="s">
        <v>5553</v>
      </c>
      <c r="D291" s="14" t="s">
        <v>776</v>
      </c>
      <c r="E291" s="14" t="s">
        <v>787</v>
      </c>
      <c r="F291" s="21">
        <v>1620</v>
      </c>
      <c r="G291" s="14">
        <v>967</v>
      </c>
      <c r="H291" s="14">
        <v>0</v>
      </c>
      <c r="I291" s="14">
        <v>23</v>
      </c>
      <c r="J291" s="22">
        <v>0.300675608223334</v>
      </c>
      <c r="K291" s="22">
        <v>0.69932439177666605</v>
      </c>
      <c r="L291" s="14">
        <v>0</v>
      </c>
    </row>
    <row r="292" spans="1:12" x14ac:dyDescent="0.25">
      <c r="A292" s="13" t="s">
        <v>6466</v>
      </c>
      <c r="B292" s="14" t="s">
        <v>352</v>
      </c>
      <c r="C292" s="14" t="s">
        <v>775</v>
      </c>
      <c r="D292" s="14" t="s">
        <v>776</v>
      </c>
      <c r="E292" s="14" t="s">
        <v>789</v>
      </c>
      <c r="F292" s="21">
        <v>1620</v>
      </c>
      <c r="G292" s="14">
        <v>715</v>
      </c>
      <c r="H292" s="14">
        <v>1</v>
      </c>
      <c r="I292" s="14">
        <v>8</v>
      </c>
      <c r="J292" s="22">
        <v>0.58758359796141002</v>
      </c>
      <c r="K292" s="22">
        <v>0.41241640203858998</v>
      </c>
      <c r="L292" s="14">
        <v>0</v>
      </c>
    </row>
    <row r="293" spans="1:12" x14ac:dyDescent="0.25">
      <c r="A293" s="13" t="s">
        <v>5865</v>
      </c>
      <c r="B293" s="14" t="s">
        <v>352</v>
      </c>
      <c r="C293" s="14" t="s">
        <v>5554</v>
      </c>
      <c r="D293" s="14" t="s">
        <v>776</v>
      </c>
      <c r="E293" s="14" t="s">
        <v>791</v>
      </c>
      <c r="F293" s="21">
        <v>1680</v>
      </c>
      <c r="G293" s="14">
        <v>94</v>
      </c>
      <c r="H293" s="14">
        <v>0</v>
      </c>
      <c r="I293" s="14">
        <v>15</v>
      </c>
      <c r="J293" s="22">
        <v>0.42114349308419202</v>
      </c>
      <c r="K293" s="22">
        <v>0.57885650691580803</v>
      </c>
      <c r="L293" s="14">
        <v>0</v>
      </c>
    </row>
    <row r="294" spans="1:12" x14ac:dyDescent="0.25">
      <c r="A294" s="13">
        <v>3703578</v>
      </c>
      <c r="B294" s="14" t="s">
        <v>5354</v>
      </c>
      <c r="C294" s="14" t="s">
        <v>5554</v>
      </c>
      <c r="D294" s="14" t="s">
        <v>776</v>
      </c>
      <c r="E294" s="14" t="s">
        <v>793</v>
      </c>
      <c r="F294" s="21">
        <v>1275</v>
      </c>
      <c r="G294" s="14">
        <v>771</v>
      </c>
      <c r="H294" s="14">
        <v>1</v>
      </c>
      <c r="I294" s="14">
        <v>9</v>
      </c>
      <c r="J294" s="22">
        <v>0.80837293324707904</v>
      </c>
      <c r="K294" s="22">
        <v>0.19162706675292099</v>
      </c>
      <c r="L294" s="14">
        <v>0</v>
      </c>
    </row>
    <row r="295" spans="1:12" x14ac:dyDescent="0.25">
      <c r="B295" s="14" t="s">
        <v>5348</v>
      </c>
      <c r="C295" s="14" t="s">
        <v>5555</v>
      </c>
      <c r="D295" s="14" t="s">
        <v>795</v>
      </c>
      <c r="E295" s="14" t="s">
        <v>796</v>
      </c>
      <c r="F295" s="21">
        <v>1950</v>
      </c>
      <c r="G295" s="14">
        <v>968</v>
      </c>
      <c r="H295" s="14">
        <v>0</v>
      </c>
      <c r="I295" s="14" t="s">
        <v>6314</v>
      </c>
      <c r="J295" s="22">
        <v>0.32290719000771001</v>
      </c>
      <c r="K295" s="22">
        <v>0.67709280999229005</v>
      </c>
      <c r="L295" s="14">
        <v>0</v>
      </c>
    </row>
    <row r="296" spans="1:12" x14ac:dyDescent="0.25">
      <c r="A296" s="13" t="s">
        <v>6467</v>
      </c>
      <c r="B296" s="14" t="s">
        <v>5342</v>
      </c>
      <c r="C296" s="14" t="s">
        <v>5551</v>
      </c>
      <c r="D296" s="14" t="s">
        <v>798</v>
      </c>
      <c r="E296" s="14" t="s">
        <v>799</v>
      </c>
      <c r="F296" s="21">
        <v>1608</v>
      </c>
      <c r="G296" s="14">
        <v>288</v>
      </c>
      <c r="H296" s="14">
        <v>0</v>
      </c>
      <c r="I296" s="14">
        <v>12</v>
      </c>
      <c r="J296" s="22">
        <v>0.90833265960979603</v>
      </c>
      <c r="K296" s="22">
        <v>9.1667340390204299E-2</v>
      </c>
      <c r="L296" s="14">
        <v>0</v>
      </c>
    </row>
    <row r="297" spans="1:12" x14ac:dyDescent="0.25">
      <c r="A297" s="13">
        <v>3526774</v>
      </c>
      <c r="B297" s="14" t="s">
        <v>17</v>
      </c>
      <c r="C297" s="14" t="s">
        <v>801</v>
      </c>
      <c r="D297" s="14" t="s">
        <v>802</v>
      </c>
      <c r="E297" s="14" t="s">
        <v>803</v>
      </c>
      <c r="F297" s="21">
        <v>2295.39</v>
      </c>
      <c r="G297" s="14">
        <v>983</v>
      </c>
      <c r="H297" s="14">
        <v>0</v>
      </c>
      <c r="I297" s="14">
        <v>19</v>
      </c>
      <c r="J297" s="22">
        <v>0.293507922853249</v>
      </c>
      <c r="K297" s="22">
        <v>0.706492077146751</v>
      </c>
      <c r="L297" s="14">
        <v>0</v>
      </c>
    </row>
    <row r="298" spans="1:12" x14ac:dyDescent="0.25">
      <c r="A298" s="13" t="s">
        <v>5868</v>
      </c>
      <c r="B298" s="14" t="s">
        <v>17</v>
      </c>
      <c r="C298" s="14" t="s">
        <v>801</v>
      </c>
      <c r="D298" s="14" t="s">
        <v>802</v>
      </c>
      <c r="E298" s="14" t="s">
        <v>805</v>
      </c>
      <c r="F298" s="21">
        <v>2328.4299999999998</v>
      </c>
      <c r="H298" s="14">
        <v>0</v>
      </c>
      <c r="I298" s="14">
        <v>35</v>
      </c>
      <c r="J298" s="22">
        <v>0.51121854219657603</v>
      </c>
      <c r="K298" s="22">
        <v>0.48878145780342402</v>
      </c>
      <c r="L298" s="14">
        <v>0</v>
      </c>
    </row>
    <row r="299" spans="1:12" ht="26.4" x14ac:dyDescent="0.25">
      <c r="A299" s="20" t="s">
        <v>6468</v>
      </c>
      <c r="B299" s="14" t="s">
        <v>17</v>
      </c>
      <c r="C299" s="14" t="s">
        <v>801</v>
      </c>
      <c r="D299" s="14" t="s">
        <v>802</v>
      </c>
      <c r="E299" s="14" t="s">
        <v>807</v>
      </c>
      <c r="F299" s="21">
        <v>2451.81</v>
      </c>
      <c r="G299" s="14">
        <v>702</v>
      </c>
      <c r="H299" s="14">
        <v>0</v>
      </c>
      <c r="I299" s="14">
        <v>26</v>
      </c>
      <c r="J299" s="22">
        <v>1.42076017449263E-2</v>
      </c>
      <c r="K299" s="22">
        <v>0.98579239825507403</v>
      </c>
      <c r="L299" s="14">
        <v>0</v>
      </c>
    </row>
    <row r="300" spans="1:12" x14ac:dyDescent="0.25">
      <c r="A300" s="13" t="s">
        <v>808</v>
      </c>
      <c r="B300" s="14" t="s">
        <v>5417</v>
      </c>
      <c r="C300" s="14" t="s">
        <v>809</v>
      </c>
      <c r="D300" s="14" t="s">
        <v>810</v>
      </c>
      <c r="E300" s="14" t="s">
        <v>811</v>
      </c>
      <c r="F300" s="21">
        <v>2040</v>
      </c>
      <c r="G300" s="14">
        <v>162</v>
      </c>
      <c r="H300" s="14">
        <v>1</v>
      </c>
      <c r="I300" s="14">
        <v>5</v>
      </c>
      <c r="J300" s="22">
        <v>0.145563911022565</v>
      </c>
      <c r="K300" s="22">
        <v>0.85443608897743495</v>
      </c>
      <c r="L300" s="14">
        <v>0</v>
      </c>
    </row>
    <row r="301" spans="1:12" x14ac:dyDescent="0.25">
      <c r="A301" s="13" t="s">
        <v>6469</v>
      </c>
      <c r="B301" s="14" t="s">
        <v>5417</v>
      </c>
      <c r="C301" s="14" t="s">
        <v>809</v>
      </c>
      <c r="D301" s="14" t="s">
        <v>810</v>
      </c>
      <c r="E301" s="14" t="s">
        <v>813</v>
      </c>
      <c r="F301" s="21">
        <v>2040</v>
      </c>
      <c r="G301" s="14">
        <v>746</v>
      </c>
      <c r="H301" s="14">
        <v>1</v>
      </c>
      <c r="I301" s="14">
        <v>36</v>
      </c>
      <c r="J301" s="22">
        <v>0.96886727195612798</v>
      </c>
      <c r="K301" s="22">
        <v>3.1132728043871599E-2</v>
      </c>
      <c r="L301" s="14">
        <v>0</v>
      </c>
    </row>
    <row r="302" spans="1:12" ht="39.6" x14ac:dyDescent="0.25">
      <c r="A302" s="20" t="s">
        <v>6470</v>
      </c>
      <c r="B302" s="14" t="s">
        <v>5417</v>
      </c>
      <c r="C302" s="14" t="s">
        <v>809</v>
      </c>
      <c r="D302" s="14" t="s">
        <v>810</v>
      </c>
      <c r="E302" s="14" t="s">
        <v>815</v>
      </c>
      <c r="F302" s="21">
        <v>2040</v>
      </c>
      <c r="G302" s="14">
        <v>4</v>
      </c>
      <c r="H302" s="14">
        <v>0</v>
      </c>
      <c r="I302" s="14">
        <v>15</v>
      </c>
      <c r="J302" s="22">
        <v>0.32305515670783902</v>
      </c>
      <c r="K302" s="22">
        <v>0.67694484329216098</v>
      </c>
      <c r="L302" s="14">
        <v>0</v>
      </c>
    </row>
    <row r="303" spans="1:12" ht="39.6" x14ac:dyDescent="0.25">
      <c r="A303" s="20" t="s">
        <v>6471</v>
      </c>
      <c r="B303" s="14" t="s">
        <v>5417</v>
      </c>
      <c r="C303" s="14" t="s">
        <v>809</v>
      </c>
      <c r="D303" s="14" t="s">
        <v>810</v>
      </c>
      <c r="E303" s="14" t="s">
        <v>817</v>
      </c>
      <c r="F303" s="21">
        <v>2040</v>
      </c>
      <c r="G303" s="14">
        <v>228</v>
      </c>
      <c r="H303" s="14">
        <v>0</v>
      </c>
      <c r="I303" s="14">
        <v>8</v>
      </c>
      <c r="J303" s="22">
        <v>0.37455764797168201</v>
      </c>
      <c r="K303" s="22">
        <v>0.62544235202831799</v>
      </c>
      <c r="L303" s="14">
        <v>0</v>
      </c>
    </row>
    <row r="304" spans="1:12" ht="39.6" x14ac:dyDescent="0.25">
      <c r="A304" s="20" t="s">
        <v>6472</v>
      </c>
      <c r="B304" s="14" t="s">
        <v>5417</v>
      </c>
      <c r="C304" s="14" t="s">
        <v>809</v>
      </c>
      <c r="D304" s="14" t="s">
        <v>810</v>
      </c>
      <c r="E304" s="14" t="s">
        <v>819</v>
      </c>
      <c r="F304" s="21">
        <v>2400</v>
      </c>
      <c r="G304" s="14">
        <v>959</v>
      </c>
      <c r="H304" s="14">
        <v>0</v>
      </c>
      <c r="I304" s="14">
        <v>12</v>
      </c>
      <c r="J304" s="22">
        <v>0.82900059585883901</v>
      </c>
      <c r="K304" s="22">
        <v>0.17099940414116099</v>
      </c>
      <c r="L304" s="14">
        <v>0</v>
      </c>
    </row>
    <row r="305" spans="1:12" x14ac:dyDescent="0.25">
      <c r="B305" s="14" t="s">
        <v>5417</v>
      </c>
      <c r="C305" s="14" t="s">
        <v>809</v>
      </c>
      <c r="D305" s="14" t="s">
        <v>810</v>
      </c>
      <c r="E305" s="14" t="s">
        <v>820</v>
      </c>
      <c r="F305" s="21">
        <v>2400</v>
      </c>
      <c r="G305" s="14">
        <v>596</v>
      </c>
      <c r="H305" s="14">
        <v>0</v>
      </c>
      <c r="I305" s="14">
        <v>25</v>
      </c>
      <c r="J305" s="22">
        <v>0.29683622501450302</v>
      </c>
      <c r="K305" s="22">
        <v>0.70316377498549698</v>
      </c>
      <c r="L305" s="14">
        <v>0</v>
      </c>
    </row>
    <row r="306" spans="1:12" x14ac:dyDescent="0.25">
      <c r="A306" s="13" t="s">
        <v>5869</v>
      </c>
      <c r="B306" s="14" t="s">
        <v>5417</v>
      </c>
      <c r="C306" s="14" t="s">
        <v>809</v>
      </c>
      <c r="D306" s="14" t="s">
        <v>810</v>
      </c>
      <c r="E306" s="14" t="s">
        <v>821</v>
      </c>
      <c r="F306" s="21">
        <v>2400</v>
      </c>
      <c r="G306" s="14">
        <v>665</v>
      </c>
      <c r="H306" s="14">
        <v>0</v>
      </c>
      <c r="I306" s="14">
        <v>16</v>
      </c>
      <c r="J306" s="22">
        <v>0.99588935361646203</v>
      </c>
      <c r="K306" s="22">
        <v>4.1106463835380901E-3</v>
      </c>
      <c r="L306" s="14">
        <v>0</v>
      </c>
    </row>
    <row r="307" spans="1:12" x14ac:dyDescent="0.25">
      <c r="B307" s="14" t="s">
        <v>5417</v>
      </c>
      <c r="C307" s="14" t="s">
        <v>809</v>
      </c>
      <c r="D307" s="14" t="s">
        <v>810</v>
      </c>
      <c r="E307" s="14" t="s">
        <v>822</v>
      </c>
      <c r="F307" s="21">
        <v>2400</v>
      </c>
      <c r="G307" s="14">
        <v>624</v>
      </c>
      <c r="H307" s="14">
        <v>1</v>
      </c>
      <c r="I307" s="14">
        <v>26</v>
      </c>
      <c r="J307" s="22">
        <v>0.15029944964226999</v>
      </c>
      <c r="K307" s="22">
        <v>0.84970055035772996</v>
      </c>
      <c r="L307" s="14">
        <v>0</v>
      </c>
    </row>
    <row r="308" spans="1:12" ht="26.4" x14ac:dyDescent="0.25">
      <c r="B308" s="14" t="s">
        <v>5417</v>
      </c>
      <c r="C308" s="14" t="s">
        <v>809</v>
      </c>
      <c r="D308" s="14" t="s">
        <v>810</v>
      </c>
      <c r="E308" s="23" t="s">
        <v>6473</v>
      </c>
      <c r="F308" s="21">
        <v>2400</v>
      </c>
      <c r="G308" s="14">
        <v>321</v>
      </c>
      <c r="H308" s="14">
        <v>1</v>
      </c>
      <c r="I308" s="14">
        <v>7</v>
      </c>
      <c r="J308" s="22">
        <v>0.641721251883968</v>
      </c>
      <c r="K308" s="22">
        <v>0.358278748116032</v>
      </c>
      <c r="L308" s="14">
        <v>0</v>
      </c>
    </row>
    <row r="309" spans="1:12" x14ac:dyDescent="0.25">
      <c r="A309" s="13" t="s">
        <v>824</v>
      </c>
      <c r="B309" s="14" t="s">
        <v>3900</v>
      </c>
      <c r="C309" s="14" t="s">
        <v>809</v>
      </c>
      <c r="D309" s="14" t="s">
        <v>810</v>
      </c>
      <c r="E309" s="14" t="s">
        <v>825</v>
      </c>
      <c r="F309" s="21">
        <v>2040</v>
      </c>
      <c r="G309" s="14">
        <v>126</v>
      </c>
      <c r="H309" s="14">
        <v>0</v>
      </c>
      <c r="I309" s="14" t="s">
        <v>6314</v>
      </c>
      <c r="J309" s="22">
        <v>0.72242399917993505</v>
      </c>
      <c r="K309" s="22">
        <v>0.27757600082006501</v>
      </c>
      <c r="L309" s="14">
        <v>0</v>
      </c>
    </row>
    <row r="310" spans="1:12" x14ac:dyDescent="0.25">
      <c r="A310" s="13" t="s">
        <v>6474</v>
      </c>
      <c r="B310" s="14" t="s">
        <v>110</v>
      </c>
      <c r="C310" s="14" t="s">
        <v>809</v>
      </c>
      <c r="D310" s="14" t="s">
        <v>810</v>
      </c>
      <c r="E310" s="14" t="s">
        <v>827</v>
      </c>
      <c r="F310" s="21">
        <v>2000</v>
      </c>
      <c r="G310" s="14">
        <v>682</v>
      </c>
      <c r="H310" s="14">
        <v>1</v>
      </c>
      <c r="I310" s="14">
        <v>38</v>
      </c>
      <c r="J310" s="22">
        <v>0.11148520181239201</v>
      </c>
      <c r="K310" s="22">
        <v>0.88851479818760803</v>
      </c>
      <c r="L310" s="14">
        <v>0</v>
      </c>
    </row>
    <row r="311" spans="1:12" x14ac:dyDescent="0.25">
      <c r="A311" s="13" t="s">
        <v>6475</v>
      </c>
      <c r="B311" s="14" t="s">
        <v>110</v>
      </c>
      <c r="C311" s="14" t="s">
        <v>809</v>
      </c>
      <c r="D311" s="14" t="s">
        <v>810</v>
      </c>
      <c r="E311" s="14" t="s">
        <v>829</v>
      </c>
      <c r="F311" s="21">
        <v>2040</v>
      </c>
      <c r="G311" s="14">
        <v>162</v>
      </c>
      <c r="H311" s="14">
        <v>0</v>
      </c>
      <c r="I311" s="14">
        <v>14</v>
      </c>
      <c r="J311" s="22">
        <v>0.12079748646249901</v>
      </c>
      <c r="K311" s="22">
        <v>0.87920251353750101</v>
      </c>
      <c r="L311" s="14">
        <v>0</v>
      </c>
    </row>
    <row r="312" spans="1:12" ht="39.6" x14ac:dyDescent="0.25">
      <c r="A312" s="20" t="s">
        <v>6476</v>
      </c>
      <c r="B312" s="14" t="s">
        <v>110</v>
      </c>
      <c r="C312" s="14" t="s">
        <v>809</v>
      </c>
      <c r="D312" s="14" t="s">
        <v>810</v>
      </c>
      <c r="E312" s="14" t="s">
        <v>831</v>
      </c>
      <c r="F312" s="21">
        <v>2040</v>
      </c>
      <c r="G312" s="14">
        <v>724</v>
      </c>
      <c r="H312" s="14">
        <v>1</v>
      </c>
      <c r="I312" s="14">
        <v>43</v>
      </c>
      <c r="J312" s="22">
        <v>0.87315189235131496</v>
      </c>
      <c r="K312" s="22">
        <v>0.12684810764868501</v>
      </c>
      <c r="L312" s="14">
        <v>0</v>
      </c>
    </row>
    <row r="313" spans="1:12" x14ac:dyDescent="0.25">
      <c r="A313" s="13" t="s">
        <v>832</v>
      </c>
      <c r="B313" s="14" t="s">
        <v>110</v>
      </c>
      <c r="C313" s="14" t="s">
        <v>809</v>
      </c>
      <c r="D313" s="14" t="s">
        <v>810</v>
      </c>
      <c r="E313" s="14" t="s">
        <v>833</v>
      </c>
      <c r="F313" s="21">
        <v>2040</v>
      </c>
      <c r="G313" s="14">
        <v>546</v>
      </c>
      <c r="H313" s="14">
        <v>0</v>
      </c>
      <c r="I313" s="14">
        <v>40</v>
      </c>
      <c r="J313" s="22">
        <v>0.542947148939258</v>
      </c>
      <c r="K313" s="22">
        <v>0.457052851060742</v>
      </c>
      <c r="L313" s="14">
        <v>0</v>
      </c>
    </row>
    <row r="314" spans="1:12" x14ac:dyDescent="0.25">
      <c r="A314" s="13" t="s">
        <v>834</v>
      </c>
      <c r="B314" s="14" t="s">
        <v>17</v>
      </c>
      <c r="C314" s="14" t="s">
        <v>835</v>
      </c>
      <c r="D314" s="14" t="s">
        <v>836</v>
      </c>
      <c r="E314" s="14" t="s">
        <v>837</v>
      </c>
      <c r="F314" s="21">
        <v>2345.19</v>
      </c>
      <c r="G314" s="14">
        <v>296</v>
      </c>
      <c r="H314" s="14">
        <v>1</v>
      </c>
      <c r="I314" s="14">
        <v>16</v>
      </c>
      <c r="J314" s="22">
        <v>0.40744957609481097</v>
      </c>
      <c r="K314" s="22">
        <v>0.59255042390518997</v>
      </c>
      <c r="L314" s="14">
        <v>0</v>
      </c>
    </row>
    <row r="315" spans="1:12" ht="39.6" x14ac:dyDescent="0.25">
      <c r="A315" s="20" t="s">
        <v>6477</v>
      </c>
      <c r="B315" s="14" t="s">
        <v>17</v>
      </c>
      <c r="C315" s="14" t="s">
        <v>835</v>
      </c>
      <c r="D315" s="14" t="s">
        <v>836</v>
      </c>
      <c r="E315" s="14" t="s">
        <v>839</v>
      </c>
      <c r="F315" s="21">
        <v>2457.25</v>
      </c>
      <c r="G315" s="14">
        <v>255</v>
      </c>
      <c r="H315" s="14">
        <v>0</v>
      </c>
      <c r="I315" s="14">
        <v>21</v>
      </c>
      <c r="J315" s="22">
        <v>0.80277194017401199</v>
      </c>
      <c r="K315" s="22">
        <v>0.19722805982598801</v>
      </c>
      <c r="L315" s="14">
        <v>0</v>
      </c>
    </row>
    <row r="316" spans="1:12" ht="39.6" x14ac:dyDescent="0.25">
      <c r="A316" s="20" t="s">
        <v>6478</v>
      </c>
      <c r="B316" s="14" t="s">
        <v>17</v>
      </c>
      <c r="C316" s="14" t="s">
        <v>841</v>
      </c>
      <c r="D316" s="14" t="s">
        <v>842</v>
      </c>
      <c r="E316" s="14" t="s">
        <v>843</v>
      </c>
      <c r="F316" s="21">
        <v>1456.18</v>
      </c>
      <c r="G316" s="14">
        <v>365</v>
      </c>
      <c r="H316" s="14">
        <v>1</v>
      </c>
      <c r="I316" s="14">
        <v>7</v>
      </c>
      <c r="J316" s="22">
        <v>0.49712954776168999</v>
      </c>
      <c r="K316" s="22">
        <v>0.50287045223830995</v>
      </c>
      <c r="L316" s="14">
        <v>0</v>
      </c>
    </row>
    <row r="317" spans="1:12" ht="39.6" x14ac:dyDescent="0.25">
      <c r="A317" s="20" t="s">
        <v>6479</v>
      </c>
      <c r="B317" s="14" t="s">
        <v>17</v>
      </c>
      <c r="C317" s="14" t="s">
        <v>841</v>
      </c>
      <c r="D317" s="14" t="s">
        <v>842</v>
      </c>
      <c r="E317" s="14" t="s">
        <v>845</v>
      </c>
      <c r="F317" s="21">
        <v>2498.61</v>
      </c>
      <c r="H317" s="14">
        <v>1</v>
      </c>
      <c r="I317" s="14">
        <v>1</v>
      </c>
      <c r="J317" s="22">
        <v>0.41577745776716801</v>
      </c>
      <c r="K317" s="22">
        <v>0.58422254223283199</v>
      </c>
      <c r="L317" s="14">
        <v>0</v>
      </c>
    </row>
    <row r="318" spans="1:12" x14ac:dyDescent="0.25">
      <c r="A318" s="13" t="s">
        <v>6480</v>
      </c>
      <c r="B318" s="14" t="s">
        <v>110</v>
      </c>
      <c r="C318" s="14" t="s">
        <v>5556</v>
      </c>
      <c r="D318" s="14" t="s">
        <v>847</v>
      </c>
      <c r="E318" s="14" t="s">
        <v>848</v>
      </c>
      <c r="F318" s="21">
        <v>1700</v>
      </c>
      <c r="G318" s="14">
        <v>825</v>
      </c>
      <c r="H318" s="14">
        <v>0</v>
      </c>
      <c r="I318" s="14">
        <v>22</v>
      </c>
      <c r="J318" s="22">
        <v>0.85440306977656999</v>
      </c>
      <c r="K318" s="22">
        <v>0.14559693022343001</v>
      </c>
      <c r="L318" s="14">
        <v>0</v>
      </c>
    </row>
    <row r="319" spans="1:12" x14ac:dyDescent="0.25">
      <c r="A319" s="13" t="s">
        <v>6481</v>
      </c>
      <c r="B319" s="14" t="s">
        <v>110</v>
      </c>
      <c r="C319" s="14" t="s">
        <v>5556</v>
      </c>
      <c r="D319" s="14" t="s">
        <v>847</v>
      </c>
      <c r="E319" s="14" t="s">
        <v>850</v>
      </c>
      <c r="F319" s="21">
        <v>1700</v>
      </c>
      <c r="G319" s="14">
        <v>276</v>
      </c>
      <c r="H319" s="14">
        <v>0</v>
      </c>
      <c r="I319" s="14">
        <v>13</v>
      </c>
      <c r="J319" s="22">
        <v>5.6696664752800399E-2</v>
      </c>
      <c r="K319" s="22">
        <v>0.9433033352472</v>
      </c>
      <c r="L319" s="14">
        <v>0</v>
      </c>
    </row>
    <row r="320" spans="1:12" x14ac:dyDescent="0.25">
      <c r="A320" s="13" t="s">
        <v>6482</v>
      </c>
      <c r="B320" s="14" t="s">
        <v>110</v>
      </c>
      <c r="C320" s="14" t="s">
        <v>5556</v>
      </c>
      <c r="D320" s="14" t="s">
        <v>847</v>
      </c>
      <c r="E320" s="14" t="s">
        <v>852</v>
      </c>
      <c r="F320" s="21">
        <v>2040</v>
      </c>
      <c r="G320" s="14">
        <v>187</v>
      </c>
      <c r="H320" s="14">
        <v>1</v>
      </c>
      <c r="I320" s="14">
        <v>22</v>
      </c>
      <c r="J320" s="22">
        <v>0.78696136963872498</v>
      </c>
      <c r="K320" s="22">
        <v>0.21303863036127499</v>
      </c>
      <c r="L320" s="14">
        <v>0</v>
      </c>
    </row>
    <row r="321" spans="1:12" x14ac:dyDescent="0.25">
      <c r="A321" s="13" t="s">
        <v>6483</v>
      </c>
      <c r="B321" s="14" t="s">
        <v>110</v>
      </c>
      <c r="C321" s="14" t="s">
        <v>5556</v>
      </c>
      <c r="D321" s="14" t="s">
        <v>847</v>
      </c>
      <c r="E321" s="14" t="s">
        <v>854</v>
      </c>
      <c r="F321" s="21">
        <v>2040</v>
      </c>
      <c r="G321" s="14">
        <v>102</v>
      </c>
      <c r="H321" s="14">
        <v>1</v>
      </c>
      <c r="I321" s="14">
        <v>7</v>
      </c>
      <c r="J321" s="22">
        <v>0.142630565613759</v>
      </c>
      <c r="K321" s="22">
        <v>0.85736943438624202</v>
      </c>
      <c r="L321" s="14">
        <v>0</v>
      </c>
    </row>
    <row r="322" spans="1:12" x14ac:dyDescent="0.25">
      <c r="B322" s="14" t="s">
        <v>17</v>
      </c>
      <c r="C322" s="14" t="s">
        <v>855</v>
      </c>
      <c r="D322" s="14" t="s">
        <v>856</v>
      </c>
      <c r="E322" s="14" t="s">
        <v>857</v>
      </c>
      <c r="F322" s="21">
        <v>2272.21</v>
      </c>
      <c r="G322" s="14">
        <v>750</v>
      </c>
      <c r="H322" s="14">
        <v>0</v>
      </c>
      <c r="I322" s="14">
        <v>26</v>
      </c>
      <c r="J322" s="22">
        <v>0.39402411344017202</v>
      </c>
      <c r="K322" s="22">
        <v>0.60597588655982804</v>
      </c>
      <c r="L322" s="14">
        <v>0</v>
      </c>
    </row>
    <row r="323" spans="1:12" x14ac:dyDescent="0.25">
      <c r="A323" s="13" t="s">
        <v>6484</v>
      </c>
      <c r="B323" s="14" t="s">
        <v>17</v>
      </c>
      <c r="C323" s="14" t="s">
        <v>855</v>
      </c>
      <c r="D323" s="14" t="s">
        <v>856</v>
      </c>
      <c r="E323" s="14" t="s">
        <v>859</v>
      </c>
      <c r="F323" s="21">
        <v>2539.89</v>
      </c>
      <c r="G323" s="14">
        <v>231</v>
      </c>
      <c r="H323" s="14">
        <v>0</v>
      </c>
      <c r="I323" s="14">
        <v>32</v>
      </c>
      <c r="J323" s="22">
        <v>0.59197948827469304</v>
      </c>
      <c r="K323" s="22">
        <v>0.40802051172530701</v>
      </c>
      <c r="L323" s="14">
        <v>0</v>
      </c>
    </row>
    <row r="324" spans="1:12" ht="39.6" x14ac:dyDescent="0.25">
      <c r="A324" s="20" t="s">
        <v>6485</v>
      </c>
      <c r="B324" s="14" t="s">
        <v>69</v>
      </c>
      <c r="C324" s="14" t="s">
        <v>861</v>
      </c>
      <c r="D324" s="14" t="s">
        <v>862</v>
      </c>
      <c r="E324" s="14" t="s">
        <v>863</v>
      </c>
      <c r="F324" s="21">
        <v>1639.06</v>
      </c>
      <c r="G324" s="14">
        <v>747</v>
      </c>
      <c r="H324" s="14">
        <v>1</v>
      </c>
      <c r="I324" s="14">
        <v>26</v>
      </c>
      <c r="J324" s="22">
        <v>0.28170612693477298</v>
      </c>
      <c r="K324" s="22">
        <v>0.71829387306522696</v>
      </c>
      <c r="L324" s="14">
        <v>0</v>
      </c>
    </row>
    <row r="325" spans="1:12" x14ac:dyDescent="0.25">
      <c r="A325" s="13" t="s">
        <v>864</v>
      </c>
      <c r="B325" s="14" t="s">
        <v>69</v>
      </c>
      <c r="C325" s="14" t="s">
        <v>6486</v>
      </c>
      <c r="E325" s="14" t="s">
        <v>6487</v>
      </c>
      <c r="F325" s="21">
        <v>1889.9</v>
      </c>
      <c r="H325" s="14">
        <v>1</v>
      </c>
      <c r="I325" s="14">
        <v>40</v>
      </c>
      <c r="J325" s="22">
        <v>0.332975146706527</v>
      </c>
      <c r="K325" s="22">
        <v>0.66702485329347305</v>
      </c>
      <c r="L325" s="14">
        <v>0</v>
      </c>
    </row>
    <row r="326" spans="1:12" x14ac:dyDescent="0.25">
      <c r="A326" s="13" t="s">
        <v>5872</v>
      </c>
      <c r="B326" s="14" t="s">
        <v>5417</v>
      </c>
      <c r="C326" s="14" t="s">
        <v>867</v>
      </c>
      <c r="D326" s="14" t="s">
        <v>868</v>
      </c>
      <c r="E326" s="14" t="s">
        <v>869</v>
      </c>
      <c r="F326" s="21">
        <v>2100</v>
      </c>
      <c r="G326" s="14">
        <v>501</v>
      </c>
      <c r="H326" s="14">
        <v>0</v>
      </c>
      <c r="I326" s="14">
        <v>44</v>
      </c>
      <c r="J326" s="22">
        <v>5.96917199898538E-2</v>
      </c>
      <c r="K326" s="22">
        <v>0.94030828001014599</v>
      </c>
      <c r="L326" s="14">
        <v>0</v>
      </c>
    </row>
    <row r="327" spans="1:12" x14ac:dyDescent="0.25">
      <c r="B327" s="14" t="s">
        <v>110</v>
      </c>
      <c r="C327" s="14" t="s">
        <v>870</v>
      </c>
      <c r="D327" s="14" t="s">
        <v>871</v>
      </c>
      <c r="E327" s="14" t="s">
        <v>872</v>
      </c>
      <c r="F327" s="21">
        <v>2040</v>
      </c>
      <c r="G327" s="14">
        <v>393</v>
      </c>
      <c r="H327" s="14">
        <v>0</v>
      </c>
      <c r="I327" s="14">
        <v>8</v>
      </c>
      <c r="J327" s="22">
        <v>0.56077717340041</v>
      </c>
      <c r="K327" s="22">
        <v>0.43922282659959</v>
      </c>
      <c r="L327" s="14">
        <v>0</v>
      </c>
    </row>
    <row r="328" spans="1:12" x14ac:dyDescent="0.25">
      <c r="A328" s="13" t="s">
        <v>6488</v>
      </c>
      <c r="B328" s="14" t="s">
        <v>110</v>
      </c>
      <c r="C328" s="14" t="s">
        <v>870</v>
      </c>
      <c r="D328" s="14" t="s">
        <v>871</v>
      </c>
      <c r="E328" s="14" t="s">
        <v>874</v>
      </c>
      <c r="F328" s="21">
        <v>2100</v>
      </c>
      <c r="G328" s="14">
        <v>978</v>
      </c>
      <c r="H328" s="14">
        <v>1</v>
      </c>
      <c r="I328" s="14">
        <v>17</v>
      </c>
      <c r="J328" s="22">
        <v>0.77493388168456301</v>
      </c>
      <c r="K328" s="22">
        <v>0.22506611831543699</v>
      </c>
      <c r="L328" s="14">
        <v>0</v>
      </c>
    </row>
    <row r="329" spans="1:12" x14ac:dyDescent="0.25">
      <c r="A329" s="13" t="s">
        <v>6489</v>
      </c>
      <c r="B329" s="14" t="s">
        <v>5493</v>
      </c>
      <c r="C329" s="14" t="s">
        <v>5561</v>
      </c>
      <c r="D329" s="14" t="s">
        <v>627</v>
      </c>
      <c r="E329" s="14" t="s">
        <v>6490</v>
      </c>
      <c r="F329" s="21">
        <v>2268.41</v>
      </c>
      <c r="G329" s="14">
        <v>555</v>
      </c>
      <c r="H329" s="14">
        <v>0</v>
      </c>
      <c r="I329" s="14">
        <v>34</v>
      </c>
      <c r="J329" s="22">
        <v>0.61975667621010699</v>
      </c>
      <c r="K329" s="22">
        <v>0.38024332378989301</v>
      </c>
      <c r="L329" s="14">
        <v>0</v>
      </c>
    </row>
    <row r="330" spans="1:12" x14ac:dyDescent="0.25">
      <c r="A330" s="13" t="s">
        <v>5830</v>
      </c>
      <c r="B330" s="14" t="s">
        <v>113</v>
      </c>
      <c r="C330" s="14" t="s">
        <v>5564</v>
      </c>
      <c r="D330" s="14" t="s">
        <v>878</v>
      </c>
      <c r="E330" s="14" t="s">
        <v>879</v>
      </c>
      <c r="F330" s="21">
        <v>1695</v>
      </c>
      <c r="G330" s="14">
        <v>384</v>
      </c>
      <c r="H330" s="14">
        <v>0</v>
      </c>
      <c r="I330" s="14">
        <v>13</v>
      </c>
      <c r="J330" s="22">
        <v>0.54186582053237498</v>
      </c>
      <c r="K330" s="22">
        <v>0.45813417946762502</v>
      </c>
      <c r="L330" s="14">
        <v>0</v>
      </c>
    </row>
    <row r="331" spans="1:12" x14ac:dyDescent="0.25">
      <c r="A331" s="13">
        <v>3493860</v>
      </c>
      <c r="B331" s="14" t="s">
        <v>5411</v>
      </c>
      <c r="C331" s="14" t="s">
        <v>881</v>
      </c>
      <c r="D331" s="14" t="s">
        <v>882</v>
      </c>
      <c r="E331" s="14" t="s">
        <v>883</v>
      </c>
      <c r="F331" s="21">
        <v>2040</v>
      </c>
      <c r="G331" s="14">
        <v>254</v>
      </c>
      <c r="H331" s="14">
        <v>0</v>
      </c>
      <c r="I331" s="14">
        <v>2</v>
      </c>
      <c r="J331" s="22">
        <v>0.244534991561944</v>
      </c>
      <c r="K331" s="22">
        <v>0.75546500843805597</v>
      </c>
      <c r="L331" s="14">
        <v>0</v>
      </c>
    </row>
    <row r="332" spans="1:12" x14ac:dyDescent="0.25">
      <c r="A332" s="13" t="s">
        <v>884</v>
      </c>
      <c r="B332" s="14" t="s">
        <v>5411</v>
      </c>
      <c r="C332" s="14" t="s">
        <v>881</v>
      </c>
      <c r="D332" s="14" t="s">
        <v>882</v>
      </c>
      <c r="E332" s="14" t="s">
        <v>885</v>
      </c>
      <c r="F332" s="21">
        <v>2040</v>
      </c>
      <c r="G332" s="14">
        <v>721</v>
      </c>
      <c r="H332" s="14">
        <v>0</v>
      </c>
      <c r="I332" s="14">
        <v>50</v>
      </c>
      <c r="J332" s="22">
        <v>0.34667030419276301</v>
      </c>
      <c r="K332" s="22">
        <v>0.65332969580723699</v>
      </c>
      <c r="L332" s="14">
        <v>0</v>
      </c>
    </row>
    <row r="333" spans="1:12" x14ac:dyDescent="0.25">
      <c r="A333" s="13" t="s">
        <v>886</v>
      </c>
      <c r="B333" s="14" t="s">
        <v>86</v>
      </c>
      <c r="C333" s="14" t="s">
        <v>887</v>
      </c>
      <c r="D333" s="14" t="s">
        <v>888</v>
      </c>
      <c r="E333" s="14" t="s">
        <v>889</v>
      </c>
      <c r="F333" s="21">
        <v>2184.2199999999998</v>
      </c>
      <c r="G333" s="14">
        <v>660</v>
      </c>
      <c r="H333" s="14">
        <v>0</v>
      </c>
      <c r="I333" s="14">
        <v>34</v>
      </c>
      <c r="J333" s="22">
        <v>0.38744759250161298</v>
      </c>
      <c r="K333" s="22">
        <v>0.61255240749838702</v>
      </c>
      <c r="L333" s="14">
        <v>0</v>
      </c>
    </row>
    <row r="334" spans="1:12" x14ac:dyDescent="0.25">
      <c r="A334" s="13">
        <v>23701138</v>
      </c>
      <c r="B334" s="14" t="s">
        <v>5493</v>
      </c>
      <c r="C334" s="14" t="s">
        <v>5557</v>
      </c>
      <c r="D334" s="14" t="s">
        <v>888</v>
      </c>
      <c r="E334" s="14" t="s">
        <v>890</v>
      </c>
      <c r="F334" s="21">
        <v>2307.69</v>
      </c>
      <c r="G334" s="14">
        <v>441</v>
      </c>
      <c r="H334" s="14">
        <v>1</v>
      </c>
      <c r="I334" s="14">
        <v>43</v>
      </c>
      <c r="J334" s="22">
        <v>0.91839929240844398</v>
      </c>
      <c r="K334" s="22">
        <v>8.1600707591555993E-2</v>
      </c>
      <c r="L334" s="14">
        <v>0</v>
      </c>
    </row>
    <row r="335" spans="1:12" x14ac:dyDescent="0.25">
      <c r="A335" s="13" t="s">
        <v>5876</v>
      </c>
      <c r="B335" s="14" t="s">
        <v>86</v>
      </c>
      <c r="C335" s="14" t="s">
        <v>891</v>
      </c>
      <c r="D335" s="14" t="s">
        <v>892</v>
      </c>
      <c r="E335" s="14" t="s">
        <v>893</v>
      </c>
      <c r="F335" s="21">
        <v>1954.74</v>
      </c>
      <c r="G335" s="14">
        <v>732</v>
      </c>
      <c r="H335" s="14">
        <v>1</v>
      </c>
      <c r="I335" s="14">
        <v>21</v>
      </c>
      <c r="J335" s="22">
        <v>1.1596282124982E-2</v>
      </c>
      <c r="K335" s="22">
        <v>0.98840371787501802</v>
      </c>
      <c r="L335" s="14">
        <v>0</v>
      </c>
    </row>
    <row r="336" spans="1:12" x14ac:dyDescent="0.25">
      <c r="A336" s="13" t="s">
        <v>6491</v>
      </c>
      <c r="B336" s="14" t="s">
        <v>5487</v>
      </c>
      <c r="C336" s="14" t="s">
        <v>891</v>
      </c>
      <c r="D336" s="14" t="s">
        <v>892</v>
      </c>
      <c r="E336" s="14" t="s">
        <v>894</v>
      </c>
      <c r="F336" s="21">
        <v>1896.64</v>
      </c>
      <c r="G336" s="14">
        <v>621</v>
      </c>
      <c r="H336" s="14">
        <v>0</v>
      </c>
      <c r="I336" s="14" t="s">
        <v>6314</v>
      </c>
      <c r="J336" s="22">
        <v>0.194892749657018</v>
      </c>
      <c r="K336" s="22">
        <v>0.80510725034298203</v>
      </c>
      <c r="L336" s="14">
        <v>0</v>
      </c>
    </row>
    <row r="337" spans="1:12" x14ac:dyDescent="0.25">
      <c r="A337" s="13" t="s">
        <v>6492</v>
      </c>
      <c r="B337" s="14" t="s">
        <v>86</v>
      </c>
      <c r="C337" s="14" t="s">
        <v>896</v>
      </c>
      <c r="D337" s="14" t="s">
        <v>897</v>
      </c>
      <c r="E337" s="14" t="s">
        <v>898</v>
      </c>
      <c r="F337" s="21">
        <v>1929.35</v>
      </c>
      <c r="H337" s="14">
        <v>1</v>
      </c>
      <c r="I337" s="14">
        <v>33</v>
      </c>
      <c r="J337" s="22">
        <v>0.80753386850644504</v>
      </c>
      <c r="K337" s="22">
        <v>0.19246613149355599</v>
      </c>
      <c r="L337" s="14">
        <v>0</v>
      </c>
    </row>
    <row r="338" spans="1:12" ht="39.6" x14ac:dyDescent="0.25">
      <c r="A338" s="13" t="s">
        <v>899</v>
      </c>
      <c r="B338" s="14" t="s">
        <v>758</v>
      </c>
      <c r="C338" s="14" t="s">
        <v>622</v>
      </c>
      <c r="D338" s="14" t="s">
        <v>900</v>
      </c>
      <c r="E338" s="23" t="s">
        <v>6493</v>
      </c>
      <c r="F338" s="21">
        <v>2040</v>
      </c>
      <c r="H338" s="14">
        <v>0</v>
      </c>
      <c r="I338" s="14">
        <v>34</v>
      </c>
      <c r="J338" s="22">
        <v>0.98972700797150603</v>
      </c>
      <c r="K338" s="22">
        <v>1.0272992028494399E-2</v>
      </c>
      <c r="L338" s="14">
        <v>0</v>
      </c>
    </row>
    <row r="339" spans="1:12" x14ac:dyDescent="0.25">
      <c r="A339" s="13" t="s">
        <v>902</v>
      </c>
      <c r="B339" s="14" t="s">
        <v>758</v>
      </c>
      <c r="C339" s="14" t="s">
        <v>5560</v>
      </c>
      <c r="D339" s="14" t="s">
        <v>900</v>
      </c>
      <c r="E339" s="14" t="s">
        <v>903</v>
      </c>
      <c r="F339" s="21">
        <v>2340</v>
      </c>
      <c r="G339" s="14">
        <v>808</v>
      </c>
      <c r="H339" s="14">
        <v>0</v>
      </c>
      <c r="I339" s="14">
        <v>43</v>
      </c>
      <c r="J339" s="22">
        <v>0.51013926036941604</v>
      </c>
      <c r="K339" s="22">
        <v>0.48986073963058402</v>
      </c>
      <c r="L339" s="14">
        <v>0</v>
      </c>
    </row>
    <row r="340" spans="1:12" x14ac:dyDescent="0.25">
      <c r="A340" s="13" t="s">
        <v>6494</v>
      </c>
      <c r="B340" s="14" t="s">
        <v>86</v>
      </c>
      <c r="C340" s="14" t="s">
        <v>875</v>
      </c>
      <c r="D340" s="14" t="s">
        <v>627</v>
      </c>
      <c r="E340" s="14" t="s">
        <v>905</v>
      </c>
      <c r="F340" s="21">
        <v>1868</v>
      </c>
      <c r="G340" s="14">
        <v>688</v>
      </c>
      <c r="H340" s="14">
        <v>1</v>
      </c>
      <c r="I340" s="14" t="s">
        <v>6314</v>
      </c>
      <c r="J340" s="22">
        <v>2.32086794195033E-2</v>
      </c>
      <c r="K340" s="22">
        <v>0.976791320580497</v>
      </c>
      <c r="L340" s="14">
        <v>0</v>
      </c>
    </row>
    <row r="341" spans="1:12" ht="39.6" x14ac:dyDescent="0.25">
      <c r="A341" s="20" t="s">
        <v>6495</v>
      </c>
      <c r="B341" s="14" t="s">
        <v>86</v>
      </c>
      <c r="C341" s="14" t="s">
        <v>875</v>
      </c>
      <c r="D341" s="14" t="s">
        <v>627</v>
      </c>
      <c r="E341" s="14" t="s">
        <v>907</v>
      </c>
      <c r="F341" s="21">
        <v>1900.9</v>
      </c>
      <c r="G341" s="14">
        <v>108</v>
      </c>
      <c r="H341" s="14">
        <v>0</v>
      </c>
      <c r="I341" s="14">
        <v>29</v>
      </c>
      <c r="J341" s="22">
        <v>0.93989625505489605</v>
      </c>
      <c r="K341" s="22">
        <v>6.0103744945104301E-2</v>
      </c>
      <c r="L341" s="14">
        <v>0</v>
      </c>
    </row>
    <row r="342" spans="1:12" x14ac:dyDescent="0.25">
      <c r="A342" s="13">
        <v>23763262</v>
      </c>
      <c r="B342" s="14" t="s">
        <v>86</v>
      </c>
      <c r="C342" s="14" t="s">
        <v>875</v>
      </c>
      <c r="D342" s="14" t="s">
        <v>627</v>
      </c>
      <c r="E342" s="14" t="s">
        <v>908</v>
      </c>
      <c r="F342" s="21">
        <v>1952.24</v>
      </c>
      <c r="G342" s="14">
        <v>292</v>
      </c>
      <c r="H342" s="14">
        <v>0</v>
      </c>
      <c r="I342" s="14">
        <v>33</v>
      </c>
      <c r="J342" s="22">
        <v>0.73063815376293595</v>
      </c>
      <c r="K342" s="22">
        <v>0.269361846237064</v>
      </c>
      <c r="L342" s="14">
        <v>0</v>
      </c>
    </row>
    <row r="343" spans="1:12" x14ac:dyDescent="0.25">
      <c r="A343" s="13" t="s">
        <v>6496</v>
      </c>
      <c r="B343" s="14" t="s">
        <v>5493</v>
      </c>
      <c r="C343" s="14" t="s">
        <v>875</v>
      </c>
      <c r="D343" s="14" t="s">
        <v>627</v>
      </c>
      <c r="E343" s="14" t="s">
        <v>910</v>
      </c>
      <c r="F343" s="21">
        <v>2345.58</v>
      </c>
      <c r="G343" s="14">
        <v>18</v>
      </c>
      <c r="H343" s="14">
        <v>0</v>
      </c>
      <c r="I343" s="14">
        <v>38</v>
      </c>
      <c r="J343" s="22">
        <v>0.75045423087303897</v>
      </c>
      <c r="K343" s="22">
        <v>0.249545769126961</v>
      </c>
      <c r="L343" s="14">
        <v>0</v>
      </c>
    </row>
    <row r="344" spans="1:12" x14ac:dyDescent="0.25">
      <c r="A344" s="13" t="s">
        <v>6497</v>
      </c>
      <c r="B344" s="14" t="s">
        <v>5493</v>
      </c>
      <c r="C344" s="14" t="s">
        <v>875</v>
      </c>
      <c r="D344" s="14" t="s">
        <v>627</v>
      </c>
      <c r="E344" s="14" t="s">
        <v>912</v>
      </c>
      <c r="F344" s="21">
        <v>2373.5700000000002</v>
      </c>
      <c r="G344" s="14">
        <v>534</v>
      </c>
      <c r="H344" s="14">
        <v>0</v>
      </c>
      <c r="I344" s="14">
        <v>2</v>
      </c>
      <c r="J344" s="22">
        <v>0.109979811176005</v>
      </c>
      <c r="K344" s="22">
        <v>0.89002018882399503</v>
      </c>
      <c r="L344" s="14">
        <v>0</v>
      </c>
    </row>
    <row r="345" spans="1:12" x14ac:dyDescent="0.25">
      <c r="A345" s="13" t="s">
        <v>6498</v>
      </c>
      <c r="B345" s="14" t="s">
        <v>626</v>
      </c>
      <c r="C345" s="14" t="s">
        <v>914</v>
      </c>
      <c r="D345" s="14" t="s">
        <v>627</v>
      </c>
      <c r="E345" s="14" t="s">
        <v>915</v>
      </c>
      <c r="F345" s="21">
        <v>3000</v>
      </c>
      <c r="G345" s="14">
        <v>830</v>
      </c>
      <c r="H345" s="14">
        <v>1</v>
      </c>
      <c r="I345" s="14" t="s">
        <v>6314</v>
      </c>
      <c r="J345" s="22">
        <v>0.68972803486997802</v>
      </c>
      <c r="K345" s="22">
        <v>0.31027196513002198</v>
      </c>
      <c r="L345" s="14">
        <v>0</v>
      </c>
    </row>
    <row r="346" spans="1:12" x14ac:dyDescent="0.25">
      <c r="A346" s="13" t="s">
        <v>916</v>
      </c>
      <c r="B346" s="14" t="s">
        <v>5433</v>
      </c>
      <c r="C346" s="14" t="s">
        <v>914</v>
      </c>
      <c r="D346" s="14" t="s">
        <v>627</v>
      </c>
      <c r="E346" s="14" t="s">
        <v>917</v>
      </c>
      <c r="F346" s="21">
        <v>3000</v>
      </c>
      <c r="G346" s="14">
        <v>756</v>
      </c>
      <c r="H346" s="14">
        <v>0</v>
      </c>
      <c r="I346" s="14">
        <v>26</v>
      </c>
      <c r="J346" s="22">
        <v>0.75650552742441202</v>
      </c>
      <c r="K346" s="22">
        <v>0.24349447257558901</v>
      </c>
      <c r="L346" s="14">
        <v>0</v>
      </c>
    </row>
    <row r="347" spans="1:12" x14ac:dyDescent="0.25">
      <c r="A347" s="13" t="s">
        <v>6499</v>
      </c>
      <c r="B347" s="14" t="s">
        <v>113</v>
      </c>
      <c r="C347" s="14" t="s">
        <v>877</v>
      </c>
      <c r="D347" s="14" t="s">
        <v>878</v>
      </c>
      <c r="E347" s="14" t="s">
        <v>919</v>
      </c>
      <c r="F347" s="21">
        <v>850</v>
      </c>
      <c r="G347" s="14">
        <v>142</v>
      </c>
      <c r="I347" s="14">
        <v>35</v>
      </c>
      <c r="J347" s="22">
        <v>0.29606532336576502</v>
      </c>
      <c r="K347" s="22">
        <v>0.70393467663423503</v>
      </c>
      <c r="L347" s="14">
        <v>0</v>
      </c>
    </row>
    <row r="348" spans="1:12" x14ac:dyDescent="0.25">
      <c r="A348" s="13" t="s">
        <v>920</v>
      </c>
      <c r="B348" s="14" t="s">
        <v>5417</v>
      </c>
      <c r="C348" s="14" t="s">
        <v>921</v>
      </c>
      <c r="D348" s="14" t="s">
        <v>868</v>
      </c>
      <c r="E348" s="14" t="s">
        <v>922</v>
      </c>
      <c r="F348" s="21">
        <v>2100</v>
      </c>
      <c r="G348" s="14">
        <v>627</v>
      </c>
      <c r="H348" s="14">
        <v>0</v>
      </c>
      <c r="I348" s="14">
        <v>17</v>
      </c>
      <c r="J348" s="22">
        <v>0.46061190792242301</v>
      </c>
      <c r="K348" s="22">
        <v>0.53938809207757699</v>
      </c>
      <c r="L348" s="14">
        <v>0</v>
      </c>
    </row>
    <row r="349" spans="1:12" x14ac:dyDescent="0.25">
      <c r="A349" s="13">
        <v>3489107</v>
      </c>
      <c r="B349" s="14" t="s">
        <v>758</v>
      </c>
      <c r="C349" s="14" t="s">
        <v>5354</v>
      </c>
      <c r="D349" s="14" t="s">
        <v>924</v>
      </c>
      <c r="E349" s="14" t="s">
        <v>925</v>
      </c>
      <c r="F349" s="21">
        <v>3000</v>
      </c>
      <c r="G349" s="14">
        <v>734</v>
      </c>
      <c r="H349" s="14">
        <v>0</v>
      </c>
      <c r="I349" s="14" t="s">
        <v>6314</v>
      </c>
      <c r="J349" s="22">
        <v>0.27903977882668501</v>
      </c>
      <c r="K349" s="22">
        <v>0.72096022117331504</v>
      </c>
      <c r="L349" s="14">
        <v>0</v>
      </c>
    </row>
    <row r="350" spans="1:12" x14ac:dyDescent="0.25">
      <c r="A350" s="13">
        <v>23137768</v>
      </c>
      <c r="B350" s="14" t="s">
        <v>110</v>
      </c>
      <c r="C350" s="14" t="s">
        <v>5354</v>
      </c>
      <c r="D350" s="14" t="s">
        <v>924</v>
      </c>
      <c r="E350" s="14" t="s">
        <v>926</v>
      </c>
      <c r="F350" s="21">
        <v>2040</v>
      </c>
      <c r="G350" s="14">
        <v>785</v>
      </c>
      <c r="H350" s="14">
        <v>1</v>
      </c>
      <c r="I350" s="14">
        <v>8</v>
      </c>
      <c r="J350" s="22">
        <v>0.71102599814596701</v>
      </c>
      <c r="K350" s="22">
        <v>0.28897400185403299</v>
      </c>
      <c r="L350" s="14">
        <v>0</v>
      </c>
    </row>
    <row r="351" spans="1:12" x14ac:dyDescent="0.25">
      <c r="A351" s="13" t="s">
        <v>6500</v>
      </c>
      <c r="B351" s="14" t="s">
        <v>626</v>
      </c>
      <c r="C351" s="14" t="s">
        <v>5562</v>
      </c>
      <c r="D351" s="14" t="s">
        <v>627</v>
      </c>
      <c r="E351" s="14" t="s">
        <v>927</v>
      </c>
      <c r="F351" s="21">
        <v>3000</v>
      </c>
      <c r="G351" s="14">
        <v>143</v>
      </c>
      <c r="H351" s="14">
        <v>1</v>
      </c>
      <c r="I351" s="14">
        <v>18</v>
      </c>
      <c r="J351" s="22">
        <v>8.6545416627060404E-2</v>
      </c>
      <c r="K351" s="22">
        <v>0.91345458337294005</v>
      </c>
      <c r="L351" s="14">
        <v>0</v>
      </c>
    </row>
    <row r="352" spans="1:12" x14ac:dyDescent="0.25">
      <c r="A352" s="13" t="s">
        <v>928</v>
      </c>
      <c r="B352" s="14" t="s">
        <v>6348</v>
      </c>
      <c r="C352" s="14" t="s">
        <v>5558</v>
      </c>
      <c r="D352" s="14" t="s">
        <v>888</v>
      </c>
      <c r="E352" s="14" t="s">
        <v>929</v>
      </c>
      <c r="F352" s="21">
        <v>2009.65</v>
      </c>
      <c r="G352" s="14">
        <v>721</v>
      </c>
      <c r="H352" s="14">
        <v>0</v>
      </c>
      <c r="I352" s="14">
        <v>10</v>
      </c>
      <c r="J352" s="22">
        <v>4.5875180444229197E-2</v>
      </c>
      <c r="K352" s="22">
        <v>0.954124819555771</v>
      </c>
      <c r="L352" s="14">
        <v>0</v>
      </c>
    </row>
    <row r="353" spans="1:12" x14ac:dyDescent="0.25">
      <c r="A353" s="13" t="s">
        <v>930</v>
      </c>
      <c r="B353" s="14" t="s">
        <v>931</v>
      </c>
      <c r="C353" s="14" t="s">
        <v>932</v>
      </c>
      <c r="D353" s="14" t="s">
        <v>933</v>
      </c>
      <c r="E353" s="14" t="s">
        <v>934</v>
      </c>
      <c r="F353" s="21">
        <v>1880.66</v>
      </c>
      <c r="G353" s="14">
        <v>940</v>
      </c>
      <c r="H353" s="14">
        <v>0</v>
      </c>
      <c r="I353" s="14">
        <v>40</v>
      </c>
      <c r="J353" s="22">
        <v>0.227845681966304</v>
      </c>
      <c r="K353" s="22">
        <v>0.77215431803369605</v>
      </c>
      <c r="L353" s="14">
        <v>0</v>
      </c>
    </row>
    <row r="354" spans="1:12" x14ac:dyDescent="0.25">
      <c r="A354" s="13">
        <v>3215872</v>
      </c>
      <c r="B354" s="14" t="s">
        <v>69</v>
      </c>
      <c r="C354" s="14" t="s">
        <v>936</v>
      </c>
      <c r="D354" s="14" t="s">
        <v>937</v>
      </c>
      <c r="E354" s="14" t="s">
        <v>938</v>
      </c>
      <c r="F354" s="21">
        <v>2002.76</v>
      </c>
      <c r="G354" s="14">
        <v>366</v>
      </c>
      <c r="H354" s="14">
        <v>0</v>
      </c>
      <c r="I354" s="14" t="s">
        <v>6314</v>
      </c>
      <c r="J354" s="22">
        <v>0.81748919514889395</v>
      </c>
      <c r="K354" s="22">
        <v>0.18251080485110599</v>
      </c>
      <c r="L354" s="14">
        <v>0</v>
      </c>
    </row>
    <row r="355" spans="1:12" x14ac:dyDescent="0.25">
      <c r="B355" s="14" t="s">
        <v>5460</v>
      </c>
      <c r="C355" s="14" t="s">
        <v>939</v>
      </c>
      <c r="D355" s="14" t="s">
        <v>940</v>
      </c>
      <c r="E355" s="14" t="s">
        <v>941</v>
      </c>
      <c r="F355" s="21">
        <v>2145.6</v>
      </c>
      <c r="G355" s="14">
        <v>784</v>
      </c>
      <c r="H355" s="14">
        <v>1</v>
      </c>
      <c r="I355" s="14">
        <v>36</v>
      </c>
      <c r="J355" s="22">
        <v>0.209468980681419</v>
      </c>
      <c r="K355" s="22">
        <v>0.79053101931858105</v>
      </c>
      <c r="L355" s="14">
        <v>0</v>
      </c>
    </row>
    <row r="356" spans="1:12" x14ac:dyDescent="0.25">
      <c r="A356" s="13" t="s">
        <v>942</v>
      </c>
      <c r="B356" s="14" t="s">
        <v>17</v>
      </c>
      <c r="C356" s="14" t="s">
        <v>943</v>
      </c>
      <c r="D356" s="14" t="s">
        <v>944</v>
      </c>
      <c r="E356" s="14" t="s">
        <v>945</v>
      </c>
      <c r="F356" s="21">
        <v>2515.5700000000002</v>
      </c>
      <c r="G356" s="14">
        <v>786</v>
      </c>
      <c r="H356" s="14">
        <v>0</v>
      </c>
      <c r="I356" s="14">
        <v>45</v>
      </c>
      <c r="J356" s="22">
        <v>0.68856918252618105</v>
      </c>
      <c r="K356" s="22">
        <v>0.31143081747381901</v>
      </c>
      <c r="L356" s="14">
        <v>0</v>
      </c>
    </row>
    <row r="357" spans="1:12" x14ac:dyDescent="0.25">
      <c r="A357" s="13" t="s">
        <v>6501</v>
      </c>
      <c r="B357" s="14" t="s">
        <v>172</v>
      </c>
      <c r="C357" s="14" t="s">
        <v>947</v>
      </c>
      <c r="D357" s="14" t="s">
        <v>948</v>
      </c>
      <c r="E357" s="14" t="s">
        <v>949</v>
      </c>
      <c r="F357" s="21">
        <v>799.44</v>
      </c>
      <c r="G357" s="14">
        <v>569</v>
      </c>
      <c r="H357" s="14">
        <v>0</v>
      </c>
      <c r="I357" s="14">
        <v>3</v>
      </c>
      <c r="J357" s="22">
        <v>0.32906449762016099</v>
      </c>
      <c r="K357" s="22">
        <v>0.67093550237983901</v>
      </c>
      <c r="L357" s="14">
        <v>0</v>
      </c>
    </row>
    <row r="358" spans="1:12" x14ac:dyDescent="0.25">
      <c r="A358" s="13">
        <v>23892734</v>
      </c>
      <c r="B358" s="14" t="s">
        <v>3900</v>
      </c>
      <c r="C358" s="14" t="s">
        <v>950</v>
      </c>
      <c r="D358" s="14" t="s">
        <v>951</v>
      </c>
      <c r="E358" s="14" t="s">
        <v>952</v>
      </c>
      <c r="F358" s="21">
        <v>2040</v>
      </c>
      <c r="G358" s="14">
        <v>475</v>
      </c>
      <c r="H358" s="14">
        <v>0</v>
      </c>
      <c r="I358" s="14">
        <v>16</v>
      </c>
      <c r="J358" s="22">
        <v>5.1236932055532598E-2</v>
      </c>
      <c r="K358" s="22">
        <v>0.94876306794446696</v>
      </c>
      <c r="L358" s="14">
        <v>0</v>
      </c>
    </row>
    <row r="359" spans="1:12" x14ac:dyDescent="0.25">
      <c r="A359" s="13" t="s">
        <v>6502</v>
      </c>
      <c r="B359" s="14" t="s">
        <v>5421</v>
      </c>
      <c r="C359" s="14" t="s">
        <v>950</v>
      </c>
      <c r="D359" s="14" t="s">
        <v>951</v>
      </c>
      <c r="E359" s="14" t="s">
        <v>954</v>
      </c>
      <c r="F359" s="21">
        <v>2040</v>
      </c>
      <c r="G359" s="14">
        <v>334</v>
      </c>
      <c r="H359" s="14">
        <v>0</v>
      </c>
      <c r="I359" s="14">
        <v>25</v>
      </c>
      <c r="J359" s="22">
        <v>0.99672676771836799</v>
      </c>
      <c r="K359" s="22">
        <v>3.2732322816319001E-3</v>
      </c>
      <c r="L359" s="14">
        <v>0</v>
      </c>
    </row>
    <row r="360" spans="1:12" ht="39.6" x14ac:dyDescent="0.25">
      <c r="A360" s="20" t="s">
        <v>6503</v>
      </c>
      <c r="B360" s="23" t="s">
        <v>6504</v>
      </c>
      <c r="C360" s="14" t="s">
        <v>950</v>
      </c>
      <c r="D360" s="14" t="s">
        <v>951</v>
      </c>
      <c r="E360" s="14" t="s">
        <v>956</v>
      </c>
      <c r="F360" s="21">
        <v>1020</v>
      </c>
      <c r="G360" s="14">
        <v>761</v>
      </c>
      <c r="H360" s="14">
        <v>0</v>
      </c>
      <c r="I360" s="14">
        <v>35</v>
      </c>
      <c r="J360" s="22">
        <v>0.41779187746162699</v>
      </c>
      <c r="K360" s="22">
        <v>0.58220812253837295</v>
      </c>
      <c r="L360" s="14">
        <v>0</v>
      </c>
    </row>
    <row r="361" spans="1:12" x14ac:dyDescent="0.25">
      <c r="A361" s="13" t="s">
        <v>6505</v>
      </c>
      <c r="B361" s="14" t="s">
        <v>17</v>
      </c>
      <c r="C361" s="14" t="s">
        <v>958</v>
      </c>
      <c r="D361" s="14" t="s">
        <v>959</v>
      </c>
      <c r="E361" s="14" t="s">
        <v>960</v>
      </c>
      <c r="F361" s="21">
        <v>533.58000000000004</v>
      </c>
      <c r="G361" s="14">
        <v>982</v>
      </c>
      <c r="H361" s="14">
        <v>1</v>
      </c>
      <c r="I361" s="14">
        <v>37</v>
      </c>
      <c r="J361" s="22">
        <v>6.6244183710085905E-2</v>
      </c>
      <c r="K361" s="22">
        <v>0.933755816289914</v>
      </c>
      <c r="L361" s="14">
        <v>0</v>
      </c>
    </row>
    <row r="362" spans="1:12" ht="26.4" x14ac:dyDescent="0.25">
      <c r="A362" s="20" t="s">
        <v>6506</v>
      </c>
      <c r="B362" s="14" t="s">
        <v>17</v>
      </c>
      <c r="C362" s="14" t="s">
        <v>958</v>
      </c>
      <c r="D362" s="14" t="s">
        <v>959</v>
      </c>
      <c r="E362" s="14" t="s">
        <v>962</v>
      </c>
      <c r="F362" s="21">
        <v>1366.08</v>
      </c>
      <c r="G362" s="14">
        <v>67</v>
      </c>
      <c r="H362" s="14">
        <v>0</v>
      </c>
      <c r="I362" s="14" t="s">
        <v>6314</v>
      </c>
      <c r="J362" s="22">
        <v>0.32685414400327101</v>
      </c>
      <c r="K362" s="22">
        <v>0.67314585599672905</v>
      </c>
      <c r="L362" s="14">
        <v>0</v>
      </c>
    </row>
    <row r="363" spans="1:12" x14ac:dyDescent="0.25">
      <c r="A363" s="13" t="s">
        <v>963</v>
      </c>
      <c r="B363" s="14" t="s">
        <v>17</v>
      </c>
      <c r="C363" s="14" t="s">
        <v>958</v>
      </c>
      <c r="D363" s="14" t="s">
        <v>959</v>
      </c>
      <c r="E363" s="14" t="s">
        <v>964</v>
      </c>
      <c r="F363" s="21">
        <v>3208.69</v>
      </c>
      <c r="G363" s="14">
        <v>493</v>
      </c>
      <c r="H363" s="14">
        <v>1</v>
      </c>
      <c r="I363" s="14">
        <v>36</v>
      </c>
      <c r="J363" s="22">
        <v>0.42114648619510398</v>
      </c>
      <c r="K363" s="22">
        <v>0.57885351380489602</v>
      </c>
      <c r="L363" s="14">
        <v>0</v>
      </c>
    </row>
    <row r="364" spans="1:12" x14ac:dyDescent="0.25">
      <c r="A364" s="13" t="s">
        <v>965</v>
      </c>
      <c r="B364" s="14" t="s">
        <v>17</v>
      </c>
      <c r="C364" s="14" t="s">
        <v>958</v>
      </c>
      <c r="D364" s="14" t="s">
        <v>959</v>
      </c>
      <c r="E364" s="14" t="s">
        <v>966</v>
      </c>
      <c r="F364" s="21">
        <v>3948.42</v>
      </c>
      <c r="G364" s="14">
        <v>427</v>
      </c>
      <c r="H364" s="14">
        <v>1</v>
      </c>
      <c r="I364" s="14">
        <v>22</v>
      </c>
      <c r="J364" s="22">
        <v>0.31559170915918899</v>
      </c>
      <c r="K364" s="22">
        <v>0.68440829084081101</v>
      </c>
      <c r="L364" s="14">
        <v>0</v>
      </c>
    </row>
    <row r="365" spans="1:12" x14ac:dyDescent="0.25">
      <c r="A365" s="13" t="s">
        <v>967</v>
      </c>
      <c r="B365" s="14" t="s">
        <v>17</v>
      </c>
      <c r="C365" s="14" t="s">
        <v>958</v>
      </c>
      <c r="D365" s="14" t="s">
        <v>959</v>
      </c>
      <c r="E365" s="14" t="s">
        <v>968</v>
      </c>
      <c r="F365" s="21">
        <v>4163.88</v>
      </c>
      <c r="G365" s="14">
        <v>539</v>
      </c>
      <c r="H365" s="14">
        <v>1</v>
      </c>
      <c r="I365" s="14">
        <v>16</v>
      </c>
      <c r="J365" s="22">
        <v>0.71067859606684403</v>
      </c>
      <c r="K365" s="22">
        <v>0.28932140393315597</v>
      </c>
      <c r="L365" s="14">
        <v>0</v>
      </c>
    </row>
    <row r="366" spans="1:12" ht="39.6" x14ac:dyDescent="0.25">
      <c r="A366" s="20" t="s">
        <v>6507</v>
      </c>
      <c r="B366" s="14" t="s">
        <v>388</v>
      </c>
      <c r="C366" s="14" t="s">
        <v>970</v>
      </c>
      <c r="D366" s="14" t="s">
        <v>971</v>
      </c>
      <c r="E366" s="14" t="s">
        <v>6508</v>
      </c>
      <c r="F366" s="21">
        <v>321.45999999999998</v>
      </c>
      <c r="G366" s="14">
        <v>933</v>
      </c>
      <c r="H366" s="14">
        <v>0</v>
      </c>
      <c r="I366" s="14">
        <v>20</v>
      </c>
      <c r="J366" s="22">
        <v>0.85497297109229997</v>
      </c>
      <c r="K366" s="22">
        <v>0.1450270289077</v>
      </c>
      <c r="L366" s="14">
        <v>0</v>
      </c>
    </row>
    <row r="367" spans="1:12" x14ac:dyDescent="0.25">
      <c r="A367" s="13">
        <v>3505551</v>
      </c>
      <c r="B367" s="14" t="s">
        <v>69</v>
      </c>
      <c r="C367" s="14" t="s">
        <v>974</v>
      </c>
      <c r="D367" s="14" t="s">
        <v>975</v>
      </c>
      <c r="E367" s="14" t="s">
        <v>976</v>
      </c>
      <c r="F367" s="21">
        <v>1908.38</v>
      </c>
      <c r="G367" s="14">
        <v>892</v>
      </c>
      <c r="H367" s="14">
        <v>0</v>
      </c>
      <c r="I367" s="14">
        <v>31</v>
      </c>
      <c r="J367" s="22">
        <v>0.19982024061201301</v>
      </c>
      <c r="K367" s="22">
        <v>0.80017975938798702</v>
      </c>
      <c r="L367" s="14">
        <v>0</v>
      </c>
    </row>
    <row r="368" spans="1:12" x14ac:dyDescent="0.25">
      <c r="A368" s="13">
        <v>19324410</v>
      </c>
      <c r="B368" s="14" t="s">
        <v>17</v>
      </c>
      <c r="C368" s="14" t="s">
        <v>977</v>
      </c>
      <c r="D368" s="14" t="s">
        <v>959</v>
      </c>
      <c r="E368" s="14" t="s">
        <v>978</v>
      </c>
      <c r="F368" s="21">
        <v>2363.14</v>
      </c>
      <c r="G368" s="14">
        <v>329</v>
      </c>
      <c r="H368" s="14">
        <v>1</v>
      </c>
      <c r="I368" s="14">
        <v>50</v>
      </c>
      <c r="J368" s="22">
        <v>0.20502528698092101</v>
      </c>
      <c r="K368" s="22">
        <v>0.79497471301907896</v>
      </c>
      <c r="L368" s="14">
        <v>0</v>
      </c>
    </row>
    <row r="369" spans="1:12" x14ac:dyDescent="0.25">
      <c r="A369" s="13" t="s">
        <v>6509</v>
      </c>
      <c r="B369" s="14" t="s">
        <v>388</v>
      </c>
      <c r="C369" s="14" t="s">
        <v>979</v>
      </c>
      <c r="E369" s="14" t="s">
        <v>980</v>
      </c>
      <c r="F369" s="21">
        <v>644.28</v>
      </c>
      <c r="G369" s="14">
        <v>165</v>
      </c>
      <c r="H369" s="14">
        <v>1</v>
      </c>
      <c r="I369" s="14" t="s">
        <v>6314</v>
      </c>
      <c r="J369" s="22">
        <v>0.118372798326872</v>
      </c>
      <c r="K369" s="22">
        <v>0.88162720167312802</v>
      </c>
      <c r="L369" s="14">
        <v>0</v>
      </c>
    </row>
    <row r="370" spans="1:12" x14ac:dyDescent="0.25">
      <c r="A370" s="13" t="s">
        <v>981</v>
      </c>
      <c r="B370" s="14" t="s">
        <v>388</v>
      </c>
      <c r="C370" s="14" t="s">
        <v>979</v>
      </c>
      <c r="E370" s="14" t="s">
        <v>982</v>
      </c>
      <c r="F370" s="21">
        <v>666</v>
      </c>
      <c r="G370" s="14">
        <v>777</v>
      </c>
      <c r="H370" s="14">
        <v>0</v>
      </c>
      <c r="I370" s="14">
        <v>48</v>
      </c>
      <c r="J370" s="22">
        <v>0.52247571900713197</v>
      </c>
      <c r="K370" s="22">
        <v>0.47752428099286798</v>
      </c>
      <c r="L370" s="14">
        <v>0</v>
      </c>
    </row>
    <row r="371" spans="1:12" x14ac:dyDescent="0.25">
      <c r="A371" s="13" t="s">
        <v>6510</v>
      </c>
      <c r="B371" s="14" t="s">
        <v>388</v>
      </c>
      <c r="C371" s="14" t="s">
        <v>979</v>
      </c>
      <c r="E371" s="14" t="s">
        <v>983</v>
      </c>
      <c r="F371" s="21">
        <v>783.73</v>
      </c>
      <c r="G371" s="14">
        <v>697</v>
      </c>
      <c r="H371" s="14">
        <v>1</v>
      </c>
      <c r="I371" s="14">
        <v>4</v>
      </c>
      <c r="J371" s="22">
        <v>0.75976624143232496</v>
      </c>
      <c r="K371" s="22">
        <v>0.24023375856767501</v>
      </c>
      <c r="L371" s="14">
        <v>0</v>
      </c>
    </row>
    <row r="372" spans="1:12" x14ac:dyDescent="0.25">
      <c r="A372" s="13" t="s">
        <v>5888</v>
      </c>
      <c r="B372" s="14" t="s">
        <v>388</v>
      </c>
      <c r="C372" s="14" t="s">
        <v>979</v>
      </c>
      <c r="E372" s="14" t="s">
        <v>985</v>
      </c>
      <c r="F372" s="21">
        <v>812.96</v>
      </c>
      <c r="G372" s="14">
        <v>721</v>
      </c>
      <c r="H372" s="14">
        <v>0</v>
      </c>
      <c r="I372" s="14">
        <v>13</v>
      </c>
      <c r="J372" s="22">
        <v>0.44393154928498202</v>
      </c>
      <c r="K372" s="22">
        <v>0.55606845071501798</v>
      </c>
      <c r="L372" s="14">
        <v>0</v>
      </c>
    </row>
    <row r="373" spans="1:12" x14ac:dyDescent="0.25">
      <c r="A373" s="13" t="s">
        <v>6511</v>
      </c>
      <c r="B373" s="14" t="s">
        <v>5401</v>
      </c>
      <c r="C373" s="14" t="s">
        <v>979</v>
      </c>
      <c r="E373" s="14" t="s">
        <v>987</v>
      </c>
      <c r="F373" s="21">
        <v>762.88</v>
      </c>
      <c r="G373" s="14">
        <v>688</v>
      </c>
      <c r="H373" s="14">
        <v>1</v>
      </c>
      <c r="I373" s="14">
        <v>17</v>
      </c>
      <c r="J373" s="22">
        <v>2.6839731887341799E-2</v>
      </c>
      <c r="K373" s="22">
        <v>0.97316026811265799</v>
      </c>
      <c r="L373" s="14">
        <v>0</v>
      </c>
    </row>
    <row r="374" spans="1:12" x14ac:dyDescent="0.25">
      <c r="A374" s="13" t="s">
        <v>6512</v>
      </c>
      <c r="B374" s="14" t="s">
        <v>5401</v>
      </c>
      <c r="C374" s="14" t="s">
        <v>979</v>
      </c>
      <c r="E374" s="14" t="s">
        <v>989</v>
      </c>
      <c r="F374" s="21">
        <v>804.61</v>
      </c>
      <c r="G374" s="14">
        <v>636</v>
      </c>
      <c r="H374" s="14">
        <v>1</v>
      </c>
      <c r="I374" s="14">
        <v>34</v>
      </c>
      <c r="J374" s="22">
        <v>2.06354417472666E-2</v>
      </c>
      <c r="K374" s="22">
        <v>0.97936455825273305</v>
      </c>
      <c r="L374" s="14">
        <v>0</v>
      </c>
    </row>
    <row r="375" spans="1:12" x14ac:dyDescent="0.25">
      <c r="A375" s="13">
        <v>3674354</v>
      </c>
      <c r="B375" s="14" t="s">
        <v>5411</v>
      </c>
      <c r="C375" s="14" t="s">
        <v>5566</v>
      </c>
      <c r="D375" s="14" t="s">
        <v>992</v>
      </c>
      <c r="E375" s="14" t="s">
        <v>993</v>
      </c>
      <c r="F375" s="21">
        <v>2040</v>
      </c>
      <c r="H375" s="14">
        <v>1</v>
      </c>
      <c r="I375" s="14">
        <v>9</v>
      </c>
      <c r="J375" s="22">
        <v>0.326388563321789</v>
      </c>
      <c r="K375" s="22">
        <v>0.673611436678211</v>
      </c>
      <c r="L375" s="14">
        <v>0</v>
      </c>
    </row>
    <row r="376" spans="1:12" x14ac:dyDescent="0.25">
      <c r="A376" s="13">
        <v>3730438</v>
      </c>
      <c r="B376" s="14" t="s">
        <v>5411</v>
      </c>
      <c r="C376" s="14" t="s">
        <v>5566</v>
      </c>
      <c r="D376" s="14" t="s">
        <v>992</v>
      </c>
      <c r="E376" s="14" t="s">
        <v>995</v>
      </c>
      <c r="F376" s="21">
        <v>2040</v>
      </c>
      <c r="G376" s="14">
        <v>263</v>
      </c>
      <c r="H376" s="14">
        <v>0</v>
      </c>
      <c r="I376" s="14">
        <v>14</v>
      </c>
      <c r="J376" s="22">
        <v>0.13664934204142301</v>
      </c>
      <c r="K376" s="22">
        <v>0.86335065795857702</v>
      </c>
      <c r="L376" s="14">
        <v>0</v>
      </c>
    </row>
    <row r="377" spans="1:12" x14ac:dyDescent="0.25">
      <c r="A377" s="13">
        <v>3618382</v>
      </c>
      <c r="B377" s="14" t="s">
        <v>5411</v>
      </c>
      <c r="C377" s="14" t="s">
        <v>5566</v>
      </c>
      <c r="D377" s="14" t="s">
        <v>992</v>
      </c>
      <c r="E377" s="14" t="s">
        <v>997</v>
      </c>
      <c r="F377" s="21">
        <v>2520</v>
      </c>
      <c r="G377" s="14">
        <v>862</v>
      </c>
      <c r="H377" s="14">
        <v>1</v>
      </c>
      <c r="I377" s="14" t="s">
        <v>6314</v>
      </c>
      <c r="J377" s="22">
        <v>0.60267790563260204</v>
      </c>
      <c r="K377" s="22">
        <v>0.39732209436739802</v>
      </c>
      <c r="L377" s="14">
        <v>0</v>
      </c>
    </row>
    <row r="378" spans="1:12" ht="52.8" x14ac:dyDescent="0.25">
      <c r="A378" s="20" t="s">
        <v>6513</v>
      </c>
      <c r="B378" s="14" t="s">
        <v>5411</v>
      </c>
      <c r="C378" s="14" t="s">
        <v>999</v>
      </c>
      <c r="D378" s="14" t="s">
        <v>992</v>
      </c>
      <c r="E378" s="14" t="s">
        <v>6514</v>
      </c>
      <c r="F378" s="21">
        <v>3000</v>
      </c>
      <c r="G378" s="14">
        <v>462</v>
      </c>
      <c r="H378" s="14">
        <v>1</v>
      </c>
      <c r="I378" s="14">
        <v>40</v>
      </c>
      <c r="J378" s="22">
        <v>0.72146482594485495</v>
      </c>
      <c r="K378" s="22">
        <v>0.278535174055146</v>
      </c>
      <c r="L378" s="14">
        <v>0</v>
      </c>
    </row>
    <row r="379" spans="1:12" ht="39.6" x14ac:dyDescent="0.25">
      <c r="A379" s="20" t="s">
        <v>6515</v>
      </c>
      <c r="B379" s="14" t="s">
        <v>5411</v>
      </c>
      <c r="C379" s="14" t="s">
        <v>6516</v>
      </c>
      <c r="D379" s="14" t="s">
        <v>992</v>
      </c>
      <c r="E379" s="14" t="s">
        <v>1002</v>
      </c>
      <c r="F379" s="21">
        <v>2400</v>
      </c>
      <c r="H379" s="14">
        <v>0</v>
      </c>
      <c r="I379" s="14">
        <v>25</v>
      </c>
      <c r="J379" s="22">
        <v>0.21291315230713601</v>
      </c>
      <c r="K379" s="22">
        <v>0.78708684769286397</v>
      </c>
      <c r="L379" s="14">
        <v>0</v>
      </c>
    </row>
    <row r="380" spans="1:12" x14ac:dyDescent="0.25">
      <c r="A380" s="13" t="s">
        <v>1003</v>
      </c>
      <c r="B380" s="14" t="s">
        <v>6517</v>
      </c>
      <c r="C380" s="14" t="s">
        <v>6516</v>
      </c>
      <c r="D380" s="14" t="s">
        <v>992</v>
      </c>
      <c r="E380" s="14" t="s">
        <v>1004</v>
      </c>
      <c r="F380" s="21">
        <v>2400</v>
      </c>
      <c r="G380" s="14">
        <v>924</v>
      </c>
      <c r="H380" s="14">
        <v>1</v>
      </c>
      <c r="I380" s="14" t="s">
        <v>6314</v>
      </c>
      <c r="J380" s="22">
        <v>0.48582210453712299</v>
      </c>
      <c r="K380" s="22">
        <v>0.51417789546287695</v>
      </c>
      <c r="L380" s="14">
        <v>0</v>
      </c>
    </row>
    <row r="381" spans="1:12" x14ac:dyDescent="0.25">
      <c r="A381" s="13" t="s">
        <v>5892</v>
      </c>
      <c r="B381" s="14" t="s">
        <v>607</v>
      </c>
      <c r="C381" s="14" t="s">
        <v>5565</v>
      </c>
      <c r="D381" s="14" t="s">
        <v>1006</v>
      </c>
      <c r="E381" s="14" t="s">
        <v>1007</v>
      </c>
      <c r="F381" s="21">
        <v>3000</v>
      </c>
      <c r="G381" s="14">
        <v>711</v>
      </c>
      <c r="H381" s="14">
        <v>1</v>
      </c>
      <c r="I381" s="14">
        <v>44</v>
      </c>
      <c r="J381" s="22">
        <v>0.10257885478621299</v>
      </c>
      <c r="K381" s="22">
        <v>0.89742114521378702</v>
      </c>
      <c r="L381" s="14">
        <v>0</v>
      </c>
    </row>
    <row r="382" spans="1:12" x14ac:dyDescent="0.25">
      <c r="A382" s="13" t="s">
        <v>6518</v>
      </c>
      <c r="B382" s="14" t="s">
        <v>5380</v>
      </c>
      <c r="C382" s="14" t="s">
        <v>5567</v>
      </c>
      <c r="D382" s="14" t="s">
        <v>1010</v>
      </c>
      <c r="E382" s="14" t="s">
        <v>1011</v>
      </c>
      <c r="F382" s="21">
        <v>4226.04</v>
      </c>
      <c r="G382" s="14">
        <v>262</v>
      </c>
      <c r="H382" s="14">
        <v>1</v>
      </c>
      <c r="I382" s="14">
        <v>27</v>
      </c>
      <c r="J382" s="22">
        <v>7.5601020617115905E-2</v>
      </c>
      <c r="K382" s="22">
        <v>0.92439897938288396</v>
      </c>
      <c r="L382" s="14">
        <v>0</v>
      </c>
    </row>
    <row r="383" spans="1:12" ht="26.4" x14ac:dyDescent="0.25">
      <c r="A383" s="20" t="s">
        <v>6519</v>
      </c>
      <c r="B383" s="14" t="s">
        <v>17</v>
      </c>
      <c r="C383" s="14" t="s">
        <v>1009</v>
      </c>
      <c r="D383" s="14" t="s">
        <v>1010</v>
      </c>
      <c r="E383" s="14" t="s">
        <v>1013</v>
      </c>
      <c r="F383" s="21">
        <v>3838.88</v>
      </c>
      <c r="G383" s="14">
        <v>996</v>
      </c>
      <c r="H383" s="14">
        <v>0</v>
      </c>
      <c r="I383" s="14">
        <v>45</v>
      </c>
      <c r="J383" s="22">
        <v>0.60007551159045303</v>
      </c>
      <c r="K383" s="22">
        <v>0.39992448840954697</v>
      </c>
      <c r="L383" s="14">
        <v>0</v>
      </c>
    </row>
    <row r="384" spans="1:12" x14ac:dyDescent="0.25">
      <c r="A384" s="13" t="s">
        <v>6520</v>
      </c>
      <c r="B384" s="14" t="s">
        <v>17</v>
      </c>
      <c r="C384" s="14" t="s">
        <v>1015</v>
      </c>
      <c r="D384" s="14" t="s">
        <v>1016</v>
      </c>
      <c r="E384" s="14" t="s">
        <v>1017</v>
      </c>
      <c r="F384" s="21">
        <v>4041.05</v>
      </c>
      <c r="H384" s="14">
        <v>0</v>
      </c>
      <c r="I384" s="14">
        <v>22</v>
      </c>
      <c r="J384" s="22">
        <v>0.93595078504630502</v>
      </c>
      <c r="K384" s="22">
        <v>6.4049214953695296E-2</v>
      </c>
      <c r="L384" s="14">
        <v>0</v>
      </c>
    </row>
    <row r="385" spans="1:12" x14ac:dyDescent="0.25">
      <c r="A385" s="13" t="s">
        <v>6521</v>
      </c>
      <c r="B385" s="14" t="s">
        <v>17</v>
      </c>
      <c r="C385" s="14" t="s">
        <v>1019</v>
      </c>
      <c r="D385" s="14" t="s">
        <v>1020</v>
      </c>
      <c r="E385" s="14" t="s">
        <v>1021</v>
      </c>
      <c r="F385" s="21">
        <v>3783.81</v>
      </c>
      <c r="G385" s="14">
        <v>755</v>
      </c>
      <c r="H385" s="14">
        <v>1</v>
      </c>
      <c r="I385" s="14">
        <v>39</v>
      </c>
      <c r="J385" s="22">
        <v>0.53434281886982005</v>
      </c>
      <c r="K385" s="22">
        <v>0.46565718113018001</v>
      </c>
      <c r="L385" s="14">
        <v>0</v>
      </c>
    </row>
    <row r="386" spans="1:12" x14ac:dyDescent="0.25">
      <c r="A386" s="13" t="s">
        <v>6522</v>
      </c>
      <c r="B386" s="14" t="s">
        <v>17</v>
      </c>
      <c r="C386" s="14" t="s">
        <v>1019</v>
      </c>
      <c r="D386" s="14" t="s">
        <v>1020</v>
      </c>
      <c r="E386" s="14" t="s">
        <v>1023</v>
      </c>
      <c r="F386" s="21">
        <v>3904.46</v>
      </c>
      <c r="G386" s="14">
        <v>643</v>
      </c>
      <c r="H386" s="14">
        <v>1</v>
      </c>
      <c r="I386" s="14">
        <v>31</v>
      </c>
      <c r="J386" s="22">
        <v>0.144814805060173</v>
      </c>
      <c r="K386" s="22">
        <v>0.85518519493982803</v>
      </c>
      <c r="L386" s="14">
        <v>0</v>
      </c>
    </row>
    <row r="387" spans="1:12" x14ac:dyDescent="0.25">
      <c r="A387" s="13" t="s">
        <v>1024</v>
      </c>
      <c r="B387" s="14" t="s">
        <v>6355</v>
      </c>
      <c r="C387" s="14" t="s">
        <v>1019</v>
      </c>
      <c r="D387" s="14" t="s">
        <v>1020</v>
      </c>
      <c r="E387" s="14" t="s">
        <v>1025</v>
      </c>
      <c r="F387" s="21">
        <v>4084.51</v>
      </c>
      <c r="G387" s="14">
        <v>511</v>
      </c>
      <c r="H387" s="14">
        <v>1</v>
      </c>
      <c r="I387" s="14">
        <v>42</v>
      </c>
      <c r="J387" s="22">
        <v>0.77539007751629696</v>
      </c>
      <c r="K387" s="22">
        <v>0.22460992248370301</v>
      </c>
      <c r="L387" s="14">
        <v>0</v>
      </c>
    </row>
    <row r="388" spans="1:12" x14ac:dyDescent="0.25">
      <c r="A388" s="13" t="s">
        <v>1026</v>
      </c>
      <c r="B388" s="14" t="s">
        <v>191</v>
      </c>
      <c r="C388" s="14" t="s">
        <v>5568</v>
      </c>
      <c r="D388" s="14" t="s">
        <v>1028</v>
      </c>
      <c r="E388" s="14" t="s">
        <v>1029</v>
      </c>
      <c r="F388" s="21">
        <v>3884.4</v>
      </c>
      <c r="G388" s="14">
        <v>335</v>
      </c>
      <c r="H388" s="14">
        <v>0</v>
      </c>
      <c r="I388" s="14">
        <v>15</v>
      </c>
      <c r="J388" s="22">
        <v>4.1286361959371999E-2</v>
      </c>
      <c r="K388" s="22">
        <v>0.95871363804062804</v>
      </c>
      <c r="L388" s="14">
        <v>0</v>
      </c>
    </row>
    <row r="389" spans="1:12" x14ac:dyDescent="0.25">
      <c r="A389" s="13" t="s">
        <v>6523</v>
      </c>
      <c r="B389" s="14" t="s">
        <v>5371</v>
      </c>
      <c r="C389" s="14" t="s">
        <v>1027</v>
      </c>
      <c r="D389" s="14" t="s">
        <v>1030</v>
      </c>
      <c r="E389" s="14" t="s">
        <v>1031</v>
      </c>
      <c r="F389" s="21">
        <v>3154.01</v>
      </c>
      <c r="G389" s="14">
        <v>440</v>
      </c>
      <c r="H389" s="14">
        <v>1</v>
      </c>
      <c r="I389" s="14">
        <v>25</v>
      </c>
      <c r="J389" s="22">
        <v>0.84409558360496895</v>
      </c>
      <c r="K389" s="22">
        <v>0.155904416395031</v>
      </c>
      <c r="L389" s="14">
        <v>0</v>
      </c>
    </row>
    <row r="390" spans="1:12" x14ac:dyDescent="0.25">
      <c r="A390" s="13" t="s">
        <v>1032</v>
      </c>
      <c r="B390" s="14" t="s">
        <v>191</v>
      </c>
      <c r="C390" s="14" t="s">
        <v>1027</v>
      </c>
      <c r="D390" s="14" t="s">
        <v>1030</v>
      </c>
      <c r="E390" s="14" t="s">
        <v>1033</v>
      </c>
      <c r="F390" s="21">
        <v>3242.21</v>
      </c>
      <c r="G390" s="14">
        <v>279</v>
      </c>
      <c r="H390" s="14">
        <v>0</v>
      </c>
      <c r="I390" s="14">
        <v>1</v>
      </c>
      <c r="J390" s="22">
        <v>0.84924725590727701</v>
      </c>
      <c r="K390" s="22">
        <v>0.15075274409272299</v>
      </c>
      <c r="L390" s="14">
        <v>0</v>
      </c>
    </row>
    <row r="391" spans="1:12" x14ac:dyDescent="0.25">
      <c r="A391" s="13" t="s">
        <v>1034</v>
      </c>
      <c r="B391" s="14" t="s">
        <v>191</v>
      </c>
      <c r="C391" s="14" t="s">
        <v>1027</v>
      </c>
      <c r="D391" s="14" t="s">
        <v>1030</v>
      </c>
      <c r="E391" s="14" t="s">
        <v>1035</v>
      </c>
      <c r="F391" s="21">
        <v>3882.41</v>
      </c>
      <c r="G391" s="14">
        <v>266</v>
      </c>
      <c r="H391" s="14">
        <v>0</v>
      </c>
      <c r="I391" s="14">
        <v>19</v>
      </c>
      <c r="J391" s="22">
        <v>0.909313348402354</v>
      </c>
      <c r="K391" s="22">
        <v>9.0686651597645801E-2</v>
      </c>
      <c r="L391" s="14">
        <v>0</v>
      </c>
    </row>
    <row r="392" spans="1:12" x14ac:dyDescent="0.25">
      <c r="A392" s="13" t="s">
        <v>1036</v>
      </c>
      <c r="B392" s="14" t="s">
        <v>191</v>
      </c>
      <c r="C392" s="14" t="s">
        <v>1027</v>
      </c>
      <c r="D392" s="14" t="s">
        <v>1030</v>
      </c>
      <c r="E392" s="14" t="s">
        <v>1037</v>
      </c>
      <c r="F392" s="21">
        <v>3906.55</v>
      </c>
      <c r="G392" s="14">
        <v>473</v>
      </c>
      <c r="H392" s="14">
        <v>0</v>
      </c>
      <c r="I392" s="14">
        <v>16</v>
      </c>
      <c r="J392" s="22">
        <v>0.98421006789107401</v>
      </c>
      <c r="K392" s="22">
        <v>1.5789932108925899E-2</v>
      </c>
      <c r="L392" s="14">
        <v>0</v>
      </c>
    </row>
    <row r="393" spans="1:12" x14ac:dyDescent="0.25">
      <c r="A393" s="13" t="s">
        <v>1038</v>
      </c>
      <c r="B393" s="14" t="s">
        <v>191</v>
      </c>
      <c r="C393" s="14" t="s">
        <v>1027</v>
      </c>
      <c r="D393" s="14" t="s">
        <v>1030</v>
      </c>
      <c r="E393" s="14" t="s">
        <v>1039</v>
      </c>
      <c r="F393" s="21">
        <v>3967.99</v>
      </c>
      <c r="G393" s="14">
        <v>934</v>
      </c>
      <c r="H393" s="14">
        <v>0</v>
      </c>
      <c r="I393" s="14">
        <v>38</v>
      </c>
      <c r="J393" s="22">
        <v>0.98705647489730997</v>
      </c>
      <c r="K393" s="22">
        <v>1.2943525102689601E-2</v>
      </c>
      <c r="L393" s="14">
        <v>0</v>
      </c>
    </row>
    <row r="394" spans="1:12" x14ac:dyDescent="0.25">
      <c r="A394" s="13" t="s">
        <v>6524</v>
      </c>
      <c r="B394" s="14" t="s">
        <v>191</v>
      </c>
      <c r="C394" s="14" t="s">
        <v>1027</v>
      </c>
      <c r="D394" s="14" t="s">
        <v>1030</v>
      </c>
      <c r="E394" s="14" t="s">
        <v>1041</v>
      </c>
      <c r="F394" s="21">
        <v>3995.74</v>
      </c>
      <c r="G394" s="14">
        <v>966</v>
      </c>
      <c r="H394" s="14">
        <v>0</v>
      </c>
      <c r="I394" s="14">
        <v>25</v>
      </c>
      <c r="J394" s="22">
        <v>2.01880089488604E-2</v>
      </c>
      <c r="K394" s="22">
        <v>0.97981199105114003</v>
      </c>
      <c r="L394" s="14">
        <v>0</v>
      </c>
    </row>
    <row r="395" spans="1:12" x14ac:dyDescent="0.25">
      <c r="A395" s="13" t="s">
        <v>1042</v>
      </c>
      <c r="B395" s="14" t="s">
        <v>5372</v>
      </c>
      <c r="C395" s="14" t="s">
        <v>1027</v>
      </c>
      <c r="D395" s="14" t="s">
        <v>1030</v>
      </c>
      <c r="E395" s="14" t="s">
        <v>1043</v>
      </c>
      <c r="F395" s="21">
        <v>3712.8</v>
      </c>
      <c r="G395" s="14">
        <v>803</v>
      </c>
      <c r="H395" s="14">
        <v>0</v>
      </c>
      <c r="I395" s="14" t="s">
        <v>6314</v>
      </c>
      <c r="J395" s="22">
        <v>0.76018360197233703</v>
      </c>
      <c r="K395" s="22">
        <v>0.239816398027663</v>
      </c>
      <c r="L395" s="14">
        <v>0</v>
      </c>
    </row>
    <row r="396" spans="1:12" x14ac:dyDescent="0.25">
      <c r="A396" s="13" t="s">
        <v>5894</v>
      </c>
      <c r="B396" s="14" t="s">
        <v>17</v>
      </c>
      <c r="C396" s="14" t="s">
        <v>1027</v>
      </c>
      <c r="D396" s="14" t="s">
        <v>1030</v>
      </c>
      <c r="E396" s="14" t="s">
        <v>1044</v>
      </c>
      <c r="F396" s="21">
        <v>3100.01</v>
      </c>
      <c r="G396" s="14">
        <v>589</v>
      </c>
      <c r="H396" s="14">
        <v>1</v>
      </c>
      <c r="I396" s="14">
        <v>2</v>
      </c>
      <c r="J396" s="22">
        <v>4.9478419641620502E-2</v>
      </c>
      <c r="K396" s="22">
        <v>0.95052158035837997</v>
      </c>
      <c r="L396" s="14">
        <v>0</v>
      </c>
    </row>
    <row r="397" spans="1:12" x14ac:dyDescent="0.25">
      <c r="A397" s="13" t="s">
        <v>1045</v>
      </c>
      <c r="B397" s="14" t="s">
        <v>17</v>
      </c>
      <c r="C397" s="14" t="s">
        <v>1027</v>
      </c>
      <c r="D397" s="14" t="s">
        <v>1030</v>
      </c>
      <c r="E397" s="14" t="s">
        <v>1046</v>
      </c>
      <c r="F397" s="21">
        <v>3836.32</v>
      </c>
      <c r="G397" s="14">
        <v>830</v>
      </c>
      <c r="H397" s="14">
        <v>1</v>
      </c>
      <c r="I397" s="14">
        <v>34</v>
      </c>
      <c r="J397" s="22">
        <v>0.71013388904174501</v>
      </c>
      <c r="K397" s="22">
        <v>0.28986611095825499</v>
      </c>
      <c r="L397" s="14">
        <v>0</v>
      </c>
    </row>
    <row r="398" spans="1:12" x14ac:dyDescent="0.25">
      <c r="A398" s="13" t="s">
        <v>1047</v>
      </c>
      <c r="B398" s="14" t="s">
        <v>17</v>
      </c>
      <c r="C398" s="14" t="s">
        <v>1048</v>
      </c>
      <c r="D398" s="14" t="s">
        <v>959</v>
      </c>
      <c r="E398" s="14" t="s">
        <v>1049</v>
      </c>
      <c r="F398" s="21">
        <v>3352.04</v>
      </c>
      <c r="G398" s="14">
        <v>69</v>
      </c>
      <c r="H398" s="14">
        <v>0</v>
      </c>
      <c r="I398" s="14">
        <v>21</v>
      </c>
      <c r="J398" s="22">
        <v>4.7481978975374803E-2</v>
      </c>
      <c r="K398" s="22">
        <v>0.95251802102462502</v>
      </c>
      <c r="L398" s="14">
        <v>0</v>
      </c>
    </row>
    <row r="399" spans="1:12" x14ac:dyDescent="0.25">
      <c r="A399" s="13" t="s">
        <v>6525</v>
      </c>
      <c r="B399" s="14" t="s">
        <v>17</v>
      </c>
      <c r="C399" s="14" t="s">
        <v>1048</v>
      </c>
      <c r="D399" s="14" t="s">
        <v>959</v>
      </c>
      <c r="E399" s="14" t="s">
        <v>1051</v>
      </c>
      <c r="F399" s="21">
        <v>3716.09</v>
      </c>
      <c r="G399" s="14">
        <v>42</v>
      </c>
      <c r="I399" s="14">
        <v>43</v>
      </c>
      <c r="J399" s="22">
        <v>0.96939243132521302</v>
      </c>
      <c r="K399" s="22">
        <v>3.0607568674786902E-2</v>
      </c>
      <c r="L399" s="14">
        <v>0</v>
      </c>
    </row>
    <row r="400" spans="1:12" x14ac:dyDescent="0.25">
      <c r="A400" s="13" t="s">
        <v>6526</v>
      </c>
      <c r="B400" s="14" t="s">
        <v>69</v>
      </c>
      <c r="C400" s="14" t="s">
        <v>5569</v>
      </c>
      <c r="D400" s="14" t="s">
        <v>1054</v>
      </c>
      <c r="E400" s="14" t="s">
        <v>1055</v>
      </c>
      <c r="F400" s="21">
        <v>1918.46</v>
      </c>
      <c r="G400" s="14">
        <v>890</v>
      </c>
      <c r="H400" s="14">
        <v>0</v>
      </c>
      <c r="I400" s="14" t="s">
        <v>6314</v>
      </c>
      <c r="J400" s="22">
        <v>0.986129038369287</v>
      </c>
      <c r="K400" s="22">
        <v>1.3870961630713099E-2</v>
      </c>
      <c r="L400" s="14">
        <v>0</v>
      </c>
    </row>
    <row r="401" spans="1:12" x14ac:dyDescent="0.25">
      <c r="A401" s="13" t="s">
        <v>6527</v>
      </c>
      <c r="B401" s="14" t="s">
        <v>69</v>
      </c>
      <c r="C401" s="14" t="s">
        <v>1053</v>
      </c>
      <c r="D401" s="14" t="s">
        <v>1057</v>
      </c>
      <c r="E401" s="14" t="s">
        <v>1058</v>
      </c>
      <c r="F401" s="21">
        <v>1629.33</v>
      </c>
      <c r="G401" s="14">
        <v>943</v>
      </c>
      <c r="H401" s="14">
        <v>1</v>
      </c>
      <c r="I401" s="14" t="s">
        <v>6314</v>
      </c>
      <c r="J401" s="22">
        <v>0.95548575148497505</v>
      </c>
      <c r="K401" s="22">
        <v>4.45142485150253E-2</v>
      </c>
      <c r="L401" s="14">
        <v>0</v>
      </c>
    </row>
    <row r="402" spans="1:12" x14ac:dyDescent="0.25">
      <c r="A402" s="13" t="s">
        <v>6528</v>
      </c>
      <c r="B402" s="14" t="s">
        <v>69</v>
      </c>
      <c r="C402" s="14" t="s">
        <v>1053</v>
      </c>
      <c r="D402" s="14" t="s">
        <v>1057</v>
      </c>
      <c r="E402" s="14" t="s">
        <v>1060</v>
      </c>
      <c r="F402" s="21">
        <v>1882.23</v>
      </c>
      <c r="G402" s="14">
        <v>559</v>
      </c>
      <c r="H402" s="14">
        <v>1</v>
      </c>
      <c r="I402" s="14" t="s">
        <v>6314</v>
      </c>
      <c r="J402" s="22">
        <v>0.26510126396549999</v>
      </c>
      <c r="K402" s="22">
        <v>0.73489873603449996</v>
      </c>
      <c r="L402" s="14">
        <v>0</v>
      </c>
    </row>
    <row r="403" spans="1:12" ht="39.6" x14ac:dyDescent="0.25">
      <c r="A403" s="20" t="s">
        <v>6529</v>
      </c>
      <c r="B403" s="14" t="s">
        <v>69</v>
      </c>
      <c r="C403" s="14" t="s">
        <v>1053</v>
      </c>
      <c r="D403" s="14" t="s">
        <v>1057</v>
      </c>
      <c r="E403" s="14" t="s">
        <v>6530</v>
      </c>
      <c r="F403" s="21">
        <v>1897.85</v>
      </c>
      <c r="G403" s="14">
        <v>623</v>
      </c>
      <c r="H403" s="14">
        <v>1</v>
      </c>
      <c r="I403" s="14">
        <v>33</v>
      </c>
      <c r="J403" s="22">
        <v>1.3254319696828901E-2</v>
      </c>
      <c r="K403" s="22">
        <v>0.986745680303171</v>
      </c>
      <c r="L403" s="14">
        <v>0</v>
      </c>
    </row>
    <row r="404" spans="1:12" x14ac:dyDescent="0.25">
      <c r="A404" s="13" t="s">
        <v>1063</v>
      </c>
      <c r="B404" s="14" t="s">
        <v>69</v>
      </c>
      <c r="C404" s="14" t="s">
        <v>1053</v>
      </c>
      <c r="D404" s="14" t="s">
        <v>1057</v>
      </c>
      <c r="E404" s="14" t="s">
        <v>1064</v>
      </c>
      <c r="F404" s="21">
        <v>1951.8</v>
      </c>
      <c r="G404" s="14">
        <v>363</v>
      </c>
      <c r="H404" s="14">
        <v>0</v>
      </c>
      <c r="I404" s="14">
        <v>6</v>
      </c>
      <c r="J404" s="22">
        <v>0.31811489957136202</v>
      </c>
      <c r="K404" s="22">
        <v>0.68188510042863903</v>
      </c>
      <c r="L404" s="14">
        <v>0</v>
      </c>
    </row>
    <row r="405" spans="1:12" x14ac:dyDescent="0.25">
      <c r="A405" s="13" t="s">
        <v>5895</v>
      </c>
      <c r="B405" s="14" t="s">
        <v>69</v>
      </c>
      <c r="C405" s="14" t="s">
        <v>1053</v>
      </c>
      <c r="D405" s="14" t="s">
        <v>1057</v>
      </c>
      <c r="E405" s="14" t="s">
        <v>1065</v>
      </c>
      <c r="F405" s="21">
        <v>2226.7399999999998</v>
      </c>
      <c r="G405" s="14">
        <v>408</v>
      </c>
      <c r="H405" s="14">
        <v>0</v>
      </c>
      <c r="I405" s="14">
        <v>2</v>
      </c>
      <c r="J405" s="22">
        <v>0.80862604328121701</v>
      </c>
      <c r="K405" s="22">
        <v>0.19137395671878299</v>
      </c>
      <c r="L405" s="14">
        <v>0</v>
      </c>
    </row>
    <row r="406" spans="1:12" x14ac:dyDescent="0.25">
      <c r="A406" s="13">
        <v>22533473</v>
      </c>
      <c r="B406" s="14" t="s">
        <v>5476</v>
      </c>
      <c r="C406" s="14" t="s">
        <v>1066</v>
      </c>
      <c r="D406" s="14" t="s">
        <v>1020</v>
      </c>
      <c r="E406" s="14" t="s">
        <v>1067</v>
      </c>
      <c r="F406" s="21">
        <v>1800</v>
      </c>
      <c r="G406" s="14">
        <v>245</v>
      </c>
      <c r="H406" s="14">
        <v>0</v>
      </c>
      <c r="I406" s="14">
        <v>8</v>
      </c>
      <c r="J406" s="22">
        <v>0.84064289396527803</v>
      </c>
      <c r="K406" s="22">
        <v>0.159357106034722</v>
      </c>
      <c r="L406" s="14">
        <v>0</v>
      </c>
    </row>
    <row r="407" spans="1:12" x14ac:dyDescent="0.25">
      <c r="A407" s="13" t="s">
        <v>1068</v>
      </c>
      <c r="B407" s="14" t="s">
        <v>5477</v>
      </c>
      <c r="C407" s="14" t="s">
        <v>1066</v>
      </c>
      <c r="D407" s="14" t="s">
        <v>1020</v>
      </c>
      <c r="E407" s="14" t="s">
        <v>1069</v>
      </c>
      <c r="F407" s="21">
        <v>2400.85</v>
      </c>
      <c r="H407" s="14">
        <v>1</v>
      </c>
      <c r="I407" s="14">
        <v>18</v>
      </c>
      <c r="J407" s="22">
        <v>0.87373775507339202</v>
      </c>
      <c r="K407" s="22">
        <v>0.12626224492660801</v>
      </c>
      <c r="L407" s="14">
        <v>0</v>
      </c>
    </row>
    <row r="408" spans="1:12" x14ac:dyDescent="0.25">
      <c r="A408" s="13" t="s">
        <v>6531</v>
      </c>
      <c r="B408" s="14" t="s">
        <v>5478</v>
      </c>
      <c r="C408" s="14" t="s">
        <v>1066</v>
      </c>
      <c r="D408" s="14" t="s">
        <v>1020</v>
      </c>
      <c r="E408" s="14" t="s">
        <v>1071</v>
      </c>
      <c r="F408" s="21">
        <v>2270.5</v>
      </c>
      <c r="G408" s="14">
        <v>470</v>
      </c>
      <c r="H408" s="14">
        <v>1</v>
      </c>
      <c r="I408" s="14" t="s">
        <v>6314</v>
      </c>
      <c r="J408" s="22">
        <v>0.331870204580408</v>
      </c>
      <c r="K408" s="22">
        <v>0.66812979541959205</v>
      </c>
      <c r="L408" s="14">
        <v>0</v>
      </c>
    </row>
    <row r="409" spans="1:12" x14ac:dyDescent="0.25">
      <c r="A409" s="13" t="s">
        <v>6532</v>
      </c>
      <c r="B409" s="14" t="s">
        <v>5478</v>
      </c>
      <c r="C409" s="14" t="s">
        <v>1066</v>
      </c>
      <c r="D409" s="14" t="s">
        <v>1020</v>
      </c>
      <c r="E409" s="14" t="s">
        <v>1072</v>
      </c>
      <c r="F409" s="21">
        <v>2284.62</v>
      </c>
      <c r="G409" s="14">
        <v>547</v>
      </c>
      <c r="H409" s="14">
        <v>0</v>
      </c>
      <c r="I409" s="14">
        <v>29</v>
      </c>
      <c r="J409" s="22">
        <v>0.396075724517504</v>
      </c>
      <c r="K409" s="22">
        <v>0.60392427548249605</v>
      </c>
      <c r="L409" s="14">
        <v>0</v>
      </c>
    </row>
    <row r="410" spans="1:12" ht="39.6" x14ac:dyDescent="0.25">
      <c r="A410" s="13">
        <v>23902464</v>
      </c>
      <c r="B410" s="14" t="s">
        <v>86</v>
      </c>
      <c r="C410" s="14" t="s">
        <v>1066</v>
      </c>
      <c r="D410" s="14" t="s">
        <v>1020</v>
      </c>
      <c r="E410" s="23" t="s">
        <v>6533</v>
      </c>
      <c r="F410" s="21">
        <v>1500</v>
      </c>
      <c r="G410" s="14">
        <v>366</v>
      </c>
      <c r="H410" s="14">
        <v>0</v>
      </c>
      <c r="I410" s="14">
        <v>45</v>
      </c>
      <c r="J410" s="22">
        <v>0.74055932960760895</v>
      </c>
      <c r="K410" s="22">
        <v>0.25944067039239099</v>
      </c>
      <c r="L410" s="14">
        <v>0</v>
      </c>
    </row>
    <row r="411" spans="1:12" x14ac:dyDescent="0.25">
      <c r="A411" s="13" t="s">
        <v>6534</v>
      </c>
      <c r="B411" s="14" t="s">
        <v>17</v>
      </c>
      <c r="C411" s="14" t="s">
        <v>1075</v>
      </c>
      <c r="D411" s="14" t="s">
        <v>1076</v>
      </c>
      <c r="E411" s="14" t="s">
        <v>1077</v>
      </c>
      <c r="F411" s="21">
        <v>2267.2600000000002</v>
      </c>
      <c r="G411" s="14">
        <v>747</v>
      </c>
      <c r="H411" s="14">
        <v>0</v>
      </c>
      <c r="I411" s="14" t="s">
        <v>6314</v>
      </c>
      <c r="J411" s="22">
        <v>0.115438701930811</v>
      </c>
      <c r="K411" s="22">
        <v>0.88456129806919004</v>
      </c>
      <c r="L411" s="14">
        <v>0</v>
      </c>
    </row>
    <row r="412" spans="1:12" x14ac:dyDescent="0.25">
      <c r="A412" s="13" t="s">
        <v>6535</v>
      </c>
      <c r="B412" s="14" t="s">
        <v>17</v>
      </c>
      <c r="C412" s="14" t="s">
        <v>1075</v>
      </c>
      <c r="D412" s="14" t="s">
        <v>1076</v>
      </c>
      <c r="E412" s="14" t="s">
        <v>1079</v>
      </c>
      <c r="F412" s="21">
        <v>2400.9299999999998</v>
      </c>
      <c r="G412" s="14">
        <v>83</v>
      </c>
      <c r="H412" s="14">
        <v>0</v>
      </c>
      <c r="I412" s="14">
        <v>34</v>
      </c>
      <c r="J412" s="22">
        <v>0.18832775416019301</v>
      </c>
      <c r="K412" s="22">
        <v>0.81167224583980702</v>
      </c>
      <c r="L412" s="14">
        <v>0</v>
      </c>
    </row>
    <row r="413" spans="1:12" x14ac:dyDescent="0.25">
      <c r="A413" s="13" t="s">
        <v>6536</v>
      </c>
      <c r="B413" s="14" t="s">
        <v>5493</v>
      </c>
      <c r="C413" s="14" t="s">
        <v>1081</v>
      </c>
      <c r="D413" s="14" t="s">
        <v>1082</v>
      </c>
      <c r="E413" s="14" t="s">
        <v>1083</v>
      </c>
      <c r="F413" s="21">
        <v>2292.0300000000002</v>
      </c>
      <c r="G413" s="14">
        <v>562</v>
      </c>
      <c r="H413" s="14">
        <v>1</v>
      </c>
      <c r="I413" s="14">
        <v>30</v>
      </c>
      <c r="J413" s="22">
        <v>0.46952257610673598</v>
      </c>
      <c r="K413" s="22">
        <v>0.53047742389326402</v>
      </c>
      <c r="L413" s="14">
        <v>0</v>
      </c>
    </row>
    <row r="414" spans="1:12" x14ac:dyDescent="0.25">
      <c r="B414" s="14" t="s">
        <v>5417</v>
      </c>
      <c r="C414" s="14" t="s">
        <v>1084</v>
      </c>
      <c r="D414" s="14" t="s">
        <v>1085</v>
      </c>
      <c r="E414" s="14" t="s">
        <v>1086</v>
      </c>
      <c r="F414" s="21">
        <v>1875</v>
      </c>
      <c r="G414" s="14">
        <v>852</v>
      </c>
      <c r="H414" s="14">
        <v>1</v>
      </c>
      <c r="I414" s="14" t="s">
        <v>6314</v>
      </c>
      <c r="J414" s="22">
        <v>0.18592684255526601</v>
      </c>
      <c r="K414" s="22">
        <v>0.81407315744473396</v>
      </c>
      <c r="L414" s="14">
        <v>0</v>
      </c>
    </row>
    <row r="415" spans="1:12" x14ac:dyDescent="0.25">
      <c r="A415" s="13" t="s">
        <v>6537</v>
      </c>
      <c r="B415" s="14" t="s">
        <v>5417</v>
      </c>
      <c r="C415" s="14" t="s">
        <v>1084</v>
      </c>
      <c r="D415" s="14" t="s">
        <v>1085</v>
      </c>
      <c r="E415" s="14" t="s">
        <v>1087</v>
      </c>
      <c r="F415" s="21">
        <v>2250</v>
      </c>
      <c r="G415" s="14">
        <v>15</v>
      </c>
      <c r="H415" s="14">
        <v>1</v>
      </c>
      <c r="I415" s="14">
        <v>4</v>
      </c>
      <c r="J415" s="22">
        <v>0.85270316793911805</v>
      </c>
      <c r="K415" s="22">
        <v>0.14729683206088201</v>
      </c>
      <c r="L415" s="14">
        <v>0</v>
      </c>
    </row>
    <row r="416" spans="1:12" x14ac:dyDescent="0.25">
      <c r="A416" s="13" t="s">
        <v>5901</v>
      </c>
      <c r="B416" s="14" t="s">
        <v>5417</v>
      </c>
      <c r="C416" s="14" t="s">
        <v>1084</v>
      </c>
      <c r="D416" s="14" t="s">
        <v>1085</v>
      </c>
      <c r="E416" s="14" t="s">
        <v>1088</v>
      </c>
      <c r="F416" s="21">
        <v>2250</v>
      </c>
      <c r="G416" s="14">
        <v>504</v>
      </c>
      <c r="I416" s="14">
        <v>27</v>
      </c>
      <c r="J416" s="22">
        <v>0.29169649853659002</v>
      </c>
      <c r="K416" s="22">
        <v>0.70830350146341003</v>
      </c>
      <c r="L416" s="14">
        <v>0</v>
      </c>
    </row>
    <row r="417" spans="1:12" x14ac:dyDescent="0.25">
      <c r="B417" s="14" t="s">
        <v>5417</v>
      </c>
      <c r="C417" s="14" t="s">
        <v>1084</v>
      </c>
      <c r="D417" s="14" t="s">
        <v>1085</v>
      </c>
      <c r="E417" s="14" t="s">
        <v>1089</v>
      </c>
      <c r="F417" s="21">
        <v>2550</v>
      </c>
      <c r="G417" s="14">
        <v>21</v>
      </c>
      <c r="H417" s="14">
        <v>1</v>
      </c>
      <c r="I417" s="14" t="s">
        <v>6314</v>
      </c>
      <c r="J417" s="22">
        <v>0.61539514169057496</v>
      </c>
      <c r="K417" s="22">
        <v>0.38460485830942598</v>
      </c>
      <c r="L417" s="14">
        <v>0</v>
      </c>
    </row>
    <row r="418" spans="1:12" x14ac:dyDescent="0.25">
      <c r="A418" s="13" t="s">
        <v>1090</v>
      </c>
      <c r="B418" s="14" t="s">
        <v>110</v>
      </c>
      <c r="C418" s="14" t="s">
        <v>1084</v>
      </c>
      <c r="D418" s="14" t="s">
        <v>1085</v>
      </c>
      <c r="E418" s="14" t="s">
        <v>1091</v>
      </c>
      <c r="F418" s="21">
        <v>1700</v>
      </c>
      <c r="G418" s="14">
        <v>799</v>
      </c>
      <c r="H418" s="14">
        <v>1</v>
      </c>
      <c r="I418" s="14">
        <v>16</v>
      </c>
      <c r="J418" s="22">
        <v>0.14996843396179799</v>
      </c>
      <c r="K418" s="22">
        <v>0.85003156603820196</v>
      </c>
      <c r="L418" s="14">
        <v>0</v>
      </c>
    </row>
    <row r="419" spans="1:12" x14ac:dyDescent="0.25">
      <c r="A419" s="13" t="s">
        <v>5903</v>
      </c>
      <c r="B419" s="14" t="s">
        <v>110</v>
      </c>
      <c r="C419" s="14" t="s">
        <v>1084</v>
      </c>
      <c r="D419" s="14" t="s">
        <v>1085</v>
      </c>
      <c r="E419" s="14" t="s">
        <v>1092</v>
      </c>
      <c r="F419" s="21">
        <v>2040</v>
      </c>
      <c r="G419" s="14">
        <v>127</v>
      </c>
      <c r="H419" s="14">
        <v>1</v>
      </c>
      <c r="I419" s="14">
        <v>5</v>
      </c>
      <c r="J419" s="22">
        <v>0.548499257617453</v>
      </c>
      <c r="K419" s="22">
        <v>0.451500742382547</v>
      </c>
      <c r="L419" s="14">
        <v>0</v>
      </c>
    </row>
    <row r="420" spans="1:12" x14ac:dyDescent="0.25">
      <c r="A420" s="13" t="s">
        <v>5905</v>
      </c>
      <c r="B420" s="14" t="s">
        <v>110</v>
      </c>
      <c r="C420" s="14" t="s">
        <v>1084</v>
      </c>
      <c r="D420" s="14" t="s">
        <v>1085</v>
      </c>
      <c r="E420" s="14" t="s">
        <v>1093</v>
      </c>
      <c r="F420" s="21">
        <v>2040</v>
      </c>
      <c r="G420" s="14">
        <v>409</v>
      </c>
      <c r="H420" s="14">
        <v>0</v>
      </c>
      <c r="I420" s="14">
        <v>27</v>
      </c>
      <c r="J420" s="22">
        <v>0.67441428318451402</v>
      </c>
      <c r="K420" s="22">
        <v>0.32558571681548598</v>
      </c>
      <c r="L420" s="14">
        <v>0</v>
      </c>
    </row>
    <row r="421" spans="1:12" x14ac:dyDescent="0.25">
      <c r="A421" s="13" t="s">
        <v>6538</v>
      </c>
      <c r="B421" s="14" t="s">
        <v>110</v>
      </c>
      <c r="C421" s="14" t="s">
        <v>5570</v>
      </c>
      <c r="D421" s="14" t="s">
        <v>1095</v>
      </c>
      <c r="E421" s="14" t="s">
        <v>1096</v>
      </c>
      <c r="F421" s="21">
        <v>2040</v>
      </c>
      <c r="G421" s="14">
        <v>827</v>
      </c>
      <c r="H421" s="14">
        <v>1</v>
      </c>
      <c r="I421" s="14">
        <v>22</v>
      </c>
      <c r="J421" s="22">
        <v>0.89891383205687503</v>
      </c>
      <c r="K421" s="22">
        <v>0.101086167943125</v>
      </c>
      <c r="L421" s="14">
        <v>0</v>
      </c>
    </row>
    <row r="422" spans="1:12" x14ac:dyDescent="0.25">
      <c r="A422" s="13" t="s">
        <v>5905</v>
      </c>
      <c r="B422" s="14" t="s">
        <v>110</v>
      </c>
      <c r="C422" s="14" t="s">
        <v>5570</v>
      </c>
      <c r="D422" s="14" t="s">
        <v>1095</v>
      </c>
      <c r="E422" s="14" t="s">
        <v>1097</v>
      </c>
      <c r="F422" s="21">
        <v>2040</v>
      </c>
      <c r="G422" s="14">
        <v>212</v>
      </c>
      <c r="H422" s="14">
        <v>0</v>
      </c>
      <c r="I422" s="14">
        <v>28</v>
      </c>
      <c r="J422" s="22">
        <v>0.45556913176095398</v>
      </c>
      <c r="K422" s="22">
        <v>0.54443086823904596</v>
      </c>
      <c r="L422" s="14">
        <v>0</v>
      </c>
    </row>
    <row r="423" spans="1:12" x14ac:dyDescent="0.25">
      <c r="A423" s="13" t="s">
        <v>5907</v>
      </c>
      <c r="B423" s="14" t="s">
        <v>110</v>
      </c>
      <c r="C423" s="14" t="s">
        <v>5570</v>
      </c>
      <c r="D423" s="14" t="s">
        <v>1095</v>
      </c>
      <c r="E423" s="14" t="s">
        <v>1098</v>
      </c>
      <c r="F423" s="21">
        <v>2040</v>
      </c>
      <c r="G423" s="14">
        <v>310</v>
      </c>
      <c r="H423" s="14">
        <v>1</v>
      </c>
      <c r="I423" s="14">
        <v>36</v>
      </c>
      <c r="J423" s="22">
        <v>0.59612311755654102</v>
      </c>
      <c r="K423" s="22">
        <v>0.40387688244345898</v>
      </c>
      <c r="L423" s="14">
        <v>0</v>
      </c>
    </row>
    <row r="424" spans="1:12" x14ac:dyDescent="0.25">
      <c r="A424" s="13" t="s">
        <v>6539</v>
      </c>
      <c r="B424" s="14" t="s">
        <v>5419</v>
      </c>
      <c r="C424" s="14" t="s">
        <v>5571</v>
      </c>
      <c r="E424" s="14" t="s">
        <v>1100</v>
      </c>
      <c r="F424" s="21">
        <v>3177.6</v>
      </c>
      <c r="G424" s="14">
        <v>77</v>
      </c>
      <c r="H424" s="14">
        <v>1</v>
      </c>
      <c r="I424" s="14">
        <v>47</v>
      </c>
      <c r="J424" s="22">
        <v>0.87641541198848605</v>
      </c>
      <c r="K424" s="22">
        <v>0.12358458801151399</v>
      </c>
      <c r="L424" s="14">
        <v>0</v>
      </c>
    </row>
    <row r="425" spans="1:12" x14ac:dyDescent="0.25">
      <c r="A425" s="13" t="s">
        <v>6540</v>
      </c>
      <c r="B425" s="14" t="s">
        <v>388</v>
      </c>
      <c r="C425" s="14" t="s">
        <v>1102</v>
      </c>
      <c r="D425" s="14" t="s">
        <v>1103</v>
      </c>
      <c r="E425" s="14" t="s">
        <v>1104</v>
      </c>
      <c r="F425" s="21">
        <v>159.74</v>
      </c>
      <c r="I425" s="14" t="s">
        <v>6314</v>
      </c>
      <c r="J425" s="22">
        <v>0.34688773399538397</v>
      </c>
      <c r="K425" s="22">
        <v>0.65311226600461603</v>
      </c>
      <c r="L425" s="14">
        <v>0</v>
      </c>
    </row>
    <row r="426" spans="1:12" x14ac:dyDescent="0.25">
      <c r="A426" s="13" t="s">
        <v>6541</v>
      </c>
      <c r="B426" s="14" t="s">
        <v>86</v>
      </c>
      <c r="C426" s="14" t="s">
        <v>1105</v>
      </c>
      <c r="D426" s="14" t="s">
        <v>1106</v>
      </c>
      <c r="E426" s="14" t="s">
        <v>1107</v>
      </c>
      <c r="F426" s="21">
        <v>1500</v>
      </c>
      <c r="G426" s="14">
        <v>826</v>
      </c>
      <c r="H426" s="14">
        <v>1</v>
      </c>
      <c r="I426" s="14">
        <v>3</v>
      </c>
      <c r="J426" s="22">
        <v>0.90546924251217797</v>
      </c>
      <c r="K426" s="22">
        <v>9.4530757487821998E-2</v>
      </c>
      <c r="L426" s="14">
        <v>0</v>
      </c>
    </row>
    <row r="427" spans="1:12" x14ac:dyDescent="0.25">
      <c r="A427" s="13" t="s">
        <v>6542</v>
      </c>
      <c r="B427" s="14" t="s">
        <v>86</v>
      </c>
      <c r="C427" s="14" t="s">
        <v>1105</v>
      </c>
      <c r="D427" s="14" t="s">
        <v>1106</v>
      </c>
      <c r="E427" s="14" t="s">
        <v>1109</v>
      </c>
      <c r="F427" s="21">
        <v>2083.48</v>
      </c>
      <c r="G427" s="14">
        <v>884</v>
      </c>
      <c r="H427" s="14">
        <v>0</v>
      </c>
      <c r="I427" s="14">
        <v>36</v>
      </c>
      <c r="J427" s="22">
        <v>9.1724059533443106E-2</v>
      </c>
      <c r="K427" s="22">
        <v>0.90827594046655702</v>
      </c>
      <c r="L427" s="14">
        <v>0</v>
      </c>
    </row>
    <row r="428" spans="1:12" x14ac:dyDescent="0.25">
      <c r="A428" s="13" t="s">
        <v>6543</v>
      </c>
      <c r="B428" s="14" t="s">
        <v>86</v>
      </c>
      <c r="C428" s="14" t="s">
        <v>1105</v>
      </c>
      <c r="D428" s="14" t="s">
        <v>1106</v>
      </c>
      <c r="E428" s="14" t="s">
        <v>1111</v>
      </c>
      <c r="F428" s="21">
        <v>2153.41</v>
      </c>
      <c r="G428" s="14">
        <v>568</v>
      </c>
      <c r="H428" s="14">
        <v>1</v>
      </c>
      <c r="I428" s="14">
        <v>47</v>
      </c>
      <c r="J428" s="22">
        <v>0.95818150036719996</v>
      </c>
      <c r="K428" s="22">
        <v>4.1818499632799697E-2</v>
      </c>
      <c r="L428" s="14">
        <v>0</v>
      </c>
    </row>
    <row r="429" spans="1:12" x14ac:dyDescent="0.25">
      <c r="A429" s="13" t="s">
        <v>6544</v>
      </c>
      <c r="B429" s="14" t="s">
        <v>5493</v>
      </c>
      <c r="C429" s="14" t="s">
        <v>1105</v>
      </c>
      <c r="D429" s="14" t="s">
        <v>1106</v>
      </c>
      <c r="E429" s="14" t="s">
        <v>1113</v>
      </c>
      <c r="F429" s="21">
        <v>2048.9299999999998</v>
      </c>
      <c r="G429" s="14">
        <v>954</v>
      </c>
      <c r="H429" s="14">
        <v>0</v>
      </c>
      <c r="I429" s="14">
        <v>25</v>
      </c>
      <c r="J429" s="22">
        <v>0.56146583363930302</v>
      </c>
      <c r="K429" s="22">
        <v>0.43853416636069698</v>
      </c>
      <c r="L429" s="14">
        <v>0</v>
      </c>
    </row>
    <row r="430" spans="1:12" x14ac:dyDescent="0.25">
      <c r="A430" s="13">
        <v>23640856</v>
      </c>
      <c r="B430" s="14" t="s">
        <v>5495</v>
      </c>
      <c r="C430" s="14" t="s">
        <v>5572</v>
      </c>
      <c r="D430" s="14" t="s">
        <v>1106</v>
      </c>
      <c r="E430" s="14" t="s">
        <v>1114</v>
      </c>
      <c r="F430" s="21">
        <v>1851.15</v>
      </c>
      <c r="G430" s="14">
        <v>957</v>
      </c>
      <c r="H430" s="14">
        <v>0</v>
      </c>
      <c r="I430" s="14" t="s">
        <v>6314</v>
      </c>
      <c r="J430" s="22">
        <v>0.31242830028953</v>
      </c>
      <c r="K430" s="22">
        <v>0.68757169971047005</v>
      </c>
      <c r="L430" s="14">
        <v>0</v>
      </c>
    </row>
    <row r="431" spans="1:12" x14ac:dyDescent="0.25">
      <c r="A431" s="13" t="s">
        <v>1115</v>
      </c>
      <c r="B431" s="14" t="s">
        <v>5434</v>
      </c>
      <c r="C431" s="14" t="s">
        <v>1117</v>
      </c>
      <c r="D431" s="14" t="s">
        <v>1106</v>
      </c>
      <c r="E431" s="14" t="s">
        <v>1118</v>
      </c>
      <c r="F431" s="21">
        <v>1000</v>
      </c>
      <c r="G431" s="14">
        <v>52</v>
      </c>
      <c r="H431" s="14">
        <v>1</v>
      </c>
      <c r="I431" s="14">
        <v>33</v>
      </c>
      <c r="J431" s="22">
        <v>0.19803244892536601</v>
      </c>
      <c r="K431" s="22">
        <v>0.80196755107463402</v>
      </c>
      <c r="L431" s="14">
        <v>0</v>
      </c>
    </row>
    <row r="432" spans="1:12" x14ac:dyDescent="0.25">
      <c r="A432" s="13">
        <v>24097313</v>
      </c>
      <c r="B432" s="14" t="s">
        <v>1116</v>
      </c>
      <c r="C432" s="14" t="s">
        <v>1119</v>
      </c>
      <c r="D432" s="14" t="s">
        <v>1120</v>
      </c>
      <c r="E432" s="14" t="s">
        <v>1121</v>
      </c>
      <c r="F432" s="21">
        <v>1740</v>
      </c>
      <c r="G432" s="14">
        <v>398</v>
      </c>
      <c r="H432" s="14">
        <v>0</v>
      </c>
      <c r="I432" s="14">
        <v>17</v>
      </c>
      <c r="J432" s="22">
        <v>0.30517245596971498</v>
      </c>
      <c r="K432" s="22">
        <v>0.69482754403028502</v>
      </c>
      <c r="L432" s="14">
        <v>0</v>
      </c>
    </row>
    <row r="433" spans="1:12" x14ac:dyDescent="0.25">
      <c r="A433" s="13" t="s">
        <v>6545</v>
      </c>
      <c r="B433" s="14" t="s">
        <v>86</v>
      </c>
      <c r="C433" s="14" t="s">
        <v>6546</v>
      </c>
      <c r="D433" s="14" t="s">
        <v>1124</v>
      </c>
      <c r="E433" s="14" t="s">
        <v>1125</v>
      </c>
      <c r="F433" s="21">
        <v>2051.27</v>
      </c>
      <c r="G433" s="14">
        <v>493</v>
      </c>
      <c r="H433" s="14">
        <v>1</v>
      </c>
      <c r="I433" s="14">
        <v>35</v>
      </c>
      <c r="J433" s="22">
        <v>0.21900746764583101</v>
      </c>
      <c r="K433" s="22">
        <v>0.78099253235416899</v>
      </c>
      <c r="L433" s="14">
        <v>0</v>
      </c>
    </row>
    <row r="434" spans="1:12" x14ac:dyDescent="0.25">
      <c r="A434" s="13" t="s">
        <v>6547</v>
      </c>
      <c r="B434" s="14" t="s">
        <v>5495</v>
      </c>
      <c r="C434" s="14" t="s">
        <v>5574</v>
      </c>
      <c r="D434" s="14" t="s">
        <v>1127</v>
      </c>
      <c r="E434" s="14" t="s">
        <v>1128</v>
      </c>
      <c r="F434" s="21">
        <v>1812.89</v>
      </c>
      <c r="G434" s="14">
        <v>93</v>
      </c>
      <c r="H434" s="14">
        <v>0</v>
      </c>
      <c r="I434" s="14">
        <v>1</v>
      </c>
      <c r="J434" s="22">
        <v>0.76183371258080301</v>
      </c>
      <c r="K434" s="22">
        <v>0.23816628741919699</v>
      </c>
      <c r="L434" s="14">
        <v>0</v>
      </c>
    </row>
    <row r="435" spans="1:12" x14ac:dyDescent="0.25">
      <c r="A435" s="13" t="s">
        <v>6548</v>
      </c>
      <c r="B435" s="14" t="s">
        <v>5495</v>
      </c>
      <c r="C435" s="14" t="s">
        <v>5574</v>
      </c>
      <c r="D435" s="14" t="s">
        <v>1127</v>
      </c>
      <c r="E435" s="14" t="s">
        <v>1130</v>
      </c>
      <c r="F435" s="21">
        <v>1816.7</v>
      </c>
      <c r="G435" s="14">
        <v>507</v>
      </c>
      <c r="H435" s="14">
        <v>0</v>
      </c>
      <c r="I435" s="14">
        <v>28</v>
      </c>
      <c r="J435" s="22">
        <v>9.4288355693256092E-3</v>
      </c>
      <c r="K435" s="22">
        <v>0.99057116443067394</v>
      </c>
      <c r="L435" s="14">
        <v>0</v>
      </c>
    </row>
    <row r="436" spans="1:12" x14ac:dyDescent="0.25">
      <c r="A436" s="13" t="s">
        <v>6549</v>
      </c>
      <c r="B436" s="14" t="s">
        <v>5495</v>
      </c>
      <c r="C436" s="14" t="s">
        <v>1126</v>
      </c>
      <c r="D436" s="14" t="s">
        <v>1127</v>
      </c>
      <c r="E436" s="14" t="s">
        <v>1132</v>
      </c>
      <c r="F436" s="21">
        <v>2168.0500000000002</v>
      </c>
      <c r="H436" s="14">
        <v>1</v>
      </c>
      <c r="I436" s="14">
        <v>9</v>
      </c>
      <c r="J436" s="22">
        <v>0.75416079589931295</v>
      </c>
      <c r="K436" s="22">
        <v>0.24583920410068699</v>
      </c>
      <c r="L436" s="14">
        <v>0</v>
      </c>
    </row>
    <row r="437" spans="1:12" x14ac:dyDescent="0.25">
      <c r="A437" s="13" t="s">
        <v>1133</v>
      </c>
      <c r="B437" s="14" t="s">
        <v>17</v>
      </c>
      <c r="C437" s="14" t="s">
        <v>5573</v>
      </c>
      <c r="D437" s="14" t="s">
        <v>1135</v>
      </c>
      <c r="E437" s="14" t="s">
        <v>1136</v>
      </c>
      <c r="F437" s="21">
        <v>2184.2199999999998</v>
      </c>
      <c r="G437" s="14">
        <v>853</v>
      </c>
      <c r="H437" s="14">
        <v>1</v>
      </c>
      <c r="I437" s="14">
        <v>41</v>
      </c>
      <c r="J437" s="22">
        <v>0.401962085347357</v>
      </c>
      <c r="K437" s="22">
        <v>0.598037914652643</v>
      </c>
      <c r="L437" s="14">
        <v>0</v>
      </c>
    </row>
    <row r="438" spans="1:12" x14ac:dyDescent="0.25">
      <c r="A438" s="13" t="s">
        <v>1137</v>
      </c>
      <c r="B438" s="14" t="s">
        <v>1138</v>
      </c>
      <c r="C438" s="14" t="s">
        <v>5575</v>
      </c>
      <c r="D438" s="14" t="s">
        <v>1140</v>
      </c>
      <c r="E438" s="14" t="s">
        <v>1141</v>
      </c>
      <c r="F438" s="21">
        <v>2383.94</v>
      </c>
      <c r="H438" s="14">
        <v>1</v>
      </c>
      <c r="I438" s="14">
        <v>11</v>
      </c>
      <c r="J438" s="22">
        <v>0.40792107165144897</v>
      </c>
      <c r="K438" s="22">
        <v>0.59207892834855103</v>
      </c>
      <c r="L438" s="14">
        <v>0</v>
      </c>
    </row>
    <row r="439" spans="1:12" x14ac:dyDescent="0.25">
      <c r="B439" s="14" t="s">
        <v>5460</v>
      </c>
      <c r="C439" s="14" t="s">
        <v>1142</v>
      </c>
      <c r="D439" s="14" t="s">
        <v>1143</v>
      </c>
      <c r="E439" s="14" t="s">
        <v>1144</v>
      </c>
      <c r="F439" s="21">
        <v>2145.6</v>
      </c>
      <c r="G439" s="14">
        <v>940</v>
      </c>
      <c r="H439" s="14">
        <v>1</v>
      </c>
      <c r="I439" s="14">
        <v>48</v>
      </c>
      <c r="J439" s="22">
        <v>0.46150207825763201</v>
      </c>
      <c r="K439" s="22">
        <v>0.53849792174236799</v>
      </c>
      <c r="L439" s="14">
        <v>0</v>
      </c>
    </row>
    <row r="440" spans="1:12" x14ac:dyDescent="0.25">
      <c r="A440" s="13" t="s">
        <v>1145</v>
      </c>
      <c r="B440" s="14" t="s">
        <v>86</v>
      </c>
      <c r="C440" s="14" t="s">
        <v>1146</v>
      </c>
      <c r="D440" s="14" t="s">
        <v>1147</v>
      </c>
      <c r="E440" s="14" t="s">
        <v>1148</v>
      </c>
      <c r="F440" s="21">
        <v>2302.9299999999998</v>
      </c>
      <c r="G440" s="14">
        <v>800</v>
      </c>
      <c r="H440" s="14">
        <v>1</v>
      </c>
      <c r="I440" s="14">
        <v>34</v>
      </c>
      <c r="J440" s="22">
        <v>0.81961264082075402</v>
      </c>
      <c r="K440" s="22">
        <v>0.180387359179246</v>
      </c>
      <c r="L440" s="14">
        <v>0</v>
      </c>
    </row>
    <row r="441" spans="1:12" x14ac:dyDescent="0.25">
      <c r="A441" s="13" t="s">
        <v>1149</v>
      </c>
      <c r="B441" s="14" t="s">
        <v>6348</v>
      </c>
      <c r="C441" s="14" t="s">
        <v>5577</v>
      </c>
      <c r="D441" s="14" t="s">
        <v>1151</v>
      </c>
      <c r="E441" s="14" t="s">
        <v>1152</v>
      </c>
      <c r="F441" s="21">
        <v>2260.3200000000002</v>
      </c>
      <c r="G441" s="14">
        <v>664</v>
      </c>
      <c r="H441" s="14">
        <v>1</v>
      </c>
      <c r="I441" s="14">
        <v>16</v>
      </c>
      <c r="J441" s="22">
        <v>0.47350316917485302</v>
      </c>
      <c r="K441" s="22">
        <v>0.52649683082514798</v>
      </c>
      <c r="L441" s="14">
        <v>0</v>
      </c>
    </row>
    <row r="442" spans="1:12" x14ac:dyDescent="0.25">
      <c r="A442" s="13">
        <v>23452318</v>
      </c>
      <c r="B442" s="14" t="s">
        <v>6550</v>
      </c>
      <c r="C442" s="14" t="s">
        <v>6551</v>
      </c>
      <c r="D442" s="14" t="s">
        <v>1153</v>
      </c>
      <c r="E442" s="14" t="s">
        <v>6552</v>
      </c>
      <c r="F442" s="21">
        <v>1834.77</v>
      </c>
      <c r="G442" s="14">
        <v>840</v>
      </c>
      <c r="H442" s="14">
        <v>1</v>
      </c>
      <c r="I442" s="14">
        <v>43</v>
      </c>
      <c r="J442" s="22">
        <v>0.49437125420681999</v>
      </c>
      <c r="K442" s="22">
        <v>0.50562874579317996</v>
      </c>
      <c r="L442" s="14">
        <v>0</v>
      </c>
    </row>
    <row r="443" spans="1:12" x14ac:dyDescent="0.25">
      <c r="A443" s="13">
        <v>3657347</v>
      </c>
      <c r="B443" s="14" t="s">
        <v>6553</v>
      </c>
      <c r="C443" s="14" t="s">
        <v>5576</v>
      </c>
      <c r="D443" s="14" t="s">
        <v>1157</v>
      </c>
      <c r="E443" s="14" t="s">
        <v>1158</v>
      </c>
      <c r="F443" s="21">
        <v>1831.38</v>
      </c>
      <c r="G443" s="14">
        <v>608</v>
      </c>
      <c r="H443" s="14">
        <v>0</v>
      </c>
      <c r="I443" s="14">
        <v>31</v>
      </c>
      <c r="J443" s="22">
        <v>0.141933175078652</v>
      </c>
      <c r="K443" s="22">
        <v>0.858066824921348</v>
      </c>
      <c r="L443" s="14">
        <v>0</v>
      </c>
    </row>
    <row r="444" spans="1:12" x14ac:dyDescent="0.25">
      <c r="A444" s="13" t="s">
        <v>1159</v>
      </c>
      <c r="B444" s="14" t="s">
        <v>69</v>
      </c>
      <c r="C444" s="14" t="s">
        <v>1160</v>
      </c>
      <c r="D444" s="14" t="s">
        <v>1161</v>
      </c>
      <c r="E444" s="14" t="s">
        <v>1162</v>
      </c>
      <c r="F444" s="21">
        <v>2258.39</v>
      </c>
      <c r="G444" s="14">
        <v>970</v>
      </c>
      <c r="H444" s="14">
        <v>1</v>
      </c>
      <c r="I444" s="14">
        <v>1</v>
      </c>
      <c r="J444" s="22">
        <v>0.76758568604954802</v>
      </c>
      <c r="K444" s="22">
        <v>0.23241431395045201</v>
      </c>
      <c r="L444" s="14">
        <v>0</v>
      </c>
    </row>
    <row r="445" spans="1:12" x14ac:dyDescent="0.25">
      <c r="B445" s="14" t="s">
        <v>5437</v>
      </c>
      <c r="C445" s="14" t="s">
        <v>1164</v>
      </c>
      <c r="D445" s="14" t="s">
        <v>1165</v>
      </c>
      <c r="E445" s="14" t="s">
        <v>1166</v>
      </c>
      <c r="F445" s="21">
        <v>1920</v>
      </c>
      <c r="G445" s="14">
        <v>790</v>
      </c>
      <c r="H445" s="14">
        <v>1</v>
      </c>
      <c r="I445" s="14">
        <v>33</v>
      </c>
      <c r="J445" s="22">
        <v>0.52654830484885096</v>
      </c>
      <c r="K445" s="22">
        <v>0.47345169515114899</v>
      </c>
      <c r="L445" s="14">
        <v>0</v>
      </c>
    </row>
    <row r="446" spans="1:12" x14ac:dyDescent="0.25">
      <c r="B446" s="14" t="s">
        <v>5437</v>
      </c>
      <c r="C446" s="14" t="s">
        <v>1164</v>
      </c>
      <c r="D446" s="14" t="s">
        <v>1165</v>
      </c>
      <c r="E446" s="14" t="s">
        <v>1167</v>
      </c>
      <c r="F446" s="21">
        <v>1920</v>
      </c>
      <c r="G446" s="14">
        <v>719</v>
      </c>
      <c r="H446" s="14">
        <v>1</v>
      </c>
      <c r="I446" s="14">
        <v>45</v>
      </c>
      <c r="J446" s="22">
        <v>0.88074785023039603</v>
      </c>
      <c r="K446" s="22">
        <v>0.11925214976960399</v>
      </c>
      <c r="L446" s="14">
        <v>0</v>
      </c>
    </row>
    <row r="447" spans="1:12" x14ac:dyDescent="0.25">
      <c r="B447" s="14" t="s">
        <v>5438</v>
      </c>
      <c r="C447" s="14" t="s">
        <v>1164</v>
      </c>
      <c r="D447" s="14" t="s">
        <v>1165</v>
      </c>
      <c r="E447" s="14" t="s">
        <v>1168</v>
      </c>
      <c r="F447" s="21">
        <v>1920</v>
      </c>
      <c r="G447" s="14">
        <v>923</v>
      </c>
      <c r="H447" s="14">
        <v>0</v>
      </c>
      <c r="I447" s="14">
        <v>37</v>
      </c>
      <c r="J447" s="22">
        <v>0.46062110570013698</v>
      </c>
      <c r="K447" s="22">
        <v>0.53937889429986297</v>
      </c>
      <c r="L447" s="14">
        <v>0</v>
      </c>
    </row>
    <row r="448" spans="1:12" x14ac:dyDescent="0.25">
      <c r="A448" s="13">
        <v>2901593</v>
      </c>
      <c r="B448" s="14" t="s">
        <v>5499</v>
      </c>
      <c r="C448" s="14" t="s">
        <v>1170</v>
      </c>
      <c r="D448" s="14" t="s">
        <v>1171</v>
      </c>
      <c r="E448" s="14" t="s">
        <v>1172</v>
      </c>
      <c r="F448" s="21">
        <v>1334.15</v>
      </c>
      <c r="G448" s="14">
        <v>503</v>
      </c>
      <c r="H448" s="14">
        <v>0</v>
      </c>
      <c r="I448" s="14">
        <v>9</v>
      </c>
      <c r="J448" s="22">
        <v>0.47939776614136198</v>
      </c>
      <c r="K448" s="22">
        <v>0.52060223385863802</v>
      </c>
      <c r="L448" s="14">
        <v>0</v>
      </c>
    </row>
    <row r="449" spans="1:12" x14ac:dyDescent="0.25">
      <c r="A449" s="13" t="s">
        <v>6554</v>
      </c>
      <c r="B449" s="14" t="s">
        <v>5480</v>
      </c>
      <c r="C449" s="14" t="s">
        <v>1174</v>
      </c>
      <c r="D449" s="14" t="s">
        <v>1175</v>
      </c>
      <c r="E449" s="14" t="s">
        <v>1176</v>
      </c>
      <c r="F449" s="21">
        <v>2329.11</v>
      </c>
      <c r="H449" s="14">
        <v>1</v>
      </c>
      <c r="I449" s="14" t="s">
        <v>6314</v>
      </c>
      <c r="J449" s="22">
        <v>0.20703167190253999</v>
      </c>
      <c r="K449" s="22">
        <v>0.79296832809745998</v>
      </c>
      <c r="L449" s="14">
        <v>0</v>
      </c>
    </row>
    <row r="450" spans="1:12" x14ac:dyDescent="0.25">
      <c r="A450" s="13" t="s">
        <v>6555</v>
      </c>
      <c r="B450" s="14" t="s">
        <v>333</v>
      </c>
      <c r="C450" s="14" t="s">
        <v>1178</v>
      </c>
      <c r="D450" s="14" t="s">
        <v>1179</v>
      </c>
      <c r="E450" s="14" t="s">
        <v>1180</v>
      </c>
      <c r="F450" s="21">
        <v>743.85</v>
      </c>
      <c r="G450" s="14">
        <v>730</v>
      </c>
      <c r="H450" s="14">
        <v>0</v>
      </c>
      <c r="I450" s="14">
        <v>45</v>
      </c>
      <c r="J450" s="22">
        <v>0.178566603780483</v>
      </c>
      <c r="K450" s="22">
        <v>0.82143339621951705</v>
      </c>
      <c r="L450" s="14">
        <v>0</v>
      </c>
    </row>
    <row r="451" spans="1:12" x14ac:dyDescent="0.25">
      <c r="A451" s="13" t="s">
        <v>1181</v>
      </c>
      <c r="B451" s="14" t="s">
        <v>86</v>
      </c>
      <c r="C451" s="14" t="s">
        <v>1182</v>
      </c>
      <c r="D451" s="14" t="s">
        <v>1183</v>
      </c>
      <c r="E451" s="14" t="s">
        <v>1184</v>
      </c>
      <c r="F451" s="21">
        <v>2864.53</v>
      </c>
      <c r="H451" s="14">
        <v>0</v>
      </c>
      <c r="I451" s="14">
        <v>39</v>
      </c>
      <c r="J451" s="22">
        <v>0.190556306596638</v>
      </c>
      <c r="K451" s="22">
        <v>0.80944369340336197</v>
      </c>
      <c r="L451" s="14">
        <v>0</v>
      </c>
    </row>
    <row r="452" spans="1:12" x14ac:dyDescent="0.25">
      <c r="A452" s="13" t="s">
        <v>1185</v>
      </c>
      <c r="B452" s="14" t="s">
        <v>5417</v>
      </c>
      <c r="C452" s="14" t="s">
        <v>1186</v>
      </c>
      <c r="D452" s="14" t="s">
        <v>1187</v>
      </c>
      <c r="E452" s="14" t="s">
        <v>1188</v>
      </c>
      <c r="F452" s="21">
        <v>1700</v>
      </c>
      <c r="G452" s="14">
        <v>297</v>
      </c>
      <c r="H452" s="14">
        <v>0</v>
      </c>
      <c r="I452" s="14">
        <v>2</v>
      </c>
      <c r="J452" s="22">
        <v>0.62011217649222095</v>
      </c>
      <c r="K452" s="22">
        <v>0.37988782350778</v>
      </c>
      <c r="L452" s="14">
        <v>0</v>
      </c>
    </row>
    <row r="453" spans="1:12" x14ac:dyDescent="0.25">
      <c r="A453" s="13" t="s">
        <v>6556</v>
      </c>
      <c r="B453" s="14" t="s">
        <v>5417</v>
      </c>
      <c r="C453" s="14" t="s">
        <v>1186</v>
      </c>
      <c r="D453" s="14" t="s">
        <v>1187</v>
      </c>
      <c r="E453" s="14" t="s">
        <v>6557</v>
      </c>
      <c r="F453" s="21">
        <v>2625.6</v>
      </c>
      <c r="G453" s="14">
        <v>543</v>
      </c>
      <c r="H453" s="14">
        <v>1</v>
      </c>
      <c r="I453" s="14">
        <v>39</v>
      </c>
      <c r="J453" s="22">
        <v>0.94526366216566304</v>
      </c>
      <c r="K453" s="22">
        <v>5.4736337834337297E-2</v>
      </c>
      <c r="L453" s="14">
        <v>0</v>
      </c>
    </row>
    <row r="454" spans="1:12" ht="26.4" x14ac:dyDescent="0.25">
      <c r="A454" s="20" t="s">
        <v>6558</v>
      </c>
      <c r="B454" s="14" t="s">
        <v>3900</v>
      </c>
      <c r="C454" s="14" t="s">
        <v>1186</v>
      </c>
      <c r="D454" s="14" t="s">
        <v>1187</v>
      </c>
      <c r="E454" s="14" t="s">
        <v>1191</v>
      </c>
      <c r="F454" s="21">
        <v>1700</v>
      </c>
      <c r="G454" s="14">
        <v>923</v>
      </c>
      <c r="H454" s="14">
        <v>0</v>
      </c>
      <c r="I454" s="14">
        <v>20</v>
      </c>
      <c r="J454" s="22">
        <v>3.7230212058690801E-2</v>
      </c>
      <c r="K454" s="22">
        <v>0.96276978794130896</v>
      </c>
      <c r="L454" s="14">
        <v>0</v>
      </c>
    </row>
    <row r="455" spans="1:12" x14ac:dyDescent="0.25">
      <c r="A455" s="13">
        <v>23884064</v>
      </c>
      <c r="B455" s="14" t="s">
        <v>110</v>
      </c>
      <c r="C455" s="14" t="s">
        <v>1186</v>
      </c>
      <c r="D455" s="14" t="s">
        <v>1187</v>
      </c>
      <c r="E455" s="14" t="s">
        <v>1192</v>
      </c>
      <c r="F455" s="21">
        <v>2625.6</v>
      </c>
      <c r="G455" s="14">
        <v>36</v>
      </c>
      <c r="I455" s="14">
        <v>7</v>
      </c>
      <c r="J455" s="22">
        <v>0.30032859661030997</v>
      </c>
      <c r="K455" s="22">
        <v>0.69967140338969003</v>
      </c>
      <c r="L455" s="14">
        <v>0</v>
      </c>
    </row>
    <row r="456" spans="1:12" x14ac:dyDescent="0.25">
      <c r="A456" s="13">
        <v>3381638</v>
      </c>
      <c r="B456" s="14" t="s">
        <v>6559</v>
      </c>
      <c r="C456" s="14" t="s">
        <v>6560</v>
      </c>
      <c r="D456" s="14" t="s">
        <v>1187</v>
      </c>
      <c r="E456" s="14" t="s">
        <v>6561</v>
      </c>
      <c r="F456" s="21">
        <v>1700</v>
      </c>
      <c r="G456" s="14">
        <v>42</v>
      </c>
      <c r="H456" s="14">
        <v>0</v>
      </c>
      <c r="I456" s="14">
        <v>46</v>
      </c>
      <c r="J456" s="22">
        <v>2.11175423152653E-2</v>
      </c>
      <c r="K456" s="22">
        <v>0.97888245768473503</v>
      </c>
      <c r="L456" s="14">
        <v>0</v>
      </c>
    </row>
    <row r="457" spans="1:12" x14ac:dyDescent="0.25">
      <c r="A457" s="13" t="s">
        <v>1195</v>
      </c>
      <c r="B457" s="14" t="s">
        <v>5417</v>
      </c>
      <c r="C457" s="14" t="s">
        <v>5579</v>
      </c>
      <c r="D457" s="14" t="s">
        <v>1196</v>
      </c>
      <c r="E457" s="14" t="s">
        <v>1197</v>
      </c>
      <c r="F457" s="21">
        <v>2040</v>
      </c>
      <c r="H457" s="14">
        <v>1</v>
      </c>
      <c r="I457" s="14" t="s">
        <v>6314</v>
      </c>
      <c r="J457" s="22">
        <v>0.40201333256027499</v>
      </c>
      <c r="K457" s="22">
        <v>0.59798666743972495</v>
      </c>
      <c r="L457" s="14">
        <v>0</v>
      </c>
    </row>
    <row r="458" spans="1:12" x14ac:dyDescent="0.25">
      <c r="A458" s="13" t="s">
        <v>1198</v>
      </c>
      <c r="B458" s="14" t="s">
        <v>17</v>
      </c>
      <c r="C458" s="14" t="s">
        <v>1199</v>
      </c>
      <c r="D458" s="14" t="s">
        <v>1200</v>
      </c>
      <c r="E458" s="14" t="s">
        <v>1201</v>
      </c>
      <c r="F458" s="21">
        <v>2455.8200000000002</v>
      </c>
      <c r="G458" s="14">
        <v>540</v>
      </c>
      <c r="H458" s="14">
        <v>1</v>
      </c>
      <c r="I458" s="14">
        <v>46</v>
      </c>
      <c r="J458" s="22">
        <v>0.24586514076664701</v>
      </c>
      <c r="K458" s="22">
        <v>0.75413485923335399</v>
      </c>
      <c r="L458" s="14">
        <v>0</v>
      </c>
    </row>
    <row r="459" spans="1:12" x14ac:dyDescent="0.25">
      <c r="A459" s="13" t="s">
        <v>1202</v>
      </c>
      <c r="B459" s="14" t="s">
        <v>148</v>
      </c>
      <c r="C459" s="14" t="s">
        <v>1203</v>
      </c>
      <c r="D459" s="14" t="s">
        <v>1204</v>
      </c>
      <c r="E459" s="14" t="s">
        <v>1205</v>
      </c>
      <c r="F459" s="21">
        <v>1242</v>
      </c>
      <c r="G459" s="14">
        <v>609</v>
      </c>
      <c r="H459" s="14">
        <v>0</v>
      </c>
      <c r="I459" s="14">
        <v>43</v>
      </c>
      <c r="J459" s="22">
        <v>0.49203979674820902</v>
      </c>
      <c r="K459" s="22">
        <v>0.50796020325179103</v>
      </c>
      <c r="L459" s="14">
        <v>0</v>
      </c>
    </row>
    <row r="460" spans="1:12" x14ac:dyDescent="0.25">
      <c r="A460" s="13" t="s">
        <v>1206</v>
      </c>
      <c r="B460" s="14" t="s">
        <v>17</v>
      </c>
      <c r="C460" s="14" t="s">
        <v>1207</v>
      </c>
      <c r="D460" s="14" t="s">
        <v>1208</v>
      </c>
      <c r="E460" s="14" t="s">
        <v>1209</v>
      </c>
      <c r="F460" s="21">
        <v>2262.3000000000002</v>
      </c>
      <c r="G460" s="14">
        <v>497</v>
      </c>
      <c r="H460" s="14">
        <v>1</v>
      </c>
      <c r="I460" s="14">
        <v>32</v>
      </c>
      <c r="J460" s="22">
        <v>0.52572072574858197</v>
      </c>
      <c r="K460" s="22">
        <v>0.47427927425141803</v>
      </c>
      <c r="L460" s="14">
        <v>0</v>
      </c>
    </row>
    <row r="461" spans="1:12" x14ac:dyDescent="0.25">
      <c r="A461" s="13" t="s">
        <v>1210</v>
      </c>
      <c r="B461" s="14" t="s">
        <v>5489</v>
      </c>
      <c r="C461" s="14" t="s">
        <v>1211</v>
      </c>
      <c r="D461" s="14" t="s">
        <v>1212</v>
      </c>
      <c r="E461" s="14" t="s">
        <v>1213</v>
      </c>
      <c r="F461" s="21">
        <v>2314.69</v>
      </c>
      <c r="G461" s="14">
        <v>28</v>
      </c>
      <c r="H461" s="14">
        <v>0</v>
      </c>
      <c r="I461" s="14">
        <v>35</v>
      </c>
      <c r="J461" s="22">
        <v>0.81857947162657496</v>
      </c>
      <c r="K461" s="22">
        <v>0.18142052837342501</v>
      </c>
      <c r="L461" s="14">
        <v>0</v>
      </c>
    </row>
    <row r="462" spans="1:12" x14ac:dyDescent="0.25">
      <c r="A462" s="13" t="s">
        <v>1214</v>
      </c>
      <c r="B462" s="14" t="s">
        <v>3900</v>
      </c>
      <c r="C462" s="14" t="s">
        <v>5580</v>
      </c>
      <c r="D462" s="14" t="s">
        <v>1187</v>
      </c>
      <c r="E462" s="14" t="s">
        <v>1215</v>
      </c>
      <c r="F462" s="21">
        <v>2040</v>
      </c>
      <c r="G462" s="14">
        <v>562</v>
      </c>
      <c r="H462" s="14">
        <v>1</v>
      </c>
      <c r="I462" s="14">
        <v>3</v>
      </c>
      <c r="J462" s="22">
        <v>2.6586877341808701E-2</v>
      </c>
      <c r="K462" s="22">
        <v>0.97341312265819102</v>
      </c>
      <c r="L462" s="14">
        <v>0</v>
      </c>
    </row>
    <row r="463" spans="1:12" x14ac:dyDescent="0.25">
      <c r="B463" s="14" t="s">
        <v>17</v>
      </c>
      <c r="C463" s="14" t="s">
        <v>1216</v>
      </c>
      <c r="D463" s="14" t="s">
        <v>1217</v>
      </c>
      <c r="E463" s="14" t="s">
        <v>1218</v>
      </c>
      <c r="F463" s="21">
        <v>1473.92</v>
      </c>
      <c r="G463" s="14">
        <v>305</v>
      </c>
      <c r="H463" s="14">
        <v>1</v>
      </c>
      <c r="I463" s="14">
        <v>3</v>
      </c>
      <c r="J463" s="22">
        <v>0.19761694455647</v>
      </c>
      <c r="K463" s="22">
        <v>0.80238305544352995</v>
      </c>
      <c r="L463" s="14">
        <v>0</v>
      </c>
    </row>
    <row r="464" spans="1:12" x14ac:dyDescent="0.25">
      <c r="A464" s="13" t="s">
        <v>5920</v>
      </c>
      <c r="B464" s="14" t="s">
        <v>17</v>
      </c>
      <c r="C464" s="14" t="s">
        <v>1219</v>
      </c>
      <c r="D464" s="14" t="s">
        <v>1220</v>
      </c>
      <c r="E464" s="14" t="s">
        <v>1221</v>
      </c>
      <c r="F464" s="21">
        <v>1439.45</v>
      </c>
      <c r="G464" s="14">
        <v>77</v>
      </c>
      <c r="H464" s="14">
        <v>0</v>
      </c>
      <c r="I464" s="14">
        <v>49</v>
      </c>
      <c r="J464" s="22">
        <v>0.85441919381281795</v>
      </c>
      <c r="K464" s="22">
        <v>0.145580806187182</v>
      </c>
      <c r="L464" s="14">
        <v>0</v>
      </c>
    </row>
    <row r="465" spans="1:12" x14ac:dyDescent="0.25">
      <c r="A465" s="13" t="s">
        <v>5922</v>
      </c>
      <c r="B465" s="14" t="s">
        <v>69</v>
      </c>
      <c r="C465" s="14" t="s">
        <v>1222</v>
      </c>
      <c r="D465" s="14" t="s">
        <v>1223</v>
      </c>
      <c r="E465" s="14" t="s">
        <v>1224</v>
      </c>
      <c r="F465" s="21">
        <v>1903.03</v>
      </c>
      <c r="G465" s="14">
        <v>137</v>
      </c>
      <c r="H465" s="14">
        <v>1</v>
      </c>
      <c r="I465" s="14" t="s">
        <v>6314</v>
      </c>
      <c r="J465" s="22">
        <v>0.45537555357477399</v>
      </c>
      <c r="K465" s="22">
        <v>0.54462444642522601</v>
      </c>
      <c r="L465" s="14">
        <v>0</v>
      </c>
    </row>
    <row r="466" spans="1:12" x14ac:dyDescent="0.25">
      <c r="A466" s="13" t="s">
        <v>1225</v>
      </c>
      <c r="B466" s="14" t="s">
        <v>69</v>
      </c>
      <c r="C466" s="14" t="s">
        <v>1226</v>
      </c>
      <c r="D466" s="14" t="s">
        <v>975</v>
      </c>
      <c r="E466" s="14" t="s">
        <v>6562</v>
      </c>
      <c r="F466" s="21">
        <v>1989.65</v>
      </c>
      <c r="G466" s="14">
        <v>684</v>
      </c>
      <c r="H466" s="14">
        <v>0</v>
      </c>
      <c r="I466" s="14">
        <v>48</v>
      </c>
      <c r="J466" s="22">
        <v>0.19272920901847301</v>
      </c>
      <c r="K466" s="22">
        <v>0.80727079098152699</v>
      </c>
      <c r="L466" s="14">
        <v>0</v>
      </c>
    </row>
    <row r="467" spans="1:12" x14ac:dyDescent="0.25">
      <c r="A467" s="13" t="s">
        <v>1228</v>
      </c>
      <c r="B467" s="14" t="s">
        <v>547</v>
      </c>
      <c r="C467" s="14" t="s">
        <v>1229</v>
      </c>
      <c r="D467" s="14" t="s">
        <v>1230</v>
      </c>
      <c r="E467" s="14" t="s">
        <v>1231</v>
      </c>
      <c r="F467" s="21">
        <v>1679.71</v>
      </c>
      <c r="G467" s="14">
        <v>923</v>
      </c>
      <c r="H467" s="14">
        <v>1</v>
      </c>
      <c r="I467" s="14" t="s">
        <v>6314</v>
      </c>
      <c r="J467" s="22">
        <v>7.6458926072746999E-2</v>
      </c>
      <c r="K467" s="22">
        <v>0.92354107392725304</v>
      </c>
      <c r="L467" s="14">
        <v>0</v>
      </c>
    </row>
    <row r="468" spans="1:12" ht="39.6" x14ac:dyDescent="0.25">
      <c r="A468" s="20" t="s">
        <v>6563</v>
      </c>
      <c r="B468" s="14" t="s">
        <v>17</v>
      </c>
      <c r="C468" s="14" t="s">
        <v>5581</v>
      </c>
      <c r="D468" s="14" t="s">
        <v>1234</v>
      </c>
      <c r="E468" s="14" t="s">
        <v>1235</v>
      </c>
      <c r="F468" s="21">
        <v>2386.4699999999998</v>
      </c>
      <c r="G468" s="14">
        <v>442</v>
      </c>
      <c r="H468" s="14">
        <v>0</v>
      </c>
      <c r="I468" s="14">
        <v>18</v>
      </c>
      <c r="J468" s="22">
        <v>0.42029876614610601</v>
      </c>
      <c r="K468" s="22">
        <v>0.57970123385389405</v>
      </c>
      <c r="L468" s="14">
        <v>0</v>
      </c>
    </row>
    <row r="469" spans="1:12" x14ac:dyDescent="0.25">
      <c r="A469" s="13" t="s">
        <v>6564</v>
      </c>
      <c r="B469" s="14" t="s">
        <v>17</v>
      </c>
      <c r="C469" s="14" t="s">
        <v>1233</v>
      </c>
      <c r="E469" s="14" t="s">
        <v>1237</v>
      </c>
      <c r="F469" s="21">
        <v>1319.74</v>
      </c>
      <c r="G469" s="14">
        <v>591</v>
      </c>
      <c r="H469" s="14">
        <v>1</v>
      </c>
      <c r="I469" s="14">
        <v>22</v>
      </c>
      <c r="J469" s="22">
        <v>0.36694507296551299</v>
      </c>
      <c r="K469" s="22">
        <v>0.63305492703448696</v>
      </c>
      <c r="L469" s="14">
        <v>0</v>
      </c>
    </row>
    <row r="470" spans="1:12" x14ac:dyDescent="0.25">
      <c r="A470" s="13" t="s">
        <v>6565</v>
      </c>
      <c r="B470" s="14" t="s">
        <v>17</v>
      </c>
      <c r="C470" s="14" t="s">
        <v>1233</v>
      </c>
      <c r="E470" s="14" t="s">
        <v>1239</v>
      </c>
      <c r="F470" s="21">
        <v>2330.13</v>
      </c>
      <c r="H470" s="14">
        <v>0</v>
      </c>
      <c r="I470" s="14">
        <v>37</v>
      </c>
      <c r="J470" s="22">
        <v>0.18761474317493099</v>
      </c>
      <c r="K470" s="22">
        <v>0.81238525682506901</v>
      </c>
      <c r="L470" s="14">
        <v>0</v>
      </c>
    </row>
    <row r="471" spans="1:12" x14ac:dyDescent="0.25">
      <c r="B471" s="14" t="s">
        <v>17</v>
      </c>
      <c r="C471" s="14" t="s">
        <v>1240</v>
      </c>
      <c r="D471" s="14" t="s">
        <v>1241</v>
      </c>
      <c r="E471" s="14" t="s">
        <v>1242</v>
      </c>
      <c r="F471" s="21">
        <v>1758.99</v>
      </c>
      <c r="G471" s="14">
        <v>694</v>
      </c>
      <c r="H471" s="14">
        <v>1</v>
      </c>
      <c r="I471" s="14">
        <v>29</v>
      </c>
      <c r="J471" s="22">
        <v>0.88492866807884796</v>
      </c>
      <c r="K471" s="22">
        <v>0.115071331921152</v>
      </c>
      <c r="L471" s="14">
        <v>0</v>
      </c>
    </row>
    <row r="472" spans="1:12" x14ac:dyDescent="0.25">
      <c r="A472" s="13">
        <v>3664921</v>
      </c>
      <c r="B472" s="14" t="s">
        <v>17</v>
      </c>
      <c r="C472" s="14" t="s">
        <v>1240</v>
      </c>
      <c r="D472" s="14" t="s">
        <v>1241</v>
      </c>
      <c r="E472" s="14" t="s">
        <v>1244</v>
      </c>
      <c r="F472" s="21">
        <v>2058.64</v>
      </c>
      <c r="G472" s="14">
        <v>701</v>
      </c>
      <c r="H472" s="14">
        <v>0</v>
      </c>
      <c r="I472" s="14">
        <v>22</v>
      </c>
      <c r="J472" s="22">
        <v>0.499326113481388</v>
      </c>
      <c r="K472" s="22">
        <v>0.500673886518612</v>
      </c>
      <c r="L472" s="14">
        <v>0</v>
      </c>
    </row>
    <row r="473" spans="1:12" x14ac:dyDescent="0.25">
      <c r="A473" s="13" t="s">
        <v>5926</v>
      </c>
      <c r="B473" s="14" t="s">
        <v>17</v>
      </c>
      <c r="C473" s="14" t="s">
        <v>1240</v>
      </c>
      <c r="D473" s="14" t="s">
        <v>1241</v>
      </c>
      <c r="E473" s="14" t="s">
        <v>1245</v>
      </c>
      <c r="F473" s="21">
        <v>2345.19</v>
      </c>
      <c r="G473" s="14">
        <v>96</v>
      </c>
      <c r="H473" s="14">
        <v>1</v>
      </c>
      <c r="I473" s="14">
        <v>5</v>
      </c>
      <c r="J473" s="22">
        <v>0.69497894393628701</v>
      </c>
      <c r="K473" s="22">
        <v>0.30502105606371299</v>
      </c>
      <c r="L473" s="14">
        <v>0</v>
      </c>
    </row>
    <row r="474" spans="1:12" x14ac:dyDescent="0.25">
      <c r="A474" s="13" t="s">
        <v>5928</v>
      </c>
      <c r="B474" s="14" t="s">
        <v>17</v>
      </c>
      <c r="C474" s="14" t="s">
        <v>1240</v>
      </c>
      <c r="D474" s="14" t="s">
        <v>1241</v>
      </c>
      <c r="E474" s="14" t="s">
        <v>1246</v>
      </c>
      <c r="F474" s="21">
        <v>2351.06</v>
      </c>
      <c r="G474" s="14">
        <v>551</v>
      </c>
      <c r="H474" s="14">
        <v>0</v>
      </c>
      <c r="I474" s="14">
        <v>44</v>
      </c>
      <c r="J474" s="22">
        <v>0.435973982370502</v>
      </c>
      <c r="K474" s="22">
        <v>0.564026017629498</v>
      </c>
      <c r="L474" s="14">
        <v>0</v>
      </c>
    </row>
    <row r="475" spans="1:12" x14ac:dyDescent="0.25">
      <c r="A475" s="13" t="s">
        <v>5930</v>
      </c>
      <c r="B475" s="14" t="s">
        <v>17</v>
      </c>
      <c r="C475" s="14" t="s">
        <v>1240</v>
      </c>
      <c r="D475" s="14" t="s">
        <v>1241</v>
      </c>
      <c r="E475" s="14" t="s">
        <v>1247</v>
      </c>
      <c r="F475" s="21">
        <v>2420.79</v>
      </c>
      <c r="G475" s="14">
        <v>51</v>
      </c>
      <c r="H475" s="14">
        <v>1</v>
      </c>
      <c r="I475" s="14">
        <v>16</v>
      </c>
      <c r="J475" s="22">
        <v>0.63495021620922498</v>
      </c>
      <c r="K475" s="22">
        <v>0.36504978379077502</v>
      </c>
      <c r="L475" s="14">
        <v>0</v>
      </c>
    </row>
    <row r="476" spans="1:12" x14ac:dyDescent="0.25">
      <c r="A476" s="13" t="s">
        <v>6566</v>
      </c>
      <c r="B476" s="14" t="s">
        <v>1249</v>
      </c>
      <c r="C476" s="14" t="s">
        <v>1240</v>
      </c>
      <c r="D476" s="14" t="s">
        <v>1241</v>
      </c>
      <c r="E476" s="14" t="s">
        <v>1250</v>
      </c>
      <c r="F476" s="21">
        <v>2380.79</v>
      </c>
      <c r="G476" s="14">
        <v>196</v>
      </c>
      <c r="H476" s="14">
        <v>1</v>
      </c>
      <c r="I476" s="14">
        <v>38</v>
      </c>
      <c r="J476" s="22">
        <v>0.170265415593914</v>
      </c>
      <c r="K476" s="22">
        <v>0.82973458440608605</v>
      </c>
      <c r="L476" s="14">
        <v>0</v>
      </c>
    </row>
    <row r="477" spans="1:12" x14ac:dyDescent="0.25">
      <c r="A477" s="13" t="s">
        <v>1251</v>
      </c>
      <c r="B477" s="14" t="s">
        <v>5345</v>
      </c>
      <c r="C477" s="14" t="s">
        <v>1252</v>
      </c>
      <c r="D477" s="14" t="s">
        <v>1253</v>
      </c>
      <c r="E477" s="14" t="s">
        <v>1254</v>
      </c>
      <c r="F477" s="21">
        <v>1302</v>
      </c>
      <c r="G477" s="14">
        <v>941</v>
      </c>
      <c r="H477" s="14">
        <v>1</v>
      </c>
      <c r="I477" s="14">
        <v>33</v>
      </c>
      <c r="J477" s="22">
        <v>0.50520525186076004</v>
      </c>
      <c r="K477" s="22">
        <v>0.49479474813924101</v>
      </c>
      <c r="L477" s="14">
        <v>0</v>
      </c>
    </row>
    <row r="478" spans="1:12" x14ac:dyDescent="0.25">
      <c r="A478" s="13" t="s">
        <v>6567</v>
      </c>
      <c r="B478" s="14" t="s">
        <v>5493</v>
      </c>
      <c r="C478" s="14" t="s">
        <v>1256</v>
      </c>
      <c r="D478" s="14" t="s">
        <v>1257</v>
      </c>
      <c r="E478" s="14" t="s">
        <v>1258</v>
      </c>
      <c r="F478" s="21">
        <v>2377.65</v>
      </c>
      <c r="G478" s="14">
        <v>664</v>
      </c>
      <c r="H478" s="14">
        <v>0</v>
      </c>
      <c r="I478" s="14">
        <v>41</v>
      </c>
      <c r="J478" s="22">
        <v>0.494059228540632</v>
      </c>
      <c r="K478" s="22">
        <v>0.505940771459368</v>
      </c>
      <c r="L478" s="14">
        <v>0</v>
      </c>
    </row>
    <row r="479" spans="1:12" x14ac:dyDescent="0.25">
      <c r="A479" s="13" t="s">
        <v>5932</v>
      </c>
      <c r="B479" s="14" t="s">
        <v>5378</v>
      </c>
      <c r="C479" s="14" t="s">
        <v>5582</v>
      </c>
      <c r="D479" s="14" t="s">
        <v>1261</v>
      </c>
      <c r="E479" s="14" t="s">
        <v>1262</v>
      </c>
      <c r="F479" s="21">
        <v>4151.7700000000004</v>
      </c>
      <c r="G479" s="14">
        <v>776</v>
      </c>
      <c r="H479" s="14">
        <v>1</v>
      </c>
      <c r="I479" s="14">
        <v>28</v>
      </c>
      <c r="J479" s="22">
        <v>2.2954020932935401E-2</v>
      </c>
      <c r="K479" s="22">
        <v>0.97704597906706503</v>
      </c>
      <c r="L479" s="14">
        <v>0</v>
      </c>
    </row>
    <row r="480" spans="1:12" x14ac:dyDescent="0.25">
      <c r="A480" s="13" t="s">
        <v>6568</v>
      </c>
      <c r="B480" s="14" t="s">
        <v>5339</v>
      </c>
      <c r="C480" s="14" t="s">
        <v>1265</v>
      </c>
      <c r="D480" s="14" t="s">
        <v>1266</v>
      </c>
      <c r="E480" s="14" t="s">
        <v>1267</v>
      </c>
      <c r="F480" s="21">
        <v>2142.9899999999998</v>
      </c>
      <c r="G480" s="14">
        <v>839</v>
      </c>
      <c r="H480" s="14">
        <v>0</v>
      </c>
      <c r="I480" s="14">
        <v>35</v>
      </c>
      <c r="J480" s="22">
        <v>0.59408628272013597</v>
      </c>
      <c r="K480" s="22">
        <v>0.40591371727986503</v>
      </c>
      <c r="L480" s="14">
        <v>0</v>
      </c>
    </row>
    <row r="481" spans="1:12" x14ac:dyDescent="0.25">
      <c r="A481" s="13" t="s">
        <v>1268</v>
      </c>
      <c r="B481" s="14" t="s">
        <v>69</v>
      </c>
      <c r="C481" s="14" t="s">
        <v>1269</v>
      </c>
      <c r="D481" s="14" t="s">
        <v>1270</v>
      </c>
      <c r="E481" s="14" t="s">
        <v>1271</v>
      </c>
      <c r="F481" s="21">
        <v>2147.11</v>
      </c>
      <c r="G481" s="14">
        <v>660</v>
      </c>
      <c r="H481" s="14">
        <v>1</v>
      </c>
      <c r="I481" s="14">
        <v>8</v>
      </c>
      <c r="J481" s="22">
        <v>0.50886473846136304</v>
      </c>
      <c r="K481" s="22">
        <v>0.49113526153863701</v>
      </c>
      <c r="L481" s="14">
        <v>0</v>
      </c>
    </row>
    <row r="482" spans="1:12" x14ac:dyDescent="0.25">
      <c r="B482" s="14" t="s">
        <v>69</v>
      </c>
      <c r="C482" s="14" t="s">
        <v>1269</v>
      </c>
      <c r="D482" s="14" t="s">
        <v>1270</v>
      </c>
      <c r="E482" s="14" t="s">
        <v>1272</v>
      </c>
      <c r="F482" s="21">
        <v>2311.54</v>
      </c>
      <c r="G482" s="14">
        <v>472</v>
      </c>
      <c r="H482" s="14">
        <v>0</v>
      </c>
      <c r="I482" s="14">
        <v>33</v>
      </c>
      <c r="J482" s="22">
        <v>0.14419490625112699</v>
      </c>
      <c r="K482" s="22">
        <v>0.85580509374887304</v>
      </c>
      <c r="L482" s="14">
        <v>0</v>
      </c>
    </row>
    <row r="483" spans="1:12" x14ac:dyDescent="0.25">
      <c r="A483" s="13" t="s">
        <v>1273</v>
      </c>
      <c r="B483" s="14" t="s">
        <v>17</v>
      </c>
      <c r="C483" s="14" t="s">
        <v>1260</v>
      </c>
      <c r="D483" s="14" t="s">
        <v>1261</v>
      </c>
      <c r="E483" s="14" t="s">
        <v>1274</v>
      </c>
      <c r="F483" s="21">
        <v>348.33</v>
      </c>
      <c r="G483" s="14">
        <v>334</v>
      </c>
      <c r="H483" s="14">
        <v>0</v>
      </c>
      <c r="I483" s="14">
        <v>45</v>
      </c>
      <c r="J483" s="22">
        <v>0.32471119137321303</v>
      </c>
      <c r="K483" s="22">
        <v>0.67528880862678697</v>
      </c>
      <c r="L483" s="14">
        <v>0</v>
      </c>
    </row>
    <row r="484" spans="1:12" x14ac:dyDescent="0.25">
      <c r="A484" s="13" t="s">
        <v>6569</v>
      </c>
      <c r="B484" s="14" t="s">
        <v>17</v>
      </c>
      <c r="C484" s="14" t="s">
        <v>1260</v>
      </c>
      <c r="D484" s="14" t="s">
        <v>1261</v>
      </c>
      <c r="E484" s="14" t="s">
        <v>1276</v>
      </c>
      <c r="F484" s="21">
        <v>3213.28</v>
      </c>
      <c r="G484" s="14">
        <v>681</v>
      </c>
      <c r="H484" s="14">
        <v>1</v>
      </c>
      <c r="I484" s="14" t="s">
        <v>6314</v>
      </c>
      <c r="J484" s="22">
        <v>0.83018137163198302</v>
      </c>
      <c r="K484" s="22">
        <v>0.16981862836801701</v>
      </c>
      <c r="L484" s="14">
        <v>0</v>
      </c>
    </row>
    <row r="485" spans="1:12" x14ac:dyDescent="0.25">
      <c r="A485" s="13" t="s">
        <v>1277</v>
      </c>
      <c r="B485" s="14" t="s">
        <v>17</v>
      </c>
      <c r="C485" s="14" t="s">
        <v>1260</v>
      </c>
      <c r="D485" s="14" t="s">
        <v>1261</v>
      </c>
      <c r="E485" s="14" t="s">
        <v>1278</v>
      </c>
      <c r="F485" s="21">
        <v>3635.15</v>
      </c>
      <c r="G485" s="14">
        <v>578</v>
      </c>
      <c r="H485" s="14">
        <v>0</v>
      </c>
      <c r="I485" s="14">
        <v>7</v>
      </c>
      <c r="J485" s="22">
        <v>0.68160465593562503</v>
      </c>
      <c r="K485" s="22">
        <v>0.31839534406437497</v>
      </c>
      <c r="L485" s="14">
        <v>0</v>
      </c>
    </row>
    <row r="486" spans="1:12" x14ac:dyDescent="0.25">
      <c r="A486" s="13" t="s">
        <v>6570</v>
      </c>
      <c r="B486" s="14" t="s">
        <v>5375</v>
      </c>
      <c r="C486" s="14" t="s">
        <v>5583</v>
      </c>
      <c r="D486" s="14" t="s">
        <v>1261</v>
      </c>
      <c r="E486" s="14" t="s">
        <v>6571</v>
      </c>
      <c r="F486" s="21">
        <v>3798.93</v>
      </c>
      <c r="G486" s="14">
        <v>628</v>
      </c>
      <c r="H486" s="14">
        <v>1</v>
      </c>
      <c r="I486" s="14">
        <v>7</v>
      </c>
      <c r="J486" s="22">
        <v>4.38429732377024E-2</v>
      </c>
      <c r="K486" s="22">
        <v>0.95615702676229797</v>
      </c>
      <c r="L486" s="14">
        <v>0</v>
      </c>
    </row>
    <row r="487" spans="1:12" x14ac:dyDescent="0.25">
      <c r="A487" s="13" t="s">
        <v>6572</v>
      </c>
      <c r="B487" s="14" t="s">
        <v>17</v>
      </c>
      <c r="C487" s="14" t="s">
        <v>1260</v>
      </c>
      <c r="D487" s="14" t="s">
        <v>1261</v>
      </c>
      <c r="E487" s="14" t="s">
        <v>1282</v>
      </c>
      <c r="F487" s="21">
        <v>3830.32</v>
      </c>
      <c r="G487" s="14">
        <v>490</v>
      </c>
      <c r="H487" s="14">
        <v>0</v>
      </c>
      <c r="I487" s="14">
        <v>40</v>
      </c>
      <c r="J487" s="22">
        <v>0.12612673741882299</v>
      </c>
      <c r="K487" s="22">
        <v>0.87387326258117703</v>
      </c>
      <c r="L487" s="14">
        <v>0</v>
      </c>
    </row>
    <row r="488" spans="1:12" x14ac:dyDescent="0.25">
      <c r="A488" s="13" t="s">
        <v>6573</v>
      </c>
      <c r="B488" s="14" t="s">
        <v>17</v>
      </c>
      <c r="C488" s="14" t="s">
        <v>1260</v>
      </c>
      <c r="D488" s="14" t="s">
        <v>1261</v>
      </c>
      <c r="E488" s="14" t="s">
        <v>1284</v>
      </c>
      <c r="F488" s="21">
        <v>3857.16</v>
      </c>
      <c r="G488" s="14">
        <v>857</v>
      </c>
      <c r="H488" s="14">
        <v>0</v>
      </c>
      <c r="I488" s="14">
        <v>19</v>
      </c>
      <c r="J488" s="22">
        <v>0.646731413130196</v>
      </c>
      <c r="K488" s="22">
        <v>0.353268586869804</v>
      </c>
      <c r="L488" s="14">
        <v>0</v>
      </c>
    </row>
    <row r="489" spans="1:12" x14ac:dyDescent="0.25">
      <c r="A489" s="13" t="s">
        <v>1285</v>
      </c>
      <c r="B489" s="14" t="s">
        <v>17</v>
      </c>
      <c r="C489" s="14" t="s">
        <v>1260</v>
      </c>
      <c r="D489" s="14" t="s">
        <v>1261</v>
      </c>
      <c r="E489" s="14" t="s">
        <v>1286</v>
      </c>
      <c r="F489" s="21">
        <v>3879.05</v>
      </c>
      <c r="G489" s="14">
        <v>11</v>
      </c>
      <c r="H489" s="14">
        <v>1</v>
      </c>
      <c r="I489" s="14">
        <v>39</v>
      </c>
      <c r="J489" s="22">
        <v>0.124985766976797</v>
      </c>
      <c r="K489" s="22">
        <v>0.87501423302320303</v>
      </c>
      <c r="L489" s="14">
        <v>0</v>
      </c>
    </row>
    <row r="490" spans="1:12" x14ac:dyDescent="0.25">
      <c r="A490" s="13" t="s">
        <v>6574</v>
      </c>
      <c r="B490" s="14" t="s">
        <v>17</v>
      </c>
      <c r="C490" s="14" t="s">
        <v>1260</v>
      </c>
      <c r="D490" s="14" t="s">
        <v>1261</v>
      </c>
      <c r="E490" s="14" t="s">
        <v>1288</v>
      </c>
      <c r="F490" s="21">
        <v>3883.86</v>
      </c>
      <c r="G490" s="14">
        <v>989</v>
      </c>
      <c r="H490" s="14">
        <v>1</v>
      </c>
      <c r="I490" s="14">
        <v>39</v>
      </c>
      <c r="J490" s="22">
        <v>0.84727178602429098</v>
      </c>
      <c r="K490" s="22">
        <v>0.15272821397570899</v>
      </c>
      <c r="L490" s="14">
        <v>0</v>
      </c>
    </row>
    <row r="491" spans="1:12" ht="39.6" x14ac:dyDescent="0.25">
      <c r="A491" s="20" t="s">
        <v>6575</v>
      </c>
      <c r="B491" s="14" t="s">
        <v>17</v>
      </c>
      <c r="C491" s="14" t="s">
        <v>1260</v>
      </c>
      <c r="D491" s="14" t="s">
        <v>1261</v>
      </c>
      <c r="E491" s="14" t="s">
        <v>1290</v>
      </c>
      <c r="F491" s="21">
        <v>3992.37</v>
      </c>
      <c r="G491" s="14">
        <v>979</v>
      </c>
      <c r="H491" s="14">
        <v>1</v>
      </c>
      <c r="I491" s="14">
        <v>13</v>
      </c>
      <c r="J491" s="22">
        <v>0.16510557792015601</v>
      </c>
      <c r="K491" s="22">
        <v>0.83489442207984399</v>
      </c>
      <c r="L491" s="14">
        <v>0</v>
      </c>
    </row>
    <row r="492" spans="1:12" x14ac:dyDescent="0.25">
      <c r="A492" s="13" t="s">
        <v>1291</v>
      </c>
      <c r="B492" s="14" t="s">
        <v>17</v>
      </c>
      <c r="C492" s="14" t="s">
        <v>1260</v>
      </c>
      <c r="D492" s="14" t="s">
        <v>1261</v>
      </c>
      <c r="E492" s="14" t="s">
        <v>1292</v>
      </c>
      <c r="F492" s="21">
        <v>4077.52</v>
      </c>
      <c r="G492" s="14">
        <v>665</v>
      </c>
      <c r="H492" s="14">
        <v>1</v>
      </c>
      <c r="I492" s="14">
        <v>17</v>
      </c>
      <c r="J492" s="22">
        <v>0.98521920579534294</v>
      </c>
      <c r="K492" s="22">
        <v>1.47807942046574E-2</v>
      </c>
      <c r="L492" s="14">
        <v>0</v>
      </c>
    </row>
    <row r="493" spans="1:12" x14ac:dyDescent="0.25">
      <c r="B493" s="14" t="s">
        <v>17</v>
      </c>
      <c r="C493" s="14" t="s">
        <v>1260</v>
      </c>
      <c r="D493" s="14" t="s">
        <v>1261</v>
      </c>
      <c r="E493" s="14" t="s">
        <v>1293</v>
      </c>
      <c r="F493" s="21">
        <v>4112.54</v>
      </c>
      <c r="G493" s="14">
        <v>9</v>
      </c>
      <c r="H493" s="14">
        <v>0</v>
      </c>
      <c r="I493" s="14">
        <v>11</v>
      </c>
      <c r="J493" s="22">
        <v>0.96511559460940199</v>
      </c>
      <c r="K493" s="22">
        <v>3.4884405390597902E-2</v>
      </c>
      <c r="L493" s="14">
        <v>0</v>
      </c>
    </row>
    <row r="494" spans="1:12" x14ac:dyDescent="0.25">
      <c r="A494" s="13" t="s">
        <v>1294</v>
      </c>
      <c r="B494" s="14" t="s">
        <v>69</v>
      </c>
      <c r="C494" s="14" t="s">
        <v>6576</v>
      </c>
      <c r="D494" s="14" t="s">
        <v>1296</v>
      </c>
      <c r="E494" s="14" t="s">
        <v>1297</v>
      </c>
      <c r="F494" s="21">
        <v>2321.5500000000002</v>
      </c>
      <c r="G494" s="14">
        <v>901</v>
      </c>
      <c r="H494" s="14">
        <v>0</v>
      </c>
      <c r="I494" s="14">
        <v>42</v>
      </c>
      <c r="J494" s="22">
        <v>3.6625203467412201E-2</v>
      </c>
      <c r="K494" s="22">
        <v>0.96337479653258795</v>
      </c>
      <c r="L494" s="14">
        <v>0</v>
      </c>
    </row>
    <row r="495" spans="1:12" x14ac:dyDescent="0.25">
      <c r="B495" s="14" t="s">
        <v>17</v>
      </c>
      <c r="C495" s="14" t="s">
        <v>6577</v>
      </c>
      <c r="D495" s="14" t="s">
        <v>1299</v>
      </c>
      <c r="E495" s="14" t="s">
        <v>1300</v>
      </c>
      <c r="F495" s="21">
        <v>2378.9499999999998</v>
      </c>
      <c r="G495" s="14">
        <v>538</v>
      </c>
      <c r="H495" s="14">
        <v>0</v>
      </c>
      <c r="I495" s="14">
        <v>49</v>
      </c>
      <c r="J495" s="22">
        <v>0.38581270729906197</v>
      </c>
      <c r="K495" s="22">
        <v>0.61418729270093797</v>
      </c>
      <c r="L495" s="14">
        <v>0</v>
      </c>
    </row>
    <row r="496" spans="1:12" x14ac:dyDescent="0.25">
      <c r="A496" s="13">
        <v>23932517</v>
      </c>
      <c r="B496" s="14" t="s">
        <v>17</v>
      </c>
      <c r="C496" s="14" t="s">
        <v>5584</v>
      </c>
      <c r="E496" s="14" t="s">
        <v>1302</v>
      </c>
      <c r="F496" s="21">
        <v>2979</v>
      </c>
      <c r="G496" s="14">
        <v>366</v>
      </c>
      <c r="H496" s="14">
        <v>0</v>
      </c>
      <c r="I496" s="14">
        <v>42</v>
      </c>
      <c r="J496" s="22">
        <v>7.9168928291046603E-2</v>
      </c>
      <c r="K496" s="22">
        <v>0.92083107170895295</v>
      </c>
      <c r="L496" s="14">
        <v>0</v>
      </c>
    </row>
    <row r="497" spans="1:12" x14ac:dyDescent="0.25">
      <c r="A497" s="13" t="s">
        <v>6578</v>
      </c>
      <c r="B497" s="14" t="s">
        <v>17</v>
      </c>
      <c r="C497" s="14" t="s">
        <v>5585</v>
      </c>
      <c r="D497" s="14" t="s">
        <v>1299</v>
      </c>
      <c r="E497" s="14" t="s">
        <v>1303</v>
      </c>
      <c r="F497" s="21">
        <v>2429.17</v>
      </c>
      <c r="G497" s="14">
        <v>142</v>
      </c>
      <c r="H497" s="14">
        <v>0</v>
      </c>
      <c r="I497" s="14">
        <v>33</v>
      </c>
      <c r="J497" s="22">
        <v>0.147001900444546</v>
      </c>
      <c r="K497" s="22">
        <v>0.85299809955545403</v>
      </c>
      <c r="L497" s="14">
        <v>0</v>
      </c>
    </row>
    <row r="498" spans="1:12" x14ac:dyDescent="0.25">
      <c r="A498" s="13">
        <v>23409763</v>
      </c>
      <c r="B498" s="14" t="s">
        <v>1264</v>
      </c>
      <c r="C498" s="14" t="s">
        <v>1304</v>
      </c>
      <c r="D498" s="14" t="s">
        <v>1305</v>
      </c>
      <c r="E498" s="14" t="s">
        <v>1306</v>
      </c>
      <c r="F498" s="21">
        <v>2291.2199999999998</v>
      </c>
      <c r="G498" s="14">
        <v>34</v>
      </c>
      <c r="H498" s="14">
        <v>1</v>
      </c>
      <c r="I498" s="14">
        <v>38</v>
      </c>
      <c r="J498" s="22">
        <v>0.624213499574237</v>
      </c>
      <c r="K498" s="22">
        <v>0.375786500425763</v>
      </c>
      <c r="L498" s="14">
        <v>0</v>
      </c>
    </row>
    <row r="499" spans="1:12" x14ac:dyDescent="0.25">
      <c r="A499" s="13">
        <v>3638371</v>
      </c>
      <c r="B499" s="14" t="s">
        <v>86</v>
      </c>
      <c r="C499" s="14" t="s">
        <v>1308</v>
      </c>
      <c r="D499" s="14" t="s">
        <v>1309</v>
      </c>
      <c r="E499" s="14" t="s">
        <v>1310</v>
      </c>
      <c r="F499" s="21">
        <v>1977.72</v>
      </c>
      <c r="G499" s="14">
        <v>65</v>
      </c>
      <c r="H499" s="14">
        <v>1</v>
      </c>
      <c r="I499" s="14">
        <v>47</v>
      </c>
      <c r="J499" s="22">
        <v>0.97677507677416897</v>
      </c>
      <c r="K499" s="22">
        <v>2.32249232258313E-2</v>
      </c>
      <c r="L499" s="14">
        <v>0</v>
      </c>
    </row>
    <row r="500" spans="1:12" x14ac:dyDescent="0.25">
      <c r="A500" s="13">
        <v>23183928</v>
      </c>
      <c r="B500" s="14" t="s">
        <v>5435</v>
      </c>
      <c r="C500" s="14" t="s">
        <v>1311</v>
      </c>
      <c r="D500" s="14" t="s">
        <v>1312</v>
      </c>
      <c r="E500" s="14" t="s">
        <v>6579</v>
      </c>
      <c r="F500" s="21">
        <v>1632</v>
      </c>
      <c r="G500" s="14">
        <v>517</v>
      </c>
      <c r="H500" s="14">
        <v>0</v>
      </c>
      <c r="I500" s="14">
        <v>50</v>
      </c>
      <c r="J500" s="22">
        <v>0.41386899618721001</v>
      </c>
      <c r="K500" s="22">
        <v>0.58613100381279104</v>
      </c>
      <c r="L500" s="14">
        <v>0</v>
      </c>
    </row>
    <row r="501" spans="1:12" x14ac:dyDescent="0.25">
      <c r="A501" s="13" t="s">
        <v>6580</v>
      </c>
      <c r="B501" s="14" t="s">
        <v>110</v>
      </c>
      <c r="C501" s="14" t="s">
        <v>1314</v>
      </c>
      <c r="D501" s="14" t="s">
        <v>1315</v>
      </c>
      <c r="E501" s="14" t="s">
        <v>1316</v>
      </c>
      <c r="F501" s="21">
        <v>960</v>
      </c>
      <c r="G501" s="14">
        <v>237</v>
      </c>
      <c r="H501" s="14">
        <v>0</v>
      </c>
      <c r="I501" s="14">
        <v>38</v>
      </c>
      <c r="J501" s="22">
        <v>0.902523006107814</v>
      </c>
      <c r="K501" s="22">
        <v>9.7476993892186004E-2</v>
      </c>
      <c r="L501" s="14">
        <v>0</v>
      </c>
    </row>
    <row r="502" spans="1:12" x14ac:dyDescent="0.25">
      <c r="B502" s="14" t="s">
        <v>5493</v>
      </c>
      <c r="C502" s="14" t="s">
        <v>1317</v>
      </c>
      <c r="E502" s="14" t="s">
        <v>1318</v>
      </c>
      <c r="F502" s="21">
        <v>2368.42</v>
      </c>
      <c r="G502" s="14">
        <v>473</v>
      </c>
      <c r="H502" s="14">
        <v>0</v>
      </c>
      <c r="I502" s="14">
        <v>49</v>
      </c>
      <c r="J502" s="22">
        <v>0.74989697760570395</v>
      </c>
      <c r="K502" s="22">
        <v>0.25010302239429599</v>
      </c>
      <c r="L502" s="14">
        <v>0</v>
      </c>
    </row>
    <row r="503" spans="1:12" x14ac:dyDescent="0.25">
      <c r="A503" s="13" t="s">
        <v>6581</v>
      </c>
      <c r="B503" s="14" t="s">
        <v>5493</v>
      </c>
      <c r="C503" s="14" t="s">
        <v>1319</v>
      </c>
      <c r="D503" s="14" t="s">
        <v>1320</v>
      </c>
      <c r="E503" s="14" t="s">
        <v>1321</v>
      </c>
      <c r="F503" s="21">
        <v>2257.56</v>
      </c>
      <c r="G503" s="14">
        <v>155</v>
      </c>
      <c r="H503" s="14">
        <v>1</v>
      </c>
      <c r="I503" s="14">
        <v>17</v>
      </c>
      <c r="J503" s="22">
        <v>0.17307602385441201</v>
      </c>
      <c r="K503" s="22">
        <v>0.82692397614558799</v>
      </c>
      <c r="L503" s="14">
        <v>0</v>
      </c>
    </row>
    <row r="504" spans="1:12" x14ac:dyDescent="0.25">
      <c r="A504" s="13">
        <v>3662995</v>
      </c>
      <c r="B504" s="14" t="s">
        <v>6550</v>
      </c>
      <c r="C504" s="14" t="s">
        <v>5586</v>
      </c>
      <c r="D504" s="14" t="s">
        <v>1324</v>
      </c>
      <c r="E504" s="14" t="s">
        <v>1325</v>
      </c>
      <c r="F504" s="21">
        <v>1834.77</v>
      </c>
      <c r="H504" s="14">
        <v>0</v>
      </c>
      <c r="I504" s="14">
        <v>9</v>
      </c>
      <c r="J504" s="22">
        <v>0.70889825223869696</v>
      </c>
      <c r="K504" s="22">
        <v>0.29110174776130299</v>
      </c>
      <c r="L504" s="14">
        <v>0</v>
      </c>
    </row>
    <row r="505" spans="1:12" x14ac:dyDescent="0.25">
      <c r="A505" s="13">
        <v>3662994</v>
      </c>
      <c r="B505" s="14" t="s">
        <v>6550</v>
      </c>
      <c r="C505" s="14" t="s">
        <v>5586</v>
      </c>
      <c r="D505" s="14" t="s">
        <v>1324</v>
      </c>
      <c r="E505" s="14" t="s">
        <v>1327</v>
      </c>
      <c r="F505" s="21">
        <v>1834.77</v>
      </c>
      <c r="G505" s="14">
        <v>549</v>
      </c>
      <c r="H505" s="14">
        <v>1</v>
      </c>
      <c r="I505" s="14">
        <v>12</v>
      </c>
      <c r="J505" s="22">
        <v>0.16467001108982099</v>
      </c>
      <c r="K505" s="22">
        <v>0.83532998891017995</v>
      </c>
      <c r="L505" s="14">
        <v>0</v>
      </c>
    </row>
    <row r="506" spans="1:12" x14ac:dyDescent="0.25">
      <c r="A506" s="13">
        <v>3662993</v>
      </c>
      <c r="B506" s="14" t="s">
        <v>6550</v>
      </c>
      <c r="C506" s="14" t="s">
        <v>5586</v>
      </c>
      <c r="D506" s="14" t="s">
        <v>1324</v>
      </c>
      <c r="E506" s="14" t="s">
        <v>1329</v>
      </c>
      <c r="F506" s="21">
        <v>1834.77</v>
      </c>
      <c r="G506" s="14">
        <v>261</v>
      </c>
      <c r="H506" s="14">
        <v>1</v>
      </c>
      <c r="I506" s="14">
        <v>10</v>
      </c>
      <c r="J506" s="22">
        <v>0.51898826394168296</v>
      </c>
      <c r="K506" s="22">
        <v>0.48101173605831699</v>
      </c>
      <c r="L506" s="14">
        <v>0</v>
      </c>
    </row>
    <row r="507" spans="1:12" x14ac:dyDescent="0.25">
      <c r="A507" s="13">
        <v>3662996</v>
      </c>
      <c r="B507" s="14" t="s">
        <v>6550</v>
      </c>
      <c r="C507" s="14" t="s">
        <v>5587</v>
      </c>
      <c r="E507" s="14" t="s">
        <v>1331</v>
      </c>
      <c r="F507" s="21">
        <v>1834.77</v>
      </c>
      <c r="G507" s="14">
        <v>478</v>
      </c>
      <c r="H507" s="14">
        <v>1</v>
      </c>
      <c r="I507" s="14">
        <v>45</v>
      </c>
      <c r="J507" s="22">
        <v>6.0461041742830297E-2</v>
      </c>
      <c r="K507" s="22">
        <v>0.93953895825717004</v>
      </c>
      <c r="L507" s="14">
        <v>0</v>
      </c>
    </row>
    <row r="508" spans="1:12" x14ac:dyDescent="0.25">
      <c r="A508" s="13">
        <v>3654571</v>
      </c>
      <c r="B508" s="14" t="s">
        <v>6550</v>
      </c>
      <c r="C508" s="14" t="s">
        <v>5587</v>
      </c>
      <c r="E508" s="14" t="s">
        <v>1333</v>
      </c>
      <c r="F508" s="21">
        <v>1834.77</v>
      </c>
      <c r="G508" s="14">
        <v>632</v>
      </c>
      <c r="H508" s="14">
        <v>0</v>
      </c>
      <c r="I508" s="14">
        <v>20</v>
      </c>
      <c r="J508" s="22">
        <v>0.488556678564665</v>
      </c>
      <c r="K508" s="22">
        <v>0.511443321435335</v>
      </c>
      <c r="L508" s="14">
        <v>0</v>
      </c>
    </row>
    <row r="509" spans="1:12" x14ac:dyDescent="0.25">
      <c r="B509" s="14" t="s">
        <v>1334</v>
      </c>
      <c r="C509" s="14" t="s">
        <v>1323</v>
      </c>
      <c r="D509" s="14" t="s">
        <v>1324</v>
      </c>
      <c r="E509" s="14" t="s">
        <v>1335</v>
      </c>
      <c r="F509" s="21">
        <v>1653.02</v>
      </c>
      <c r="G509" s="14">
        <v>967</v>
      </c>
      <c r="H509" s="14">
        <v>1</v>
      </c>
      <c r="I509" s="14">
        <v>8</v>
      </c>
      <c r="J509" s="22">
        <v>3.9128426522591499E-2</v>
      </c>
      <c r="K509" s="22">
        <v>0.96087157347740904</v>
      </c>
      <c r="L509" s="14">
        <v>0</v>
      </c>
    </row>
    <row r="510" spans="1:12" x14ac:dyDescent="0.25">
      <c r="A510" s="13" t="s">
        <v>1336</v>
      </c>
      <c r="B510" s="14" t="s">
        <v>86</v>
      </c>
      <c r="C510" s="14" t="s">
        <v>1323</v>
      </c>
      <c r="D510" s="14" t="s">
        <v>1324</v>
      </c>
      <c r="E510" s="14" t="s">
        <v>1337</v>
      </c>
      <c r="F510" s="21">
        <v>1954.14</v>
      </c>
      <c r="G510" s="14">
        <v>872</v>
      </c>
      <c r="H510" s="14">
        <v>1</v>
      </c>
      <c r="I510" s="14">
        <v>12</v>
      </c>
      <c r="J510" s="22">
        <v>0.56401614956818802</v>
      </c>
      <c r="K510" s="22">
        <v>0.43598385043181198</v>
      </c>
      <c r="L510" s="14">
        <v>0</v>
      </c>
    </row>
    <row r="511" spans="1:12" x14ac:dyDescent="0.25">
      <c r="A511" s="13" t="s">
        <v>1338</v>
      </c>
      <c r="B511" s="14" t="s">
        <v>6348</v>
      </c>
      <c r="C511" s="14" t="s">
        <v>1323</v>
      </c>
      <c r="D511" s="14" t="s">
        <v>1324</v>
      </c>
      <c r="E511" s="14" t="s">
        <v>1339</v>
      </c>
      <c r="F511" s="21">
        <v>1982.68</v>
      </c>
      <c r="G511" s="14">
        <v>489</v>
      </c>
      <c r="H511" s="14">
        <v>0</v>
      </c>
      <c r="I511" s="14">
        <v>44</v>
      </c>
      <c r="J511" s="22">
        <v>7.9082928130360802E-2</v>
      </c>
      <c r="K511" s="22">
        <v>0.920917071869639</v>
      </c>
      <c r="L511" s="14">
        <v>0</v>
      </c>
    </row>
    <row r="512" spans="1:12" x14ac:dyDescent="0.25">
      <c r="A512" s="13">
        <v>3509734</v>
      </c>
      <c r="B512" s="14" t="s">
        <v>5463</v>
      </c>
      <c r="C512" s="14" t="s">
        <v>1341</v>
      </c>
      <c r="D512" s="14" t="s">
        <v>1342</v>
      </c>
      <c r="E512" s="14" t="s">
        <v>1343</v>
      </c>
      <c r="F512" s="21">
        <v>1044</v>
      </c>
      <c r="G512" s="14">
        <v>140</v>
      </c>
      <c r="H512" s="14">
        <v>1</v>
      </c>
      <c r="I512" s="14">
        <v>31</v>
      </c>
      <c r="J512" s="22">
        <v>0.41428017262862399</v>
      </c>
      <c r="K512" s="22">
        <v>0.58571982737137696</v>
      </c>
      <c r="L512" s="14">
        <v>0</v>
      </c>
    </row>
    <row r="513" spans="1:12" x14ac:dyDescent="0.25">
      <c r="A513" s="13">
        <v>3621487</v>
      </c>
      <c r="B513" s="14" t="s">
        <v>5463</v>
      </c>
      <c r="C513" s="14" t="s">
        <v>1341</v>
      </c>
      <c r="D513" s="14" t="s">
        <v>1342</v>
      </c>
      <c r="E513" s="14" t="s">
        <v>1345</v>
      </c>
      <c r="F513" s="21">
        <v>1620</v>
      </c>
      <c r="G513" s="14">
        <v>730</v>
      </c>
      <c r="H513" s="14">
        <v>0</v>
      </c>
      <c r="I513" s="14" t="s">
        <v>6314</v>
      </c>
      <c r="J513" s="22">
        <v>0.95192085563151396</v>
      </c>
      <c r="K513" s="22">
        <v>4.8079144368486197E-2</v>
      </c>
      <c r="L513" s="14">
        <v>0</v>
      </c>
    </row>
    <row r="514" spans="1:12" x14ac:dyDescent="0.25">
      <c r="A514" s="13" t="s">
        <v>1346</v>
      </c>
      <c r="B514" s="14" t="s">
        <v>5463</v>
      </c>
      <c r="C514" s="14" t="s">
        <v>1341</v>
      </c>
      <c r="D514" s="14" t="s">
        <v>1342</v>
      </c>
      <c r="E514" s="14" t="s">
        <v>1347</v>
      </c>
      <c r="F514" s="21">
        <v>1620</v>
      </c>
      <c r="G514" s="14">
        <v>957</v>
      </c>
      <c r="H514" s="14">
        <v>0</v>
      </c>
      <c r="I514" s="14">
        <v>5</v>
      </c>
      <c r="J514" s="22">
        <v>0.93141891465778104</v>
      </c>
      <c r="K514" s="22">
        <v>6.8581085342219295E-2</v>
      </c>
      <c r="L514" s="14">
        <v>0</v>
      </c>
    </row>
    <row r="515" spans="1:12" x14ac:dyDescent="0.25">
      <c r="A515" s="13" t="s">
        <v>6582</v>
      </c>
      <c r="B515" s="14" t="s">
        <v>5463</v>
      </c>
      <c r="C515" s="14" t="s">
        <v>1341</v>
      </c>
      <c r="D515" s="14" t="s">
        <v>1342</v>
      </c>
      <c r="E515" s="14" t="s">
        <v>1348</v>
      </c>
      <c r="F515" s="21">
        <v>2400</v>
      </c>
      <c r="G515" s="14">
        <v>803</v>
      </c>
      <c r="H515" s="14">
        <v>1</v>
      </c>
      <c r="I515" s="14">
        <v>14</v>
      </c>
      <c r="J515" s="22">
        <v>0.96083607561183504</v>
      </c>
      <c r="K515" s="22">
        <v>3.91639243881651E-2</v>
      </c>
      <c r="L515" s="14">
        <v>0</v>
      </c>
    </row>
    <row r="516" spans="1:12" x14ac:dyDescent="0.25">
      <c r="A516" s="13" t="s">
        <v>6583</v>
      </c>
      <c r="B516" s="14" t="s">
        <v>5463</v>
      </c>
      <c r="C516" s="14" t="s">
        <v>1341</v>
      </c>
      <c r="D516" s="14" t="s">
        <v>1342</v>
      </c>
      <c r="E516" s="14" t="s">
        <v>1350</v>
      </c>
      <c r="F516" s="21">
        <v>2400</v>
      </c>
      <c r="G516" s="14">
        <v>735</v>
      </c>
      <c r="H516" s="14">
        <v>0</v>
      </c>
      <c r="I516" s="14" t="s">
        <v>6314</v>
      </c>
      <c r="J516" s="22">
        <v>0.102847678618241</v>
      </c>
      <c r="K516" s="22">
        <v>0.89715232138175904</v>
      </c>
      <c r="L516" s="14">
        <v>0</v>
      </c>
    </row>
    <row r="517" spans="1:12" x14ac:dyDescent="0.25">
      <c r="B517" s="14" t="s">
        <v>5463</v>
      </c>
      <c r="C517" s="14" t="s">
        <v>1341</v>
      </c>
      <c r="D517" s="14" t="s">
        <v>1342</v>
      </c>
      <c r="E517" s="14" t="s">
        <v>1351</v>
      </c>
      <c r="F517" s="21">
        <v>2400</v>
      </c>
      <c r="G517" s="14">
        <v>946</v>
      </c>
      <c r="H517" s="14">
        <v>1</v>
      </c>
      <c r="I517" s="14">
        <v>23</v>
      </c>
      <c r="J517" s="22">
        <v>0.65526462213089798</v>
      </c>
      <c r="K517" s="22">
        <v>0.34473537786910202</v>
      </c>
      <c r="L517" s="14">
        <v>0</v>
      </c>
    </row>
    <row r="518" spans="1:12" ht="39.6" x14ac:dyDescent="0.25">
      <c r="A518" s="20" t="s">
        <v>6584</v>
      </c>
      <c r="B518" s="14" t="s">
        <v>5463</v>
      </c>
      <c r="C518" s="14" t="s">
        <v>1341</v>
      </c>
      <c r="D518" s="14" t="s">
        <v>1342</v>
      </c>
      <c r="E518" s="14" t="s">
        <v>1353</v>
      </c>
      <c r="F518" s="21">
        <v>2400</v>
      </c>
      <c r="G518" s="14">
        <v>521</v>
      </c>
      <c r="H518" s="14">
        <v>0</v>
      </c>
      <c r="I518" s="14">
        <v>3</v>
      </c>
      <c r="J518" s="22">
        <v>0.165202256352768</v>
      </c>
      <c r="K518" s="22">
        <v>0.83479774364723203</v>
      </c>
      <c r="L518" s="14">
        <v>0</v>
      </c>
    </row>
    <row r="519" spans="1:12" x14ac:dyDescent="0.25">
      <c r="A519" s="13" t="s">
        <v>6585</v>
      </c>
      <c r="B519" s="14" t="s">
        <v>525</v>
      </c>
      <c r="C519" s="14" t="s">
        <v>1341</v>
      </c>
      <c r="D519" s="14" t="s">
        <v>1342</v>
      </c>
      <c r="E519" s="14" t="s">
        <v>1355</v>
      </c>
      <c r="F519" s="21">
        <v>1620</v>
      </c>
      <c r="G519" s="14">
        <v>322</v>
      </c>
      <c r="H519" s="14">
        <v>1</v>
      </c>
      <c r="I519" s="14">
        <v>15</v>
      </c>
      <c r="J519" s="22">
        <v>0.35989523702216902</v>
      </c>
      <c r="K519" s="22">
        <v>0.64010476297783103</v>
      </c>
      <c r="L519" s="14">
        <v>0</v>
      </c>
    </row>
    <row r="520" spans="1:12" ht="39.6" x14ac:dyDescent="0.25">
      <c r="A520" s="20" t="s">
        <v>6586</v>
      </c>
      <c r="B520" s="14" t="s">
        <v>5468</v>
      </c>
      <c r="C520" s="14" t="s">
        <v>6587</v>
      </c>
      <c r="D520" s="14" t="s">
        <v>1342</v>
      </c>
      <c r="E520" s="14" t="s">
        <v>1357</v>
      </c>
      <c r="F520" s="21">
        <v>1620</v>
      </c>
      <c r="G520" s="14">
        <v>684</v>
      </c>
      <c r="H520" s="14">
        <v>0</v>
      </c>
      <c r="I520" s="14" t="s">
        <v>6314</v>
      </c>
      <c r="J520" s="22">
        <v>0.61325569953935299</v>
      </c>
      <c r="K520" s="22">
        <v>0.38674430046064701</v>
      </c>
      <c r="L520" s="14">
        <v>0</v>
      </c>
    </row>
    <row r="521" spans="1:12" x14ac:dyDescent="0.25">
      <c r="A521" s="13" t="s">
        <v>6588</v>
      </c>
      <c r="B521" s="14" t="s">
        <v>5375</v>
      </c>
      <c r="C521" s="14" t="s">
        <v>5588</v>
      </c>
      <c r="D521" s="14" t="s">
        <v>1360</v>
      </c>
      <c r="E521" s="14" t="s">
        <v>6589</v>
      </c>
      <c r="F521" s="21">
        <v>3630.64</v>
      </c>
      <c r="H521" s="14">
        <v>1</v>
      </c>
      <c r="I521" s="14">
        <v>27</v>
      </c>
      <c r="J521" s="22">
        <v>0.77231953217070803</v>
      </c>
      <c r="K521" s="22">
        <v>0.22768046782929199</v>
      </c>
      <c r="L521" s="14">
        <v>0</v>
      </c>
    </row>
    <row r="522" spans="1:12" x14ac:dyDescent="0.25">
      <c r="A522" s="13">
        <v>3698701</v>
      </c>
      <c r="B522" s="14" t="s">
        <v>86</v>
      </c>
      <c r="C522" s="14" t="s">
        <v>5589</v>
      </c>
      <c r="E522" s="14" t="s">
        <v>1364</v>
      </c>
      <c r="F522" s="21">
        <v>2400</v>
      </c>
      <c r="H522" s="14">
        <v>1</v>
      </c>
      <c r="I522" s="14" t="s">
        <v>6314</v>
      </c>
      <c r="J522" s="22">
        <v>0.55477053246473995</v>
      </c>
      <c r="K522" s="22">
        <v>0.44522946753526099</v>
      </c>
      <c r="L522" s="14">
        <v>0</v>
      </c>
    </row>
    <row r="523" spans="1:12" x14ac:dyDescent="0.25">
      <c r="A523" s="13" t="s">
        <v>6590</v>
      </c>
      <c r="B523" s="14" t="s">
        <v>69</v>
      </c>
      <c r="C523" s="14" t="s">
        <v>1366</v>
      </c>
      <c r="D523" s="14" t="s">
        <v>1367</v>
      </c>
      <c r="E523" s="14" t="s">
        <v>1368</v>
      </c>
      <c r="F523" s="21">
        <v>2230.1</v>
      </c>
      <c r="G523" s="14">
        <v>194</v>
      </c>
      <c r="H523" s="14">
        <v>0</v>
      </c>
      <c r="I523" s="14">
        <v>24</v>
      </c>
      <c r="J523" s="22">
        <v>0.64088460893174504</v>
      </c>
      <c r="K523" s="22">
        <v>0.35911539106825502</v>
      </c>
      <c r="L523" s="14">
        <v>0</v>
      </c>
    </row>
    <row r="524" spans="1:12" x14ac:dyDescent="0.25">
      <c r="A524" s="13" t="s">
        <v>5946</v>
      </c>
      <c r="B524" s="14" t="s">
        <v>5481</v>
      </c>
      <c r="C524" s="14" t="s">
        <v>5590</v>
      </c>
      <c r="D524" s="14" t="s">
        <v>1371</v>
      </c>
      <c r="E524" s="14" t="s">
        <v>1372</v>
      </c>
      <c r="F524" s="21">
        <v>2351.81</v>
      </c>
      <c r="G524" s="14">
        <v>77</v>
      </c>
      <c r="H524" s="14">
        <v>0</v>
      </c>
      <c r="I524" s="14">
        <v>49</v>
      </c>
      <c r="J524" s="22">
        <v>0.13309752125922999</v>
      </c>
      <c r="K524" s="22">
        <v>0.86690247874076998</v>
      </c>
      <c r="L524" s="14">
        <v>0</v>
      </c>
    </row>
    <row r="525" spans="1:12" x14ac:dyDescent="0.25">
      <c r="A525" s="13" t="s">
        <v>6591</v>
      </c>
      <c r="B525" s="14" t="s">
        <v>17</v>
      </c>
      <c r="C525" s="14" t="s">
        <v>1374</v>
      </c>
      <c r="D525" s="14" t="s">
        <v>1324</v>
      </c>
      <c r="E525" s="14" t="s">
        <v>1375</v>
      </c>
      <c r="F525" s="21">
        <v>1981.38</v>
      </c>
      <c r="G525" s="14">
        <v>716</v>
      </c>
      <c r="H525" s="14">
        <v>0</v>
      </c>
      <c r="I525" s="14">
        <v>10</v>
      </c>
      <c r="J525" s="22">
        <v>0.32951443328030999</v>
      </c>
      <c r="K525" s="22">
        <v>0.67048556671968995</v>
      </c>
      <c r="L525" s="14">
        <v>0</v>
      </c>
    </row>
    <row r="526" spans="1:12" ht="39.6" x14ac:dyDescent="0.25">
      <c r="A526" s="20" t="s">
        <v>6592</v>
      </c>
      <c r="B526" s="14" t="s">
        <v>5463</v>
      </c>
      <c r="C526" s="14" t="s">
        <v>1359</v>
      </c>
      <c r="D526" s="14" t="s">
        <v>1377</v>
      </c>
      <c r="E526" s="14" t="s">
        <v>1378</v>
      </c>
      <c r="F526" s="21">
        <v>1044</v>
      </c>
      <c r="G526" s="14">
        <v>273</v>
      </c>
      <c r="H526" s="14">
        <v>1</v>
      </c>
      <c r="I526" s="14">
        <v>6</v>
      </c>
      <c r="J526" s="22">
        <v>0.19159993574028999</v>
      </c>
      <c r="K526" s="22">
        <v>0.80840006425971001</v>
      </c>
      <c r="L526" s="14">
        <v>0</v>
      </c>
    </row>
    <row r="527" spans="1:12" x14ac:dyDescent="0.25">
      <c r="B527" s="14" t="s">
        <v>17</v>
      </c>
      <c r="C527" s="14" t="s">
        <v>1359</v>
      </c>
      <c r="D527" s="14" t="s">
        <v>1377</v>
      </c>
      <c r="E527" s="14" t="s">
        <v>1379</v>
      </c>
      <c r="F527" s="21">
        <v>364.17</v>
      </c>
      <c r="G527" s="14">
        <v>29</v>
      </c>
      <c r="H527" s="14">
        <v>0</v>
      </c>
      <c r="I527" s="14">
        <v>29</v>
      </c>
      <c r="J527" s="22">
        <v>0.48414940415798002</v>
      </c>
      <c r="K527" s="22">
        <v>0.51585059584202098</v>
      </c>
      <c r="L527" s="14">
        <v>0</v>
      </c>
    </row>
    <row r="528" spans="1:12" x14ac:dyDescent="0.25">
      <c r="A528" s="13" t="s">
        <v>1380</v>
      </c>
      <c r="B528" s="14" t="s">
        <v>17</v>
      </c>
      <c r="C528" s="14" t="s">
        <v>1359</v>
      </c>
      <c r="D528" s="14" t="s">
        <v>1377</v>
      </c>
      <c r="E528" s="14" t="s">
        <v>1381</v>
      </c>
      <c r="F528" s="21">
        <v>2987</v>
      </c>
      <c r="G528" s="14">
        <v>963</v>
      </c>
      <c r="I528" s="14">
        <v>22</v>
      </c>
      <c r="J528" s="22">
        <v>0.78738974778783999</v>
      </c>
      <c r="K528" s="22">
        <v>0.21261025221216001</v>
      </c>
      <c r="L528" s="14">
        <v>0</v>
      </c>
    </row>
    <row r="529" spans="1:12" x14ac:dyDescent="0.25">
      <c r="A529" s="13" t="s">
        <v>6593</v>
      </c>
      <c r="B529" s="14" t="s">
        <v>17</v>
      </c>
      <c r="C529" s="14" t="s">
        <v>1359</v>
      </c>
      <c r="D529" s="14" t="s">
        <v>1377</v>
      </c>
      <c r="E529" s="14" t="s">
        <v>1383</v>
      </c>
      <c r="F529" s="21">
        <v>3575.88</v>
      </c>
      <c r="G529" s="14">
        <v>51</v>
      </c>
      <c r="H529" s="14">
        <v>0</v>
      </c>
      <c r="I529" s="14">
        <v>29</v>
      </c>
      <c r="J529" s="22">
        <v>0.40672431736117798</v>
      </c>
      <c r="K529" s="22">
        <v>0.59327568263882202</v>
      </c>
      <c r="L529" s="14">
        <v>0</v>
      </c>
    </row>
    <row r="530" spans="1:12" x14ac:dyDescent="0.25">
      <c r="B530" s="14" t="s">
        <v>17</v>
      </c>
      <c r="C530" s="14" t="s">
        <v>1359</v>
      </c>
      <c r="D530" s="14" t="s">
        <v>1377</v>
      </c>
      <c r="E530" s="14" t="s">
        <v>1384</v>
      </c>
      <c r="F530" s="21">
        <v>3781.63</v>
      </c>
      <c r="G530" s="14">
        <v>22</v>
      </c>
      <c r="H530" s="14">
        <v>1</v>
      </c>
      <c r="I530" s="14">
        <v>15</v>
      </c>
      <c r="J530" s="22">
        <v>0.43855407838822602</v>
      </c>
      <c r="K530" s="22">
        <v>0.56144592161177398</v>
      </c>
      <c r="L530" s="14">
        <v>0</v>
      </c>
    </row>
    <row r="531" spans="1:12" x14ac:dyDescent="0.25">
      <c r="A531" s="13" t="s">
        <v>6594</v>
      </c>
      <c r="B531" s="14" t="s">
        <v>17</v>
      </c>
      <c r="C531" s="14" t="s">
        <v>1359</v>
      </c>
      <c r="D531" s="14" t="s">
        <v>1377</v>
      </c>
      <c r="E531" s="14" t="s">
        <v>1386</v>
      </c>
      <c r="F531" s="21">
        <v>3845.38</v>
      </c>
      <c r="G531" s="14">
        <v>16</v>
      </c>
      <c r="H531" s="14">
        <v>1</v>
      </c>
      <c r="I531" s="14">
        <v>15</v>
      </c>
      <c r="J531" s="22">
        <v>0.277726833872115</v>
      </c>
      <c r="K531" s="22">
        <v>0.72227316612788495</v>
      </c>
      <c r="L531" s="14">
        <v>0</v>
      </c>
    </row>
    <row r="532" spans="1:12" x14ac:dyDescent="0.25">
      <c r="B532" s="14" t="s">
        <v>17</v>
      </c>
      <c r="C532" s="14" t="s">
        <v>1359</v>
      </c>
      <c r="D532" s="14" t="s">
        <v>1377</v>
      </c>
      <c r="E532" s="14" t="s">
        <v>1387</v>
      </c>
      <c r="F532" s="21">
        <v>3877.46</v>
      </c>
      <c r="G532" s="14">
        <v>841</v>
      </c>
      <c r="H532" s="14">
        <v>0</v>
      </c>
      <c r="I532" s="14" t="s">
        <v>6314</v>
      </c>
      <c r="J532" s="22">
        <v>0.76298182553573501</v>
      </c>
      <c r="K532" s="22">
        <v>0.23701817446426501</v>
      </c>
      <c r="L532" s="14">
        <v>0</v>
      </c>
    </row>
    <row r="533" spans="1:12" x14ac:dyDescent="0.25">
      <c r="A533" s="13">
        <v>3178012</v>
      </c>
      <c r="B533" s="14" t="s">
        <v>17</v>
      </c>
      <c r="C533" s="14" t="s">
        <v>1359</v>
      </c>
      <c r="D533" s="14" t="s">
        <v>1377</v>
      </c>
      <c r="E533" s="14" t="s">
        <v>1389</v>
      </c>
      <c r="F533" s="21">
        <v>3877.48</v>
      </c>
      <c r="G533" s="14">
        <v>390</v>
      </c>
      <c r="H533" s="14">
        <v>1</v>
      </c>
      <c r="I533" s="14">
        <v>19</v>
      </c>
      <c r="J533" s="22">
        <v>0.79359018364267997</v>
      </c>
      <c r="K533" s="22">
        <v>0.20640981635732</v>
      </c>
      <c r="L533" s="14">
        <v>0</v>
      </c>
    </row>
    <row r="534" spans="1:12" x14ac:dyDescent="0.25">
      <c r="A534" s="13">
        <v>3782659</v>
      </c>
      <c r="B534" s="14" t="s">
        <v>17</v>
      </c>
      <c r="C534" s="14" t="s">
        <v>1359</v>
      </c>
      <c r="D534" s="14" t="s">
        <v>1377</v>
      </c>
      <c r="E534" s="14" t="s">
        <v>1391</v>
      </c>
      <c r="F534" s="21">
        <v>3975.75</v>
      </c>
      <c r="G534" s="14">
        <v>930</v>
      </c>
      <c r="H534" s="14">
        <v>0</v>
      </c>
      <c r="I534" s="14">
        <v>45</v>
      </c>
      <c r="J534" s="22">
        <v>0.66871248936632099</v>
      </c>
      <c r="K534" s="22">
        <v>0.33128751063367901</v>
      </c>
      <c r="L534" s="14">
        <v>0</v>
      </c>
    </row>
    <row r="535" spans="1:12" x14ac:dyDescent="0.25">
      <c r="A535" s="13" t="s">
        <v>1392</v>
      </c>
      <c r="B535" s="14" t="s">
        <v>17</v>
      </c>
      <c r="C535" s="14" t="s">
        <v>1359</v>
      </c>
      <c r="D535" s="14" t="s">
        <v>1377</v>
      </c>
      <c r="E535" s="14" t="s">
        <v>6595</v>
      </c>
      <c r="F535" s="21">
        <v>4002.42</v>
      </c>
      <c r="I535" s="14">
        <v>6</v>
      </c>
      <c r="J535" s="22">
        <v>0.20858208463198</v>
      </c>
      <c r="K535" s="22">
        <v>0.79141791536801998</v>
      </c>
      <c r="L535" s="14">
        <v>0</v>
      </c>
    </row>
    <row r="536" spans="1:12" ht="39.6" x14ac:dyDescent="0.25">
      <c r="A536" s="20" t="s">
        <v>6596</v>
      </c>
      <c r="B536" s="14" t="s">
        <v>17</v>
      </c>
      <c r="C536" s="14" t="s">
        <v>1359</v>
      </c>
      <c r="D536" s="14" t="s">
        <v>1377</v>
      </c>
      <c r="E536" s="14" t="s">
        <v>1395</v>
      </c>
      <c r="F536" s="21">
        <v>4076.38</v>
      </c>
      <c r="G536" s="14">
        <v>956</v>
      </c>
      <c r="H536" s="14">
        <v>1</v>
      </c>
      <c r="I536" s="14">
        <v>18</v>
      </c>
      <c r="J536" s="22">
        <v>0.50365252590639398</v>
      </c>
      <c r="K536" s="22">
        <v>0.49634747409360702</v>
      </c>
      <c r="L536" s="14">
        <v>0</v>
      </c>
    </row>
    <row r="537" spans="1:12" x14ac:dyDescent="0.25">
      <c r="A537" s="13">
        <v>3605578</v>
      </c>
      <c r="B537" s="14" t="s">
        <v>17</v>
      </c>
      <c r="C537" s="14" t="s">
        <v>1359</v>
      </c>
      <c r="D537" s="14" t="s">
        <v>1377</v>
      </c>
      <c r="E537" s="14" t="s">
        <v>1397</v>
      </c>
      <c r="F537" s="21">
        <v>4099.71</v>
      </c>
      <c r="H537" s="14">
        <v>1</v>
      </c>
      <c r="I537" s="14" t="s">
        <v>6314</v>
      </c>
      <c r="J537" s="22">
        <v>0.35902397599089603</v>
      </c>
      <c r="K537" s="22">
        <v>0.64097602400910403</v>
      </c>
      <c r="L537" s="14">
        <v>0</v>
      </c>
    </row>
    <row r="538" spans="1:12" x14ac:dyDescent="0.25">
      <c r="A538" s="13" t="s">
        <v>5950</v>
      </c>
      <c r="B538" s="14" t="s">
        <v>17</v>
      </c>
      <c r="C538" s="14" t="s">
        <v>6597</v>
      </c>
      <c r="D538" s="14" t="s">
        <v>1399</v>
      </c>
      <c r="E538" s="14" t="s">
        <v>1400</v>
      </c>
      <c r="F538" s="21">
        <v>1764.06</v>
      </c>
      <c r="G538" s="14">
        <v>749</v>
      </c>
      <c r="H538" s="14">
        <v>1</v>
      </c>
      <c r="I538" s="14">
        <v>46</v>
      </c>
      <c r="J538" s="22">
        <v>5.9226847409200499E-2</v>
      </c>
      <c r="K538" s="22">
        <v>0.94077315259079997</v>
      </c>
      <c r="L538" s="14">
        <v>0</v>
      </c>
    </row>
    <row r="539" spans="1:12" ht="39.6" x14ac:dyDescent="0.25">
      <c r="A539" s="20" t="s">
        <v>6598</v>
      </c>
      <c r="B539" s="14" t="s">
        <v>17</v>
      </c>
      <c r="C539" s="14" t="s">
        <v>6597</v>
      </c>
      <c r="D539" s="14" t="s">
        <v>1399</v>
      </c>
      <c r="E539" s="14" t="s">
        <v>1402</v>
      </c>
      <c r="F539" s="21">
        <v>2457.25</v>
      </c>
      <c r="G539" s="14">
        <v>90</v>
      </c>
      <c r="H539" s="14">
        <v>0</v>
      </c>
      <c r="I539" s="14">
        <v>11</v>
      </c>
      <c r="J539" s="22">
        <v>0.228731253983775</v>
      </c>
      <c r="K539" s="22">
        <v>0.77126874601622497</v>
      </c>
      <c r="L539" s="14">
        <v>0</v>
      </c>
    </row>
    <row r="540" spans="1:12" x14ac:dyDescent="0.25">
      <c r="B540" s="14" t="s">
        <v>86</v>
      </c>
      <c r="C540" s="14" t="s">
        <v>1370</v>
      </c>
      <c r="D540" s="14" t="s">
        <v>1371</v>
      </c>
      <c r="E540" s="14" t="s">
        <v>1403</v>
      </c>
      <c r="F540" s="21">
        <v>1500</v>
      </c>
      <c r="G540" s="14">
        <v>133</v>
      </c>
      <c r="H540" s="14">
        <v>1</v>
      </c>
      <c r="I540" s="14">
        <v>29</v>
      </c>
      <c r="J540" s="22">
        <v>0.30075053776017402</v>
      </c>
      <c r="K540" s="22">
        <v>0.69924946223982698</v>
      </c>
      <c r="L540" s="14">
        <v>0</v>
      </c>
    </row>
    <row r="541" spans="1:12" x14ac:dyDescent="0.25">
      <c r="A541" s="13" t="s">
        <v>1404</v>
      </c>
      <c r="B541" s="14" t="s">
        <v>86</v>
      </c>
      <c r="C541" s="14" t="s">
        <v>1405</v>
      </c>
      <c r="D541" s="14" t="s">
        <v>1406</v>
      </c>
      <c r="E541" s="14" t="s">
        <v>1407</v>
      </c>
      <c r="F541" s="21">
        <v>2304.31</v>
      </c>
      <c r="G541" s="14">
        <v>149</v>
      </c>
      <c r="H541" s="14">
        <v>0</v>
      </c>
      <c r="I541" s="14">
        <v>26</v>
      </c>
      <c r="J541" s="22">
        <v>0.50914075297277706</v>
      </c>
      <c r="K541" s="22">
        <v>0.490859247027223</v>
      </c>
      <c r="L541" s="14">
        <v>0</v>
      </c>
    </row>
    <row r="542" spans="1:12" x14ac:dyDescent="0.25">
      <c r="A542" s="13" t="s">
        <v>1408</v>
      </c>
      <c r="B542" s="14" t="s">
        <v>86</v>
      </c>
      <c r="C542" s="14" t="s">
        <v>1405</v>
      </c>
      <c r="D542" s="14" t="s">
        <v>1406</v>
      </c>
      <c r="E542" s="14" t="s">
        <v>1409</v>
      </c>
      <c r="F542" s="21">
        <v>2310.9499999999998</v>
      </c>
      <c r="G542" s="14">
        <v>819</v>
      </c>
      <c r="H542" s="14">
        <v>0</v>
      </c>
      <c r="I542" s="14">
        <v>38</v>
      </c>
      <c r="J542" s="22">
        <v>0.69664594383554002</v>
      </c>
      <c r="K542" s="22">
        <v>0.30335405616445998</v>
      </c>
      <c r="L542" s="14">
        <v>0</v>
      </c>
    </row>
    <row r="543" spans="1:12" x14ac:dyDescent="0.25">
      <c r="A543" s="13" t="s">
        <v>5952</v>
      </c>
      <c r="B543" s="14" t="s">
        <v>86</v>
      </c>
      <c r="C543" s="14" t="s">
        <v>1405</v>
      </c>
      <c r="D543" s="14" t="s">
        <v>1406</v>
      </c>
      <c r="E543" s="14" t="s">
        <v>1410</v>
      </c>
      <c r="F543" s="21">
        <v>2384.1</v>
      </c>
      <c r="G543" s="14">
        <v>68</v>
      </c>
      <c r="H543" s="14">
        <v>0</v>
      </c>
      <c r="I543" s="14">
        <v>20</v>
      </c>
      <c r="J543" s="22">
        <v>0.43450561197163501</v>
      </c>
      <c r="K543" s="22">
        <v>0.56549438802836505</v>
      </c>
      <c r="L543" s="14">
        <v>0</v>
      </c>
    </row>
    <row r="544" spans="1:12" x14ac:dyDescent="0.25">
      <c r="A544" s="13" t="s">
        <v>6599</v>
      </c>
      <c r="B544" s="14" t="s">
        <v>5493</v>
      </c>
      <c r="C544" s="14" t="s">
        <v>1405</v>
      </c>
      <c r="D544" s="14" t="s">
        <v>1406</v>
      </c>
      <c r="E544" s="14" t="s">
        <v>1412</v>
      </c>
      <c r="F544" s="21">
        <v>2377.66</v>
      </c>
      <c r="G544" s="14">
        <v>742</v>
      </c>
      <c r="H544" s="14">
        <v>0</v>
      </c>
      <c r="I544" s="14">
        <v>30</v>
      </c>
      <c r="J544" s="22">
        <v>0.30992653384375202</v>
      </c>
      <c r="K544" s="22">
        <v>0.69007346615624798</v>
      </c>
      <c r="L544" s="14">
        <v>0</v>
      </c>
    </row>
    <row r="545" spans="1:12" x14ac:dyDescent="0.25">
      <c r="A545" s="13" t="s">
        <v>6600</v>
      </c>
      <c r="B545" s="14" t="s">
        <v>69</v>
      </c>
      <c r="C545" s="14" t="s">
        <v>1414</v>
      </c>
      <c r="D545" s="14" t="s">
        <v>1415</v>
      </c>
      <c r="E545" s="14" t="s">
        <v>1416</v>
      </c>
      <c r="F545" s="21">
        <v>2211.52</v>
      </c>
      <c r="G545" s="14">
        <v>497</v>
      </c>
      <c r="H545" s="14">
        <v>1</v>
      </c>
      <c r="I545" s="14">
        <v>1</v>
      </c>
      <c r="J545" s="22">
        <v>9.5228991896132903E-2</v>
      </c>
      <c r="K545" s="22">
        <v>0.90477100810386701</v>
      </c>
      <c r="L545" s="14">
        <v>0</v>
      </c>
    </row>
    <row r="546" spans="1:12" x14ac:dyDescent="0.25">
      <c r="A546" s="13" t="s">
        <v>6601</v>
      </c>
      <c r="B546" s="14" t="s">
        <v>69</v>
      </c>
      <c r="C546" s="14" t="s">
        <v>1414</v>
      </c>
      <c r="D546" s="14" t="s">
        <v>1415</v>
      </c>
      <c r="E546" s="14" t="s">
        <v>1418</v>
      </c>
      <c r="F546" s="21">
        <v>2289.06</v>
      </c>
      <c r="G546" s="14">
        <v>740</v>
      </c>
      <c r="H546" s="14">
        <v>1</v>
      </c>
      <c r="I546" s="14">
        <v>33</v>
      </c>
      <c r="J546" s="22">
        <v>0.87494566498606896</v>
      </c>
      <c r="K546" s="22">
        <v>0.12505433501393101</v>
      </c>
      <c r="L546" s="14">
        <v>0</v>
      </c>
    </row>
    <row r="547" spans="1:12" x14ac:dyDescent="0.25">
      <c r="A547" s="13" t="s">
        <v>1419</v>
      </c>
      <c r="B547" s="14" t="s">
        <v>69</v>
      </c>
      <c r="C547" s="14" t="s">
        <v>1414</v>
      </c>
      <c r="D547" s="14" t="s">
        <v>1415</v>
      </c>
      <c r="E547" s="14" t="s">
        <v>1420</v>
      </c>
      <c r="F547" s="21">
        <v>2315.7800000000002</v>
      </c>
      <c r="G547" s="14">
        <v>361</v>
      </c>
      <c r="H547" s="14">
        <v>1</v>
      </c>
      <c r="I547" s="14">
        <v>13</v>
      </c>
      <c r="J547" s="22">
        <v>0.33466326131188401</v>
      </c>
      <c r="K547" s="22">
        <v>0.66533673868811705</v>
      </c>
      <c r="L547" s="14">
        <v>0</v>
      </c>
    </row>
    <row r="548" spans="1:12" x14ac:dyDescent="0.25">
      <c r="A548" s="13">
        <v>3525856</v>
      </c>
      <c r="B548" s="14" t="s">
        <v>17</v>
      </c>
      <c r="C548" s="14" t="s">
        <v>1422</v>
      </c>
      <c r="D548" s="14" t="s">
        <v>1423</v>
      </c>
      <c r="E548" s="14" t="s">
        <v>1424</v>
      </c>
      <c r="F548" s="21">
        <v>2252.5300000000002</v>
      </c>
      <c r="G548" s="14">
        <v>625</v>
      </c>
      <c r="H548" s="14">
        <v>0</v>
      </c>
      <c r="I548" s="14">
        <v>12</v>
      </c>
      <c r="J548" s="22">
        <v>9.9101616109810199E-3</v>
      </c>
      <c r="K548" s="22">
        <v>0.99008983838901898</v>
      </c>
      <c r="L548" s="14">
        <v>0</v>
      </c>
    </row>
    <row r="549" spans="1:12" x14ac:dyDescent="0.25">
      <c r="A549" s="13">
        <v>3597032</v>
      </c>
      <c r="B549" s="14" t="s">
        <v>5463</v>
      </c>
      <c r="C549" s="14" t="s">
        <v>1426</v>
      </c>
      <c r="D549" s="14" t="s">
        <v>1427</v>
      </c>
      <c r="E549" s="14" t="s">
        <v>1428</v>
      </c>
      <c r="F549" s="21">
        <v>1620</v>
      </c>
      <c r="G549" s="14">
        <v>699</v>
      </c>
      <c r="H549" s="14">
        <v>0</v>
      </c>
      <c r="I549" s="14">
        <v>2</v>
      </c>
      <c r="J549" s="22">
        <v>0.52626414859813597</v>
      </c>
      <c r="K549" s="22">
        <v>0.47373585140186403</v>
      </c>
      <c r="L549" s="14">
        <v>0</v>
      </c>
    </row>
    <row r="550" spans="1:12" x14ac:dyDescent="0.25">
      <c r="A550" s="13" t="s">
        <v>1429</v>
      </c>
      <c r="B550" s="14" t="s">
        <v>5465</v>
      </c>
      <c r="C550" s="14" t="s">
        <v>1426</v>
      </c>
      <c r="D550" s="14" t="s">
        <v>1427</v>
      </c>
      <c r="E550" s="14" t="s">
        <v>1430</v>
      </c>
      <c r="F550" s="21">
        <v>2400</v>
      </c>
      <c r="H550" s="14">
        <v>1</v>
      </c>
      <c r="I550" s="14">
        <v>46</v>
      </c>
      <c r="J550" s="22">
        <v>0.86807950479587903</v>
      </c>
      <c r="K550" s="22">
        <v>0.131920495204121</v>
      </c>
      <c r="L550" s="14">
        <v>0</v>
      </c>
    </row>
    <row r="551" spans="1:12" x14ac:dyDescent="0.25">
      <c r="A551" s="13" t="s">
        <v>1431</v>
      </c>
      <c r="B551" s="14" t="s">
        <v>6348</v>
      </c>
      <c r="C551" s="14" t="s">
        <v>1432</v>
      </c>
      <c r="D551" s="14" t="s">
        <v>1433</v>
      </c>
      <c r="E551" s="14" t="s">
        <v>1434</v>
      </c>
      <c r="F551" s="21">
        <v>1966.31</v>
      </c>
      <c r="G551" s="14">
        <v>69</v>
      </c>
      <c r="H551" s="14">
        <v>0</v>
      </c>
      <c r="I551" s="14">
        <v>46</v>
      </c>
      <c r="J551" s="22">
        <v>4.8618396985085202E-2</v>
      </c>
      <c r="K551" s="22">
        <v>0.95138160301491503</v>
      </c>
      <c r="L551" s="14">
        <v>0</v>
      </c>
    </row>
    <row r="552" spans="1:12" x14ac:dyDescent="0.25">
      <c r="A552" s="13" t="s">
        <v>1435</v>
      </c>
      <c r="B552" s="14" t="s">
        <v>86</v>
      </c>
      <c r="C552" s="14" t="s">
        <v>1436</v>
      </c>
      <c r="D552" s="14" t="s">
        <v>1437</v>
      </c>
      <c r="E552" s="14" t="s">
        <v>1438</v>
      </c>
      <c r="F552" s="21">
        <v>1440</v>
      </c>
      <c r="G552" s="14">
        <v>555</v>
      </c>
      <c r="H552" s="14">
        <v>1</v>
      </c>
      <c r="I552" s="14">
        <v>38</v>
      </c>
      <c r="J552" s="22">
        <v>0.85788274214552196</v>
      </c>
      <c r="K552" s="22">
        <v>0.14211725785447801</v>
      </c>
      <c r="L552" s="14">
        <v>0</v>
      </c>
    </row>
    <row r="553" spans="1:12" x14ac:dyDescent="0.25">
      <c r="A553" s="13" t="s">
        <v>5956</v>
      </c>
      <c r="B553" s="14" t="s">
        <v>86</v>
      </c>
      <c r="C553" s="14" t="s">
        <v>1439</v>
      </c>
      <c r="D553" s="14" t="s">
        <v>1440</v>
      </c>
      <c r="E553" s="14" t="s">
        <v>1441</v>
      </c>
      <c r="F553" s="21">
        <v>2388.08</v>
      </c>
      <c r="G553" s="14">
        <v>189</v>
      </c>
      <c r="H553" s="14">
        <v>0</v>
      </c>
      <c r="I553" s="14" t="s">
        <v>6314</v>
      </c>
      <c r="J553" s="22">
        <v>0.42743895028508999</v>
      </c>
      <c r="K553" s="22">
        <v>0.57256104971491095</v>
      </c>
      <c r="L553" s="14">
        <v>0</v>
      </c>
    </row>
    <row r="554" spans="1:12" x14ac:dyDescent="0.25">
      <c r="A554" s="13" t="s">
        <v>6602</v>
      </c>
      <c r="B554" s="14" t="s">
        <v>5493</v>
      </c>
      <c r="C554" s="14" t="s">
        <v>1442</v>
      </c>
      <c r="D554" s="14" t="s">
        <v>1443</v>
      </c>
      <c r="E554" s="14" t="s">
        <v>1444</v>
      </c>
      <c r="F554" s="21">
        <v>1901.02</v>
      </c>
      <c r="G554" s="14">
        <v>972</v>
      </c>
      <c r="H554" s="14">
        <v>0</v>
      </c>
      <c r="I554" s="14">
        <v>2</v>
      </c>
      <c r="J554" s="22">
        <v>0.68030859331517501</v>
      </c>
      <c r="K554" s="22">
        <v>0.31969140668482499</v>
      </c>
      <c r="L554" s="14">
        <v>0</v>
      </c>
    </row>
    <row r="555" spans="1:12" x14ac:dyDescent="0.25">
      <c r="A555" s="13" t="s">
        <v>5958</v>
      </c>
      <c r="B555" s="14" t="s">
        <v>17</v>
      </c>
      <c r="C555" s="14" t="s">
        <v>17</v>
      </c>
      <c r="D555" s="14" t="s">
        <v>1445</v>
      </c>
      <c r="E555" s="14" t="s">
        <v>1446</v>
      </c>
      <c r="F555" s="21">
        <v>2152.7600000000002</v>
      </c>
      <c r="G555" s="14">
        <v>9</v>
      </c>
      <c r="H555" s="14">
        <v>0</v>
      </c>
      <c r="I555" s="14">
        <v>43</v>
      </c>
      <c r="J555" s="22">
        <v>0.46090500361946601</v>
      </c>
      <c r="K555" s="22">
        <v>0.53909499638053404</v>
      </c>
      <c r="L555" s="14">
        <v>0</v>
      </c>
    </row>
    <row r="556" spans="1:12" x14ac:dyDescent="0.25">
      <c r="A556" s="13" t="s">
        <v>5959</v>
      </c>
      <c r="B556" s="14" t="s">
        <v>17</v>
      </c>
      <c r="C556" s="14" t="s">
        <v>17</v>
      </c>
      <c r="D556" s="14" t="s">
        <v>1445</v>
      </c>
      <c r="E556" s="14" t="s">
        <v>1448</v>
      </c>
      <c r="F556" s="21">
        <v>2174.85</v>
      </c>
      <c r="G556" s="14">
        <v>464</v>
      </c>
      <c r="H556" s="14">
        <v>0</v>
      </c>
      <c r="I556" s="14">
        <v>17</v>
      </c>
      <c r="J556" s="22">
        <v>0.143437803743796</v>
      </c>
      <c r="K556" s="22">
        <v>0.856562196256204</v>
      </c>
      <c r="L556" s="14">
        <v>0</v>
      </c>
    </row>
    <row r="557" spans="1:12" x14ac:dyDescent="0.25">
      <c r="A557" s="13" t="s">
        <v>5960</v>
      </c>
      <c r="B557" s="14" t="s">
        <v>17</v>
      </c>
      <c r="C557" s="14" t="s">
        <v>17</v>
      </c>
      <c r="D557" s="14" t="s">
        <v>1445</v>
      </c>
      <c r="E557" s="14" t="s">
        <v>1450</v>
      </c>
      <c r="F557" s="21">
        <v>2198.0300000000002</v>
      </c>
      <c r="G557" s="14">
        <v>502</v>
      </c>
      <c r="H557" s="14">
        <v>0</v>
      </c>
      <c r="I557" s="14">
        <v>35</v>
      </c>
      <c r="J557" s="22">
        <v>0.28445203501725103</v>
      </c>
      <c r="K557" s="22">
        <v>0.71554796498274897</v>
      </c>
      <c r="L557" s="14">
        <v>0</v>
      </c>
    </row>
    <row r="558" spans="1:12" x14ac:dyDescent="0.25">
      <c r="A558" s="13" t="s">
        <v>5961</v>
      </c>
      <c r="B558" s="14" t="s">
        <v>17</v>
      </c>
      <c r="C558" s="14" t="s">
        <v>17</v>
      </c>
      <c r="D558" s="14" t="s">
        <v>1445</v>
      </c>
      <c r="E558" s="14" t="s">
        <v>1452</v>
      </c>
      <c r="F558" s="21">
        <v>2269.15</v>
      </c>
      <c r="G558" s="14">
        <v>385</v>
      </c>
      <c r="H558" s="14">
        <v>0</v>
      </c>
      <c r="I558" s="14">
        <v>11</v>
      </c>
      <c r="J558" s="22">
        <v>0.24606618654228399</v>
      </c>
      <c r="K558" s="22">
        <v>0.75393381345771604</v>
      </c>
      <c r="L558" s="14">
        <v>0</v>
      </c>
    </row>
    <row r="559" spans="1:12" x14ac:dyDescent="0.25">
      <c r="A559" s="13" t="s">
        <v>5962</v>
      </c>
      <c r="B559" s="14" t="s">
        <v>17</v>
      </c>
      <c r="C559" s="14" t="s">
        <v>17</v>
      </c>
      <c r="D559" s="14" t="s">
        <v>1445</v>
      </c>
      <c r="E559" s="14" t="s">
        <v>1454</v>
      </c>
      <c r="F559" s="21">
        <v>2312.3000000000002</v>
      </c>
      <c r="G559" s="14">
        <v>648</v>
      </c>
      <c r="H559" s="14">
        <v>0</v>
      </c>
      <c r="I559" s="14">
        <v>28</v>
      </c>
      <c r="J559" s="22">
        <v>8.9165849224990504E-2</v>
      </c>
      <c r="K559" s="22">
        <v>0.91083415077500995</v>
      </c>
      <c r="L559" s="14">
        <v>0</v>
      </c>
    </row>
    <row r="560" spans="1:12" x14ac:dyDescent="0.25">
      <c r="A560" s="13" t="s">
        <v>5963</v>
      </c>
      <c r="B560" s="14" t="s">
        <v>17</v>
      </c>
      <c r="C560" s="14" t="s">
        <v>17</v>
      </c>
      <c r="D560" s="14" t="s">
        <v>1445</v>
      </c>
      <c r="E560" s="14" t="s">
        <v>1456</v>
      </c>
      <c r="F560" s="21">
        <v>2470.86</v>
      </c>
      <c r="G560" s="14">
        <v>84</v>
      </c>
      <c r="I560" s="14">
        <v>34</v>
      </c>
      <c r="J560" s="22">
        <v>0.37878021122071398</v>
      </c>
      <c r="K560" s="22">
        <v>0.62121978877928596</v>
      </c>
      <c r="L560" s="14">
        <v>0</v>
      </c>
    </row>
    <row r="561" spans="1:12" x14ac:dyDescent="0.25">
      <c r="A561" s="13" t="s">
        <v>5964</v>
      </c>
      <c r="B561" s="14" t="s">
        <v>17</v>
      </c>
      <c r="C561" s="14" t="s">
        <v>17</v>
      </c>
      <c r="D561" s="14" t="s">
        <v>1445</v>
      </c>
      <c r="E561" s="14" t="s">
        <v>1458</v>
      </c>
      <c r="F561" s="21">
        <v>4800</v>
      </c>
      <c r="G561" s="14">
        <v>381</v>
      </c>
      <c r="H561" s="14">
        <v>1</v>
      </c>
      <c r="I561" s="14">
        <v>46</v>
      </c>
      <c r="J561" s="22">
        <v>0.97186821328969497</v>
      </c>
      <c r="K561" s="22">
        <v>2.8131786710304699E-2</v>
      </c>
      <c r="L561" s="14">
        <v>0</v>
      </c>
    </row>
    <row r="562" spans="1:12" x14ac:dyDescent="0.25">
      <c r="A562" s="13" t="s">
        <v>6603</v>
      </c>
      <c r="B562" s="14" t="s">
        <v>607</v>
      </c>
      <c r="C562" s="14" t="s">
        <v>1460</v>
      </c>
      <c r="D562" s="14" t="s">
        <v>1461</v>
      </c>
      <c r="E562" s="14" t="s">
        <v>1462</v>
      </c>
      <c r="F562" s="21">
        <v>3120</v>
      </c>
      <c r="G562" s="14">
        <v>944</v>
      </c>
      <c r="H562" s="14">
        <v>1</v>
      </c>
      <c r="I562" s="14">
        <v>44</v>
      </c>
      <c r="J562" s="22">
        <v>0.71916899700804804</v>
      </c>
      <c r="K562" s="22">
        <v>0.28083100299195202</v>
      </c>
      <c r="L562" s="14">
        <v>0</v>
      </c>
    </row>
    <row r="563" spans="1:12" x14ac:dyDescent="0.25">
      <c r="A563" s="13">
        <v>3671254</v>
      </c>
      <c r="B563" s="14" t="s">
        <v>607</v>
      </c>
      <c r="C563" s="14" t="s">
        <v>1464</v>
      </c>
      <c r="D563" s="14" t="s">
        <v>1465</v>
      </c>
      <c r="E563" s="14" t="s">
        <v>1466</v>
      </c>
      <c r="F563" s="21">
        <v>3120</v>
      </c>
      <c r="G563" s="14">
        <v>479</v>
      </c>
      <c r="H563" s="14">
        <v>0</v>
      </c>
      <c r="I563" s="14">
        <v>6</v>
      </c>
      <c r="J563" s="22">
        <v>0.18538526872458599</v>
      </c>
      <c r="K563" s="22">
        <v>0.81461473127541395</v>
      </c>
      <c r="L563" s="14">
        <v>0</v>
      </c>
    </row>
    <row r="564" spans="1:12" x14ac:dyDescent="0.25">
      <c r="A564" s="13" t="s">
        <v>6604</v>
      </c>
      <c r="B564" s="14" t="s">
        <v>607</v>
      </c>
      <c r="C564" s="14" t="s">
        <v>1464</v>
      </c>
      <c r="D564" s="14" t="s">
        <v>1465</v>
      </c>
      <c r="E564" s="14" t="s">
        <v>1468</v>
      </c>
      <c r="F564" s="21">
        <v>3120</v>
      </c>
      <c r="G564" s="14">
        <v>753</v>
      </c>
      <c r="H564" s="14">
        <v>0</v>
      </c>
      <c r="I564" s="14">
        <v>50</v>
      </c>
      <c r="J564" s="22">
        <v>9.8259898403691801E-2</v>
      </c>
      <c r="K564" s="22">
        <v>0.90174010159630802</v>
      </c>
      <c r="L564" s="14">
        <v>0</v>
      </c>
    </row>
    <row r="565" spans="1:12" x14ac:dyDescent="0.25">
      <c r="A565" s="13" t="s">
        <v>6605</v>
      </c>
      <c r="B565" s="14" t="s">
        <v>607</v>
      </c>
      <c r="C565" s="14" t="s">
        <v>1464</v>
      </c>
      <c r="D565" s="14" t="s">
        <v>1465</v>
      </c>
      <c r="E565" s="14" t="s">
        <v>1470</v>
      </c>
      <c r="F565" s="21">
        <v>3120</v>
      </c>
      <c r="G565" s="14">
        <v>841</v>
      </c>
      <c r="H565" s="14">
        <v>1</v>
      </c>
      <c r="I565" s="14">
        <v>13</v>
      </c>
      <c r="J565" s="22">
        <v>0.60847748262914103</v>
      </c>
      <c r="K565" s="22">
        <v>0.39152251737085902</v>
      </c>
      <c r="L565" s="14">
        <v>0</v>
      </c>
    </row>
    <row r="566" spans="1:12" x14ac:dyDescent="0.25">
      <c r="A566" s="13" t="s">
        <v>6606</v>
      </c>
      <c r="B566" s="14" t="s">
        <v>607</v>
      </c>
      <c r="C566" s="14" t="s">
        <v>1464</v>
      </c>
      <c r="D566" s="14" t="s">
        <v>1465</v>
      </c>
      <c r="E566" s="14" t="s">
        <v>1472</v>
      </c>
      <c r="F566" s="21">
        <v>3120</v>
      </c>
      <c r="G566" s="14">
        <v>495</v>
      </c>
      <c r="H566" s="14">
        <v>0</v>
      </c>
      <c r="I566" s="14">
        <v>47</v>
      </c>
      <c r="J566" s="22">
        <v>0.85619264234717196</v>
      </c>
      <c r="K566" s="22">
        <v>0.14380735765282801</v>
      </c>
      <c r="L566" s="14">
        <v>0</v>
      </c>
    </row>
    <row r="567" spans="1:12" x14ac:dyDescent="0.25">
      <c r="A567" s="13" t="s">
        <v>6607</v>
      </c>
      <c r="B567" s="14" t="s">
        <v>607</v>
      </c>
      <c r="C567" s="14" t="s">
        <v>1464</v>
      </c>
      <c r="D567" s="14" t="s">
        <v>1465</v>
      </c>
      <c r="E567" s="14" t="s">
        <v>1474</v>
      </c>
      <c r="F567" s="21">
        <v>3120</v>
      </c>
      <c r="G567" s="14">
        <v>269</v>
      </c>
      <c r="H567" s="14">
        <v>1</v>
      </c>
      <c r="I567" s="14">
        <v>25</v>
      </c>
      <c r="J567" s="22">
        <v>0.46057460962029001</v>
      </c>
      <c r="K567" s="22">
        <v>0.53942539037971005</v>
      </c>
      <c r="L567" s="14">
        <v>0</v>
      </c>
    </row>
    <row r="568" spans="1:12" x14ac:dyDescent="0.25">
      <c r="A568" s="13" t="s">
        <v>1475</v>
      </c>
      <c r="B568" s="14" t="s">
        <v>607</v>
      </c>
      <c r="C568" s="14" t="s">
        <v>1464</v>
      </c>
      <c r="D568" s="14" t="s">
        <v>1465</v>
      </c>
      <c r="E568" s="14" t="s">
        <v>1476</v>
      </c>
      <c r="F568" s="21">
        <v>3120</v>
      </c>
      <c r="G568" s="14">
        <v>860</v>
      </c>
      <c r="H568" s="14">
        <v>1</v>
      </c>
      <c r="I568" s="14">
        <v>4</v>
      </c>
      <c r="J568" s="22">
        <v>0.78939188782845604</v>
      </c>
      <c r="K568" s="22">
        <v>0.21060811217154399</v>
      </c>
      <c r="L568" s="14">
        <v>0</v>
      </c>
    </row>
    <row r="569" spans="1:12" x14ac:dyDescent="0.25">
      <c r="A569" s="13">
        <v>3512392</v>
      </c>
      <c r="B569" s="14" t="s">
        <v>5416</v>
      </c>
      <c r="C569" s="14" t="s">
        <v>1464</v>
      </c>
      <c r="D569" s="14" t="s">
        <v>1465</v>
      </c>
      <c r="E569" s="14" t="s">
        <v>1478</v>
      </c>
      <c r="F569" s="21">
        <v>3120</v>
      </c>
      <c r="G569" s="14">
        <v>16</v>
      </c>
      <c r="H569" s="14">
        <v>1</v>
      </c>
      <c r="I569" s="14">
        <v>46</v>
      </c>
      <c r="J569" s="22">
        <v>0.15089200048079701</v>
      </c>
      <c r="K569" s="22">
        <v>0.84910799951920302</v>
      </c>
      <c r="L569" s="14">
        <v>0</v>
      </c>
    </row>
    <row r="570" spans="1:12" x14ac:dyDescent="0.25">
      <c r="A570" s="13" t="s">
        <v>1479</v>
      </c>
      <c r="B570" s="14" t="s">
        <v>5480</v>
      </c>
      <c r="C570" s="14" t="s">
        <v>1480</v>
      </c>
      <c r="D570" s="14" t="s">
        <v>1481</v>
      </c>
      <c r="E570" s="14" t="s">
        <v>1482</v>
      </c>
      <c r="F570" s="21">
        <v>2252.44</v>
      </c>
      <c r="G570" s="14">
        <v>309</v>
      </c>
      <c r="H570" s="14">
        <v>1</v>
      </c>
      <c r="I570" s="14">
        <v>18</v>
      </c>
      <c r="J570" s="22">
        <v>7.3985987684091897E-2</v>
      </c>
      <c r="K570" s="22">
        <v>0.92601401231590796</v>
      </c>
      <c r="L570" s="14">
        <v>0</v>
      </c>
    </row>
    <row r="571" spans="1:12" ht="26.4" x14ac:dyDescent="0.25">
      <c r="A571" s="20" t="s">
        <v>6608</v>
      </c>
      <c r="B571" s="14" t="s">
        <v>5484</v>
      </c>
      <c r="C571" s="14" t="s">
        <v>1480</v>
      </c>
      <c r="D571" s="14" t="s">
        <v>1481</v>
      </c>
      <c r="E571" s="14" t="s">
        <v>1484</v>
      </c>
      <c r="F571" s="21">
        <v>2868.08</v>
      </c>
      <c r="G571" s="14">
        <v>852</v>
      </c>
      <c r="H571" s="14">
        <v>0</v>
      </c>
      <c r="I571" s="14">
        <v>8</v>
      </c>
      <c r="J571" s="22">
        <v>0.71038066280871104</v>
      </c>
      <c r="K571" s="22">
        <v>0.28961933719128902</v>
      </c>
      <c r="L571" s="14">
        <v>0</v>
      </c>
    </row>
    <row r="572" spans="1:12" ht="39.6" x14ac:dyDescent="0.25">
      <c r="A572" s="20" t="s">
        <v>6609</v>
      </c>
      <c r="B572" s="14" t="s">
        <v>86</v>
      </c>
      <c r="C572" s="14" t="s">
        <v>1480</v>
      </c>
      <c r="D572" s="14" t="s">
        <v>1481</v>
      </c>
      <c r="E572" s="14" t="s">
        <v>1486</v>
      </c>
      <c r="F572" s="21">
        <v>3078.92</v>
      </c>
      <c r="G572" s="14">
        <v>900</v>
      </c>
      <c r="H572" s="14">
        <v>1</v>
      </c>
      <c r="I572" s="14">
        <v>18</v>
      </c>
      <c r="J572" s="22">
        <v>0.26292976962495301</v>
      </c>
      <c r="K572" s="22">
        <v>0.73707023037504704</v>
      </c>
      <c r="L572" s="14">
        <v>0</v>
      </c>
    </row>
    <row r="573" spans="1:12" x14ac:dyDescent="0.25">
      <c r="A573" s="13">
        <v>23999103</v>
      </c>
      <c r="B573" s="14" t="s">
        <v>5412</v>
      </c>
      <c r="C573" s="14" t="s">
        <v>1487</v>
      </c>
      <c r="D573" s="14" t="s">
        <v>1488</v>
      </c>
      <c r="E573" s="14" t="s">
        <v>1489</v>
      </c>
      <c r="F573" s="21">
        <v>3120</v>
      </c>
      <c r="G573" s="14">
        <v>169</v>
      </c>
      <c r="I573" s="14">
        <v>30</v>
      </c>
      <c r="J573" s="22">
        <v>0.82270470142166696</v>
      </c>
      <c r="K573" s="22">
        <v>0.17729529857833301</v>
      </c>
      <c r="L573" s="14">
        <v>0</v>
      </c>
    </row>
    <row r="574" spans="1:12" x14ac:dyDescent="0.25">
      <c r="A574" s="13" t="s">
        <v>6610</v>
      </c>
      <c r="B574" s="14" t="s">
        <v>607</v>
      </c>
      <c r="C574" s="14" t="s">
        <v>5593</v>
      </c>
      <c r="D574" s="14" t="s">
        <v>1488</v>
      </c>
      <c r="E574" s="14" t="s">
        <v>1491</v>
      </c>
      <c r="F574" s="21">
        <v>3120</v>
      </c>
      <c r="G574" s="14">
        <v>98</v>
      </c>
      <c r="H574" s="14">
        <v>0</v>
      </c>
      <c r="I574" s="14">
        <v>19</v>
      </c>
      <c r="J574" s="22">
        <v>0.58273206062433602</v>
      </c>
      <c r="K574" s="22">
        <v>0.41726793937566398</v>
      </c>
      <c r="L574" s="14">
        <v>0</v>
      </c>
    </row>
    <row r="575" spans="1:12" x14ac:dyDescent="0.25">
      <c r="A575" s="13" t="s">
        <v>6611</v>
      </c>
      <c r="B575" s="14" t="s">
        <v>607</v>
      </c>
      <c r="C575" s="14" t="s">
        <v>1487</v>
      </c>
      <c r="D575" s="14" t="s">
        <v>1488</v>
      </c>
      <c r="E575" s="14" t="s">
        <v>1493</v>
      </c>
      <c r="F575" s="21">
        <v>3120</v>
      </c>
      <c r="G575" s="14">
        <v>630</v>
      </c>
      <c r="H575" s="14">
        <v>0</v>
      </c>
      <c r="I575" s="14">
        <v>21</v>
      </c>
      <c r="J575" s="22">
        <v>0.44321768440367998</v>
      </c>
      <c r="K575" s="22">
        <v>0.55678231559631997</v>
      </c>
      <c r="L575" s="14">
        <v>0</v>
      </c>
    </row>
    <row r="576" spans="1:12" x14ac:dyDescent="0.25">
      <c r="A576" s="13" t="s">
        <v>1494</v>
      </c>
      <c r="B576" s="14" t="s">
        <v>406</v>
      </c>
      <c r="C576" s="14" t="s">
        <v>1495</v>
      </c>
      <c r="D576" s="14" t="s">
        <v>1496</v>
      </c>
      <c r="E576" s="14" t="s">
        <v>6612</v>
      </c>
      <c r="F576" s="21">
        <v>2534.5300000000002</v>
      </c>
      <c r="H576" s="14">
        <v>0</v>
      </c>
      <c r="I576" s="14">
        <v>24</v>
      </c>
      <c r="J576" s="22">
        <v>0.77105530582558601</v>
      </c>
      <c r="K576" s="22">
        <v>0.22894469417441399</v>
      </c>
      <c r="L576" s="14">
        <v>0</v>
      </c>
    </row>
    <row r="577" spans="1:12" x14ac:dyDescent="0.25">
      <c r="A577" s="13" t="s">
        <v>5952</v>
      </c>
      <c r="B577" s="14" t="s">
        <v>17</v>
      </c>
      <c r="C577" s="14" t="s">
        <v>1498</v>
      </c>
      <c r="D577" s="14" t="s">
        <v>1499</v>
      </c>
      <c r="E577" s="14" t="s">
        <v>1500</v>
      </c>
      <c r="F577" s="21">
        <v>615.72</v>
      </c>
      <c r="G577" s="14">
        <v>607</v>
      </c>
      <c r="H577" s="14">
        <v>0</v>
      </c>
      <c r="I577" s="14">
        <v>47</v>
      </c>
      <c r="J577" s="22">
        <v>0.81996522209781697</v>
      </c>
      <c r="K577" s="22">
        <v>0.180034777902183</v>
      </c>
      <c r="L577" s="14">
        <v>0</v>
      </c>
    </row>
    <row r="578" spans="1:12" x14ac:dyDescent="0.25">
      <c r="B578" s="14" t="s">
        <v>17</v>
      </c>
      <c r="C578" s="14" t="s">
        <v>1498</v>
      </c>
      <c r="D578" s="14" t="s">
        <v>1499</v>
      </c>
      <c r="E578" s="14" t="s">
        <v>1501</v>
      </c>
      <c r="F578" s="21">
        <v>2419.71</v>
      </c>
      <c r="G578" s="14">
        <v>975</v>
      </c>
      <c r="H578" s="14">
        <v>0</v>
      </c>
      <c r="I578" s="14">
        <v>32</v>
      </c>
      <c r="J578" s="22">
        <v>0.23862433737842301</v>
      </c>
      <c r="K578" s="22">
        <v>0.76137566262157697</v>
      </c>
      <c r="L578" s="14">
        <v>0</v>
      </c>
    </row>
    <row r="579" spans="1:12" x14ac:dyDescent="0.25">
      <c r="A579" s="13">
        <v>2828806</v>
      </c>
      <c r="B579" s="14" t="s">
        <v>1503</v>
      </c>
      <c r="C579" s="14" t="s">
        <v>1504</v>
      </c>
      <c r="D579" s="14" t="s">
        <v>1505</v>
      </c>
      <c r="E579" s="14" t="s">
        <v>1506</v>
      </c>
      <c r="F579" s="21">
        <v>1150</v>
      </c>
      <c r="G579" s="14">
        <v>436</v>
      </c>
      <c r="H579" s="14">
        <v>1</v>
      </c>
      <c r="I579" s="14">
        <v>39</v>
      </c>
      <c r="J579" s="22">
        <v>0.90958434816836198</v>
      </c>
      <c r="K579" s="22">
        <v>9.0415651831638397E-2</v>
      </c>
      <c r="L579" s="14">
        <v>0</v>
      </c>
    </row>
    <row r="580" spans="1:12" x14ac:dyDescent="0.25">
      <c r="A580" s="13">
        <v>3480985</v>
      </c>
      <c r="B580" s="14" t="s">
        <v>5469</v>
      </c>
      <c r="C580" s="14" t="s">
        <v>1509</v>
      </c>
      <c r="D580" s="14" t="s">
        <v>1510</v>
      </c>
      <c r="E580" s="14" t="s">
        <v>1511</v>
      </c>
      <c r="F580" s="21">
        <v>2350.9899999999998</v>
      </c>
      <c r="G580" s="14">
        <v>369</v>
      </c>
      <c r="H580" s="14">
        <v>0</v>
      </c>
      <c r="I580" s="14">
        <v>46</v>
      </c>
      <c r="J580" s="22">
        <v>0.80219697617091001</v>
      </c>
      <c r="K580" s="22">
        <v>0.19780302382909001</v>
      </c>
      <c r="L580" s="14">
        <v>0</v>
      </c>
    </row>
    <row r="581" spans="1:12" x14ac:dyDescent="0.25">
      <c r="A581" s="13" t="s">
        <v>5971</v>
      </c>
      <c r="B581" s="14" t="s">
        <v>5469</v>
      </c>
      <c r="C581" s="14" t="s">
        <v>1509</v>
      </c>
      <c r="D581" s="14" t="s">
        <v>1510</v>
      </c>
      <c r="E581" s="14" t="s">
        <v>1513</v>
      </c>
      <c r="F581" s="21">
        <v>2352.94</v>
      </c>
      <c r="G581" s="14">
        <v>79</v>
      </c>
      <c r="H581" s="14">
        <v>0</v>
      </c>
      <c r="I581" s="14">
        <v>41</v>
      </c>
      <c r="J581" s="22">
        <v>0.70891978465356098</v>
      </c>
      <c r="K581" s="22">
        <v>0.29108021534643902</v>
      </c>
      <c r="L581" s="14">
        <v>0</v>
      </c>
    </row>
    <row r="582" spans="1:12" x14ac:dyDescent="0.25">
      <c r="A582" s="13" t="s">
        <v>1514</v>
      </c>
      <c r="B582" s="14" t="s">
        <v>5470</v>
      </c>
      <c r="C582" s="14" t="s">
        <v>1509</v>
      </c>
      <c r="D582" s="14" t="s">
        <v>1510</v>
      </c>
      <c r="E582" s="14" t="s">
        <v>1515</v>
      </c>
      <c r="F582" s="21">
        <v>1875</v>
      </c>
      <c r="G582" s="14">
        <v>819</v>
      </c>
      <c r="H582" s="14">
        <v>0</v>
      </c>
      <c r="I582" s="14">
        <v>43</v>
      </c>
      <c r="J582" s="22">
        <v>0.75648743752479997</v>
      </c>
      <c r="K582" s="22">
        <v>0.24351256247520001</v>
      </c>
      <c r="L582" s="14">
        <v>0</v>
      </c>
    </row>
    <row r="583" spans="1:12" x14ac:dyDescent="0.25">
      <c r="A583" s="13" t="s">
        <v>6613</v>
      </c>
      <c r="B583" s="14" t="s">
        <v>1508</v>
      </c>
      <c r="C583" s="14" t="s">
        <v>1509</v>
      </c>
      <c r="D583" s="14" t="s">
        <v>1510</v>
      </c>
      <c r="E583" s="14" t="s">
        <v>1517</v>
      </c>
      <c r="F583" s="21">
        <v>1864.86</v>
      </c>
      <c r="G583" s="14">
        <v>220</v>
      </c>
      <c r="H583" s="14">
        <v>0</v>
      </c>
      <c r="I583" s="14">
        <v>18</v>
      </c>
      <c r="J583" s="22">
        <v>0.75761545531937402</v>
      </c>
      <c r="K583" s="22">
        <v>0.24238454468062601</v>
      </c>
      <c r="L583" s="14">
        <v>0</v>
      </c>
    </row>
    <row r="584" spans="1:12" ht="39.6" x14ac:dyDescent="0.25">
      <c r="A584" s="20" t="s">
        <v>6614</v>
      </c>
      <c r="B584" s="14" t="s">
        <v>1508</v>
      </c>
      <c r="C584" s="14" t="s">
        <v>1509</v>
      </c>
      <c r="D584" s="14" t="s">
        <v>1510</v>
      </c>
      <c r="E584" s="14" t="s">
        <v>1519</v>
      </c>
      <c r="F584" s="21">
        <v>2246.2199999999998</v>
      </c>
      <c r="G584" s="14">
        <v>634</v>
      </c>
      <c r="H584" s="14">
        <v>1</v>
      </c>
      <c r="I584" s="14">
        <v>26</v>
      </c>
      <c r="J584" s="22">
        <v>0.174952701874212</v>
      </c>
      <c r="K584" s="22">
        <v>0.82504729812578803</v>
      </c>
      <c r="L584" s="14">
        <v>0</v>
      </c>
    </row>
    <row r="585" spans="1:12" ht="26.4" x14ac:dyDescent="0.25">
      <c r="A585" s="20" t="s">
        <v>6615</v>
      </c>
      <c r="B585" s="14" t="s">
        <v>1508</v>
      </c>
      <c r="C585" s="14" t="s">
        <v>1509</v>
      </c>
      <c r="D585" s="14" t="s">
        <v>1510</v>
      </c>
      <c r="E585" s="14" t="s">
        <v>1521</v>
      </c>
      <c r="F585" s="21">
        <v>2247.02</v>
      </c>
      <c r="G585" s="14">
        <v>419</v>
      </c>
      <c r="H585" s="14">
        <v>1</v>
      </c>
      <c r="I585" s="14">
        <v>14</v>
      </c>
      <c r="J585" s="22">
        <v>0.66918219868981499</v>
      </c>
      <c r="K585" s="22">
        <v>0.33081780131018501</v>
      </c>
      <c r="L585" s="14">
        <v>0</v>
      </c>
    </row>
    <row r="586" spans="1:12" x14ac:dyDescent="0.25">
      <c r="A586" s="13" t="s">
        <v>5952</v>
      </c>
      <c r="B586" s="14" t="s">
        <v>5460</v>
      </c>
      <c r="C586" s="14" t="s">
        <v>1522</v>
      </c>
      <c r="D586" s="14" t="s">
        <v>1523</v>
      </c>
      <c r="E586" s="14" t="s">
        <v>1524</v>
      </c>
      <c r="F586" s="21">
        <v>2475.6</v>
      </c>
      <c r="G586" s="14">
        <v>347</v>
      </c>
      <c r="H586" s="14">
        <v>1</v>
      </c>
      <c r="I586" s="14">
        <v>42</v>
      </c>
      <c r="J586" s="22">
        <v>0.24061405424945601</v>
      </c>
      <c r="K586" s="22">
        <v>0.75938594575054397</v>
      </c>
      <c r="L586" s="14">
        <v>0</v>
      </c>
    </row>
    <row r="587" spans="1:12" x14ac:dyDescent="0.25">
      <c r="A587" s="13" t="s">
        <v>6616</v>
      </c>
      <c r="B587" s="14" t="s">
        <v>1526</v>
      </c>
      <c r="C587" s="14" t="s">
        <v>5594</v>
      </c>
      <c r="D587" s="14" t="s">
        <v>1528</v>
      </c>
      <c r="E587" s="14" t="s">
        <v>1529</v>
      </c>
      <c r="F587" s="21">
        <v>1800</v>
      </c>
      <c r="G587" s="14">
        <v>291</v>
      </c>
      <c r="H587" s="14">
        <v>0</v>
      </c>
      <c r="I587" s="14" t="s">
        <v>6314</v>
      </c>
      <c r="J587" s="22">
        <v>0.98822000965063295</v>
      </c>
      <c r="K587" s="22">
        <v>1.17799903493666E-2</v>
      </c>
      <c r="L587" s="14">
        <v>0</v>
      </c>
    </row>
    <row r="588" spans="1:12" x14ac:dyDescent="0.25">
      <c r="A588" s="13" t="s">
        <v>6617</v>
      </c>
      <c r="B588" s="14" t="s">
        <v>113</v>
      </c>
      <c r="C588" s="14" t="s">
        <v>1531</v>
      </c>
      <c r="D588" s="14" t="s">
        <v>1532</v>
      </c>
      <c r="E588" s="14" t="s">
        <v>1533</v>
      </c>
      <c r="F588" s="21">
        <v>1800</v>
      </c>
      <c r="G588" s="14">
        <v>529</v>
      </c>
      <c r="H588" s="14">
        <v>0</v>
      </c>
      <c r="I588" s="14">
        <v>34</v>
      </c>
      <c r="J588" s="22">
        <v>9.8430311796778303E-2</v>
      </c>
      <c r="K588" s="22">
        <v>0.90156968820322203</v>
      </c>
      <c r="L588" s="14">
        <v>0</v>
      </c>
    </row>
    <row r="589" spans="1:12" ht="39.6" x14ac:dyDescent="0.25">
      <c r="A589" s="20" t="s">
        <v>6618</v>
      </c>
      <c r="B589" s="14" t="s">
        <v>113</v>
      </c>
      <c r="C589" s="14" t="s">
        <v>1531</v>
      </c>
      <c r="D589" s="14" t="s">
        <v>1532</v>
      </c>
      <c r="E589" s="14" t="s">
        <v>6619</v>
      </c>
      <c r="F589" s="21">
        <v>2034</v>
      </c>
      <c r="G589" s="14">
        <v>30</v>
      </c>
      <c r="H589" s="14">
        <v>0</v>
      </c>
      <c r="I589" s="14">
        <v>14</v>
      </c>
      <c r="J589" s="22">
        <v>9.3943547624665405E-2</v>
      </c>
      <c r="K589" s="22">
        <v>0.90605645237533505</v>
      </c>
      <c r="L589" s="14">
        <v>0</v>
      </c>
    </row>
    <row r="590" spans="1:12" x14ac:dyDescent="0.25">
      <c r="A590" s="13" t="s">
        <v>1536</v>
      </c>
      <c r="B590" s="14" t="s">
        <v>388</v>
      </c>
      <c r="C590" s="14" t="s">
        <v>1537</v>
      </c>
      <c r="D590" s="14" t="s">
        <v>1538</v>
      </c>
      <c r="E590" s="14" t="s">
        <v>1539</v>
      </c>
      <c r="F590" s="21">
        <v>487.9</v>
      </c>
      <c r="G590" s="14">
        <v>986</v>
      </c>
      <c r="H590" s="14">
        <v>0</v>
      </c>
      <c r="I590" s="14">
        <v>34</v>
      </c>
      <c r="J590" s="22">
        <v>0.49117373361396199</v>
      </c>
      <c r="K590" s="22">
        <v>0.50882626638603901</v>
      </c>
      <c r="L590" s="14">
        <v>0</v>
      </c>
    </row>
    <row r="591" spans="1:12" x14ac:dyDescent="0.25">
      <c r="B591" s="14" t="s">
        <v>388</v>
      </c>
      <c r="C591" s="14" t="s">
        <v>1537</v>
      </c>
      <c r="D591" s="14" t="s">
        <v>1538</v>
      </c>
      <c r="E591" s="14" t="s">
        <v>1540</v>
      </c>
      <c r="F591" s="21">
        <v>493.07</v>
      </c>
      <c r="H591" s="14">
        <v>0</v>
      </c>
      <c r="I591" s="14">
        <v>48</v>
      </c>
      <c r="J591" s="22">
        <v>0.52953411196036904</v>
      </c>
      <c r="K591" s="22">
        <v>0.47046588803963102</v>
      </c>
      <c r="L591" s="14">
        <v>0</v>
      </c>
    </row>
    <row r="592" spans="1:12" x14ac:dyDescent="0.25">
      <c r="A592" s="13" t="s">
        <v>1541</v>
      </c>
      <c r="B592" s="14" t="s">
        <v>388</v>
      </c>
      <c r="C592" s="14" t="s">
        <v>5595</v>
      </c>
      <c r="D592" s="14" t="s">
        <v>1538</v>
      </c>
      <c r="E592" s="14" t="s">
        <v>1542</v>
      </c>
      <c r="F592" s="21">
        <v>409.78</v>
      </c>
      <c r="G592" s="14">
        <v>288</v>
      </c>
      <c r="I592" s="14">
        <v>26</v>
      </c>
      <c r="J592" s="22">
        <v>0.19910468321108801</v>
      </c>
      <c r="K592" s="22">
        <v>0.80089531678891202</v>
      </c>
      <c r="L592" s="14">
        <v>0</v>
      </c>
    </row>
    <row r="593" spans="1:12" x14ac:dyDescent="0.25">
      <c r="A593" s="13" t="s">
        <v>1543</v>
      </c>
      <c r="B593" s="14" t="s">
        <v>388</v>
      </c>
      <c r="C593" s="14" t="s">
        <v>5595</v>
      </c>
      <c r="D593" s="14" t="s">
        <v>1538</v>
      </c>
      <c r="E593" s="14" t="s">
        <v>1544</v>
      </c>
      <c r="F593" s="21">
        <v>607.54</v>
      </c>
      <c r="G593" s="14">
        <v>990</v>
      </c>
      <c r="H593" s="14">
        <v>0</v>
      </c>
      <c r="I593" s="14">
        <v>40</v>
      </c>
      <c r="J593" s="22">
        <v>0.61066108003688802</v>
      </c>
      <c r="K593" s="22">
        <v>0.38933891996311198</v>
      </c>
      <c r="L593" s="14">
        <v>0</v>
      </c>
    </row>
    <row r="594" spans="1:12" x14ac:dyDescent="0.25">
      <c r="B594" s="14" t="s">
        <v>86</v>
      </c>
      <c r="C594" s="14" t="s">
        <v>1545</v>
      </c>
      <c r="D594" s="14" t="s">
        <v>1546</v>
      </c>
      <c r="E594" s="14" t="s">
        <v>1547</v>
      </c>
      <c r="F594" s="21">
        <v>1500</v>
      </c>
      <c r="G594" s="14">
        <v>335</v>
      </c>
      <c r="H594" s="14">
        <v>1</v>
      </c>
      <c r="I594" s="14">
        <v>10</v>
      </c>
      <c r="J594" s="22">
        <v>0.83116174610159399</v>
      </c>
      <c r="K594" s="22">
        <v>0.16883825389840601</v>
      </c>
      <c r="L594" s="14">
        <v>0</v>
      </c>
    </row>
    <row r="595" spans="1:12" x14ac:dyDescent="0.25">
      <c r="A595" s="13">
        <v>3734649</v>
      </c>
      <c r="B595" s="14" t="s">
        <v>6550</v>
      </c>
      <c r="C595" s="14" t="s">
        <v>1545</v>
      </c>
      <c r="D595" s="14" t="s">
        <v>1546</v>
      </c>
      <c r="E595" s="14" t="s">
        <v>6620</v>
      </c>
      <c r="F595" s="21">
        <v>1834.77</v>
      </c>
      <c r="G595" s="14">
        <v>763</v>
      </c>
      <c r="H595" s="14">
        <v>1</v>
      </c>
      <c r="I595" s="14">
        <v>31</v>
      </c>
      <c r="J595" s="22">
        <v>0.18329935145526399</v>
      </c>
      <c r="K595" s="22">
        <v>0.81670064854473601</v>
      </c>
      <c r="L595" s="14">
        <v>0</v>
      </c>
    </row>
    <row r="596" spans="1:12" x14ac:dyDescent="0.25">
      <c r="A596" s="13">
        <v>23750825</v>
      </c>
      <c r="B596" s="14" t="s">
        <v>6550</v>
      </c>
      <c r="C596" s="14" t="s">
        <v>1545</v>
      </c>
      <c r="D596" s="14" t="s">
        <v>1546</v>
      </c>
      <c r="E596" s="14" t="s">
        <v>1550</v>
      </c>
      <c r="F596" s="21">
        <v>1834.77</v>
      </c>
      <c r="G596" s="14">
        <v>997</v>
      </c>
      <c r="H596" s="14">
        <v>1</v>
      </c>
      <c r="I596" s="14">
        <v>6</v>
      </c>
      <c r="J596" s="22">
        <v>0.71171239440759504</v>
      </c>
      <c r="K596" s="22">
        <v>0.28828760559240502</v>
      </c>
      <c r="L596" s="14">
        <v>0</v>
      </c>
    </row>
    <row r="597" spans="1:12" ht="52.8" x14ac:dyDescent="0.25">
      <c r="A597" s="20" t="s">
        <v>6621</v>
      </c>
      <c r="B597" s="14" t="s">
        <v>17</v>
      </c>
      <c r="C597" s="14" t="s">
        <v>1552</v>
      </c>
      <c r="D597" s="14" t="s">
        <v>1553</v>
      </c>
      <c r="E597" s="14" t="s">
        <v>1554</v>
      </c>
      <c r="F597" s="21">
        <v>2483.12</v>
      </c>
      <c r="G597" s="14">
        <v>620</v>
      </c>
      <c r="H597" s="14">
        <v>0</v>
      </c>
      <c r="I597" s="14">
        <v>47</v>
      </c>
      <c r="J597" s="22">
        <v>0.35698605445397902</v>
      </c>
      <c r="K597" s="22">
        <v>0.64301394554602198</v>
      </c>
      <c r="L597" s="14">
        <v>0</v>
      </c>
    </row>
    <row r="598" spans="1:12" x14ac:dyDescent="0.25">
      <c r="A598" s="13" t="s">
        <v>6622</v>
      </c>
      <c r="B598" s="14" t="s">
        <v>378</v>
      </c>
      <c r="C598" s="14" t="s">
        <v>1556</v>
      </c>
      <c r="D598" s="14" t="s">
        <v>1557</v>
      </c>
      <c r="E598" s="14" t="s">
        <v>1558</v>
      </c>
      <c r="F598" s="21">
        <v>270</v>
      </c>
      <c r="G598" s="14">
        <v>991</v>
      </c>
      <c r="H598" s="14">
        <v>0</v>
      </c>
      <c r="I598" s="14">
        <v>19</v>
      </c>
      <c r="J598" s="22">
        <v>0.73917606730341501</v>
      </c>
      <c r="K598" s="22">
        <v>0.26082393269658499</v>
      </c>
      <c r="L598" s="14">
        <v>0</v>
      </c>
    </row>
    <row r="599" spans="1:12" x14ac:dyDescent="0.25">
      <c r="A599" s="13">
        <v>3534410</v>
      </c>
      <c r="B599" s="14" t="s">
        <v>6345</v>
      </c>
      <c r="C599" s="14" t="s">
        <v>5596</v>
      </c>
      <c r="D599" s="14" t="s">
        <v>1561</v>
      </c>
      <c r="E599" s="14" t="s">
        <v>1562</v>
      </c>
      <c r="F599" s="21">
        <v>1987.56</v>
      </c>
      <c r="G599" s="14">
        <v>359</v>
      </c>
      <c r="H599" s="14">
        <v>1</v>
      </c>
      <c r="I599" s="14">
        <v>46</v>
      </c>
      <c r="J599" s="22">
        <v>0.23852873967286101</v>
      </c>
      <c r="K599" s="22">
        <v>0.76147126032713897</v>
      </c>
      <c r="L599" s="14">
        <v>0</v>
      </c>
    </row>
    <row r="600" spans="1:12" x14ac:dyDescent="0.25">
      <c r="A600" s="13" t="s">
        <v>1563</v>
      </c>
      <c r="B600" s="14" t="s">
        <v>333</v>
      </c>
      <c r="C600" s="14" t="s">
        <v>1564</v>
      </c>
      <c r="D600" s="14" t="s">
        <v>1565</v>
      </c>
      <c r="E600" s="14" t="s">
        <v>1566</v>
      </c>
      <c r="F600" s="21">
        <v>1653.18</v>
      </c>
      <c r="H600" s="14">
        <v>0</v>
      </c>
      <c r="I600" s="14">
        <v>21</v>
      </c>
      <c r="J600" s="22">
        <v>0.649035360259965</v>
      </c>
      <c r="K600" s="22">
        <v>0.350964639740035</v>
      </c>
      <c r="L600" s="14">
        <v>0</v>
      </c>
    </row>
    <row r="601" spans="1:12" x14ac:dyDescent="0.25">
      <c r="A601" s="13" t="s">
        <v>1567</v>
      </c>
      <c r="B601" s="14" t="s">
        <v>333</v>
      </c>
      <c r="C601" s="14" t="s">
        <v>1564</v>
      </c>
      <c r="D601" s="14" t="s">
        <v>1565</v>
      </c>
      <c r="E601" s="14" t="s">
        <v>1568</v>
      </c>
      <c r="F601" s="21">
        <v>2316.16</v>
      </c>
      <c r="G601" s="14">
        <v>355</v>
      </c>
      <c r="H601" s="14">
        <v>1</v>
      </c>
      <c r="I601" s="14">
        <v>49</v>
      </c>
      <c r="J601" s="22">
        <v>0.63338470883846498</v>
      </c>
      <c r="K601" s="22">
        <v>0.36661529116153602</v>
      </c>
      <c r="L601" s="14">
        <v>0</v>
      </c>
    </row>
    <row r="602" spans="1:12" x14ac:dyDescent="0.25">
      <c r="A602" s="13">
        <v>23881859</v>
      </c>
      <c r="B602" s="14" t="s">
        <v>6550</v>
      </c>
      <c r="C602" s="14" t="s">
        <v>5600</v>
      </c>
      <c r="D602" s="14" t="s">
        <v>1570</v>
      </c>
      <c r="E602" s="14" t="s">
        <v>1571</v>
      </c>
      <c r="F602" s="21">
        <v>1834.77</v>
      </c>
      <c r="G602" s="14">
        <v>915</v>
      </c>
      <c r="H602" s="14">
        <v>0</v>
      </c>
      <c r="I602" s="14">
        <v>12</v>
      </c>
      <c r="J602" s="22">
        <v>8.2784294806843607E-3</v>
      </c>
      <c r="K602" s="22">
        <v>0.99172157051931598</v>
      </c>
      <c r="L602" s="14">
        <v>0</v>
      </c>
    </row>
    <row r="603" spans="1:12" x14ac:dyDescent="0.25">
      <c r="A603" s="13">
        <v>2361679</v>
      </c>
      <c r="B603" s="14" t="s">
        <v>69</v>
      </c>
      <c r="C603" s="14" t="s">
        <v>1573</v>
      </c>
      <c r="D603" s="14" t="s">
        <v>1574</v>
      </c>
      <c r="E603" s="14" t="s">
        <v>1575</v>
      </c>
      <c r="F603" s="21">
        <v>2331.9499999999998</v>
      </c>
      <c r="G603" s="14">
        <v>422</v>
      </c>
      <c r="H603" s="14">
        <v>0</v>
      </c>
      <c r="I603" s="14">
        <v>48</v>
      </c>
      <c r="J603" s="22">
        <v>0.19786109010043401</v>
      </c>
      <c r="K603" s="22">
        <v>0.80213890989956704</v>
      </c>
      <c r="L603" s="14">
        <v>0</v>
      </c>
    </row>
    <row r="604" spans="1:12" x14ac:dyDescent="0.25">
      <c r="A604" s="13" t="s">
        <v>6623</v>
      </c>
      <c r="B604" s="14" t="s">
        <v>69</v>
      </c>
      <c r="C604" s="14" t="s">
        <v>5597</v>
      </c>
      <c r="D604" s="14" t="s">
        <v>1574</v>
      </c>
      <c r="E604" s="14" t="s">
        <v>1577</v>
      </c>
      <c r="F604" s="21">
        <v>2285.92</v>
      </c>
      <c r="G604" s="14">
        <v>558</v>
      </c>
      <c r="H604" s="14">
        <v>0</v>
      </c>
      <c r="I604" s="14">
        <v>1</v>
      </c>
      <c r="J604" s="22">
        <v>0.13313475773049499</v>
      </c>
      <c r="K604" s="22">
        <v>0.86686524226950501</v>
      </c>
      <c r="L604" s="14">
        <v>0</v>
      </c>
    </row>
    <row r="605" spans="1:12" x14ac:dyDescent="0.25">
      <c r="A605" s="13" t="s">
        <v>5901</v>
      </c>
      <c r="B605" s="14" t="s">
        <v>5417</v>
      </c>
      <c r="C605" s="14" t="s">
        <v>5598</v>
      </c>
      <c r="D605" s="14" t="s">
        <v>1579</v>
      </c>
      <c r="E605" s="14" t="s">
        <v>1580</v>
      </c>
      <c r="F605" s="21">
        <v>2040</v>
      </c>
      <c r="G605" s="14">
        <v>608</v>
      </c>
      <c r="H605" s="14">
        <v>0</v>
      </c>
      <c r="I605" s="14">
        <v>28</v>
      </c>
      <c r="J605" s="22">
        <v>0.37751735459879099</v>
      </c>
      <c r="K605" s="22">
        <v>0.62248264540120901</v>
      </c>
      <c r="L605" s="14">
        <v>0</v>
      </c>
    </row>
    <row r="606" spans="1:12" x14ac:dyDescent="0.25">
      <c r="B606" s="14" t="s">
        <v>5442</v>
      </c>
      <c r="C606" s="14" t="s">
        <v>1581</v>
      </c>
      <c r="D606" s="14" t="s">
        <v>1582</v>
      </c>
      <c r="E606" s="14" t="s">
        <v>1583</v>
      </c>
      <c r="F606" s="21">
        <v>800</v>
      </c>
      <c r="G606" s="14">
        <v>120</v>
      </c>
      <c r="H606" s="14">
        <v>1</v>
      </c>
      <c r="I606" s="14">
        <v>48</v>
      </c>
      <c r="J606" s="22">
        <v>7.2306757416037301E-2</v>
      </c>
      <c r="K606" s="22">
        <v>0.92769324258396302</v>
      </c>
      <c r="L606" s="14">
        <v>0</v>
      </c>
    </row>
    <row r="607" spans="1:12" x14ac:dyDescent="0.25">
      <c r="A607" s="13" t="s">
        <v>1584</v>
      </c>
      <c r="B607" s="14" t="s">
        <v>17</v>
      </c>
      <c r="C607" s="14" t="s">
        <v>5599</v>
      </c>
      <c r="D607" s="14" t="s">
        <v>1586</v>
      </c>
      <c r="E607" s="14" t="s">
        <v>1587</v>
      </c>
      <c r="F607" s="21">
        <v>2228</v>
      </c>
      <c r="G607" s="14">
        <v>193</v>
      </c>
      <c r="H607" s="14">
        <v>1</v>
      </c>
      <c r="I607" s="14">
        <v>27</v>
      </c>
      <c r="J607" s="22">
        <v>0.24818738475452401</v>
      </c>
      <c r="K607" s="22">
        <v>0.75181261524547605</v>
      </c>
      <c r="L607" s="14">
        <v>1028</v>
      </c>
    </row>
    <row r="608" spans="1:12" x14ac:dyDescent="0.25">
      <c r="A608" s="13" t="s">
        <v>1588</v>
      </c>
      <c r="B608" s="14" t="s">
        <v>69</v>
      </c>
      <c r="C608" s="14" t="s">
        <v>1589</v>
      </c>
      <c r="D608" s="14" t="s">
        <v>1590</v>
      </c>
      <c r="E608" s="14" t="s">
        <v>1591</v>
      </c>
      <c r="F608" s="21">
        <v>1632.89</v>
      </c>
      <c r="G608" s="14">
        <v>54</v>
      </c>
      <c r="H608" s="14">
        <v>0</v>
      </c>
      <c r="I608" s="14">
        <v>20</v>
      </c>
      <c r="J608" s="22">
        <v>0.46400580944610798</v>
      </c>
      <c r="K608" s="22">
        <v>0.53599419055389197</v>
      </c>
      <c r="L608" s="14">
        <v>0</v>
      </c>
    </row>
    <row r="609" spans="1:12" x14ac:dyDescent="0.25">
      <c r="A609" s="13" t="s">
        <v>6624</v>
      </c>
      <c r="B609" s="14" t="s">
        <v>5347</v>
      </c>
      <c r="C609" s="14" t="s">
        <v>1594</v>
      </c>
      <c r="D609" s="14" t="s">
        <v>1595</v>
      </c>
      <c r="E609" s="14" t="s">
        <v>1596</v>
      </c>
      <c r="F609" s="21">
        <v>1200</v>
      </c>
      <c r="G609" s="14">
        <v>500</v>
      </c>
      <c r="H609" s="14">
        <v>0</v>
      </c>
      <c r="I609" s="14">
        <v>46</v>
      </c>
      <c r="J609" s="22">
        <v>0.37864280841466003</v>
      </c>
      <c r="K609" s="22">
        <v>0.62135719158533997</v>
      </c>
      <c r="L609" s="14">
        <v>0</v>
      </c>
    </row>
    <row r="610" spans="1:12" ht="39.6" x14ac:dyDescent="0.25">
      <c r="A610" s="20" t="s">
        <v>6625</v>
      </c>
      <c r="B610" s="14" t="s">
        <v>5381</v>
      </c>
      <c r="C610" s="14" t="s">
        <v>1594</v>
      </c>
      <c r="D610" s="14" t="s">
        <v>1595</v>
      </c>
      <c r="E610" s="14" t="s">
        <v>1599</v>
      </c>
      <c r="F610" s="21">
        <v>1440</v>
      </c>
      <c r="G610" s="14">
        <v>245</v>
      </c>
      <c r="H610" s="14">
        <v>0</v>
      </c>
      <c r="I610" s="14">
        <v>45</v>
      </c>
      <c r="J610" s="22">
        <v>0.411281744371637</v>
      </c>
      <c r="K610" s="22">
        <v>0.588718255628363</v>
      </c>
      <c r="L610" s="14">
        <v>0</v>
      </c>
    </row>
    <row r="611" spans="1:12" x14ac:dyDescent="0.25">
      <c r="A611" s="13" t="s">
        <v>5952</v>
      </c>
      <c r="B611" s="14" t="s">
        <v>5460</v>
      </c>
      <c r="C611" s="14" t="s">
        <v>1600</v>
      </c>
      <c r="D611" s="14" t="s">
        <v>1601</v>
      </c>
      <c r="E611" s="14" t="s">
        <v>1602</v>
      </c>
      <c r="F611" s="21">
        <v>2260.8000000000002</v>
      </c>
      <c r="H611" s="14">
        <v>0</v>
      </c>
      <c r="I611" s="14">
        <v>16</v>
      </c>
      <c r="J611" s="22">
        <v>0.66614013203246303</v>
      </c>
      <c r="K611" s="22">
        <v>0.33385986796753703</v>
      </c>
      <c r="L611" s="14">
        <v>0</v>
      </c>
    </row>
    <row r="612" spans="1:12" x14ac:dyDescent="0.25">
      <c r="A612" s="13" t="s">
        <v>1603</v>
      </c>
      <c r="B612" s="14" t="s">
        <v>69</v>
      </c>
      <c r="C612" s="14" t="s">
        <v>1604</v>
      </c>
      <c r="D612" s="14" t="s">
        <v>1595</v>
      </c>
      <c r="E612" s="14" t="s">
        <v>1605</v>
      </c>
      <c r="F612" s="21">
        <v>1899.66</v>
      </c>
      <c r="G612" s="14">
        <v>780</v>
      </c>
      <c r="H612" s="14">
        <v>0</v>
      </c>
      <c r="I612" s="14">
        <v>4</v>
      </c>
      <c r="J612" s="22">
        <v>0.96684741693839205</v>
      </c>
      <c r="K612" s="22">
        <v>3.3152583061607697E-2</v>
      </c>
      <c r="L612" s="14">
        <v>0</v>
      </c>
    </row>
    <row r="613" spans="1:12" x14ac:dyDescent="0.25">
      <c r="A613" s="13">
        <v>3696174</v>
      </c>
      <c r="B613" s="14" t="s">
        <v>69</v>
      </c>
      <c r="C613" s="14" t="s">
        <v>1604</v>
      </c>
      <c r="D613" s="14" t="s">
        <v>1595</v>
      </c>
      <c r="E613" s="14" t="s">
        <v>1607</v>
      </c>
      <c r="F613" s="21">
        <v>2220.9</v>
      </c>
      <c r="G613" s="14">
        <v>223</v>
      </c>
      <c r="H613" s="14">
        <v>1</v>
      </c>
      <c r="I613" s="14">
        <v>22</v>
      </c>
      <c r="J613" s="22">
        <v>6.9146710198529901E-2</v>
      </c>
      <c r="K613" s="22">
        <v>0.93085328980146997</v>
      </c>
      <c r="L613" s="14">
        <v>0</v>
      </c>
    </row>
    <row r="614" spans="1:12" x14ac:dyDescent="0.25">
      <c r="B614" s="14" t="s">
        <v>1608</v>
      </c>
      <c r="C614" s="14" t="s">
        <v>1609</v>
      </c>
      <c r="D614" s="14" t="s">
        <v>1610</v>
      </c>
      <c r="E614" s="14" t="s">
        <v>1611</v>
      </c>
      <c r="F614" s="21">
        <v>779.72</v>
      </c>
      <c r="G614" s="14">
        <v>92</v>
      </c>
      <c r="H614" s="14">
        <v>0</v>
      </c>
      <c r="I614" s="14">
        <v>30</v>
      </c>
      <c r="J614" s="22">
        <v>0.25283252321321797</v>
      </c>
      <c r="K614" s="22">
        <v>0.74716747678678197</v>
      </c>
      <c r="L614" s="14">
        <v>0</v>
      </c>
    </row>
    <row r="615" spans="1:12" x14ac:dyDescent="0.25">
      <c r="A615" s="13" t="s">
        <v>6626</v>
      </c>
      <c r="B615" s="14" t="s">
        <v>5413</v>
      </c>
      <c r="C615" s="14" t="s">
        <v>1613</v>
      </c>
      <c r="D615" s="14" t="s">
        <v>1614</v>
      </c>
      <c r="E615" s="14" t="s">
        <v>1615</v>
      </c>
      <c r="F615" s="21">
        <v>2400</v>
      </c>
      <c r="G615" s="14">
        <v>527</v>
      </c>
      <c r="H615" s="14">
        <v>0</v>
      </c>
      <c r="I615" s="14">
        <v>29</v>
      </c>
      <c r="J615" s="22">
        <v>9.48591593643449E-2</v>
      </c>
      <c r="K615" s="22">
        <v>0.90514084063565503</v>
      </c>
      <c r="L615" s="14">
        <v>0</v>
      </c>
    </row>
    <row r="616" spans="1:12" x14ac:dyDescent="0.25">
      <c r="A616" s="13">
        <v>23632796</v>
      </c>
      <c r="B616" s="14" t="s">
        <v>607</v>
      </c>
      <c r="C616" s="14" t="s">
        <v>1613</v>
      </c>
      <c r="D616" s="14" t="s">
        <v>1614</v>
      </c>
      <c r="E616" s="14" t="s">
        <v>1616</v>
      </c>
      <c r="F616" s="21">
        <v>2400</v>
      </c>
      <c r="G616" s="14">
        <v>416</v>
      </c>
      <c r="H616" s="14">
        <v>0</v>
      </c>
      <c r="I616" s="14">
        <v>27</v>
      </c>
      <c r="J616" s="22">
        <v>0.176200959122398</v>
      </c>
      <c r="K616" s="22">
        <v>0.82379904087760203</v>
      </c>
      <c r="L616" s="14">
        <v>0</v>
      </c>
    </row>
    <row r="617" spans="1:12" x14ac:dyDescent="0.25">
      <c r="A617" s="13" t="s">
        <v>6627</v>
      </c>
      <c r="B617" s="14" t="s">
        <v>5479</v>
      </c>
      <c r="C617" s="14" t="s">
        <v>1569</v>
      </c>
      <c r="D617" s="14" t="s">
        <v>1618</v>
      </c>
      <c r="E617" s="14" t="s">
        <v>1619</v>
      </c>
      <c r="F617" s="21">
        <v>2256.65</v>
      </c>
      <c r="G617" s="14">
        <v>597</v>
      </c>
      <c r="H617" s="14">
        <v>1</v>
      </c>
      <c r="I617" s="14">
        <v>47</v>
      </c>
      <c r="J617" s="22">
        <v>0.98269206791111197</v>
      </c>
      <c r="K617" s="22">
        <v>1.7307932088888402E-2</v>
      </c>
      <c r="L617" s="14">
        <v>0</v>
      </c>
    </row>
    <row r="618" spans="1:12" x14ac:dyDescent="0.25">
      <c r="A618" s="13" t="s">
        <v>1620</v>
      </c>
      <c r="B618" s="14" t="s">
        <v>86</v>
      </c>
      <c r="C618" s="14" t="s">
        <v>1569</v>
      </c>
      <c r="D618" s="14" t="s">
        <v>1618</v>
      </c>
      <c r="E618" s="14" t="s">
        <v>1621</v>
      </c>
      <c r="F618" s="21">
        <v>1820.09</v>
      </c>
      <c r="G618" s="14">
        <v>394</v>
      </c>
      <c r="H618" s="14">
        <v>0</v>
      </c>
      <c r="I618" s="14">
        <v>8</v>
      </c>
      <c r="J618" s="22">
        <v>0.38495349269337997</v>
      </c>
      <c r="K618" s="22">
        <v>0.61504650730662003</v>
      </c>
      <c r="L618" s="14">
        <v>0</v>
      </c>
    </row>
    <row r="619" spans="1:12" x14ac:dyDescent="0.25">
      <c r="A619" s="13" t="s">
        <v>6628</v>
      </c>
      <c r="B619" s="14" t="s">
        <v>86</v>
      </c>
      <c r="C619" s="14" t="s">
        <v>1569</v>
      </c>
      <c r="D619" s="14" t="s">
        <v>1618</v>
      </c>
      <c r="E619" s="14" t="s">
        <v>1623</v>
      </c>
      <c r="F619" s="21">
        <v>2020.25</v>
      </c>
      <c r="G619" s="14">
        <v>815</v>
      </c>
      <c r="H619" s="14">
        <v>0</v>
      </c>
      <c r="I619" s="14">
        <v>6</v>
      </c>
      <c r="J619" s="22">
        <v>0.30569360487663999</v>
      </c>
      <c r="K619" s="22">
        <v>0.69430639512336001</v>
      </c>
      <c r="L619" s="14">
        <v>0</v>
      </c>
    </row>
    <row r="620" spans="1:12" x14ac:dyDescent="0.25">
      <c r="A620" s="13" t="s">
        <v>6629</v>
      </c>
      <c r="B620" s="14" t="s">
        <v>5488</v>
      </c>
      <c r="C620" s="14" t="s">
        <v>1569</v>
      </c>
      <c r="D620" s="14" t="s">
        <v>1618</v>
      </c>
      <c r="E620" s="14" t="s">
        <v>1625</v>
      </c>
      <c r="F620" s="21">
        <v>2269</v>
      </c>
      <c r="G620" s="14">
        <v>303</v>
      </c>
      <c r="H620" s="14">
        <v>1</v>
      </c>
      <c r="I620" s="14">
        <v>40</v>
      </c>
      <c r="J620" s="22">
        <v>0.50709886056726405</v>
      </c>
      <c r="K620" s="22">
        <v>0.492901139432736</v>
      </c>
      <c r="L620" s="14">
        <v>0</v>
      </c>
    </row>
    <row r="621" spans="1:12" x14ac:dyDescent="0.25">
      <c r="A621" s="13" t="s">
        <v>6630</v>
      </c>
      <c r="B621" s="14" t="s">
        <v>5488</v>
      </c>
      <c r="C621" s="14" t="s">
        <v>1569</v>
      </c>
      <c r="D621" s="14" t="s">
        <v>1618</v>
      </c>
      <c r="E621" s="14" t="s">
        <v>1627</v>
      </c>
      <c r="F621" s="21">
        <v>2380.96</v>
      </c>
      <c r="G621" s="14">
        <v>83</v>
      </c>
      <c r="H621" s="14">
        <v>1</v>
      </c>
      <c r="I621" s="14">
        <v>31</v>
      </c>
      <c r="J621" s="22">
        <v>0.39970080023480098</v>
      </c>
      <c r="K621" s="22">
        <v>0.60029919976519897</v>
      </c>
      <c r="L621" s="14">
        <v>0</v>
      </c>
    </row>
    <row r="622" spans="1:12" ht="26.4" x14ac:dyDescent="0.25">
      <c r="A622" s="20" t="s">
        <v>6631</v>
      </c>
      <c r="B622" s="14" t="s">
        <v>5492</v>
      </c>
      <c r="C622" s="14" t="s">
        <v>1569</v>
      </c>
      <c r="D622" s="14" t="s">
        <v>1618</v>
      </c>
      <c r="E622" s="14" t="s">
        <v>1629</v>
      </c>
      <c r="F622" s="21">
        <v>1635</v>
      </c>
      <c r="G622" s="14">
        <v>170</v>
      </c>
      <c r="H622" s="14">
        <v>0</v>
      </c>
      <c r="I622" s="14">
        <v>44</v>
      </c>
      <c r="J622" s="22">
        <v>0.68025853318428997</v>
      </c>
      <c r="K622" s="22">
        <v>0.31974146681570997</v>
      </c>
      <c r="L622" s="14">
        <v>0</v>
      </c>
    </row>
    <row r="623" spans="1:12" x14ac:dyDescent="0.25">
      <c r="A623" s="13" t="s">
        <v>6632</v>
      </c>
      <c r="B623" s="14" t="s">
        <v>5493</v>
      </c>
      <c r="C623" s="14" t="s">
        <v>1569</v>
      </c>
      <c r="D623" s="14" t="s">
        <v>1618</v>
      </c>
      <c r="E623" s="14" t="s">
        <v>1631</v>
      </c>
      <c r="F623" s="21">
        <v>2320.19</v>
      </c>
      <c r="G623" s="14">
        <v>197</v>
      </c>
      <c r="H623" s="14">
        <v>1</v>
      </c>
      <c r="I623" s="14" t="s">
        <v>6314</v>
      </c>
      <c r="J623" s="22">
        <v>0.10337484409813601</v>
      </c>
      <c r="K623" s="22">
        <v>0.89662515590186398</v>
      </c>
      <c r="L623" s="14">
        <v>0</v>
      </c>
    </row>
    <row r="624" spans="1:12" x14ac:dyDescent="0.25">
      <c r="A624" s="13" t="s">
        <v>6633</v>
      </c>
      <c r="B624" s="14" t="s">
        <v>5493</v>
      </c>
      <c r="C624" s="14" t="s">
        <v>1569</v>
      </c>
      <c r="D624" s="14" t="s">
        <v>1618</v>
      </c>
      <c r="E624" s="14" t="s">
        <v>1633</v>
      </c>
      <c r="F624" s="21">
        <v>2377.33</v>
      </c>
      <c r="G624" s="14">
        <v>883</v>
      </c>
      <c r="H624" s="14">
        <v>1</v>
      </c>
      <c r="I624" s="14">
        <v>2</v>
      </c>
      <c r="J624" s="22">
        <v>0.83970641596954698</v>
      </c>
      <c r="K624" s="22">
        <v>0.16029358403045299</v>
      </c>
      <c r="L624" s="14">
        <v>0</v>
      </c>
    </row>
    <row r="625" spans="1:12" x14ac:dyDescent="0.25">
      <c r="A625" s="13" t="s">
        <v>1634</v>
      </c>
      <c r="B625" s="14" t="s">
        <v>17</v>
      </c>
      <c r="C625" s="14" t="s">
        <v>1635</v>
      </c>
      <c r="D625" s="14" t="s">
        <v>1636</v>
      </c>
      <c r="E625" s="14" t="s">
        <v>1637</v>
      </c>
      <c r="F625" s="21">
        <v>2281.08</v>
      </c>
      <c r="G625" s="14">
        <v>2</v>
      </c>
      <c r="H625" s="14">
        <v>0</v>
      </c>
      <c r="I625" s="14">
        <v>50</v>
      </c>
      <c r="J625" s="22">
        <v>0.225710010444993</v>
      </c>
      <c r="K625" s="22">
        <v>0.77428998955500705</v>
      </c>
      <c r="L625" s="14">
        <v>0</v>
      </c>
    </row>
    <row r="626" spans="1:12" x14ac:dyDescent="0.25">
      <c r="A626" s="13" t="s">
        <v>6634</v>
      </c>
      <c r="B626" s="14" t="s">
        <v>17</v>
      </c>
      <c r="C626" s="14" t="s">
        <v>1635</v>
      </c>
      <c r="D626" s="14" t="s">
        <v>1636</v>
      </c>
      <c r="E626" s="14" t="s">
        <v>1639</v>
      </c>
      <c r="F626" s="21">
        <v>2468.5</v>
      </c>
      <c r="H626" s="14">
        <v>1</v>
      </c>
      <c r="I626" s="14">
        <v>11</v>
      </c>
      <c r="J626" s="22">
        <v>0.58841801301942698</v>
      </c>
      <c r="K626" s="22">
        <v>0.41158198698057302</v>
      </c>
      <c r="L626" s="14">
        <v>0</v>
      </c>
    </row>
    <row r="627" spans="1:12" x14ac:dyDescent="0.25">
      <c r="B627" s="14" t="s">
        <v>86</v>
      </c>
      <c r="C627" s="14" t="s">
        <v>1640</v>
      </c>
      <c r="D627" s="14" t="s">
        <v>1641</v>
      </c>
      <c r="E627" s="14" t="s">
        <v>1642</v>
      </c>
      <c r="F627" s="21">
        <v>1500</v>
      </c>
      <c r="G627" s="14">
        <v>302</v>
      </c>
      <c r="H627" s="14">
        <v>1</v>
      </c>
      <c r="I627" s="14">
        <v>8</v>
      </c>
      <c r="J627" s="22">
        <v>0.33804015005205401</v>
      </c>
      <c r="K627" s="22">
        <v>0.66195984994794699</v>
      </c>
      <c r="L627" s="14">
        <v>0</v>
      </c>
    </row>
    <row r="628" spans="1:12" x14ac:dyDescent="0.25">
      <c r="A628" s="13" t="s">
        <v>5905</v>
      </c>
      <c r="B628" s="14" t="s">
        <v>5438</v>
      </c>
      <c r="C628" s="14" t="s">
        <v>1643</v>
      </c>
      <c r="D628" s="14" t="s">
        <v>1644</v>
      </c>
      <c r="E628" s="14" t="s">
        <v>1645</v>
      </c>
      <c r="F628" s="21">
        <v>1920</v>
      </c>
      <c r="G628" s="14">
        <v>93</v>
      </c>
      <c r="H628" s="14">
        <v>1</v>
      </c>
      <c r="I628" s="14" t="s">
        <v>6314</v>
      </c>
      <c r="J628" s="22">
        <v>0.76381771636404405</v>
      </c>
      <c r="K628" s="22">
        <v>0.236182283635956</v>
      </c>
      <c r="L628" s="14">
        <v>0</v>
      </c>
    </row>
    <row r="629" spans="1:12" x14ac:dyDescent="0.25">
      <c r="A629" s="13" t="s">
        <v>6635</v>
      </c>
      <c r="B629" s="14" t="s">
        <v>110</v>
      </c>
      <c r="C629" s="14" t="s">
        <v>1647</v>
      </c>
      <c r="D629" s="14" t="s">
        <v>1648</v>
      </c>
      <c r="E629" s="14" t="s">
        <v>1649</v>
      </c>
      <c r="F629" s="21">
        <v>1800</v>
      </c>
      <c r="G629" s="14">
        <v>449</v>
      </c>
      <c r="H629" s="14">
        <v>0</v>
      </c>
      <c r="I629" s="14">
        <v>24</v>
      </c>
      <c r="J629" s="22">
        <v>1.42553429808778E-2</v>
      </c>
      <c r="K629" s="22">
        <v>0.98574465701912195</v>
      </c>
      <c r="L629" s="14">
        <v>0</v>
      </c>
    </row>
    <row r="630" spans="1:12" x14ac:dyDescent="0.25">
      <c r="A630" s="13">
        <v>3791403</v>
      </c>
      <c r="B630" s="14" t="s">
        <v>17</v>
      </c>
      <c r="C630" s="14" t="s">
        <v>1651</v>
      </c>
      <c r="D630" s="14" t="s">
        <v>1652</v>
      </c>
      <c r="E630" s="14" t="s">
        <v>1653</v>
      </c>
      <c r="F630" s="21">
        <v>2325.59</v>
      </c>
      <c r="G630" s="14">
        <v>327</v>
      </c>
      <c r="H630" s="14">
        <v>0</v>
      </c>
      <c r="I630" s="14">
        <v>22</v>
      </c>
      <c r="J630" s="22">
        <v>0.25243661855229099</v>
      </c>
      <c r="K630" s="22">
        <v>0.74756338144770895</v>
      </c>
      <c r="L630" s="14">
        <v>0</v>
      </c>
    </row>
    <row r="631" spans="1:12" x14ac:dyDescent="0.25">
      <c r="A631" s="13" t="s">
        <v>1654</v>
      </c>
      <c r="B631" s="14" t="s">
        <v>69</v>
      </c>
      <c r="C631" s="14" t="s">
        <v>1655</v>
      </c>
      <c r="D631" s="14" t="s">
        <v>1656</v>
      </c>
      <c r="E631" s="14" t="s">
        <v>1657</v>
      </c>
      <c r="F631" s="21">
        <v>2263.1799999999998</v>
      </c>
      <c r="G631" s="14">
        <v>201</v>
      </c>
      <c r="H631" s="14">
        <v>1</v>
      </c>
      <c r="I631" s="14">
        <v>34</v>
      </c>
      <c r="J631" s="22">
        <v>2.6234436671044199E-2</v>
      </c>
      <c r="K631" s="22">
        <v>0.97376556332895603</v>
      </c>
      <c r="L631" s="14">
        <v>0</v>
      </c>
    </row>
    <row r="632" spans="1:12" x14ac:dyDescent="0.25">
      <c r="B632" s="14" t="s">
        <v>1658</v>
      </c>
      <c r="C632" s="14" t="s">
        <v>1659</v>
      </c>
      <c r="D632" s="14" t="s">
        <v>1660</v>
      </c>
      <c r="E632" s="14" t="s">
        <v>1661</v>
      </c>
      <c r="F632" s="21">
        <v>2340</v>
      </c>
      <c r="G632" s="14">
        <v>615</v>
      </c>
      <c r="H632" s="14">
        <v>0</v>
      </c>
      <c r="I632" s="14">
        <v>29</v>
      </c>
      <c r="J632" s="22">
        <v>0.75207189352996695</v>
      </c>
      <c r="K632" s="22">
        <v>0.24792810647003299</v>
      </c>
      <c r="L632" s="14">
        <v>0</v>
      </c>
    </row>
    <row r="633" spans="1:12" x14ac:dyDescent="0.25">
      <c r="A633" s="13" t="s">
        <v>1662</v>
      </c>
      <c r="B633" s="14" t="s">
        <v>5486</v>
      </c>
      <c r="C633" s="14" t="s">
        <v>1663</v>
      </c>
      <c r="D633" s="14" t="s">
        <v>1664</v>
      </c>
      <c r="E633" s="14" t="s">
        <v>1665</v>
      </c>
      <c r="F633" s="21">
        <v>2300.38</v>
      </c>
      <c r="G633" s="14">
        <v>225</v>
      </c>
      <c r="H633" s="14">
        <v>1</v>
      </c>
      <c r="I633" s="14">
        <v>40</v>
      </c>
      <c r="J633" s="22">
        <v>0.83202653841552299</v>
      </c>
      <c r="K633" s="22">
        <v>0.16797346158447701</v>
      </c>
      <c r="L633" s="14">
        <v>0</v>
      </c>
    </row>
    <row r="634" spans="1:12" x14ac:dyDescent="0.25">
      <c r="A634" s="13" t="s">
        <v>5985</v>
      </c>
      <c r="B634" s="14" t="s">
        <v>5340</v>
      </c>
      <c r="C634" s="14" t="s">
        <v>5602</v>
      </c>
      <c r="D634" s="14" t="s">
        <v>1668</v>
      </c>
      <c r="E634" s="14" t="s">
        <v>1669</v>
      </c>
      <c r="F634" s="21">
        <v>651.25</v>
      </c>
      <c r="G634" s="14">
        <v>162</v>
      </c>
      <c r="H634" s="14">
        <v>1</v>
      </c>
      <c r="I634" s="14">
        <v>20</v>
      </c>
      <c r="J634" s="22">
        <v>0.95441264934720804</v>
      </c>
      <c r="K634" s="22">
        <v>4.5587350652791701E-2</v>
      </c>
      <c r="L634" s="14">
        <v>0</v>
      </c>
    </row>
    <row r="635" spans="1:12" x14ac:dyDescent="0.25">
      <c r="A635" s="13" t="s">
        <v>5985</v>
      </c>
      <c r="B635" s="14" t="s">
        <v>5340</v>
      </c>
      <c r="C635" s="14" t="s">
        <v>5602</v>
      </c>
      <c r="D635" s="14" t="s">
        <v>1668</v>
      </c>
      <c r="E635" s="14" t="s">
        <v>1670</v>
      </c>
      <c r="F635" s="21">
        <v>651.25</v>
      </c>
      <c r="G635" s="14">
        <v>563</v>
      </c>
      <c r="H635" s="14">
        <v>0</v>
      </c>
      <c r="I635" s="14">
        <v>20</v>
      </c>
      <c r="J635" s="22">
        <v>0.81766978427702697</v>
      </c>
      <c r="K635" s="22">
        <v>0.182330215722973</v>
      </c>
      <c r="L635" s="14">
        <v>0</v>
      </c>
    </row>
    <row r="636" spans="1:12" x14ac:dyDescent="0.25">
      <c r="A636" s="13" t="s">
        <v>6636</v>
      </c>
      <c r="B636" s="14" t="s">
        <v>148</v>
      </c>
      <c r="C636" s="14" t="s">
        <v>1672</v>
      </c>
      <c r="D636" s="14" t="s">
        <v>1673</v>
      </c>
      <c r="E636" s="14" t="s">
        <v>1674</v>
      </c>
      <c r="F636" s="21">
        <v>1564.5</v>
      </c>
      <c r="G636" s="14">
        <v>633</v>
      </c>
      <c r="H636" s="14">
        <v>1</v>
      </c>
      <c r="I636" s="14">
        <v>38</v>
      </c>
      <c r="J636" s="22">
        <v>0.29057632489561902</v>
      </c>
      <c r="K636" s="22">
        <v>0.70942367510438198</v>
      </c>
      <c r="L636" s="14">
        <v>0</v>
      </c>
    </row>
    <row r="637" spans="1:12" x14ac:dyDescent="0.25">
      <c r="A637" s="13" t="s">
        <v>1675</v>
      </c>
      <c r="B637" s="14" t="s">
        <v>86</v>
      </c>
      <c r="C637" s="14" t="s">
        <v>1676</v>
      </c>
      <c r="D637" s="14" t="s">
        <v>1677</v>
      </c>
      <c r="E637" s="14" t="s">
        <v>1678</v>
      </c>
      <c r="F637" s="21">
        <v>2184.2199999999998</v>
      </c>
      <c r="G637" s="14">
        <v>63</v>
      </c>
      <c r="H637" s="14">
        <v>0</v>
      </c>
      <c r="I637" s="14">
        <v>6</v>
      </c>
      <c r="J637" s="22">
        <v>0.51598524109007504</v>
      </c>
      <c r="K637" s="22">
        <v>0.48401475890992501</v>
      </c>
      <c r="L637" s="14">
        <v>0</v>
      </c>
    </row>
    <row r="638" spans="1:12" x14ac:dyDescent="0.25">
      <c r="B638" s="14" t="s">
        <v>86</v>
      </c>
      <c r="C638" s="14" t="s">
        <v>1676</v>
      </c>
      <c r="D638" s="14" t="s">
        <v>1677</v>
      </c>
      <c r="E638" s="14" t="s">
        <v>1679</v>
      </c>
      <c r="F638" s="21">
        <v>2374.52</v>
      </c>
      <c r="G638" s="14">
        <v>872</v>
      </c>
      <c r="H638" s="14">
        <v>1</v>
      </c>
      <c r="I638" s="14">
        <v>22</v>
      </c>
      <c r="J638" s="22">
        <v>0.122474723612937</v>
      </c>
      <c r="K638" s="22">
        <v>0.87752527638706401</v>
      </c>
      <c r="L638" s="14">
        <v>0</v>
      </c>
    </row>
    <row r="639" spans="1:12" x14ac:dyDescent="0.25">
      <c r="A639" s="13" t="s">
        <v>1680</v>
      </c>
      <c r="B639" s="14" t="s">
        <v>6348</v>
      </c>
      <c r="C639" s="14" t="s">
        <v>1681</v>
      </c>
      <c r="D639" s="14" t="s">
        <v>1682</v>
      </c>
      <c r="E639" s="14" t="s">
        <v>1683</v>
      </c>
      <c r="F639" s="21">
        <v>1524</v>
      </c>
      <c r="G639" s="14">
        <v>364</v>
      </c>
      <c r="H639" s="14">
        <v>0</v>
      </c>
      <c r="I639" s="14">
        <v>30</v>
      </c>
      <c r="J639" s="22">
        <v>0.39701812904460498</v>
      </c>
      <c r="K639" s="22">
        <v>0.60298187095539502</v>
      </c>
      <c r="L639" s="14">
        <v>0</v>
      </c>
    </row>
    <row r="640" spans="1:12" x14ac:dyDescent="0.25">
      <c r="A640" s="13" t="s">
        <v>6637</v>
      </c>
      <c r="B640" s="14" t="s">
        <v>69</v>
      </c>
      <c r="C640" s="14" t="s">
        <v>1685</v>
      </c>
      <c r="D640" s="14" t="s">
        <v>1686</v>
      </c>
      <c r="E640" s="14" t="s">
        <v>1687</v>
      </c>
      <c r="F640" s="21">
        <v>1889.1</v>
      </c>
      <c r="G640" s="14">
        <v>283</v>
      </c>
      <c r="H640" s="14">
        <v>1</v>
      </c>
      <c r="I640" s="14">
        <v>5</v>
      </c>
      <c r="J640" s="22">
        <v>0.81532717541946598</v>
      </c>
      <c r="K640" s="22">
        <v>0.184672824580534</v>
      </c>
      <c r="L640" s="14">
        <v>0</v>
      </c>
    </row>
    <row r="641" spans="1:12" ht="39.6" x14ac:dyDescent="0.25">
      <c r="A641" s="20" t="s">
        <v>6638</v>
      </c>
      <c r="B641" s="14" t="s">
        <v>69</v>
      </c>
      <c r="C641" s="14" t="s">
        <v>1685</v>
      </c>
      <c r="D641" s="14" t="s">
        <v>1686</v>
      </c>
      <c r="E641" s="14" t="s">
        <v>1689</v>
      </c>
      <c r="F641" s="21">
        <v>2076.5500000000002</v>
      </c>
      <c r="H641" s="14">
        <v>0</v>
      </c>
      <c r="I641" s="14">
        <v>33</v>
      </c>
      <c r="J641" s="22">
        <v>0.67928507228986201</v>
      </c>
      <c r="K641" s="22">
        <v>0.32071492771013799</v>
      </c>
      <c r="L641" s="14">
        <v>0</v>
      </c>
    </row>
    <row r="642" spans="1:12" x14ac:dyDescent="0.25">
      <c r="A642" s="13" t="s">
        <v>1690</v>
      </c>
      <c r="B642" s="14" t="s">
        <v>17</v>
      </c>
      <c r="C642" s="14" t="s">
        <v>1691</v>
      </c>
      <c r="D642" s="14" t="s">
        <v>1686</v>
      </c>
      <c r="E642" s="14" t="s">
        <v>1692</v>
      </c>
      <c r="F642" s="21">
        <v>2488.17</v>
      </c>
      <c r="G642" s="14">
        <v>969</v>
      </c>
      <c r="H642" s="14">
        <v>1</v>
      </c>
      <c r="I642" s="14">
        <v>12</v>
      </c>
      <c r="J642" s="22">
        <v>0.98003073295196896</v>
      </c>
      <c r="K642" s="22">
        <v>1.9969267048030599E-2</v>
      </c>
      <c r="L642" s="14">
        <v>0</v>
      </c>
    </row>
    <row r="643" spans="1:12" ht="39.6" x14ac:dyDescent="0.25">
      <c r="A643" s="20" t="s">
        <v>6639</v>
      </c>
      <c r="B643" s="14" t="s">
        <v>17</v>
      </c>
      <c r="C643" s="14" t="s">
        <v>1694</v>
      </c>
      <c r="D643" s="14" t="s">
        <v>1686</v>
      </c>
      <c r="E643" s="14" t="s">
        <v>1695</v>
      </c>
      <c r="F643" s="21">
        <v>2395.4299999999998</v>
      </c>
      <c r="G643" s="14">
        <v>995</v>
      </c>
      <c r="H643" s="14">
        <v>1</v>
      </c>
      <c r="I643" s="14">
        <v>10</v>
      </c>
      <c r="J643" s="22">
        <v>0.63906245190227895</v>
      </c>
      <c r="K643" s="22">
        <v>0.36093754809772099</v>
      </c>
      <c r="L643" s="14">
        <v>0</v>
      </c>
    </row>
    <row r="644" spans="1:12" x14ac:dyDescent="0.25">
      <c r="A644" s="13" t="s">
        <v>6640</v>
      </c>
      <c r="B644" s="14" t="s">
        <v>17</v>
      </c>
      <c r="C644" s="14" t="s">
        <v>1697</v>
      </c>
      <c r="D644" s="14" t="s">
        <v>1698</v>
      </c>
      <c r="E644" s="14" t="s">
        <v>1699</v>
      </c>
      <c r="F644" s="21">
        <v>2328.2399999999998</v>
      </c>
      <c r="G644" s="14">
        <v>519</v>
      </c>
      <c r="H644" s="14">
        <v>1</v>
      </c>
      <c r="I644" s="14">
        <v>15</v>
      </c>
      <c r="J644" s="22">
        <v>0.27696366999702399</v>
      </c>
      <c r="K644" s="22">
        <v>0.72303633000297596</v>
      </c>
      <c r="L644" s="14">
        <v>0</v>
      </c>
    </row>
    <row r="645" spans="1:12" x14ac:dyDescent="0.25">
      <c r="A645" s="13" t="s">
        <v>6641</v>
      </c>
      <c r="B645" s="14" t="s">
        <v>17</v>
      </c>
      <c r="C645" s="14" t="s">
        <v>1701</v>
      </c>
      <c r="D645" s="14" t="s">
        <v>1702</v>
      </c>
      <c r="E645" s="14" t="s">
        <v>1703</v>
      </c>
      <c r="F645" s="21">
        <v>1771.93</v>
      </c>
      <c r="G645" s="14">
        <v>675</v>
      </c>
      <c r="H645" s="14">
        <v>0</v>
      </c>
      <c r="I645" s="14">
        <v>4</v>
      </c>
      <c r="J645" s="22">
        <v>0.59774841496694198</v>
      </c>
      <c r="K645" s="22">
        <v>0.40225158503305802</v>
      </c>
      <c r="L645" s="14">
        <v>0</v>
      </c>
    </row>
    <row r="646" spans="1:12" x14ac:dyDescent="0.25">
      <c r="A646" s="13" t="s">
        <v>1704</v>
      </c>
      <c r="B646" s="14" t="s">
        <v>17</v>
      </c>
      <c r="C646" s="14" t="s">
        <v>1701</v>
      </c>
      <c r="D646" s="14" t="s">
        <v>1702</v>
      </c>
      <c r="E646" s="14" t="s">
        <v>1705</v>
      </c>
      <c r="F646" s="21">
        <v>2380.2800000000002</v>
      </c>
      <c r="G646" s="14">
        <v>731</v>
      </c>
      <c r="H646" s="14">
        <v>1</v>
      </c>
      <c r="I646" s="14">
        <v>17</v>
      </c>
      <c r="J646" s="22">
        <v>0.53956671883349905</v>
      </c>
      <c r="K646" s="22">
        <v>0.46043328116650101</v>
      </c>
      <c r="L646" s="14">
        <v>0</v>
      </c>
    </row>
    <row r="647" spans="1:12" x14ac:dyDescent="0.25">
      <c r="A647" s="13">
        <v>23183165</v>
      </c>
      <c r="B647" s="14" t="s">
        <v>17</v>
      </c>
      <c r="C647" s="14" t="s">
        <v>1706</v>
      </c>
      <c r="D647" s="14" t="s">
        <v>1707</v>
      </c>
      <c r="E647" s="14" t="s">
        <v>1708</v>
      </c>
      <c r="F647" s="21">
        <v>2329.56</v>
      </c>
      <c r="G647" s="14">
        <v>897</v>
      </c>
      <c r="I647" s="14">
        <v>15</v>
      </c>
      <c r="J647" s="22">
        <v>0.356843323739086</v>
      </c>
      <c r="K647" s="22">
        <v>0.643156676260914</v>
      </c>
      <c r="L647" s="14">
        <v>0</v>
      </c>
    </row>
    <row r="648" spans="1:12" x14ac:dyDescent="0.25">
      <c r="A648" s="13" t="s">
        <v>6642</v>
      </c>
      <c r="B648" s="14" t="s">
        <v>17</v>
      </c>
      <c r="C648" s="14" t="s">
        <v>1706</v>
      </c>
      <c r="D648" s="14" t="s">
        <v>1707</v>
      </c>
      <c r="E648" s="14" t="s">
        <v>1710</v>
      </c>
      <c r="F648" s="21">
        <v>2441.16</v>
      </c>
      <c r="G648" s="14">
        <v>782</v>
      </c>
      <c r="I648" s="14">
        <v>34</v>
      </c>
      <c r="J648" s="22">
        <v>1.2635680225314701E-2</v>
      </c>
      <c r="K648" s="22">
        <v>0.98736431977468497</v>
      </c>
      <c r="L648" s="14">
        <v>0</v>
      </c>
    </row>
    <row r="649" spans="1:12" ht="39.6" x14ac:dyDescent="0.25">
      <c r="A649" s="20" t="s">
        <v>6643</v>
      </c>
      <c r="B649" s="14" t="s">
        <v>86</v>
      </c>
      <c r="C649" s="14" t="s">
        <v>1712</v>
      </c>
      <c r="D649" s="14" t="s">
        <v>1707</v>
      </c>
      <c r="E649" s="14" t="s">
        <v>1713</v>
      </c>
      <c r="F649" s="21">
        <v>1894.94</v>
      </c>
      <c r="G649" s="14">
        <v>414</v>
      </c>
      <c r="H649" s="14">
        <v>1</v>
      </c>
      <c r="I649" s="14">
        <v>8</v>
      </c>
      <c r="J649" s="22">
        <v>0.53562966012934399</v>
      </c>
      <c r="K649" s="22">
        <v>0.46437033987065601</v>
      </c>
      <c r="L649" s="14">
        <v>0</v>
      </c>
    </row>
    <row r="650" spans="1:12" x14ac:dyDescent="0.25">
      <c r="A650" s="13" t="s">
        <v>6644</v>
      </c>
      <c r="B650" s="14" t="s">
        <v>5390</v>
      </c>
      <c r="C650" s="14" t="s">
        <v>1715</v>
      </c>
      <c r="D650" s="14" t="s">
        <v>1716</v>
      </c>
      <c r="E650" s="14" t="s">
        <v>1717</v>
      </c>
      <c r="F650" s="21">
        <v>1700</v>
      </c>
      <c r="G650" s="14">
        <v>291</v>
      </c>
      <c r="H650" s="14">
        <v>1</v>
      </c>
      <c r="I650" s="14">
        <v>31</v>
      </c>
      <c r="J650" s="22">
        <v>0.86678361670990201</v>
      </c>
      <c r="K650" s="22">
        <v>0.13321638329009799</v>
      </c>
      <c r="L650" s="14">
        <v>0</v>
      </c>
    </row>
    <row r="651" spans="1:12" x14ac:dyDescent="0.25">
      <c r="A651" s="13" t="s">
        <v>1718</v>
      </c>
      <c r="B651" s="14" t="s">
        <v>113</v>
      </c>
      <c r="C651" s="14" t="s">
        <v>1719</v>
      </c>
      <c r="D651" s="14" t="s">
        <v>1720</v>
      </c>
      <c r="E651" s="14" t="s">
        <v>1721</v>
      </c>
      <c r="F651" s="21">
        <v>1800</v>
      </c>
      <c r="G651" s="14">
        <v>256</v>
      </c>
      <c r="H651" s="14">
        <v>1</v>
      </c>
      <c r="I651" s="14">
        <v>26</v>
      </c>
      <c r="J651" s="22">
        <v>0.13217124390517901</v>
      </c>
      <c r="K651" s="22">
        <v>0.86782875609482102</v>
      </c>
      <c r="L651" s="14">
        <v>0</v>
      </c>
    </row>
    <row r="652" spans="1:12" x14ac:dyDescent="0.25">
      <c r="A652" s="13">
        <v>22919070</v>
      </c>
      <c r="B652" s="14" t="s">
        <v>5382</v>
      </c>
      <c r="C652" s="14" t="s">
        <v>1723</v>
      </c>
      <c r="D652" s="14" t="s">
        <v>1724</v>
      </c>
      <c r="E652" s="14" t="s">
        <v>1725</v>
      </c>
      <c r="F652" s="21">
        <v>1513.14</v>
      </c>
      <c r="G652" s="14">
        <v>427</v>
      </c>
      <c r="H652" s="14">
        <v>0</v>
      </c>
      <c r="I652" s="14" t="s">
        <v>6314</v>
      </c>
      <c r="J652" s="22">
        <v>0.73645485575901903</v>
      </c>
      <c r="K652" s="22">
        <v>0.26354514424098102</v>
      </c>
      <c r="L652" s="14">
        <v>0</v>
      </c>
    </row>
    <row r="653" spans="1:12" x14ac:dyDescent="0.25">
      <c r="B653" s="14" t="s">
        <v>5382</v>
      </c>
      <c r="C653" s="14" t="s">
        <v>1723</v>
      </c>
      <c r="D653" s="14" t="s">
        <v>1724</v>
      </c>
      <c r="E653" s="14" t="s">
        <v>1726</v>
      </c>
      <c r="F653" s="21">
        <v>1663.37</v>
      </c>
      <c r="G653" s="14">
        <v>769</v>
      </c>
      <c r="H653" s="14">
        <v>0</v>
      </c>
      <c r="I653" s="14">
        <v>45</v>
      </c>
      <c r="J653" s="22">
        <v>0.52376652093988696</v>
      </c>
      <c r="K653" s="22">
        <v>0.47623347906011398</v>
      </c>
      <c r="L653" s="14">
        <v>0</v>
      </c>
    </row>
    <row r="654" spans="1:12" x14ac:dyDescent="0.25">
      <c r="A654" s="13">
        <v>23982145</v>
      </c>
      <c r="B654" s="14" t="s">
        <v>5382</v>
      </c>
      <c r="C654" s="14" t="s">
        <v>1723</v>
      </c>
      <c r="D654" s="14" t="s">
        <v>1724</v>
      </c>
      <c r="E654" s="14" t="s">
        <v>1727</v>
      </c>
      <c r="F654" s="21">
        <v>1920.98</v>
      </c>
      <c r="G654" s="14">
        <v>429</v>
      </c>
      <c r="H654" s="14">
        <v>0</v>
      </c>
      <c r="I654" s="14">
        <v>44</v>
      </c>
      <c r="J654" s="22">
        <v>0.61778573699035999</v>
      </c>
      <c r="K654" s="22">
        <v>0.38221426300964001</v>
      </c>
      <c r="L654" s="14">
        <v>0</v>
      </c>
    </row>
    <row r="655" spans="1:12" x14ac:dyDescent="0.25">
      <c r="A655" s="13" t="s">
        <v>1728</v>
      </c>
      <c r="B655" s="14" t="s">
        <v>5382</v>
      </c>
      <c r="C655" s="14" t="s">
        <v>1723</v>
      </c>
      <c r="D655" s="14" t="s">
        <v>1724</v>
      </c>
      <c r="E655" s="14" t="s">
        <v>1729</v>
      </c>
      <c r="F655" s="21">
        <v>1953.12</v>
      </c>
      <c r="G655" s="14">
        <v>176</v>
      </c>
      <c r="H655" s="14">
        <v>1</v>
      </c>
      <c r="I655" s="14">
        <v>36</v>
      </c>
      <c r="J655" s="22">
        <v>0.61692901474345097</v>
      </c>
      <c r="K655" s="22">
        <v>0.38307098525654898</v>
      </c>
      <c r="L655" s="14">
        <v>0</v>
      </c>
    </row>
    <row r="656" spans="1:12" x14ac:dyDescent="0.25">
      <c r="A656" s="13" t="s">
        <v>6645</v>
      </c>
      <c r="B656" s="14" t="s">
        <v>1722</v>
      </c>
      <c r="C656" s="14" t="s">
        <v>1723</v>
      </c>
      <c r="D656" s="14" t="s">
        <v>1724</v>
      </c>
      <c r="E656" s="14" t="s">
        <v>1730</v>
      </c>
      <c r="F656" s="21">
        <v>1866.72</v>
      </c>
      <c r="G656" s="14">
        <v>316</v>
      </c>
      <c r="H656" s="14">
        <v>0</v>
      </c>
      <c r="I656" s="14">
        <v>21</v>
      </c>
      <c r="J656" s="22">
        <v>0.679184235652184</v>
      </c>
      <c r="K656" s="22">
        <v>0.320815764347816</v>
      </c>
      <c r="L656" s="14">
        <v>0</v>
      </c>
    </row>
    <row r="657" spans="1:12" x14ac:dyDescent="0.25">
      <c r="A657" s="13" t="s">
        <v>1731</v>
      </c>
      <c r="B657" s="14" t="s">
        <v>1722</v>
      </c>
      <c r="C657" s="14" t="s">
        <v>1723</v>
      </c>
      <c r="D657" s="14" t="s">
        <v>1724</v>
      </c>
      <c r="E657" s="14" t="s">
        <v>1732</v>
      </c>
      <c r="F657" s="21">
        <v>2014.37</v>
      </c>
      <c r="G657" s="14">
        <v>795</v>
      </c>
      <c r="H657" s="14">
        <v>0</v>
      </c>
      <c r="I657" s="14">
        <v>29</v>
      </c>
      <c r="J657" s="22">
        <v>4.5197418975400101E-3</v>
      </c>
      <c r="K657" s="22">
        <v>0.99548025810245999</v>
      </c>
      <c r="L657" s="14">
        <v>0</v>
      </c>
    </row>
    <row r="658" spans="1:12" ht="39.6" x14ac:dyDescent="0.25">
      <c r="A658" s="20" t="s">
        <v>6646</v>
      </c>
      <c r="B658" s="14" t="s">
        <v>5384</v>
      </c>
      <c r="C658" s="14" t="s">
        <v>1723</v>
      </c>
      <c r="D658" s="14" t="s">
        <v>1724</v>
      </c>
      <c r="E658" s="14" t="s">
        <v>1734</v>
      </c>
      <c r="F658" s="21">
        <v>1857.82</v>
      </c>
      <c r="G658" s="14">
        <v>175</v>
      </c>
      <c r="H658" s="14">
        <v>0</v>
      </c>
      <c r="I658" s="14">
        <v>25</v>
      </c>
      <c r="J658" s="22">
        <v>2.2652544397036699E-2</v>
      </c>
      <c r="K658" s="22">
        <v>0.97734745560296299</v>
      </c>
      <c r="L658" s="14">
        <v>0</v>
      </c>
    </row>
    <row r="659" spans="1:12" x14ac:dyDescent="0.25">
      <c r="A659" s="13" t="s">
        <v>6647</v>
      </c>
      <c r="B659" s="14" t="s">
        <v>86</v>
      </c>
      <c r="C659" s="14" t="s">
        <v>5604</v>
      </c>
      <c r="D659" s="14" t="s">
        <v>1737</v>
      </c>
      <c r="E659" s="14" t="s">
        <v>1738</v>
      </c>
      <c r="F659" s="21">
        <v>2246.21</v>
      </c>
      <c r="H659" s="14">
        <v>1</v>
      </c>
      <c r="I659" s="14">
        <v>40</v>
      </c>
      <c r="J659" s="22">
        <v>0.549795833946499</v>
      </c>
      <c r="K659" s="22">
        <v>0.450204166053501</v>
      </c>
      <c r="L659" s="14">
        <v>0</v>
      </c>
    </row>
    <row r="660" spans="1:12" x14ac:dyDescent="0.25">
      <c r="A660" s="13" t="s">
        <v>5991</v>
      </c>
      <c r="B660" s="14" t="s">
        <v>86</v>
      </c>
      <c r="C660" s="14" t="s">
        <v>5604</v>
      </c>
      <c r="D660" s="14" t="s">
        <v>1737</v>
      </c>
      <c r="E660" s="14" t="s">
        <v>6648</v>
      </c>
      <c r="F660" s="21">
        <v>2247.0500000000002</v>
      </c>
      <c r="G660" s="14">
        <v>676</v>
      </c>
      <c r="H660" s="14">
        <v>0</v>
      </c>
      <c r="I660" s="14">
        <v>1</v>
      </c>
      <c r="J660" s="22">
        <v>0.58464305912229797</v>
      </c>
      <c r="K660" s="22">
        <v>0.41535694087770197</v>
      </c>
      <c r="L660" s="14">
        <v>0</v>
      </c>
    </row>
    <row r="661" spans="1:12" x14ac:dyDescent="0.25">
      <c r="A661" s="13" t="s">
        <v>6649</v>
      </c>
      <c r="B661" s="14" t="s">
        <v>86</v>
      </c>
      <c r="C661" s="14" t="s">
        <v>1736</v>
      </c>
      <c r="D661" s="14" t="s">
        <v>1737</v>
      </c>
      <c r="E661" s="14" t="s">
        <v>1742</v>
      </c>
      <c r="F661" s="21">
        <v>1500</v>
      </c>
      <c r="G661" s="14">
        <v>358</v>
      </c>
      <c r="H661" s="14">
        <v>1</v>
      </c>
      <c r="I661" s="14">
        <v>19</v>
      </c>
      <c r="J661" s="22">
        <v>0.22330040069613</v>
      </c>
      <c r="K661" s="22">
        <v>0.77669959930387</v>
      </c>
      <c r="L661" s="14">
        <v>0</v>
      </c>
    </row>
    <row r="662" spans="1:12" x14ac:dyDescent="0.25">
      <c r="A662" s="13" t="s">
        <v>5993</v>
      </c>
      <c r="B662" s="14" t="s">
        <v>86</v>
      </c>
      <c r="C662" s="14" t="s">
        <v>1736</v>
      </c>
      <c r="D662" s="14" t="s">
        <v>1737</v>
      </c>
      <c r="E662" s="14" t="s">
        <v>1743</v>
      </c>
      <c r="F662" s="21">
        <v>1500</v>
      </c>
      <c r="G662" s="14">
        <v>266</v>
      </c>
      <c r="H662" s="14">
        <v>0</v>
      </c>
      <c r="I662" s="14">
        <v>49</v>
      </c>
      <c r="J662" s="22">
        <v>0.156103402095495</v>
      </c>
      <c r="K662" s="22">
        <v>0.843896597904505</v>
      </c>
      <c r="L662" s="14">
        <v>0</v>
      </c>
    </row>
    <row r="663" spans="1:12" x14ac:dyDescent="0.25">
      <c r="A663" s="13">
        <v>23506317</v>
      </c>
      <c r="B663" s="14" t="s">
        <v>5486</v>
      </c>
      <c r="C663" s="14" t="s">
        <v>1736</v>
      </c>
      <c r="D663" s="14" t="s">
        <v>1737</v>
      </c>
      <c r="E663" s="14" t="s">
        <v>6650</v>
      </c>
      <c r="F663" s="21">
        <v>2430</v>
      </c>
      <c r="G663" s="14">
        <v>197</v>
      </c>
      <c r="H663" s="14">
        <v>0</v>
      </c>
      <c r="I663" s="14">
        <v>8</v>
      </c>
      <c r="J663" s="22">
        <v>0.42568273567435599</v>
      </c>
      <c r="K663" s="22">
        <v>0.57431726432564401</v>
      </c>
      <c r="L663" s="14">
        <v>0</v>
      </c>
    </row>
    <row r="664" spans="1:12" x14ac:dyDescent="0.25">
      <c r="A664" s="13" t="s">
        <v>6651</v>
      </c>
      <c r="B664" s="14" t="s">
        <v>5493</v>
      </c>
      <c r="C664" s="14" t="s">
        <v>1736</v>
      </c>
      <c r="D664" s="14" t="s">
        <v>1737</v>
      </c>
      <c r="E664" s="14" t="s">
        <v>6652</v>
      </c>
      <c r="F664" s="21">
        <v>2334.91</v>
      </c>
      <c r="G664" s="14">
        <v>553</v>
      </c>
      <c r="H664" s="14">
        <v>1</v>
      </c>
      <c r="I664" s="14">
        <v>32</v>
      </c>
      <c r="J664" s="22">
        <v>0.51171349041039604</v>
      </c>
      <c r="K664" s="22">
        <v>0.48828650958960501</v>
      </c>
      <c r="L664" s="14">
        <v>0</v>
      </c>
    </row>
    <row r="665" spans="1:12" x14ac:dyDescent="0.25">
      <c r="B665" s="14" t="s">
        <v>17</v>
      </c>
      <c r="C665" s="14" t="s">
        <v>1747</v>
      </c>
      <c r="D665" s="14" t="s">
        <v>1748</v>
      </c>
      <c r="E665" s="14" t="s">
        <v>1749</v>
      </c>
      <c r="F665" s="21">
        <v>2228</v>
      </c>
      <c r="G665" s="14">
        <v>222</v>
      </c>
      <c r="H665" s="14">
        <v>1</v>
      </c>
      <c r="I665" s="14">
        <v>40</v>
      </c>
      <c r="J665" s="22">
        <v>0.255095358882653</v>
      </c>
      <c r="K665" s="22">
        <v>0.744904641117347</v>
      </c>
      <c r="L665" s="14">
        <v>0</v>
      </c>
    </row>
    <row r="666" spans="1:12" x14ac:dyDescent="0.25">
      <c r="A666" s="13" t="s">
        <v>6653</v>
      </c>
      <c r="B666" s="14" t="s">
        <v>17</v>
      </c>
      <c r="C666" s="14" t="s">
        <v>1747</v>
      </c>
      <c r="D666" s="14" t="s">
        <v>1748</v>
      </c>
      <c r="E666" s="14" t="s">
        <v>1751</v>
      </c>
      <c r="F666" s="21">
        <v>2244.5700000000002</v>
      </c>
      <c r="H666" s="14">
        <v>1</v>
      </c>
      <c r="I666" s="14" t="s">
        <v>6314</v>
      </c>
      <c r="J666" s="22">
        <v>0.37413545302700701</v>
      </c>
      <c r="K666" s="22">
        <v>0.62586454697299299</v>
      </c>
      <c r="L666" s="14">
        <v>0</v>
      </c>
    </row>
    <row r="667" spans="1:12" x14ac:dyDescent="0.25">
      <c r="B667" s="14" t="s">
        <v>17</v>
      </c>
      <c r="C667" s="14" t="s">
        <v>5606</v>
      </c>
      <c r="D667" s="14" t="s">
        <v>1748</v>
      </c>
      <c r="E667" s="14" t="s">
        <v>1752</v>
      </c>
      <c r="F667" s="21">
        <v>2362.8200000000002</v>
      </c>
      <c r="G667" s="14">
        <v>510</v>
      </c>
      <c r="H667" s="14">
        <v>1</v>
      </c>
      <c r="I667" s="14">
        <v>17</v>
      </c>
      <c r="J667" s="22">
        <v>0.52165858422643296</v>
      </c>
      <c r="K667" s="22">
        <v>0.47834141577356698</v>
      </c>
      <c r="L667" s="14">
        <v>0</v>
      </c>
    </row>
    <row r="668" spans="1:12" x14ac:dyDescent="0.25">
      <c r="A668" s="13" t="s">
        <v>6654</v>
      </c>
      <c r="B668" s="14" t="s">
        <v>17</v>
      </c>
      <c r="C668" s="14" t="s">
        <v>1747</v>
      </c>
      <c r="D668" s="14" t="s">
        <v>1748</v>
      </c>
      <c r="E668" s="14" t="s">
        <v>1754</v>
      </c>
      <c r="F668" s="21">
        <v>2465.9299999999998</v>
      </c>
      <c r="G668" s="14">
        <v>467</v>
      </c>
      <c r="H668" s="14">
        <v>1</v>
      </c>
      <c r="I668" s="14">
        <v>10</v>
      </c>
      <c r="J668" s="22">
        <v>0.93796660132758503</v>
      </c>
      <c r="K668" s="22">
        <v>6.2033398672414898E-2</v>
      </c>
      <c r="L668" s="14">
        <v>0</v>
      </c>
    </row>
    <row r="669" spans="1:12" x14ac:dyDescent="0.25">
      <c r="A669" s="13" t="s">
        <v>1755</v>
      </c>
      <c r="B669" s="14" t="s">
        <v>6355</v>
      </c>
      <c r="C669" s="14" t="s">
        <v>1747</v>
      </c>
      <c r="D669" s="14" t="s">
        <v>1748</v>
      </c>
      <c r="E669" s="14" t="s">
        <v>1756</v>
      </c>
      <c r="F669" s="21">
        <v>2143.17</v>
      </c>
      <c r="G669" s="14">
        <v>599</v>
      </c>
      <c r="H669" s="14">
        <v>1</v>
      </c>
      <c r="I669" s="14">
        <v>42</v>
      </c>
      <c r="J669" s="22">
        <v>0.16952208459203999</v>
      </c>
      <c r="K669" s="22">
        <v>0.83047791540796001</v>
      </c>
      <c r="L669" s="14">
        <v>0</v>
      </c>
    </row>
    <row r="670" spans="1:12" x14ac:dyDescent="0.25">
      <c r="A670" s="13" t="s">
        <v>6655</v>
      </c>
      <c r="B670" s="14" t="s">
        <v>17</v>
      </c>
      <c r="C670" s="14" t="s">
        <v>1758</v>
      </c>
      <c r="D670" s="14" t="s">
        <v>1759</v>
      </c>
      <c r="E670" s="14" t="s">
        <v>1760</v>
      </c>
      <c r="F670" s="21">
        <v>1254.25</v>
      </c>
      <c r="G670" s="14">
        <v>49</v>
      </c>
      <c r="H670" s="14">
        <v>1</v>
      </c>
      <c r="I670" s="14">
        <v>22</v>
      </c>
      <c r="J670" s="22">
        <v>0.122543595656242</v>
      </c>
      <c r="K670" s="22">
        <v>0.87745640434375805</v>
      </c>
      <c r="L670" s="14">
        <v>0</v>
      </c>
    </row>
    <row r="671" spans="1:12" x14ac:dyDescent="0.25">
      <c r="A671" s="13" t="s">
        <v>5997</v>
      </c>
      <c r="B671" s="14" t="s">
        <v>5378</v>
      </c>
      <c r="C671" s="14" t="s">
        <v>1758</v>
      </c>
      <c r="D671" s="14" t="s">
        <v>1759</v>
      </c>
      <c r="E671" s="14" t="s">
        <v>1762</v>
      </c>
      <c r="F671" s="21">
        <v>1171.02</v>
      </c>
      <c r="G671" s="14">
        <v>533</v>
      </c>
      <c r="H671" s="14">
        <v>0</v>
      </c>
      <c r="I671" s="14" t="s">
        <v>6314</v>
      </c>
      <c r="J671" s="22">
        <v>0.87458093329576303</v>
      </c>
      <c r="K671" s="22">
        <v>0.125419066704237</v>
      </c>
      <c r="L671" s="14">
        <v>0</v>
      </c>
    </row>
    <row r="672" spans="1:12" x14ac:dyDescent="0.25">
      <c r="A672" s="13" t="s">
        <v>6656</v>
      </c>
      <c r="B672" s="14" t="s">
        <v>86</v>
      </c>
      <c r="C672" s="14" t="s">
        <v>1763</v>
      </c>
      <c r="D672" s="14" t="s">
        <v>1764</v>
      </c>
      <c r="E672" s="14" t="s">
        <v>1765</v>
      </c>
      <c r="F672" s="21">
        <v>2008.84</v>
      </c>
      <c r="H672" s="14">
        <v>1</v>
      </c>
      <c r="I672" s="14">
        <v>47</v>
      </c>
      <c r="J672" s="22">
        <v>0.386915586784364</v>
      </c>
      <c r="K672" s="22">
        <v>0.613084413215636</v>
      </c>
      <c r="L672" s="14">
        <v>0</v>
      </c>
    </row>
    <row r="673" spans="1:12" x14ac:dyDescent="0.25">
      <c r="A673" s="13" t="s">
        <v>5952</v>
      </c>
      <c r="B673" s="14" t="s">
        <v>86</v>
      </c>
      <c r="C673" s="14" t="s">
        <v>1763</v>
      </c>
      <c r="D673" s="14" t="s">
        <v>1764</v>
      </c>
      <c r="E673" s="14" t="s">
        <v>1766</v>
      </c>
      <c r="F673" s="21">
        <v>2337.66</v>
      </c>
      <c r="G673" s="14">
        <v>562</v>
      </c>
      <c r="H673" s="14">
        <v>1</v>
      </c>
      <c r="I673" s="14">
        <v>33</v>
      </c>
      <c r="J673" s="22">
        <v>0.62114029570079599</v>
      </c>
      <c r="K673" s="22">
        <v>0.37885970429920401</v>
      </c>
      <c r="L673" s="14">
        <v>0</v>
      </c>
    </row>
    <row r="674" spans="1:12" x14ac:dyDescent="0.25">
      <c r="A674" s="13" t="s">
        <v>1767</v>
      </c>
      <c r="B674" s="14" t="s">
        <v>5493</v>
      </c>
      <c r="C674" s="14" t="s">
        <v>1763</v>
      </c>
      <c r="D674" s="14" t="s">
        <v>1764</v>
      </c>
      <c r="E674" s="14" t="s">
        <v>1768</v>
      </c>
      <c r="F674" s="21">
        <v>1985.1</v>
      </c>
      <c r="G674" s="14">
        <v>738</v>
      </c>
      <c r="H674" s="14">
        <v>0</v>
      </c>
      <c r="I674" s="14">
        <v>37</v>
      </c>
      <c r="J674" s="22">
        <v>0.305037159155293</v>
      </c>
      <c r="K674" s="22">
        <v>0.69496284084470705</v>
      </c>
      <c r="L674" s="14">
        <v>0</v>
      </c>
    </row>
    <row r="675" spans="1:12" x14ac:dyDescent="0.25">
      <c r="A675" s="13" t="s">
        <v>1769</v>
      </c>
      <c r="B675" s="14" t="s">
        <v>5493</v>
      </c>
      <c r="C675" s="14" t="s">
        <v>1763</v>
      </c>
      <c r="D675" s="14" t="s">
        <v>1764</v>
      </c>
      <c r="E675" s="14" t="s">
        <v>1770</v>
      </c>
      <c r="F675" s="21">
        <v>2275.02</v>
      </c>
      <c r="H675" s="14">
        <v>1</v>
      </c>
      <c r="I675" s="14">
        <v>35</v>
      </c>
      <c r="J675" s="22">
        <v>0.53636318190976595</v>
      </c>
      <c r="K675" s="22">
        <v>0.46363681809023399</v>
      </c>
      <c r="L675" s="14">
        <v>0</v>
      </c>
    </row>
    <row r="676" spans="1:12" x14ac:dyDescent="0.25">
      <c r="A676" s="13" t="s">
        <v>1771</v>
      </c>
      <c r="B676" s="14" t="s">
        <v>17</v>
      </c>
      <c r="C676" s="14" t="s">
        <v>1772</v>
      </c>
      <c r="E676" s="14" t="s">
        <v>1773</v>
      </c>
      <c r="F676" s="21">
        <v>2169.98</v>
      </c>
      <c r="H676" s="14">
        <v>1</v>
      </c>
      <c r="I676" s="14">
        <v>49</v>
      </c>
      <c r="J676" s="22">
        <v>0.235513971319426</v>
      </c>
      <c r="K676" s="22">
        <v>0.76448602868057403</v>
      </c>
      <c r="L676" s="14">
        <v>0</v>
      </c>
    </row>
    <row r="677" spans="1:12" x14ac:dyDescent="0.25">
      <c r="A677" s="13" t="s">
        <v>1774</v>
      </c>
      <c r="B677" s="14" t="s">
        <v>17</v>
      </c>
      <c r="C677" s="14" t="s">
        <v>1772</v>
      </c>
      <c r="E677" s="14" t="s">
        <v>1775</v>
      </c>
      <c r="F677" s="21">
        <v>2373.7600000000002</v>
      </c>
      <c r="G677" s="14">
        <v>91</v>
      </c>
      <c r="H677" s="14">
        <v>1</v>
      </c>
      <c r="I677" s="14">
        <v>20</v>
      </c>
      <c r="J677" s="22">
        <v>0.64470584489163196</v>
      </c>
      <c r="K677" s="22">
        <v>0.35529415510836798</v>
      </c>
      <c r="L677" s="14">
        <v>0</v>
      </c>
    </row>
    <row r="678" spans="1:12" x14ac:dyDescent="0.25">
      <c r="A678" s="13" t="s">
        <v>1776</v>
      </c>
      <c r="B678" s="14" t="s">
        <v>17</v>
      </c>
      <c r="C678" s="14" t="s">
        <v>1772</v>
      </c>
      <c r="E678" s="14" t="s">
        <v>1777</v>
      </c>
      <c r="F678" s="21">
        <v>2373.7600000000002</v>
      </c>
      <c r="G678" s="14">
        <v>751</v>
      </c>
      <c r="H678" s="14">
        <v>1</v>
      </c>
      <c r="I678" s="14" t="s">
        <v>6314</v>
      </c>
      <c r="J678" s="22">
        <v>0.400727841113308</v>
      </c>
      <c r="K678" s="22">
        <v>0.59927215888669305</v>
      </c>
      <c r="L678" s="14">
        <v>0</v>
      </c>
    </row>
    <row r="679" spans="1:12" x14ac:dyDescent="0.25">
      <c r="A679" s="13">
        <v>3684770</v>
      </c>
      <c r="B679" s="14" t="s">
        <v>17</v>
      </c>
      <c r="C679" s="14" t="s">
        <v>5607</v>
      </c>
      <c r="D679" s="14" t="s">
        <v>1780</v>
      </c>
      <c r="E679" s="14" t="s">
        <v>1781</v>
      </c>
      <c r="F679" s="21">
        <v>1755.59</v>
      </c>
      <c r="G679" s="14">
        <v>662</v>
      </c>
      <c r="H679" s="14">
        <v>1</v>
      </c>
      <c r="I679" s="14">
        <v>26</v>
      </c>
      <c r="J679" s="22">
        <v>0.86167289558746196</v>
      </c>
      <c r="K679" s="22">
        <v>0.13832710441253801</v>
      </c>
      <c r="L679" s="14">
        <v>0</v>
      </c>
    </row>
    <row r="680" spans="1:12" x14ac:dyDescent="0.25">
      <c r="A680" s="13" t="s">
        <v>6657</v>
      </c>
      <c r="B680" s="14" t="s">
        <v>5411</v>
      </c>
      <c r="C680" s="14" t="s">
        <v>1783</v>
      </c>
      <c r="D680" s="14" t="s">
        <v>1784</v>
      </c>
      <c r="E680" s="14" t="s">
        <v>1785</v>
      </c>
      <c r="F680" s="21">
        <v>808.85</v>
      </c>
      <c r="G680" s="14">
        <v>94</v>
      </c>
      <c r="H680" s="14">
        <v>0</v>
      </c>
      <c r="I680" s="14">
        <v>35</v>
      </c>
      <c r="J680" s="22">
        <v>0.31976786701966098</v>
      </c>
      <c r="K680" s="22">
        <v>0.68023213298033902</v>
      </c>
      <c r="L680" s="14">
        <v>0</v>
      </c>
    </row>
    <row r="681" spans="1:12" ht="66" x14ac:dyDescent="0.25">
      <c r="A681" s="20" t="s">
        <v>6658</v>
      </c>
      <c r="B681" s="14" t="s">
        <v>1783</v>
      </c>
      <c r="C681" s="14" t="s">
        <v>1788</v>
      </c>
      <c r="D681" s="14" t="s">
        <v>1789</v>
      </c>
      <c r="E681" s="14" t="s">
        <v>1790</v>
      </c>
      <c r="F681" s="21">
        <v>815.98</v>
      </c>
      <c r="G681" s="14">
        <v>486</v>
      </c>
      <c r="H681" s="14">
        <v>1</v>
      </c>
      <c r="I681" s="14">
        <v>38</v>
      </c>
      <c r="J681" s="22">
        <v>0.672608492569852</v>
      </c>
      <c r="K681" s="22">
        <v>0.327391507430148</v>
      </c>
      <c r="L681" s="14">
        <v>0</v>
      </c>
    </row>
    <row r="682" spans="1:12" x14ac:dyDescent="0.25">
      <c r="A682" s="13">
        <v>3685810</v>
      </c>
      <c r="B682" s="14" t="s">
        <v>1783</v>
      </c>
      <c r="C682" s="14" t="s">
        <v>1792</v>
      </c>
      <c r="D682" s="14" t="s">
        <v>1793</v>
      </c>
      <c r="E682" s="14" t="s">
        <v>1794</v>
      </c>
      <c r="F682" s="21">
        <v>813.9</v>
      </c>
      <c r="G682" s="14">
        <v>37</v>
      </c>
      <c r="H682" s="14">
        <v>1</v>
      </c>
      <c r="I682" s="14">
        <v>14</v>
      </c>
      <c r="J682" s="22">
        <v>0.71424975506646604</v>
      </c>
      <c r="K682" s="22">
        <v>0.28575024493353501</v>
      </c>
      <c r="L682" s="14">
        <v>0</v>
      </c>
    </row>
    <row r="683" spans="1:12" x14ac:dyDescent="0.25">
      <c r="A683" s="13">
        <v>3689323</v>
      </c>
      <c r="B683" s="14" t="s">
        <v>1783</v>
      </c>
      <c r="C683" s="14" t="s">
        <v>1792</v>
      </c>
      <c r="D683" s="14" t="s">
        <v>1793</v>
      </c>
      <c r="E683" s="14" t="s">
        <v>1796</v>
      </c>
      <c r="F683" s="21">
        <v>813.9</v>
      </c>
      <c r="G683" s="14">
        <v>241</v>
      </c>
      <c r="H683" s="14">
        <v>0</v>
      </c>
      <c r="I683" s="14">
        <v>18</v>
      </c>
      <c r="J683" s="22">
        <v>0.61277316904756596</v>
      </c>
      <c r="K683" s="22">
        <v>0.38722683095243399</v>
      </c>
      <c r="L683" s="14">
        <v>0</v>
      </c>
    </row>
    <row r="684" spans="1:12" ht="39.6" x14ac:dyDescent="0.25">
      <c r="A684" s="20" t="s">
        <v>6659</v>
      </c>
      <c r="B684" s="14" t="s">
        <v>1783</v>
      </c>
      <c r="C684" s="14" t="s">
        <v>1798</v>
      </c>
      <c r="D684" s="14" t="s">
        <v>1799</v>
      </c>
      <c r="E684" s="14" t="s">
        <v>1800</v>
      </c>
      <c r="F684" s="21">
        <v>1087.97</v>
      </c>
      <c r="G684" s="14">
        <v>737</v>
      </c>
      <c r="H684" s="14">
        <v>1</v>
      </c>
      <c r="I684" s="14">
        <v>48</v>
      </c>
      <c r="J684" s="22">
        <v>0.66747733639066897</v>
      </c>
      <c r="K684" s="22">
        <v>0.33252266360933203</v>
      </c>
      <c r="L684" s="14">
        <v>0</v>
      </c>
    </row>
    <row r="685" spans="1:12" x14ac:dyDescent="0.25">
      <c r="A685" s="13" t="s">
        <v>1801</v>
      </c>
      <c r="B685" s="14" t="s">
        <v>5385</v>
      </c>
      <c r="C685" s="14" t="s">
        <v>1798</v>
      </c>
      <c r="D685" s="14" t="s">
        <v>1799</v>
      </c>
      <c r="E685" s="14" t="s">
        <v>1802</v>
      </c>
      <c r="F685" s="21">
        <v>476.57</v>
      </c>
      <c r="G685" s="14">
        <v>485</v>
      </c>
      <c r="H685" s="14">
        <v>0</v>
      </c>
      <c r="I685" s="14">
        <v>20</v>
      </c>
      <c r="J685" s="22">
        <v>0.34270276154720902</v>
      </c>
      <c r="K685" s="22">
        <v>0.65729723845279098</v>
      </c>
      <c r="L685" s="14">
        <v>0</v>
      </c>
    </row>
    <row r="686" spans="1:12" x14ac:dyDescent="0.25">
      <c r="B686" s="14" t="s">
        <v>1783</v>
      </c>
      <c r="C686" s="14" t="s">
        <v>1803</v>
      </c>
      <c r="D686" s="14" t="s">
        <v>1804</v>
      </c>
      <c r="E686" s="14" t="s">
        <v>1805</v>
      </c>
      <c r="F686" s="21">
        <v>725.76</v>
      </c>
      <c r="G686" s="14">
        <v>128</v>
      </c>
      <c r="H686" s="14">
        <v>0</v>
      </c>
      <c r="I686" s="14">
        <v>5</v>
      </c>
      <c r="J686" s="22">
        <v>0.57372974720784797</v>
      </c>
      <c r="K686" s="22">
        <v>0.42627025279215203</v>
      </c>
      <c r="L686" s="14">
        <v>0</v>
      </c>
    </row>
    <row r="687" spans="1:12" x14ac:dyDescent="0.25">
      <c r="A687" s="13" t="s">
        <v>6660</v>
      </c>
      <c r="B687" s="14" t="s">
        <v>1783</v>
      </c>
      <c r="C687" s="14" t="s">
        <v>1803</v>
      </c>
      <c r="D687" s="14" t="s">
        <v>1804</v>
      </c>
      <c r="E687" s="14" t="s">
        <v>1807</v>
      </c>
      <c r="F687" s="21">
        <v>821.98</v>
      </c>
      <c r="G687" s="14">
        <v>471</v>
      </c>
      <c r="H687" s="14">
        <v>0</v>
      </c>
      <c r="I687" s="14">
        <v>36</v>
      </c>
      <c r="J687" s="22">
        <v>0.61796295390174005</v>
      </c>
      <c r="K687" s="22">
        <v>0.382037046098261</v>
      </c>
      <c r="L687" s="14">
        <v>0</v>
      </c>
    </row>
    <row r="688" spans="1:12" ht="39.6" x14ac:dyDescent="0.25">
      <c r="A688" s="20" t="s">
        <v>6661</v>
      </c>
      <c r="B688" s="14" t="s">
        <v>1783</v>
      </c>
      <c r="C688" s="14" t="s">
        <v>1809</v>
      </c>
      <c r="D688" s="14" t="s">
        <v>1810</v>
      </c>
      <c r="E688" s="14" t="s">
        <v>1811</v>
      </c>
      <c r="F688" s="21">
        <v>808.22</v>
      </c>
      <c r="G688" s="14">
        <v>150</v>
      </c>
      <c r="H688" s="14">
        <v>0</v>
      </c>
      <c r="I688" s="14">
        <v>36</v>
      </c>
      <c r="J688" s="22">
        <v>0.72521406728784898</v>
      </c>
      <c r="K688" s="22">
        <v>0.27478593271215102</v>
      </c>
      <c r="L688" s="14">
        <v>0</v>
      </c>
    </row>
    <row r="689" spans="1:12" x14ac:dyDescent="0.25">
      <c r="B689" s="14" t="s">
        <v>1783</v>
      </c>
      <c r="C689" s="14" t="s">
        <v>1812</v>
      </c>
      <c r="D689" s="14" t="s">
        <v>1813</v>
      </c>
      <c r="E689" s="14" t="s">
        <v>1814</v>
      </c>
      <c r="F689" s="21">
        <v>434.7</v>
      </c>
      <c r="H689" s="14">
        <v>0</v>
      </c>
      <c r="I689" s="14">
        <v>46</v>
      </c>
      <c r="J689" s="22">
        <v>0.18173213264993701</v>
      </c>
      <c r="K689" s="22">
        <v>0.81826786735006296</v>
      </c>
      <c r="L689" s="14">
        <v>0</v>
      </c>
    </row>
    <row r="690" spans="1:12" x14ac:dyDescent="0.25">
      <c r="A690" s="13" t="s">
        <v>1815</v>
      </c>
      <c r="B690" s="14" t="s">
        <v>5385</v>
      </c>
      <c r="C690" s="14" t="s">
        <v>1816</v>
      </c>
      <c r="D690" s="14" t="s">
        <v>1817</v>
      </c>
      <c r="E690" s="14" t="s">
        <v>1818</v>
      </c>
      <c r="F690" s="21">
        <v>711.11</v>
      </c>
      <c r="G690" s="14">
        <v>878</v>
      </c>
      <c r="H690" s="14">
        <v>0</v>
      </c>
      <c r="I690" s="14">
        <v>49</v>
      </c>
      <c r="J690" s="22">
        <v>0.78112235470292601</v>
      </c>
      <c r="K690" s="22">
        <v>0.21887764529707501</v>
      </c>
      <c r="L690" s="14">
        <v>0</v>
      </c>
    </row>
    <row r="691" spans="1:12" ht="39.6" x14ac:dyDescent="0.25">
      <c r="A691" s="20" t="s">
        <v>6662</v>
      </c>
      <c r="B691" s="14" t="s">
        <v>1783</v>
      </c>
      <c r="C691" s="14" t="s">
        <v>1820</v>
      </c>
      <c r="D691" s="14" t="s">
        <v>1821</v>
      </c>
      <c r="E691" s="14" t="s">
        <v>1822</v>
      </c>
      <c r="F691" s="21">
        <v>1392.61</v>
      </c>
      <c r="G691" s="14">
        <v>91</v>
      </c>
      <c r="H691" s="14">
        <v>0</v>
      </c>
      <c r="I691" s="14">
        <v>30</v>
      </c>
      <c r="J691" s="22">
        <v>0.70355503848713996</v>
      </c>
      <c r="K691" s="22">
        <v>0.29644496151285998</v>
      </c>
      <c r="L691" s="14">
        <v>0</v>
      </c>
    </row>
    <row r="692" spans="1:12" x14ac:dyDescent="0.25">
      <c r="A692" s="13">
        <v>3759789</v>
      </c>
      <c r="B692" s="14" t="s">
        <v>1783</v>
      </c>
      <c r="C692" s="14" t="s">
        <v>1824</v>
      </c>
      <c r="D692" s="14" t="s">
        <v>1825</v>
      </c>
      <c r="E692" s="14" t="s">
        <v>1826</v>
      </c>
      <c r="F692" s="21">
        <v>840.19</v>
      </c>
      <c r="G692" s="14">
        <v>274</v>
      </c>
      <c r="H692" s="14">
        <v>1</v>
      </c>
      <c r="I692" s="14">
        <v>13</v>
      </c>
      <c r="J692" s="22">
        <v>0.163804146789847</v>
      </c>
      <c r="K692" s="22">
        <v>0.836195853210153</v>
      </c>
      <c r="L692" s="14">
        <v>0</v>
      </c>
    </row>
    <row r="693" spans="1:12" x14ac:dyDescent="0.25">
      <c r="B693" s="14" t="s">
        <v>1783</v>
      </c>
      <c r="C693" s="14" t="s">
        <v>1827</v>
      </c>
      <c r="D693" s="14" t="s">
        <v>1828</v>
      </c>
      <c r="E693" s="14" t="s">
        <v>1829</v>
      </c>
      <c r="F693" s="21">
        <v>827.13</v>
      </c>
      <c r="G693" s="14">
        <v>347</v>
      </c>
      <c r="H693" s="14">
        <v>0</v>
      </c>
      <c r="I693" s="14">
        <v>20</v>
      </c>
      <c r="J693" s="22">
        <v>0.85596043573321401</v>
      </c>
      <c r="K693" s="22">
        <v>0.14403956426678599</v>
      </c>
      <c r="L693" s="14">
        <v>0</v>
      </c>
    </row>
    <row r="694" spans="1:12" x14ac:dyDescent="0.25">
      <c r="A694" s="13" t="s">
        <v>1830</v>
      </c>
      <c r="B694" s="14" t="s">
        <v>1783</v>
      </c>
      <c r="C694" s="14" t="s">
        <v>1831</v>
      </c>
      <c r="D694" s="14" t="s">
        <v>1828</v>
      </c>
      <c r="E694" s="14" t="s">
        <v>1832</v>
      </c>
      <c r="F694" s="21">
        <v>975.81</v>
      </c>
      <c r="G694" s="14">
        <v>339</v>
      </c>
      <c r="H694" s="14">
        <v>1</v>
      </c>
      <c r="I694" s="14">
        <v>41</v>
      </c>
      <c r="J694" s="22">
        <v>0.59797665641213604</v>
      </c>
      <c r="K694" s="22">
        <v>0.40202334358786401</v>
      </c>
      <c r="L694" s="14">
        <v>0</v>
      </c>
    </row>
    <row r="695" spans="1:12" ht="39.6" x14ac:dyDescent="0.25">
      <c r="A695" s="20" t="s">
        <v>6663</v>
      </c>
      <c r="B695" s="14" t="s">
        <v>1783</v>
      </c>
      <c r="C695" s="14" t="s">
        <v>1834</v>
      </c>
      <c r="D695" s="14" t="s">
        <v>1835</v>
      </c>
      <c r="E695" s="14" t="s">
        <v>1836</v>
      </c>
      <c r="F695" s="21">
        <v>346.25</v>
      </c>
      <c r="G695" s="14">
        <v>9</v>
      </c>
      <c r="H695" s="14">
        <v>0</v>
      </c>
      <c r="I695" s="14">
        <v>24</v>
      </c>
      <c r="J695" s="22">
        <v>0.92541922676119603</v>
      </c>
      <c r="K695" s="22">
        <v>7.4580773238804202E-2</v>
      </c>
      <c r="L695" s="14">
        <v>0</v>
      </c>
    </row>
    <row r="696" spans="1:12" x14ac:dyDescent="0.25">
      <c r="B696" s="14" t="s">
        <v>1783</v>
      </c>
      <c r="C696" s="14" t="s">
        <v>1837</v>
      </c>
      <c r="D696" s="14" t="s">
        <v>1838</v>
      </c>
      <c r="E696" s="14" t="s">
        <v>1839</v>
      </c>
      <c r="F696" s="21">
        <v>582.12</v>
      </c>
      <c r="G696" s="14">
        <v>824</v>
      </c>
      <c r="H696" s="14">
        <v>1</v>
      </c>
      <c r="I696" s="14">
        <v>9</v>
      </c>
      <c r="J696" s="22">
        <v>0.79747158610991498</v>
      </c>
      <c r="K696" s="22">
        <v>0.202528413890085</v>
      </c>
      <c r="L696" s="14">
        <v>0</v>
      </c>
    </row>
    <row r="697" spans="1:12" x14ac:dyDescent="0.25">
      <c r="B697" s="14" t="s">
        <v>1783</v>
      </c>
      <c r="C697" s="14" t="s">
        <v>1837</v>
      </c>
      <c r="D697" s="14" t="s">
        <v>1838</v>
      </c>
      <c r="E697" s="14" t="s">
        <v>1840</v>
      </c>
      <c r="F697" s="21">
        <v>825.37</v>
      </c>
      <c r="G697" s="14">
        <v>433</v>
      </c>
      <c r="H697" s="14">
        <v>0</v>
      </c>
      <c r="I697" s="14" t="s">
        <v>6314</v>
      </c>
      <c r="J697" s="22">
        <v>0.23417213472660101</v>
      </c>
      <c r="K697" s="22">
        <v>0.76582786527339997</v>
      </c>
      <c r="L697" s="14">
        <v>0</v>
      </c>
    </row>
    <row r="698" spans="1:12" ht="39.6" x14ac:dyDescent="0.25">
      <c r="A698" s="20" t="s">
        <v>6664</v>
      </c>
      <c r="B698" s="14" t="s">
        <v>1783</v>
      </c>
      <c r="C698" s="14" t="s">
        <v>1837</v>
      </c>
      <c r="D698" s="14" t="s">
        <v>1838</v>
      </c>
      <c r="E698" s="14" t="s">
        <v>1842</v>
      </c>
      <c r="F698" s="21">
        <v>827.13</v>
      </c>
      <c r="H698" s="14">
        <v>1</v>
      </c>
      <c r="I698" s="14" t="s">
        <v>6314</v>
      </c>
      <c r="J698" s="22">
        <v>3.8242344299439499E-3</v>
      </c>
      <c r="K698" s="22">
        <v>0.99617576557005605</v>
      </c>
      <c r="L698" s="14">
        <v>0</v>
      </c>
    </row>
    <row r="699" spans="1:12" x14ac:dyDescent="0.25">
      <c r="A699" s="13" t="s">
        <v>6665</v>
      </c>
      <c r="B699" s="14" t="s">
        <v>1783</v>
      </c>
      <c r="C699" s="14" t="s">
        <v>1837</v>
      </c>
      <c r="D699" s="14" t="s">
        <v>1838</v>
      </c>
      <c r="E699" s="14" t="s">
        <v>1844</v>
      </c>
      <c r="F699" s="21">
        <v>1000.87</v>
      </c>
      <c r="G699" s="14">
        <v>984</v>
      </c>
      <c r="H699" s="14">
        <v>1</v>
      </c>
      <c r="I699" s="14">
        <v>14</v>
      </c>
      <c r="J699" s="22">
        <v>0.582677642520807</v>
      </c>
      <c r="K699" s="22">
        <v>0.417322357479193</v>
      </c>
      <c r="L699" s="14">
        <v>0</v>
      </c>
    </row>
    <row r="700" spans="1:12" x14ac:dyDescent="0.25">
      <c r="A700" s="13" t="s">
        <v>1845</v>
      </c>
      <c r="B700" s="14" t="s">
        <v>5386</v>
      </c>
      <c r="C700" s="14" t="s">
        <v>1837</v>
      </c>
      <c r="D700" s="14" t="s">
        <v>1838</v>
      </c>
      <c r="E700" s="14" t="s">
        <v>1846</v>
      </c>
      <c r="F700" s="21">
        <v>837.74</v>
      </c>
      <c r="G700" s="14">
        <v>290</v>
      </c>
      <c r="H700" s="14">
        <v>1</v>
      </c>
      <c r="I700" s="14">
        <v>12</v>
      </c>
      <c r="J700" s="22">
        <v>0.73954094845267704</v>
      </c>
      <c r="K700" s="22">
        <v>0.26045905154732302</v>
      </c>
      <c r="L700" s="14">
        <v>0</v>
      </c>
    </row>
    <row r="701" spans="1:12" x14ac:dyDescent="0.25">
      <c r="A701" s="13" t="s">
        <v>1847</v>
      </c>
      <c r="B701" s="14" t="s">
        <v>1783</v>
      </c>
      <c r="C701" s="14" t="s">
        <v>1848</v>
      </c>
      <c r="D701" s="14" t="s">
        <v>1849</v>
      </c>
      <c r="E701" s="14" t="s">
        <v>1850</v>
      </c>
      <c r="F701" s="21">
        <v>775.82</v>
      </c>
      <c r="G701" s="14">
        <v>728</v>
      </c>
      <c r="H701" s="14">
        <v>1</v>
      </c>
      <c r="I701" s="14">
        <v>12</v>
      </c>
      <c r="J701" s="22">
        <v>0.517774870139322</v>
      </c>
      <c r="K701" s="22">
        <v>0.482225129860678</v>
      </c>
      <c r="L701" s="14">
        <v>0</v>
      </c>
    </row>
    <row r="702" spans="1:12" x14ac:dyDescent="0.25">
      <c r="A702" s="13" t="s">
        <v>6666</v>
      </c>
      <c r="B702" s="14" t="s">
        <v>5385</v>
      </c>
      <c r="C702" s="14" t="s">
        <v>1852</v>
      </c>
      <c r="D702" s="14" t="s">
        <v>1853</v>
      </c>
      <c r="E702" s="14" t="s">
        <v>1854</v>
      </c>
      <c r="F702" s="21">
        <v>1014.44</v>
      </c>
      <c r="H702" s="14">
        <v>1</v>
      </c>
      <c r="I702" s="14">
        <v>47</v>
      </c>
      <c r="J702" s="22">
        <v>7.1189366726878506E-2</v>
      </c>
      <c r="K702" s="22">
        <v>0.92881063327312197</v>
      </c>
      <c r="L702" s="14">
        <v>0</v>
      </c>
    </row>
    <row r="703" spans="1:12" x14ac:dyDescent="0.25">
      <c r="A703" s="13" t="s">
        <v>1855</v>
      </c>
      <c r="B703" s="14" t="s">
        <v>1783</v>
      </c>
      <c r="C703" s="14" t="s">
        <v>1856</v>
      </c>
      <c r="D703" s="14" t="s">
        <v>1853</v>
      </c>
      <c r="E703" s="14" t="s">
        <v>1857</v>
      </c>
      <c r="F703" s="21">
        <v>687.79</v>
      </c>
      <c r="H703" s="14">
        <v>0</v>
      </c>
      <c r="I703" s="14">
        <v>43</v>
      </c>
      <c r="J703" s="22">
        <v>4.0619212391652802E-2</v>
      </c>
      <c r="K703" s="22">
        <v>0.959380787608347</v>
      </c>
      <c r="L703" s="14">
        <v>0</v>
      </c>
    </row>
    <row r="704" spans="1:12" x14ac:dyDescent="0.25">
      <c r="A704" s="13" t="s">
        <v>6667</v>
      </c>
      <c r="B704" s="14" t="s">
        <v>1787</v>
      </c>
      <c r="C704" s="14" t="s">
        <v>1859</v>
      </c>
      <c r="D704" s="14" t="s">
        <v>1860</v>
      </c>
      <c r="E704" s="14" t="s">
        <v>1861</v>
      </c>
      <c r="F704" s="21">
        <v>937.34</v>
      </c>
      <c r="G704" s="14">
        <v>66</v>
      </c>
      <c r="H704" s="14">
        <v>0</v>
      </c>
      <c r="I704" s="14">
        <v>3</v>
      </c>
      <c r="J704" s="22">
        <v>9.0052948887456904E-3</v>
      </c>
      <c r="K704" s="22">
        <v>0.99099470511125398</v>
      </c>
      <c r="L704" s="14">
        <v>0</v>
      </c>
    </row>
    <row r="705" spans="1:12" x14ac:dyDescent="0.25">
      <c r="A705" s="13" t="s">
        <v>1862</v>
      </c>
      <c r="B705" s="14" t="s">
        <v>1783</v>
      </c>
      <c r="C705" s="14" t="s">
        <v>1863</v>
      </c>
      <c r="D705" s="14" t="s">
        <v>1864</v>
      </c>
      <c r="E705" s="14" t="s">
        <v>1865</v>
      </c>
      <c r="F705" s="21">
        <v>967.18</v>
      </c>
      <c r="H705" s="14">
        <v>1</v>
      </c>
      <c r="I705" s="14">
        <v>29</v>
      </c>
      <c r="J705" s="22">
        <v>0.56439555759691595</v>
      </c>
      <c r="K705" s="22">
        <v>0.43560444240308399</v>
      </c>
      <c r="L705" s="14">
        <v>0</v>
      </c>
    </row>
    <row r="706" spans="1:12" x14ac:dyDescent="0.25">
      <c r="B706" s="14" t="s">
        <v>1783</v>
      </c>
      <c r="C706" s="14" t="s">
        <v>1866</v>
      </c>
      <c r="D706" s="14" t="s">
        <v>1867</v>
      </c>
      <c r="E706" s="14" t="s">
        <v>1868</v>
      </c>
      <c r="F706" s="21">
        <v>1209.5999999999999</v>
      </c>
      <c r="G706" s="14">
        <v>388</v>
      </c>
      <c r="H706" s="14">
        <v>1</v>
      </c>
      <c r="I706" s="14">
        <v>16</v>
      </c>
      <c r="J706" s="22">
        <v>7.8276884573897795E-2</v>
      </c>
      <c r="K706" s="22">
        <v>0.92172311542610197</v>
      </c>
      <c r="L706" s="14">
        <v>0</v>
      </c>
    </row>
    <row r="707" spans="1:12" x14ac:dyDescent="0.25">
      <c r="A707" s="13" t="s">
        <v>1869</v>
      </c>
      <c r="B707" s="14" t="s">
        <v>5385</v>
      </c>
      <c r="C707" s="14" t="s">
        <v>1870</v>
      </c>
      <c r="D707" s="14" t="s">
        <v>1871</v>
      </c>
      <c r="E707" s="14" t="s">
        <v>1872</v>
      </c>
      <c r="F707" s="21">
        <v>819.45</v>
      </c>
      <c r="G707" s="14">
        <v>985</v>
      </c>
      <c r="H707" s="14">
        <v>0</v>
      </c>
      <c r="I707" s="14">
        <v>2</v>
      </c>
      <c r="J707" s="22">
        <v>0.26098852285714502</v>
      </c>
      <c r="K707" s="22">
        <v>0.73901147714285498</v>
      </c>
      <c r="L707" s="14">
        <v>0</v>
      </c>
    </row>
    <row r="708" spans="1:12" ht="39.6" x14ac:dyDescent="0.25">
      <c r="A708" s="20" t="s">
        <v>6668</v>
      </c>
      <c r="B708" s="14" t="s">
        <v>5385</v>
      </c>
      <c r="C708" s="14" t="s">
        <v>1874</v>
      </c>
      <c r="D708" s="14" t="s">
        <v>1875</v>
      </c>
      <c r="E708" s="14" t="s">
        <v>1876</v>
      </c>
      <c r="F708" s="21">
        <v>625.20000000000005</v>
      </c>
      <c r="G708" s="14">
        <v>502</v>
      </c>
      <c r="H708" s="14">
        <v>1</v>
      </c>
      <c r="I708" s="14">
        <v>38</v>
      </c>
      <c r="J708" s="22">
        <v>0.49275636979593901</v>
      </c>
      <c r="K708" s="22">
        <v>0.50724363020406105</v>
      </c>
      <c r="L708" s="14">
        <v>0</v>
      </c>
    </row>
    <row r="709" spans="1:12" x14ac:dyDescent="0.25">
      <c r="A709" s="13" t="s">
        <v>6669</v>
      </c>
      <c r="B709" s="14" t="s">
        <v>1787</v>
      </c>
      <c r="C709" s="14" t="s">
        <v>1878</v>
      </c>
      <c r="D709" s="14" t="s">
        <v>1879</v>
      </c>
      <c r="E709" s="14" t="s">
        <v>1880</v>
      </c>
      <c r="F709" s="21">
        <v>987.91</v>
      </c>
      <c r="G709" s="14">
        <v>901</v>
      </c>
      <c r="H709" s="14">
        <v>0</v>
      </c>
      <c r="I709" s="14">
        <v>47</v>
      </c>
      <c r="J709" s="22">
        <v>0.90105204886668799</v>
      </c>
      <c r="K709" s="22">
        <v>9.8947951133312298E-2</v>
      </c>
      <c r="L709" s="14">
        <v>0</v>
      </c>
    </row>
    <row r="710" spans="1:12" x14ac:dyDescent="0.25">
      <c r="A710" s="13" t="s">
        <v>1881</v>
      </c>
      <c r="B710" s="14" t="s">
        <v>1783</v>
      </c>
      <c r="C710" s="14" t="s">
        <v>1882</v>
      </c>
      <c r="D710" s="14" t="s">
        <v>1883</v>
      </c>
      <c r="E710" s="14" t="s">
        <v>1884</v>
      </c>
      <c r="F710" s="21">
        <v>821.98</v>
      </c>
      <c r="G710" s="14">
        <v>695</v>
      </c>
      <c r="H710" s="14">
        <v>0</v>
      </c>
      <c r="I710" s="14">
        <v>49</v>
      </c>
      <c r="J710" s="22">
        <v>0.83511696029117699</v>
      </c>
      <c r="K710" s="22">
        <v>0.16488303970882401</v>
      </c>
      <c r="L710" s="14">
        <v>0</v>
      </c>
    </row>
    <row r="711" spans="1:12" x14ac:dyDescent="0.25">
      <c r="A711" s="13" t="s">
        <v>1885</v>
      </c>
      <c r="B711" s="14" t="s">
        <v>1783</v>
      </c>
      <c r="C711" s="14" t="s">
        <v>1886</v>
      </c>
      <c r="D711" s="14" t="s">
        <v>1887</v>
      </c>
      <c r="E711" s="14" t="s">
        <v>1888</v>
      </c>
      <c r="F711" s="21">
        <v>1644.25</v>
      </c>
      <c r="G711" s="14">
        <v>335</v>
      </c>
      <c r="H711" s="14">
        <v>1</v>
      </c>
      <c r="I711" s="14">
        <v>29</v>
      </c>
      <c r="J711" s="22">
        <v>1.4189716053948601E-2</v>
      </c>
      <c r="K711" s="22">
        <v>0.98581028394605097</v>
      </c>
      <c r="L711" s="14">
        <v>0</v>
      </c>
    </row>
    <row r="712" spans="1:12" x14ac:dyDescent="0.25">
      <c r="A712" s="13" t="s">
        <v>6670</v>
      </c>
      <c r="B712" s="14" t="s">
        <v>5385</v>
      </c>
      <c r="C712" s="14" t="s">
        <v>1890</v>
      </c>
      <c r="D712" s="14" t="s">
        <v>1891</v>
      </c>
      <c r="E712" s="14" t="s">
        <v>6671</v>
      </c>
      <c r="F712" s="21">
        <v>1017.58</v>
      </c>
      <c r="G712" s="14">
        <v>625</v>
      </c>
      <c r="H712" s="14">
        <v>1</v>
      </c>
      <c r="I712" s="14">
        <v>36</v>
      </c>
      <c r="J712" s="22">
        <v>0.50997486386227597</v>
      </c>
      <c r="K712" s="22">
        <v>0.49002513613772503</v>
      </c>
      <c r="L712" s="14">
        <v>0</v>
      </c>
    </row>
    <row r="713" spans="1:12" x14ac:dyDescent="0.25">
      <c r="A713" s="13" t="s">
        <v>1893</v>
      </c>
      <c r="B713" s="14" t="s">
        <v>758</v>
      </c>
      <c r="C713" s="14" t="s">
        <v>1894</v>
      </c>
      <c r="E713" s="14" t="s">
        <v>1895</v>
      </c>
      <c r="F713" s="21">
        <v>720</v>
      </c>
      <c r="G713" s="14">
        <v>933</v>
      </c>
      <c r="H713" s="14">
        <v>0</v>
      </c>
      <c r="I713" s="14" t="s">
        <v>6314</v>
      </c>
      <c r="J713" s="22">
        <v>0.37879055961846803</v>
      </c>
      <c r="K713" s="22">
        <v>0.62120944038153303</v>
      </c>
      <c r="L713" s="14">
        <v>0</v>
      </c>
    </row>
    <row r="714" spans="1:12" x14ac:dyDescent="0.25">
      <c r="A714" s="13" t="s">
        <v>1896</v>
      </c>
      <c r="B714" s="14" t="s">
        <v>758</v>
      </c>
      <c r="C714" s="14" t="s">
        <v>1894</v>
      </c>
      <c r="E714" s="14" t="s">
        <v>1897</v>
      </c>
      <c r="F714" s="21">
        <v>720</v>
      </c>
      <c r="H714" s="14">
        <v>0</v>
      </c>
      <c r="I714" s="14">
        <v>35</v>
      </c>
      <c r="J714" s="22">
        <v>0.422987011527171</v>
      </c>
      <c r="K714" s="22">
        <v>0.577012988472829</v>
      </c>
      <c r="L714" s="14">
        <v>0</v>
      </c>
    </row>
    <row r="715" spans="1:12" x14ac:dyDescent="0.25">
      <c r="A715" s="13" t="s">
        <v>1898</v>
      </c>
      <c r="B715" s="14" t="s">
        <v>758</v>
      </c>
      <c r="C715" s="14" t="s">
        <v>1894</v>
      </c>
      <c r="E715" s="14" t="s">
        <v>1899</v>
      </c>
      <c r="F715" s="21">
        <v>720</v>
      </c>
      <c r="G715" s="14">
        <v>871</v>
      </c>
      <c r="I715" s="14">
        <v>6</v>
      </c>
      <c r="J715" s="22">
        <v>0.36562188968571702</v>
      </c>
      <c r="K715" s="22">
        <v>0.63437811031428304</v>
      </c>
      <c r="L715" s="14">
        <v>0</v>
      </c>
    </row>
    <row r="716" spans="1:12" x14ac:dyDescent="0.25">
      <c r="A716" s="13">
        <v>3605576</v>
      </c>
      <c r="B716" s="14" t="s">
        <v>17</v>
      </c>
      <c r="C716" s="14" t="s">
        <v>1901</v>
      </c>
      <c r="D716" s="14" t="s">
        <v>1902</v>
      </c>
      <c r="E716" s="14" t="s">
        <v>1903</v>
      </c>
      <c r="F716" s="21">
        <v>2272.0100000000002</v>
      </c>
      <c r="G716" s="14">
        <v>555</v>
      </c>
      <c r="H716" s="14">
        <v>0</v>
      </c>
      <c r="I716" s="14">
        <v>5</v>
      </c>
      <c r="J716" s="22">
        <v>1.5784527028483899E-2</v>
      </c>
      <c r="K716" s="22">
        <v>0.98421547297151601</v>
      </c>
      <c r="L716" s="14">
        <v>0</v>
      </c>
    </row>
    <row r="717" spans="1:12" x14ac:dyDescent="0.25">
      <c r="A717" s="13" t="s">
        <v>1904</v>
      </c>
      <c r="B717" s="14" t="s">
        <v>17</v>
      </c>
      <c r="C717" s="14" t="s">
        <v>1905</v>
      </c>
      <c r="D717" s="14" t="s">
        <v>1906</v>
      </c>
      <c r="E717" s="14" t="s">
        <v>1907</v>
      </c>
      <c r="F717" s="21">
        <v>2378.19</v>
      </c>
      <c r="H717" s="14">
        <v>0</v>
      </c>
      <c r="I717" s="14" t="s">
        <v>6314</v>
      </c>
      <c r="J717" s="22">
        <v>0.50050958097963705</v>
      </c>
      <c r="K717" s="22">
        <v>0.49949041902036401</v>
      </c>
      <c r="L717" s="14">
        <v>0</v>
      </c>
    </row>
    <row r="718" spans="1:12" x14ac:dyDescent="0.25">
      <c r="A718" s="13" t="s">
        <v>6672</v>
      </c>
      <c r="B718" s="14" t="s">
        <v>1908</v>
      </c>
      <c r="C718" s="14" t="s">
        <v>1909</v>
      </c>
      <c r="D718" s="14" t="s">
        <v>1910</v>
      </c>
      <c r="E718" s="14" t="s">
        <v>1911</v>
      </c>
      <c r="F718" s="21">
        <v>2040</v>
      </c>
      <c r="G718" s="14">
        <v>714</v>
      </c>
      <c r="H718" s="14">
        <v>0</v>
      </c>
      <c r="I718" s="14">
        <v>20</v>
      </c>
      <c r="J718" s="22">
        <v>0.66411916243968006</v>
      </c>
      <c r="K718" s="22">
        <v>0.33588083756032</v>
      </c>
      <c r="L718" s="14">
        <v>0</v>
      </c>
    </row>
    <row r="719" spans="1:12" x14ac:dyDescent="0.25">
      <c r="A719" s="13" t="s">
        <v>6673</v>
      </c>
      <c r="B719" s="14" t="s">
        <v>1908</v>
      </c>
      <c r="C719" s="14" t="s">
        <v>1909</v>
      </c>
      <c r="D719" s="14" t="s">
        <v>1910</v>
      </c>
      <c r="E719" s="14" t="s">
        <v>1912</v>
      </c>
      <c r="F719" s="21">
        <v>2270</v>
      </c>
      <c r="G719" s="14">
        <v>645</v>
      </c>
      <c r="H719" s="14">
        <v>0</v>
      </c>
      <c r="I719" s="14">
        <v>3</v>
      </c>
      <c r="J719" s="22">
        <v>0.38342226859026302</v>
      </c>
      <c r="K719" s="22">
        <v>0.61657773140973804</v>
      </c>
      <c r="L719" s="14">
        <v>0</v>
      </c>
    </row>
    <row r="720" spans="1:12" x14ac:dyDescent="0.25">
      <c r="A720" s="13" t="s">
        <v>6674</v>
      </c>
      <c r="B720" s="14" t="s">
        <v>5387</v>
      </c>
      <c r="C720" s="14" t="s">
        <v>1915</v>
      </c>
      <c r="E720" s="14" t="s">
        <v>1916</v>
      </c>
      <c r="F720" s="21">
        <v>1700</v>
      </c>
      <c r="H720" s="14">
        <v>0</v>
      </c>
      <c r="I720" s="14">
        <v>4</v>
      </c>
      <c r="J720" s="22">
        <v>0.186476682360039</v>
      </c>
      <c r="K720" s="22">
        <v>0.813523317639961</v>
      </c>
      <c r="L720" s="14">
        <v>0</v>
      </c>
    </row>
    <row r="721" spans="1:12" x14ac:dyDescent="0.25">
      <c r="A721" s="13" t="s">
        <v>1917</v>
      </c>
      <c r="B721" s="14" t="s">
        <v>1914</v>
      </c>
      <c r="C721" s="14" t="s">
        <v>1918</v>
      </c>
      <c r="D721" s="14" t="s">
        <v>1919</v>
      </c>
      <c r="E721" s="14" t="s">
        <v>6675</v>
      </c>
      <c r="F721" s="21">
        <v>2040</v>
      </c>
      <c r="G721" s="14">
        <v>481</v>
      </c>
      <c r="H721" s="14">
        <v>0</v>
      </c>
      <c r="I721" s="14">
        <v>18</v>
      </c>
      <c r="J721" s="22">
        <v>0.29007349668791998</v>
      </c>
      <c r="K721" s="22">
        <v>0.70992650331207996</v>
      </c>
      <c r="L721" s="14">
        <v>0</v>
      </c>
    </row>
    <row r="722" spans="1:12" x14ac:dyDescent="0.25">
      <c r="B722" s="14" t="s">
        <v>1914</v>
      </c>
      <c r="C722" s="14" t="s">
        <v>1921</v>
      </c>
      <c r="D722" s="14" t="s">
        <v>1922</v>
      </c>
      <c r="E722" s="14" t="s">
        <v>1923</v>
      </c>
      <c r="F722" s="21">
        <v>1850</v>
      </c>
      <c r="G722" s="14">
        <v>875</v>
      </c>
      <c r="H722" s="14">
        <v>1</v>
      </c>
      <c r="I722" s="14">
        <v>50</v>
      </c>
      <c r="J722" s="22">
        <v>6.3853836911451897E-2</v>
      </c>
      <c r="K722" s="22">
        <v>0.93614616308854803</v>
      </c>
      <c r="L722" s="14">
        <v>0</v>
      </c>
    </row>
    <row r="723" spans="1:12" ht="26.4" x14ac:dyDescent="0.25">
      <c r="A723" s="20" t="s">
        <v>6676</v>
      </c>
      <c r="B723" s="14" t="s">
        <v>1914</v>
      </c>
      <c r="C723" s="14" t="s">
        <v>1921</v>
      </c>
      <c r="D723" s="14" t="s">
        <v>1922</v>
      </c>
      <c r="E723" s="14" t="s">
        <v>1925</v>
      </c>
      <c r="F723" s="21">
        <v>2040</v>
      </c>
      <c r="G723" s="14">
        <v>976</v>
      </c>
      <c r="H723" s="14">
        <v>1</v>
      </c>
      <c r="I723" s="14" t="s">
        <v>6314</v>
      </c>
      <c r="J723" s="22">
        <v>0.25805337664615102</v>
      </c>
      <c r="K723" s="22">
        <v>0.74194662335384998</v>
      </c>
      <c r="L723" s="14">
        <v>0</v>
      </c>
    </row>
    <row r="724" spans="1:12" x14ac:dyDescent="0.25">
      <c r="A724" s="13">
        <v>3564995</v>
      </c>
      <c r="B724" s="14" t="s">
        <v>191</v>
      </c>
      <c r="C724" s="14" t="s">
        <v>1927</v>
      </c>
      <c r="D724" s="14" t="s">
        <v>1928</v>
      </c>
      <c r="E724" s="14" t="s">
        <v>1929</v>
      </c>
      <c r="F724" s="21">
        <v>1230.67</v>
      </c>
      <c r="G724" s="14">
        <v>9</v>
      </c>
      <c r="H724" s="14">
        <v>1</v>
      </c>
      <c r="I724" s="14" t="s">
        <v>6314</v>
      </c>
      <c r="J724" s="22">
        <v>0.30587421802776699</v>
      </c>
      <c r="K724" s="22">
        <v>0.69412578197223296</v>
      </c>
      <c r="L724" s="14">
        <v>0</v>
      </c>
    </row>
    <row r="725" spans="1:12" x14ac:dyDescent="0.25">
      <c r="A725" s="13" t="s">
        <v>1930</v>
      </c>
      <c r="B725" s="14" t="s">
        <v>1931</v>
      </c>
      <c r="C725" s="14" t="s">
        <v>1932</v>
      </c>
      <c r="D725" s="14" t="s">
        <v>1933</v>
      </c>
      <c r="E725" s="14" t="s">
        <v>1934</v>
      </c>
      <c r="F725" s="21">
        <v>238.08</v>
      </c>
      <c r="G725" s="14">
        <v>420</v>
      </c>
      <c r="H725" s="14">
        <v>0</v>
      </c>
      <c r="I725" s="14">
        <v>31</v>
      </c>
      <c r="J725" s="22">
        <v>0.43835435284402302</v>
      </c>
      <c r="K725" s="22">
        <v>0.56164564715597698</v>
      </c>
      <c r="L725" s="14">
        <v>0</v>
      </c>
    </row>
    <row r="726" spans="1:12" x14ac:dyDescent="0.25">
      <c r="A726" s="13" t="s">
        <v>6677</v>
      </c>
      <c r="B726" s="14" t="s">
        <v>17</v>
      </c>
      <c r="C726" s="14" t="s">
        <v>1932</v>
      </c>
      <c r="D726" s="14" t="s">
        <v>1933</v>
      </c>
      <c r="E726" s="14" t="s">
        <v>1936</v>
      </c>
      <c r="F726" s="21">
        <v>2228</v>
      </c>
      <c r="G726" s="14">
        <v>169</v>
      </c>
      <c r="H726" s="14">
        <v>0</v>
      </c>
      <c r="I726" s="14">
        <v>18</v>
      </c>
      <c r="J726" s="22">
        <v>0.447937416996465</v>
      </c>
      <c r="K726" s="22">
        <v>0.55206258300353495</v>
      </c>
      <c r="L726" s="14">
        <v>0</v>
      </c>
    </row>
    <row r="727" spans="1:12" x14ac:dyDescent="0.25">
      <c r="A727" s="13" t="s">
        <v>1937</v>
      </c>
      <c r="B727" s="14" t="s">
        <v>17</v>
      </c>
      <c r="C727" s="14" t="s">
        <v>1938</v>
      </c>
      <c r="D727" s="14" t="s">
        <v>1939</v>
      </c>
      <c r="E727" s="14" t="s">
        <v>1940</v>
      </c>
      <c r="F727" s="21">
        <v>2406.1</v>
      </c>
      <c r="G727" s="14">
        <v>838</v>
      </c>
      <c r="H727" s="14">
        <v>1</v>
      </c>
      <c r="I727" s="14">
        <v>22</v>
      </c>
      <c r="J727" s="22">
        <v>0.63027751802432597</v>
      </c>
      <c r="K727" s="22">
        <v>0.36972248197567398</v>
      </c>
      <c r="L727" s="14">
        <v>0</v>
      </c>
    </row>
    <row r="728" spans="1:12" x14ac:dyDescent="0.25">
      <c r="A728" s="13" t="s">
        <v>6678</v>
      </c>
      <c r="B728" s="14" t="s">
        <v>17</v>
      </c>
      <c r="C728" s="14" t="s">
        <v>1968</v>
      </c>
      <c r="D728" s="14" t="s">
        <v>1939</v>
      </c>
      <c r="E728" s="14" t="s">
        <v>1942</v>
      </c>
      <c r="F728" s="21">
        <v>2445.23</v>
      </c>
      <c r="H728" s="14">
        <v>1</v>
      </c>
      <c r="I728" s="14">
        <v>7</v>
      </c>
      <c r="J728" s="22">
        <v>0.11167432442439899</v>
      </c>
      <c r="K728" s="22">
        <v>0.88832567557560105</v>
      </c>
      <c r="L728" s="14">
        <v>0</v>
      </c>
    </row>
    <row r="729" spans="1:12" x14ac:dyDescent="0.25">
      <c r="A729" s="13" t="s">
        <v>1943</v>
      </c>
      <c r="B729" s="14" t="s">
        <v>17</v>
      </c>
      <c r="C729" s="14" t="s">
        <v>1938</v>
      </c>
      <c r="D729" s="14" t="s">
        <v>1939</v>
      </c>
      <c r="E729" s="14" t="s">
        <v>1944</v>
      </c>
      <c r="F729" s="21">
        <v>2468.7399999999998</v>
      </c>
      <c r="G729" s="14">
        <v>847</v>
      </c>
      <c r="H729" s="14">
        <v>1</v>
      </c>
      <c r="I729" s="14">
        <v>2</v>
      </c>
      <c r="J729" s="22">
        <v>6.2753185941573905E-2</v>
      </c>
      <c r="K729" s="22">
        <v>0.93724681405842603</v>
      </c>
      <c r="L729" s="14">
        <v>0</v>
      </c>
    </row>
    <row r="730" spans="1:12" ht="39.6" x14ac:dyDescent="0.25">
      <c r="A730" s="20" t="s">
        <v>6679</v>
      </c>
      <c r="B730" s="14" t="s">
        <v>17</v>
      </c>
      <c r="C730" s="14" t="s">
        <v>1946</v>
      </c>
      <c r="D730" s="14" t="s">
        <v>1947</v>
      </c>
      <c r="E730" s="14" t="s">
        <v>1948</v>
      </c>
      <c r="F730" s="21">
        <v>2446.9699999999998</v>
      </c>
      <c r="H730" s="14">
        <v>0</v>
      </c>
      <c r="I730" s="14">
        <v>20</v>
      </c>
      <c r="J730" s="22">
        <v>0.47783745432425001</v>
      </c>
      <c r="K730" s="22">
        <v>0.52216254567575004</v>
      </c>
      <c r="L730" s="14">
        <v>0</v>
      </c>
    </row>
    <row r="731" spans="1:12" x14ac:dyDescent="0.25">
      <c r="A731" s="13" t="s">
        <v>6007</v>
      </c>
      <c r="B731" s="14" t="s">
        <v>5411</v>
      </c>
      <c r="C731" s="14" t="s">
        <v>1946</v>
      </c>
      <c r="D731" s="14" t="s">
        <v>1947</v>
      </c>
      <c r="E731" s="14" t="s">
        <v>1949</v>
      </c>
      <c r="F731" s="21">
        <v>3000</v>
      </c>
      <c r="G731" s="14">
        <v>24</v>
      </c>
      <c r="H731" s="14">
        <v>1</v>
      </c>
      <c r="I731" s="14">
        <v>48</v>
      </c>
      <c r="J731" s="22">
        <v>0.10354502097792601</v>
      </c>
      <c r="K731" s="22">
        <v>0.89645497902207505</v>
      </c>
      <c r="L731" s="14">
        <v>0</v>
      </c>
    </row>
    <row r="732" spans="1:12" x14ac:dyDescent="0.25">
      <c r="A732" s="13" t="s">
        <v>1950</v>
      </c>
      <c r="B732" s="14" t="s">
        <v>5365</v>
      </c>
      <c r="C732" s="14" t="s">
        <v>5608</v>
      </c>
      <c r="D732" s="14" t="s">
        <v>1953</v>
      </c>
      <c r="E732" s="14" t="s">
        <v>1954</v>
      </c>
      <c r="F732" s="21">
        <v>1501.44</v>
      </c>
      <c r="G732" s="14">
        <v>589</v>
      </c>
      <c r="H732" s="14">
        <v>0</v>
      </c>
      <c r="I732" s="14">
        <v>3</v>
      </c>
      <c r="J732" s="22">
        <v>0.145225376911823</v>
      </c>
      <c r="K732" s="22">
        <v>0.85477462308817698</v>
      </c>
      <c r="L732" s="14">
        <v>0</v>
      </c>
    </row>
    <row r="733" spans="1:12" x14ac:dyDescent="0.25">
      <c r="A733" s="13" t="s">
        <v>1955</v>
      </c>
      <c r="B733" s="14" t="s">
        <v>1951</v>
      </c>
      <c r="C733" s="14" t="s">
        <v>5608</v>
      </c>
      <c r="D733" s="14" t="s">
        <v>1953</v>
      </c>
      <c r="E733" s="14" t="s">
        <v>1956</v>
      </c>
      <c r="F733" s="21">
        <v>1267.3399999999999</v>
      </c>
      <c r="G733" s="14">
        <v>839</v>
      </c>
      <c r="H733" s="14">
        <v>0</v>
      </c>
      <c r="I733" s="14">
        <v>39</v>
      </c>
      <c r="J733" s="22">
        <v>0.59044581358480397</v>
      </c>
      <c r="K733" s="22">
        <v>0.40955418641519598</v>
      </c>
      <c r="L733" s="14">
        <v>0</v>
      </c>
    </row>
    <row r="734" spans="1:12" x14ac:dyDescent="0.25">
      <c r="A734" s="13">
        <v>23738518</v>
      </c>
      <c r="B734" s="14" t="s">
        <v>86</v>
      </c>
      <c r="C734" s="14" t="s">
        <v>1957</v>
      </c>
      <c r="D734" s="14" t="s">
        <v>1958</v>
      </c>
      <c r="E734" s="14" t="s">
        <v>1959</v>
      </c>
      <c r="F734" s="21">
        <v>2355.52</v>
      </c>
      <c r="G734" s="14">
        <v>895</v>
      </c>
      <c r="H734" s="14">
        <v>1</v>
      </c>
      <c r="I734" s="14">
        <v>41</v>
      </c>
      <c r="J734" s="22">
        <v>0.35799700918621302</v>
      </c>
      <c r="K734" s="22">
        <v>0.64200299081378698</v>
      </c>
      <c r="L734" s="14">
        <v>0</v>
      </c>
    </row>
    <row r="735" spans="1:12" x14ac:dyDescent="0.25">
      <c r="A735" s="13" t="s">
        <v>6010</v>
      </c>
      <c r="B735" s="14" t="s">
        <v>5488</v>
      </c>
      <c r="C735" s="14" t="s">
        <v>1957</v>
      </c>
      <c r="D735" s="14" t="s">
        <v>1958</v>
      </c>
      <c r="E735" s="14" t="s">
        <v>1961</v>
      </c>
      <c r="F735" s="21">
        <v>2408.35</v>
      </c>
      <c r="G735" s="14">
        <v>775</v>
      </c>
      <c r="H735" s="14">
        <v>1</v>
      </c>
      <c r="I735" s="14">
        <v>31</v>
      </c>
      <c r="J735" s="22">
        <v>0.123183468840231</v>
      </c>
      <c r="K735" s="22">
        <v>0.87681653115976899</v>
      </c>
      <c r="L735" s="14">
        <v>0</v>
      </c>
    </row>
    <row r="736" spans="1:12" x14ac:dyDescent="0.25">
      <c r="A736" s="13" t="s">
        <v>6011</v>
      </c>
      <c r="B736" s="14" t="s">
        <v>86</v>
      </c>
      <c r="C736" s="14" t="s">
        <v>5609</v>
      </c>
      <c r="D736" s="14" t="s">
        <v>1964</v>
      </c>
      <c r="E736" s="14" t="s">
        <v>1965</v>
      </c>
      <c r="F736" s="21">
        <v>2376.4</v>
      </c>
      <c r="G736" s="14">
        <v>141</v>
      </c>
      <c r="H736" s="14">
        <v>1</v>
      </c>
      <c r="I736" s="14">
        <v>13</v>
      </c>
      <c r="J736" s="22">
        <v>0.15002183040893199</v>
      </c>
      <c r="K736" s="22">
        <v>0.84997816959106798</v>
      </c>
      <c r="L736" s="14">
        <v>0</v>
      </c>
    </row>
    <row r="737" spans="1:12" x14ac:dyDescent="0.25">
      <c r="A737" s="13" t="s">
        <v>1966</v>
      </c>
      <c r="B737" s="14" t="s">
        <v>5477</v>
      </c>
      <c r="C737" s="14" t="s">
        <v>1967</v>
      </c>
      <c r="D737" s="14" t="s">
        <v>1968</v>
      </c>
      <c r="E737" s="14" t="s">
        <v>1969</v>
      </c>
      <c r="F737" s="21">
        <v>2372.9899999999998</v>
      </c>
      <c r="G737" s="14">
        <v>984</v>
      </c>
      <c r="H737" s="14">
        <v>1</v>
      </c>
      <c r="I737" s="14">
        <v>3</v>
      </c>
      <c r="J737" s="22">
        <v>0.34811425115678102</v>
      </c>
      <c r="K737" s="22">
        <v>0.65188574884321904</v>
      </c>
      <c r="L737" s="14">
        <v>0</v>
      </c>
    </row>
    <row r="738" spans="1:12" x14ac:dyDescent="0.25">
      <c r="A738" s="13" t="s">
        <v>1970</v>
      </c>
      <c r="B738" s="14" t="s">
        <v>5479</v>
      </c>
      <c r="C738" s="14" t="s">
        <v>1967</v>
      </c>
      <c r="D738" s="14" t="s">
        <v>1968</v>
      </c>
      <c r="E738" s="14" t="s">
        <v>1971</v>
      </c>
      <c r="F738" s="21">
        <v>2345.75</v>
      </c>
      <c r="G738" s="14">
        <v>674</v>
      </c>
      <c r="H738" s="14">
        <v>1</v>
      </c>
      <c r="I738" s="14" t="s">
        <v>6314</v>
      </c>
      <c r="J738" s="22">
        <v>0.24519621773193501</v>
      </c>
      <c r="K738" s="22">
        <v>0.75480378226806499</v>
      </c>
      <c r="L738" s="14">
        <v>0</v>
      </c>
    </row>
    <row r="739" spans="1:12" x14ac:dyDescent="0.25">
      <c r="A739" s="13" t="s">
        <v>1972</v>
      </c>
      <c r="B739" s="14" t="s">
        <v>5493</v>
      </c>
      <c r="C739" s="14" t="s">
        <v>1967</v>
      </c>
      <c r="D739" s="14" t="s">
        <v>1968</v>
      </c>
      <c r="E739" s="14" t="s">
        <v>1973</v>
      </c>
      <c r="F739" s="21">
        <v>2286.7399999999998</v>
      </c>
      <c r="G739" s="14">
        <v>471</v>
      </c>
      <c r="H739" s="14">
        <v>1</v>
      </c>
      <c r="I739" s="14" t="s">
        <v>6314</v>
      </c>
      <c r="J739" s="22">
        <v>0.160406959116276</v>
      </c>
      <c r="K739" s="22">
        <v>0.839593040883724</v>
      </c>
      <c r="L739" s="14">
        <v>0</v>
      </c>
    </row>
    <row r="740" spans="1:12" x14ac:dyDescent="0.25">
      <c r="A740" s="13" t="s">
        <v>1974</v>
      </c>
      <c r="B740" s="14" t="s">
        <v>5493</v>
      </c>
      <c r="C740" s="14" t="s">
        <v>5610</v>
      </c>
      <c r="D740" s="14" t="s">
        <v>1968</v>
      </c>
      <c r="E740" s="14" t="s">
        <v>1975</v>
      </c>
      <c r="F740" s="21">
        <v>1911.3</v>
      </c>
      <c r="G740" s="14">
        <v>193</v>
      </c>
      <c r="H740" s="14">
        <v>0</v>
      </c>
      <c r="I740" s="14">
        <v>18</v>
      </c>
      <c r="J740" s="22">
        <v>0.30089167269783801</v>
      </c>
      <c r="K740" s="22">
        <v>0.69910832730216299</v>
      </c>
      <c r="L740" s="14">
        <v>0</v>
      </c>
    </row>
    <row r="741" spans="1:12" x14ac:dyDescent="0.25">
      <c r="A741" s="13" t="s">
        <v>1976</v>
      </c>
      <c r="B741" s="14" t="s">
        <v>191</v>
      </c>
      <c r="C741" s="14" t="s">
        <v>5611</v>
      </c>
      <c r="D741" s="14" t="s">
        <v>1978</v>
      </c>
      <c r="E741" s="14" t="s">
        <v>1979</v>
      </c>
      <c r="F741" s="21">
        <v>790.93</v>
      </c>
      <c r="G741" s="14">
        <v>997</v>
      </c>
      <c r="H741" s="14">
        <v>0</v>
      </c>
      <c r="I741" s="14">
        <v>43</v>
      </c>
      <c r="J741" s="22">
        <v>0.73239749346791705</v>
      </c>
      <c r="K741" s="22">
        <v>0.26760250653208301</v>
      </c>
      <c r="L741" s="14">
        <v>1107</v>
      </c>
    </row>
    <row r="742" spans="1:12" x14ac:dyDescent="0.25">
      <c r="A742" s="13" t="s">
        <v>1980</v>
      </c>
      <c r="B742" s="14" t="s">
        <v>191</v>
      </c>
      <c r="C742" s="14" t="s">
        <v>6680</v>
      </c>
      <c r="D742" s="14" t="s">
        <v>1978</v>
      </c>
      <c r="E742" s="14" t="s">
        <v>1981</v>
      </c>
      <c r="F742" s="21">
        <v>1197.72</v>
      </c>
      <c r="H742" s="14">
        <v>1</v>
      </c>
      <c r="I742" s="14" t="s">
        <v>6314</v>
      </c>
      <c r="J742" s="22">
        <v>0.19369495509034901</v>
      </c>
      <c r="K742" s="22">
        <v>0.80630504490965105</v>
      </c>
      <c r="L742" s="14">
        <v>0</v>
      </c>
    </row>
    <row r="743" spans="1:12" x14ac:dyDescent="0.25">
      <c r="A743" s="13" t="s">
        <v>6681</v>
      </c>
      <c r="B743" s="14" t="s">
        <v>5411</v>
      </c>
      <c r="C743" s="14" t="s">
        <v>1982</v>
      </c>
      <c r="D743" s="14" t="s">
        <v>1983</v>
      </c>
      <c r="E743" s="14" t="s">
        <v>1984</v>
      </c>
      <c r="F743" s="21">
        <v>3360</v>
      </c>
      <c r="G743" s="14">
        <v>535</v>
      </c>
      <c r="H743" s="14">
        <v>0</v>
      </c>
      <c r="I743" s="14" t="s">
        <v>6314</v>
      </c>
      <c r="J743" s="22">
        <v>0.17916483252262899</v>
      </c>
      <c r="K743" s="22">
        <v>0.82083516747737095</v>
      </c>
      <c r="L743" s="14">
        <v>0</v>
      </c>
    </row>
    <row r="744" spans="1:12" x14ac:dyDescent="0.25">
      <c r="B744" s="14" t="s">
        <v>607</v>
      </c>
      <c r="C744" s="14" t="s">
        <v>1982</v>
      </c>
      <c r="D744" s="14" t="s">
        <v>1983</v>
      </c>
      <c r="E744" s="14" t="s">
        <v>1985</v>
      </c>
      <c r="F744" s="21">
        <v>3000</v>
      </c>
      <c r="G744" s="14">
        <v>497</v>
      </c>
      <c r="H744" s="14">
        <v>0</v>
      </c>
      <c r="I744" s="14">
        <v>9</v>
      </c>
      <c r="J744" s="22">
        <v>0.208311233628408</v>
      </c>
      <c r="K744" s="22">
        <v>0.79168876637159202</v>
      </c>
      <c r="L744" s="14">
        <v>0</v>
      </c>
    </row>
    <row r="745" spans="1:12" x14ac:dyDescent="0.25">
      <c r="A745" s="13" t="s">
        <v>6682</v>
      </c>
      <c r="B745" s="14" t="s">
        <v>148</v>
      </c>
      <c r="C745" s="14" t="s">
        <v>1986</v>
      </c>
      <c r="D745" s="14" t="s">
        <v>1958</v>
      </c>
      <c r="E745" s="14" t="s">
        <v>1987</v>
      </c>
      <c r="F745" s="21">
        <v>1788.9</v>
      </c>
      <c r="G745" s="14">
        <v>255</v>
      </c>
      <c r="H745" s="14">
        <v>1</v>
      </c>
      <c r="I745" s="14" t="s">
        <v>6314</v>
      </c>
      <c r="J745" s="22">
        <v>0.58257009331902998</v>
      </c>
      <c r="K745" s="22">
        <v>0.41742990668097002</v>
      </c>
      <c r="L745" s="14">
        <v>0</v>
      </c>
    </row>
    <row r="746" spans="1:12" x14ac:dyDescent="0.25">
      <c r="A746" s="13" t="s">
        <v>1988</v>
      </c>
      <c r="B746" s="14" t="s">
        <v>148</v>
      </c>
      <c r="C746" s="14" t="s">
        <v>1986</v>
      </c>
      <c r="D746" s="14" t="s">
        <v>1958</v>
      </c>
      <c r="E746" s="14" t="s">
        <v>1989</v>
      </c>
      <c r="F746" s="21">
        <v>1950</v>
      </c>
      <c r="G746" s="14">
        <v>833</v>
      </c>
      <c r="H746" s="14">
        <v>1</v>
      </c>
      <c r="I746" s="14">
        <v>47</v>
      </c>
      <c r="J746" s="22">
        <v>0.79114965887594002</v>
      </c>
      <c r="K746" s="22">
        <v>0.20885034112406001</v>
      </c>
      <c r="L746" s="14">
        <v>0</v>
      </c>
    </row>
    <row r="747" spans="1:12" x14ac:dyDescent="0.25">
      <c r="A747" s="13" t="s">
        <v>6683</v>
      </c>
      <c r="B747" s="14" t="s">
        <v>148</v>
      </c>
      <c r="C747" s="14" t="s">
        <v>1986</v>
      </c>
      <c r="D747" s="14" t="s">
        <v>1958</v>
      </c>
      <c r="E747" s="14" t="s">
        <v>1991</v>
      </c>
      <c r="F747" s="21">
        <v>2010</v>
      </c>
      <c r="G747" s="14">
        <v>401</v>
      </c>
      <c r="H747" s="14">
        <v>0</v>
      </c>
      <c r="I747" s="14">
        <v>49</v>
      </c>
      <c r="J747" s="22">
        <v>0.910925170253299</v>
      </c>
      <c r="K747" s="22">
        <v>8.9074829746701195E-2</v>
      </c>
      <c r="L747" s="14">
        <v>0</v>
      </c>
    </row>
    <row r="748" spans="1:12" x14ac:dyDescent="0.25">
      <c r="A748" s="13" t="s">
        <v>1992</v>
      </c>
      <c r="B748" s="14" t="s">
        <v>148</v>
      </c>
      <c r="C748" s="14" t="s">
        <v>1993</v>
      </c>
      <c r="D748" s="14" t="s">
        <v>1983</v>
      </c>
      <c r="E748" s="14" t="s">
        <v>1994</v>
      </c>
      <c r="F748" s="21">
        <v>2010</v>
      </c>
      <c r="G748" s="14">
        <v>104</v>
      </c>
      <c r="H748" s="14">
        <v>1</v>
      </c>
      <c r="I748" s="14">
        <v>13</v>
      </c>
      <c r="J748" s="22">
        <v>0.22658565278576001</v>
      </c>
      <c r="K748" s="22">
        <v>0.77341434721423996</v>
      </c>
      <c r="L748" s="14">
        <v>0</v>
      </c>
    </row>
    <row r="749" spans="1:12" x14ac:dyDescent="0.25">
      <c r="A749" s="13" t="s">
        <v>6012</v>
      </c>
      <c r="B749" s="14" t="s">
        <v>5345</v>
      </c>
      <c r="C749" s="14" t="s">
        <v>1993</v>
      </c>
      <c r="D749" s="14" t="s">
        <v>1983</v>
      </c>
      <c r="E749" s="14" t="s">
        <v>1995</v>
      </c>
      <c r="F749" s="21">
        <v>1728.9</v>
      </c>
      <c r="G749" s="14">
        <v>702</v>
      </c>
      <c r="H749" s="14">
        <v>0</v>
      </c>
      <c r="I749" s="14">
        <v>1</v>
      </c>
      <c r="J749" s="22">
        <v>0.35206486684343102</v>
      </c>
      <c r="K749" s="22">
        <v>0.64793513315656903</v>
      </c>
      <c r="L749" s="14">
        <v>0</v>
      </c>
    </row>
    <row r="750" spans="1:12" x14ac:dyDescent="0.25">
      <c r="A750" s="13" t="s">
        <v>6684</v>
      </c>
      <c r="B750" s="14" t="s">
        <v>1951</v>
      </c>
      <c r="C750" s="14" t="s">
        <v>1997</v>
      </c>
      <c r="D750" s="14" t="s">
        <v>1998</v>
      </c>
      <c r="E750" s="14" t="s">
        <v>1999</v>
      </c>
      <c r="F750" s="21">
        <v>1491.24</v>
      </c>
      <c r="G750" s="14">
        <v>251</v>
      </c>
      <c r="H750" s="14">
        <v>1</v>
      </c>
      <c r="I750" s="14">
        <v>29</v>
      </c>
      <c r="J750" s="22">
        <v>0.91746552598612596</v>
      </c>
      <c r="K750" s="22">
        <v>8.2534474013873996E-2</v>
      </c>
      <c r="L750" s="14">
        <v>0</v>
      </c>
    </row>
    <row r="751" spans="1:12" x14ac:dyDescent="0.25">
      <c r="A751" s="13" t="s">
        <v>2000</v>
      </c>
      <c r="B751" s="14" t="s">
        <v>1951</v>
      </c>
      <c r="C751" s="14" t="s">
        <v>1997</v>
      </c>
      <c r="D751" s="14" t="s">
        <v>1998</v>
      </c>
      <c r="E751" s="14" t="s">
        <v>2001</v>
      </c>
      <c r="F751" s="21">
        <v>1548.77</v>
      </c>
      <c r="G751" s="14">
        <v>600</v>
      </c>
      <c r="H751" s="14">
        <v>0</v>
      </c>
      <c r="I751" s="14">
        <v>37</v>
      </c>
      <c r="J751" s="22">
        <v>0.57966266503289099</v>
      </c>
      <c r="K751" s="22">
        <v>0.42033733496710901</v>
      </c>
      <c r="L751" s="14">
        <v>0</v>
      </c>
    </row>
    <row r="752" spans="1:12" x14ac:dyDescent="0.25">
      <c r="A752" s="13">
        <v>3644876</v>
      </c>
      <c r="B752" s="14" t="s">
        <v>86</v>
      </c>
      <c r="C752" s="14" t="s">
        <v>2003</v>
      </c>
      <c r="D752" s="14" t="s">
        <v>2004</v>
      </c>
      <c r="E752" s="14" t="s">
        <v>2005</v>
      </c>
      <c r="F752" s="21">
        <v>1977.72</v>
      </c>
      <c r="G752" s="14">
        <v>752</v>
      </c>
      <c r="H752" s="14">
        <v>0</v>
      </c>
      <c r="I752" s="14">
        <v>26</v>
      </c>
      <c r="J752" s="22">
        <v>7.76347661751111E-2</v>
      </c>
      <c r="K752" s="22">
        <v>0.922365233824889</v>
      </c>
      <c r="L752" s="14">
        <v>0</v>
      </c>
    </row>
    <row r="753" spans="1:12" x14ac:dyDescent="0.25">
      <c r="A753" s="13" t="s">
        <v>2006</v>
      </c>
      <c r="B753" s="14" t="s">
        <v>86</v>
      </c>
      <c r="C753" s="14" t="s">
        <v>2003</v>
      </c>
      <c r="D753" s="14" t="s">
        <v>2004</v>
      </c>
      <c r="E753" s="14" t="s">
        <v>2007</v>
      </c>
      <c r="F753" s="21">
        <v>2184.2199999999998</v>
      </c>
      <c r="G753" s="14">
        <v>734</v>
      </c>
      <c r="H753" s="14">
        <v>1</v>
      </c>
      <c r="I753" s="14">
        <v>49</v>
      </c>
      <c r="J753" s="22">
        <v>0.84103626836663403</v>
      </c>
      <c r="K753" s="22">
        <v>0.15896373163336699</v>
      </c>
      <c r="L753" s="14">
        <v>0</v>
      </c>
    </row>
    <row r="754" spans="1:12" x14ac:dyDescent="0.25">
      <c r="B754" s="14" t="s">
        <v>3900</v>
      </c>
      <c r="C754" s="14" t="s">
        <v>2008</v>
      </c>
      <c r="D754" s="14" t="s">
        <v>2009</v>
      </c>
      <c r="E754" s="14" t="s">
        <v>2010</v>
      </c>
      <c r="F754" s="21">
        <v>440.66</v>
      </c>
      <c r="H754" s="14">
        <v>1</v>
      </c>
      <c r="I754" s="14">
        <v>17</v>
      </c>
      <c r="J754" s="22">
        <v>5.2585535023022698E-2</v>
      </c>
      <c r="K754" s="22">
        <v>0.94741446497697701</v>
      </c>
      <c r="L754" s="14">
        <v>0</v>
      </c>
    </row>
    <row r="755" spans="1:12" ht="26.4" x14ac:dyDescent="0.25">
      <c r="A755" s="20" t="s">
        <v>6685</v>
      </c>
      <c r="B755" s="14" t="s">
        <v>110</v>
      </c>
      <c r="C755" s="14" t="s">
        <v>2008</v>
      </c>
      <c r="D755" s="14" t="s">
        <v>2009</v>
      </c>
      <c r="E755" s="14" t="s">
        <v>2012</v>
      </c>
      <c r="F755" s="21">
        <v>1700</v>
      </c>
      <c r="G755" s="14">
        <v>717</v>
      </c>
      <c r="H755" s="14">
        <v>0</v>
      </c>
      <c r="I755" s="14">
        <v>33</v>
      </c>
      <c r="J755" s="22">
        <v>0.156719647670891</v>
      </c>
      <c r="K755" s="22">
        <v>0.84328035232910903</v>
      </c>
      <c r="L755" s="14">
        <v>0</v>
      </c>
    </row>
    <row r="756" spans="1:12" x14ac:dyDescent="0.25">
      <c r="A756" s="13" t="s">
        <v>2013</v>
      </c>
      <c r="B756" s="14" t="s">
        <v>6460</v>
      </c>
      <c r="C756" s="14" t="s">
        <v>2014</v>
      </c>
      <c r="D756" s="14" t="s">
        <v>2015</v>
      </c>
      <c r="E756" s="14" t="s">
        <v>2016</v>
      </c>
      <c r="F756" s="21">
        <v>2040</v>
      </c>
      <c r="H756" s="14">
        <v>0</v>
      </c>
      <c r="I756" s="14" t="s">
        <v>6314</v>
      </c>
      <c r="J756" s="22">
        <v>0.438664519344312</v>
      </c>
      <c r="K756" s="22">
        <v>0.56133548065568795</v>
      </c>
      <c r="L756" s="14">
        <v>0</v>
      </c>
    </row>
    <row r="757" spans="1:12" x14ac:dyDescent="0.25">
      <c r="A757" s="13">
        <v>23665989</v>
      </c>
      <c r="B757" s="14" t="s">
        <v>5348</v>
      </c>
      <c r="C757" s="14" t="s">
        <v>2014</v>
      </c>
      <c r="D757" s="14" t="s">
        <v>2015</v>
      </c>
      <c r="E757" s="14" t="s">
        <v>6686</v>
      </c>
      <c r="F757" s="21">
        <v>2340</v>
      </c>
      <c r="G757" s="14">
        <v>317</v>
      </c>
      <c r="H757" s="14">
        <v>1</v>
      </c>
      <c r="I757" s="14">
        <v>36</v>
      </c>
      <c r="J757" s="22">
        <v>0.15754904681794801</v>
      </c>
      <c r="K757" s="22">
        <v>0.84245095318205199</v>
      </c>
      <c r="L757" s="14">
        <v>0</v>
      </c>
    </row>
    <row r="758" spans="1:12" x14ac:dyDescent="0.25">
      <c r="B758" s="14" t="s">
        <v>5348</v>
      </c>
      <c r="C758" s="14" t="s">
        <v>2014</v>
      </c>
      <c r="D758" s="14" t="s">
        <v>2015</v>
      </c>
      <c r="E758" s="14" t="s">
        <v>2018</v>
      </c>
      <c r="F758" s="21">
        <v>2340</v>
      </c>
      <c r="G758" s="14">
        <v>946</v>
      </c>
      <c r="H758" s="14">
        <v>1</v>
      </c>
      <c r="I758" s="14">
        <v>1</v>
      </c>
      <c r="J758" s="22">
        <v>0.73853490300415103</v>
      </c>
      <c r="K758" s="22">
        <v>0.26146509699584902</v>
      </c>
      <c r="L758" s="14">
        <v>0</v>
      </c>
    </row>
    <row r="759" spans="1:12" x14ac:dyDescent="0.25">
      <c r="A759" s="13" t="s">
        <v>2019</v>
      </c>
      <c r="B759" s="14" t="s">
        <v>2020</v>
      </c>
      <c r="C759" s="14" t="s">
        <v>2021</v>
      </c>
      <c r="D759" s="14" t="s">
        <v>2022</v>
      </c>
      <c r="E759" s="14" t="s">
        <v>2023</v>
      </c>
      <c r="F759" s="21">
        <v>1567.94</v>
      </c>
      <c r="G759" s="14">
        <v>750</v>
      </c>
      <c r="H759" s="14">
        <v>1</v>
      </c>
      <c r="I759" s="14">
        <v>10</v>
      </c>
      <c r="J759" s="22">
        <v>0.98118222093310403</v>
      </c>
      <c r="K759" s="22">
        <v>1.8817779066896499E-2</v>
      </c>
      <c r="L759" s="14">
        <v>0</v>
      </c>
    </row>
    <row r="760" spans="1:12" x14ac:dyDescent="0.25">
      <c r="A760" s="13" t="s">
        <v>6687</v>
      </c>
      <c r="B760" s="14" t="s">
        <v>2020</v>
      </c>
      <c r="C760" s="14" t="s">
        <v>5612</v>
      </c>
      <c r="D760" s="14" t="s">
        <v>2025</v>
      </c>
      <c r="E760" s="14" t="s">
        <v>2026</v>
      </c>
      <c r="F760" s="21">
        <v>378.7</v>
      </c>
      <c r="G760" s="14">
        <v>394</v>
      </c>
      <c r="I760" s="14">
        <v>29</v>
      </c>
      <c r="J760" s="22">
        <v>0.45633793468714601</v>
      </c>
      <c r="K760" s="22">
        <v>0.54366206531285399</v>
      </c>
      <c r="L760" s="14">
        <v>0</v>
      </c>
    </row>
    <row r="761" spans="1:12" x14ac:dyDescent="0.25">
      <c r="B761" s="14" t="s">
        <v>86</v>
      </c>
      <c r="C761" s="14" t="s">
        <v>5618</v>
      </c>
      <c r="D761" s="14" t="s">
        <v>2028</v>
      </c>
      <c r="E761" s="14" t="s">
        <v>2029</v>
      </c>
      <c r="F761" s="21">
        <v>1914.12</v>
      </c>
      <c r="G761" s="14">
        <v>668</v>
      </c>
      <c r="H761" s="14">
        <v>0</v>
      </c>
      <c r="I761" s="14">
        <v>42</v>
      </c>
      <c r="J761" s="22">
        <v>0.76900061788812202</v>
      </c>
      <c r="K761" s="22">
        <v>0.23099938211187801</v>
      </c>
      <c r="L761" s="14">
        <v>0</v>
      </c>
    </row>
    <row r="762" spans="1:12" x14ac:dyDescent="0.25">
      <c r="A762" s="13" t="s">
        <v>6016</v>
      </c>
      <c r="B762" s="14" t="s">
        <v>2030</v>
      </c>
      <c r="C762" s="14" t="s">
        <v>6688</v>
      </c>
      <c r="D762" s="14" t="s">
        <v>2032</v>
      </c>
      <c r="E762" s="14" t="s">
        <v>2033</v>
      </c>
      <c r="F762" s="21">
        <v>551.27</v>
      </c>
      <c r="G762" s="14">
        <v>813</v>
      </c>
      <c r="H762" s="14">
        <v>0</v>
      </c>
      <c r="I762" s="14">
        <v>12</v>
      </c>
      <c r="J762" s="22">
        <v>0.99892649038973602</v>
      </c>
      <c r="K762" s="22">
        <v>1.0735096102637599E-3</v>
      </c>
      <c r="L762" s="14">
        <v>0</v>
      </c>
    </row>
    <row r="763" spans="1:12" x14ac:dyDescent="0.25">
      <c r="B763" s="14" t="s">
        <v>17</v>
      </c>
      <c r="C763" s="14" t="s">
        <v>5613</v>
      </c>
      <c r="D763" s="14" t="s">
        <v>2035</v>
      </c>
      <c r="E763" s="14" t="s">
        <v>2036</v>
      </c>
      <c r="F763" s="21">
        <v>1836.92</v>
      </c>
      <c r="G763" s="14">
        <v>158</v>
      </c>
      <c r="H763" s="14">
        <v>0</v>
      </c>
      <c r="I763" s="14" t="s">
        <v>6314</v>
      </c>
      <c r="J763" s="22">
        <v>0.70692226949139203</v>
      </c>
      <c r="K763" s="22">
        <v>0.29307773050860803</v>
      </c>
      <c r="L763" s="14">
        <v>0</v>
      </c>
    </row>
    <row r="764" spans="1:12" ht="26.4" x14ac:dyDescent="0.25">
      <c r="A764" s="20" t="s">
        <v>6689</v>
      </c>
      <c r="B764" s="14" t="s">
        <v>17</v>
      </c>
      <c r="C764" s="14" t="s">
        <v>2034</v>
      </c>
      <c r="D764" s="14" t="s">
        <v>2035</v>
      </c>
      <c r="E764" s="14" t="s">
        <v>2038</v>
      </c>
      <c r="F764" s="21">
        <v>1749.74</v>
      </c>
      <c r="G764" s="14">
        <v>95</v>
      </c>
      <c r="H764" s="14">
        <v>1</v>
      </c>
      <c r="I764" s="14">
        <v>25</v>
      </c>
      <c r="J764" s="22">
        <v>0.93385364717300201</v>
      </c>
      <c r="K764" s="22">
        <v>6.6146352826997698E-2</v>
      </c>
      <c r="L764" s="14">
        <v>0</v>
      </c>
    </row>
    <row r="765" spans="1:12" x14ac:dyDescent="0.25">
      <c r="A765" s="13" t="s">
        <v>2039</v>
      </c>
      <c r="B765" s="14" t="s">
        <v>5417</v>
      </c>
      <c r="C765" s="14" t="s">
        <v>6690</v>
      </c>
      <c r="E765" s="14" t="s">
        <v>2041</v>
      </c>
      <c r="F765" s="21">
        <v>1800</v>
      </c>
      <c r="G765" s="14">
        <v>518</v>
      </c>
      <c r="H765" s="14">
        <v>0</v>
      </c>
      <c r="I765" s="14">
        <v>8</v>
      </c>
      <c r="J765" s="22">
        <v>0.12767173132087301</v>
      </c>
      <c r="K765" s="22">
        <v>0.87232826867912705</v>
      </c>
      <c r="L765" s="14">
        <v>0</v>
      </c>
    </row>
    <row r="766" spans="1:12" x14ac:dyDescent="0.25">
      <c r="B766" s="14" t="s">
        <v>110</v>
      </c>
      <c r="C766" s="14" t="s">
        <v>2042</v>
      </c>
      <c r="D766" s="14" t="s">
        <v>2043</v>
      </c>
      <c r="E766" s="14" t="s">
        <v>2044</v>
      </c>
      <c r="F766" s="21">
        <v>1700</v>
      </c>
      <c r="G766" s="14">
        <v>163</v>
      </c>
      <c r="H766" s="14">
        <v>0</v>
      </c>
      <c r="I766" s="14">
        <v>30</v>
      </c>
      <c r="J766" s="22">
        <v>3.1922961082063502E-2</v>
      </c>
      <c r="K766" s="22">
        <v>0.96807703891793695</v>
      </c>
      <c r="L766" s="14">
        <v>0</v>
      </c>
    </row>
    <row r="767" spans="1:12" x14ac:dyDescent="0.25">
      <c r="A767" s="13" t="s">
        <v>6691</v>
      </c>
      <c r="B767" s="14" t="s">
        <v>406</v>
      </c>
      <c r="C767" s="14" t="s">
        <v>2046</v>
      </c>
      <c r="D767" s="14" t="s">
        <v>2035</v>
      </c>
      <c r="E767" s="14" t="s">
        <v>2047</v>
      </c>
      <c r="F767" s="21">
        <v>3188.3</v>
      </c>
      <c r="G767" s="14">
        <v>668</v>
      </c>
      <c r="I767" s="14">
        <v>22</v>
      </c>
      <c r="J767" s="22">
        <v>0.58814075481517503</v>
      </c>
      <c r="K767" s="22">
        <v>0.41185924518482497</v>
      </c>
      <c r="L767" s="14">
        <v>0</v>
      </c>
    </row>
    <row r="768" spans="1:12" x14ac:dyDescent="0.25">
      <c r="A768" s="13">
        <v>41579</v>
      </c>
      <c r="B768" s="14" t="s">
        <v>5438</v>
      </c>
      <c r="C768" s="14" t="s">
        <v>5615</v>
      </c>
      <c r="D768" s="14" t="s">
        <v>2049</v>
      </c>
      <c r="E768" s="14" t="s">
        <v>2050</v>
      </c>
      <c r="F768" s="21">
        <v>1920</v>
      </c>
      <c r="G768" s="14">
        <v>764</v>
      </c>
      <c r="H768" s="14">
        <v>1</v>
      </c>
      <c r="I768" s="14">
        <v>9</v>
      </c>
      <c r="J768" s="22">
        <v>0.83836109101791001</v>
      </c>
      <c r="K768" s="22">
        <v>0.16163890898208999</v>
      </c>
      <c r="L768" s="14">
        <v>0</v>
      </c>
    </row>
    <row r="769" spans="1:12" x14ac:dyDescent="0.25">
      <c r="A769" s="13" t="s">
        <v>5895</v>
      </c>
      <c r="B769" s="14" t="s">
        <v>5348</v>
      </c>
      <c r="C769" s="14" t="s">
        <v>2051</v>
      </c>
      <c r="D769" s="14" t="s">
        <v>2052</v>
      </c>
      <c r="E769" s="14" t="s">
        <v>2053</v>
      </c>
      <c r="F769" s="21">
        <v>2040</v>
      </c>
      <c r="G769" s="14">
        <v>219</v>
      </c>
      <c r="H769" s="14">
        <v>0</v>
      </c>
      <c r="I769" s="14">
        <v>41</v>
      </c>
      <c r="J769" s="22">
        <v>0.50046441324509405</v>
      </c>
      <c r="K769" s="22">
        <v>0.499535586754906</v>
      </c>
      <c r="L769" s="14">
        <v>0</v>
      </c>
    </row>
    <row r="770" spans="1:12" x14ac:dyDescent="0.25">
      <c r="A770" s="13" t="s">
        <v>6692</v>
      </c>
      <c r="B770" s="14" t="s">
        <v>6693</v>
      </c>
      <c r="C770" s="14" t="s">
        <v>2055</v>
      </c>
      <c r="D770" s="14" t="s">
        <v>2056</v>
      </c>
      <c r="E770" s="14" t="s">
        <v>2057</v>
      </c>
      <c r="F770" s="21">
        <v>1349.18</v>
      </c>
      <c r="G770" s="14">
        <v>885</v>
      </c>
      <c r="H770" s="14">
        <v>0</v>
      </c>
      <c r="I770" s="14">
        <v>45</v>
      </c>
      <c r="J770" s="22">
        <v>0.73853713913595798</v>
      </c>
      <c r="K770" s="22">
        <v>0.26146286086404202</v>
      </c>
      <c r="L770" s="14">
        <v>0</v>
      </c>
    </row>
    <row r="771" spans="1:12" x14ac:dyDescent="0.25">
      <c r="A771" s="13" t="s">
        <v>6694</v>
      </c>
      <c r="B771" s="14" t="s">
        <v>86</v>
      </c>
      <c r="C771" s="14" t="s">
        <v>2059</v>
      </c>
      <c r="D771" s="14" t="s">
        <v>2060</v>
      </c>
      <c r="E771" s="14" t="s">
        <v>2061</v>
      </c>
      <c r="F771" s="21">
        <v>1500</v>
      </c>
      <c r="G771" s="14">
        <v>776</v>
      </c>
      <c r="H771" s="14">
        <v>1</v>
      </c>
      <c r="I771" s="14" t="s">
        <v>6314</v>
      </c>
      <c r="J771" s="22">
        <v>0.14874757674995001</v>
      </c>
      <c r="K771" s="22">
        <v>0.85125242325005002</v>
      </c>
      <c r="L771" s="14">
        <v>0</v>
      </c>
    </row>
    <row r="772" spans="1:12" x14ac:dyDescent="0.25">
      <c r="A772" s="13">
        <v>23775568</v>
      </c>
      <c r="B772" s="14" t="s">
        <v>86</v>
      </c>
      <c r="C772" s="14" t="s">
        <v>2059</v>
      </c>
      <c r="D772" s="14" t="s">
        <v>2060</v>
      </c>
      <c r="E772" s="14" t="s">
        <v>2062</v>
      </c>
      <c r="F772" s="21">
        <v>1500</v>
      </c>
      <c r="G772" s="14">
        <v>239</v>
      </c>
      <c r="H772" s="14">
        <v>1</v>
      </c>
      <c r="I772" s="14">
        <v>49</v>
      </c>
      <c r="J772" s="22">
        <v>8.8919779908914198E-2</v>
      </c>
      <c r="K772" s="22">
        <v>0.91108022009108602</v>
      </c>
      <c r="L772" s="14">
        <v>0</v>
      </c>
    </row>
    <row r="773" spans="1:12" x14ac:dyDescent="0.25">
      <c r="B773" s="14" t="s">
        <v>86</v>
      </c>
      <c r="C773" s="14" t="s">
        <v>2059</v>
      </c>
      <c r="D773" s="14" t="s">
        <v>2060</v>
      </c>
      <c r="E773" s="14" t="s">
        <v>2063</v>
      </c>
      <c r="F773" s="21">
        <v>1969.41</v>
      </c>
      <c r="H773" s="14">
        <v>0</v>
      </c>
      <c r="I773" s="14">
        <v>49</v>
      </c>
      <c r="J773" s="22">
        <v>0.70047055239632205</v>
      </c>
      <c r="K773" s="22">
        <v>0.299529447603678</v>
      </c>
      <c r="L773" s="14">
        <v>0</v>
      </c>
    </row>
    <row r="774" spans="1:12" x14ac:dyDescent="0.25">
      <c r="B774" s="14" t="s">
        <v>86</v>
      </c>
      <c r="C774" s="14" t="s">
        <v>2059</v>
      </c>
      <c r="D774" s="14" t="s">
        <v>2060</v>
      </c>
      <c r="E774" s="14" t="s">
        <v>2064</v>
      </c>
      <c r="F774" s="21">
        <v>2355.52</v>
      </c>
      <c r="H774" s="14">
        <v>0</v>
      </c>
      <c r="I774" s="14" t="s">
        <v>6314</v>
      </c>
      <c r="J774" s="22">
        <v>0.16337136995325499</v>
      </c>
      <c r="K774" s="22">
        <v>0.83662863004674504</v>
      </c>
      <c r="L774" s="14">
        <v>0</v>
      </c>
    </row>
    <row r="775" spans="1:12" x14ac:dyDescent="0.25">
      <c r="A775" s="13">
        <v>3638324</v>
      </c>
      <c r="B775" s="14" t="s">
        <v>86</v>
      </c>
      <c r="C775" s="14" t="s">
        <v>2059</v>
      </c>
      <c r="D775" s="14" t="s">
        <v>2060</v>
      </c>
      <c r="E775" s="14" t="s">
        <v>2066</v>
      </c>
      <c r="F775" s="21">
        <v>2373.2600000000002</v>
      </c>
      <c r="G775" s="14">
        <v>738</v>
      </c>
      <c r="H775" s="14">
        <v>1</v>
      </c>
      <c r="I775" s="14">
        <v>47</v>
      </c>
      <c r="J775" s="22">
        <v>0.946544097032198</v>
      </c>
      <c r="K775" s="22">
        <v>5.3455902967801602E-2</v>
      </c>
      <c r="L775" s="14">
        <v>0</v>
      </c>
    </row>
    <row r="776" spans="1:12" ht="26.4" x14ac:dyDescent="0.25">
      <c r="A776" s="20" t="s">
        <v>6695</v>
      </c>
      <c r="B776" s="14" t="s">
        <v>6348</v>
      </c>
      <c r="C776" s="14" t="s">
        <v>2059</v>
      </c>
      <c r="D776" s="14" t="s">
        <v>2060</v>
      </c>
      <c r="E776" s="14" t="s">
        <v>2068</v>
      </c>
      <c r="F776" s="21">
        <v>1635</v>
      </c>
      <c r="G776" s="14">
        <v>648</v>
      </c>
      <c r="H776" s="14">
        <v>0</v>
      </c>
      <c r="I776" s="14" t="s">
        <v>6314</v>
      </c>
      <c r="J776" s="22">
        <v>0.39565153499083</v>
      </c>
      <c r="K776" s="22">
        <v>0.60434846500917005</v>
      </c>
      <c r="L776" s="14">
        <v>0</v>
      </c>
    </row>
    <row r="777" spans="1:12" x14ac:dyDescent="0.25">
      <c r="A777" s="13" t="s">
        <v>6696</v>
      </c>
      <c r="B777" s="14" t="s">
        <v>5493</v>
      </c>
      <c r="C777" s="14" t="s">
        <v>2059</v>
      </c>
      <c r="D777" s="14" t="s">
        <v>2060</v>
      </c>
      <c r="E777" s="14" t="s">
        <v>2069</v>
      </c>
      <c r="F777" s="21">
        <v>1884.3</v>
      </c>
      <c r="G777" s="14">
        <v>438</v>
      </c>
      <c r="I777" s="14">
        <v>50</v>
      </c>
      <c r="J777" s="22">
        <v>0.42971930034024902</v>
      </c>
      <c r="K777" s="22">
        <v>0.57028069965975103</v>
      </c>
      <c r="L777" s="14">
        <v>0</v>
      </c>
    </row>
    <row r="778" spans="1:12" x14ac:dyDescent="0.25">
      <c r="A778" s="13" t="s">
        <v>2070</v>
      </c>
      <c r="B778" s="14" t="s">
        <v>5493</v>
      </c>
      <c r="C778" s="14" t="s">
        <v>2059</v>
      </c>
      <c r="D778" s="14" t="s">
        <v>2060</v>
      </c>
      <c r="E778" s="14" t="s">
        <v>6697</v>
      </c>
      <c r="F778" s="21">
        <v>1986</v>
      </c>
      <c r="G778" s="14">
        <v>418</v>
      </c>
      <c r="H778" s="14">
        <v>1</v>
      </c>
      <c r="I778" s="14" t="s">
        <v>6314</v>
      </c>
      <c r="J778" s="22">
        <v>8.0049703643842507E-2</v>
      </c>
      <c r="K778" s="22">
        <v>0.91995029635615799</v>
      </c>
      <c r="L778" s="14">
        <v>0</v>
      </c>
    </row>
    <row r="779" spans="1:12" x14ac:dyDescent="0.25">
      <c r="A779" s="13" t="s">
        <v>2072</v>
      </c>
      <c r="B779" s="14" t="s">
        <v>5483</v>
      </c>
      <c r="C779" s="14" t="s">
        <v>5616</v>
      </c>
      <c r="D779" s="14" t="s">
        <v>2073</v>
      </c>
      <c r="E779" s="14" t="s">
        <v>2074</v>
      </c>
      <c r="F779" s="21">
        <v>1852.01</v>
      </c>
      <c r="G779" s="14">
        <v>352</v>
      </c>
      <c r="H779" s="14">
        <v>0</v>
      </c>
      <c r="I779" s="14">
        <v>50</v>
      </c>
      <c r="J779" s="22">
        <v>0.50851912319687498</v>
      </c>
      <c r="K779" s="22">
        <v>0.49148087680312502</v>
      </c>
      <c r="L779" s="14">
        <v>0</v>
      </c>
    </row>
    <row r="780" spans="1:12" x14ac:dyDescent="0.25">
      <c r="B780" s="14" t="s">
        <v>69</v>
      </c>
      <c r="C780" s="14" t="s">
        <v>2075</v>
      </c>
      <c r="D780" s="14" t="s">
        <v>2076</v>
      </c>
      <c r="E780" s="14" t="s">
        <v>2077</v>
      </c>
      <c r="F780" s="21">
        <v>1897.21</v>
      </c>
      <c r="G780" s="14">
        <v>804</v>
      </c>
      <c r="H780" s="14">
        <v>1</v>
      </c>
      <c r="I780" s="14" t="s">
        <v>6314</v>
      </c>
      <c r="J780" s="22">
        <v>0.57988964284186495</v>
      </c>
      <c r="K780" s="22">
        <v>0.42011035715813499</v>
      </c>
      <c r="L780" s="14">
        <v>0</v>
      </c>
    </row>
    <row r="781" spans="1:12" x14ac:dyDescent="0.25">
      <c r="B781" s="14" t="s">
        <v>86</v>
      </c>
      <c r="C781" s="14" t="s">
        <v>2078</v>
      </c>
      <c r="D781" s="14" t="s">
        <v>2079</v>
      </c>
      <c r="E781" s="14" t="s">
        <v>2080</v>
      </c>
      <c r="F781" s="21">
        <v>1500</v>
      </c>
      <c r="G781" s="14">
        <v>573</v>
      </c>
      <c r="H781" s="14">
        <v>0</v>
      </c>
      <c r="I781" s="14">
        <v>4</v>
      </c>
      <c r="J781" s="22">
        <v>0.53741260097849797</v>
      </c>
      <c r="K781" s="22">
        <v>0.46258739902150198</v>
      </c>
      <c r="L781" s="14">
        <v>0</v>
      </c>
    </row>
    <row r="782" spans="1:12" x14ac:dyDescent="0.25">
      <c r="A782" s="13" t="s">
        <v>6023</v>
      </c>
      <c r="B782" s="14" t="s">
        <v>86</v>
      </c>
      <c r="C782" s="14" t="s">
        <v>2078</v>
      </c>
      <c r="D782" s="14" t="s">
        <v>2079</v>
      </c>
      <c r="E782" s="14" t="s">
        <v>2081</v>
      </c>
      <c r="F782" s="21">
        <v>1500</v>
      </c>
      <c r="G782" s="14">
        <v>237</v>
      </c>
      <c r="H782" s="14">
        <v>1</v>
      </c>
      <c r="I782" s="14">
        <v>14</v>
      </c>
      <c r="J782" s="22">
        <v>0.776887073440655</v>
      </c>
      <c r="K782" s="22">
        <v>0.223112926559345</v>
      </c>
      <c r="L782" s="14">
        <v>0</v>
      </c>
    </row>
    <row r="783" spans="1:12" x14ac:dyDescent="0.25">
      <c r="A783" s="13" t="s">
        <v>5901</v>
      </c>
      <c r="B783" s="14" t="s">
        <v>86</v>
      </c>
      <c r="C783" s="14" t="s">
        <v>2078</v>
      </c>
      <c r="D783" s="14" t="s">
        <v>2079</v>
      </c>
      <c r="E783" s="14" t="s">
        <v>2082</v>
      </c>
      <c r="F783" s="21">
        <v>1500</v>
      </c>
      <c r="G783" s="14">
        <v>242</v>
      </c>
      <c r="H783" s="14">
        <v>0</v>
      </c>
      <c r="I783" s="14">
        <v>25</v>
      </c>
      <c r="J783" s="22">
        <v>0.60418410735319295</v>
      </c>
      <c r="K783" s="22">
        <v>0.395815892646807</v>
      </c>
      <c r="L783" s="14">
        <v>0</v>
      </c>
    </row>
    <row r="784" spans="1:12" x14ac:dyDescent="0.25">
      <c r="A784" s="13" t="s">
        <v>6698</v>
      </c>
      <c r="B784" s="14" t="s">
        <v>5489</v>
      </c>
      <c r="C784" s="14" t="s">
        <v>2078</v>
      </c>
      <c r="D784" s="14" t="s">
        <v>2079</v>
      </c>
      <c r="E784" s="14" t="s">
        <v>2084</v>
      </c>
      <c r="F784" s="21">
        <v>1409.96</v>
      </c>
      <c r="G784" s="14">
        <v>700</v>
      </c>
      <c r="H784" s="14">
        <v>1</v>
      </c>
      <c r="I784" s="14">
        <v>29</v>
      </c>
      <c r="J784" s="22">
        <v>8.3627749994601694E-2</v>
      </c>
      <c r="K784" s="22">
        <v>0.91637225000539801</v>
      </c>
      <c r="L784" s="14">
        <v>0</v>
      </c>
    </row>
    <row r="785" spans="1:12" x14ac:dyDescent="0.25">
      <c r="A785" s="13" t="s">
        <v>2085</v>
      </c>
      <c r="B785" s="14" t="s">
        <v>5493</v>
      </c>
      <c r="C785" s="14" t="s">
        <v>2078</v>
      </c>
      <c r="D785" s="14" t="s">
        <v>2079</v>
      </c>
      <c r="E785" s="14" t="s">
        <v>2086</v>
      </c>
      <c r="F785" s="21">
        <v>2300.12</v>
      </c>
      <c r="G785" s="14">
        <v>966</v>
      </c>
      <c r="H785" s="14">
        <v>1</v>
      </c>
      <c r="I785" s="14">
        <v>17</v>
      </c>
      <c r="J785" s="22">
        <v>0.120793470123796</v>
      </c>
      <c r="K785" s="22">
        <v>0.87920652987620396</v>
      </c>
      <c r="L785" s="14">
        <v>0</v>
      </c>
    </row>
    <row r="786" spans="1:12" x14ac:dyDescent="0.25">
      <c r="A786" s="13" t="s">
        <v>6699</v>
      </c>
      <c r="B786" s="14" t="s">
        <v>5438</v>
      </c>
      <c r="C786" s="14" t="s">
        <v>2088</v>
      </c>
      <c r="D786" s="14" t="s">
        <v>2089</v>
      </c>
      <c r="E786" s="14" t="s">
        <v>2090</v>
      </c>
      <c r="F786" s="21">
        <v>240</v>
      </c>
      <c r="H786" s="14">
        <v>0</v>
      </c>
      <c r="I786" s="14">
        <v>2</v>
      </c>
      <c r="J786" s="22">
        <v>0.15627084550579601</v>
      </c>
      <c r="K786" s="22">
        <v>0.84372915449420405</v>
      </c>
      <c r="L786" s="14">
        <v>0</v>
      </c>
    </row>
    <row r="787" spans="1:12" x14ac:dyDescent="0.25">
      <c r="A787" s="13" t="s">
        <v>2091</v>
      </c>
      <c r="B787" s="14" t="s">
        <v>5438</v>
      </c>
      <c r="C787" s="14" t="s">
        <v>2088</v>
      </c>
      <c r="D787" s="14" t="s">
        <v>2089</v>
      </c>
      <c r="E787" s="14" t="s">
        <v>2092</v>
      </c>
      <c r="F787" s="21">
        <v>1920</v>
      </c>
      <c r="G787" s="14">
        <v>504</v>
      </c>
      <c r="H787" s="14">
        <v>0</v>
      </c>
      <c r="I787" s="14">
        <v>23</v>
      </c>
      <c r="J787" s="22">
        <v>0.96966564469504501</v>
      </c>
      <c r="K787" s="22">
        <v>3.0334355304955402E-2</v>
      </c>
      <c r="L787" s="14">
        <v>0</v>
      </c>
    </row>
    <row r="788" spans="1:12" x14ac:dyDescent="0.25">
      <c r="A788" s="13">
        <v>3627513</v>
      </c>
      <c r="B788" s="14" t="s">
        <v>5438</v>
      </c>
      <c r="C788" s="14" t="s">
        <v>2088</v>
      </c>
      <c r="D788" s="14" t="s">
        <v>2089</v>
      </c>
      <c r="E788" s="14" t="s">
        <v>2094</v>
      </c>
      <c r="F788" s="21">
        <v>1920</v>
      </c>
      <c r="G788" s="14">
        <v>828</v>
      </c>
      <c r="H788" s="14">
        <v>0</v>
      </c>
      <c r="I788" s="14">
        <v>37</v>
      </c>
      <c r="J788" s="22">
        <v>3.5074461979732699E-2</v>
      </c>
      <c r="K788" s="22">
        <v>0.96492553802026704</v>
      </c>
      <c r="L788" s="14">
        <v>0</v>
      </c>
    </row>
    <row r="789" spans="1:12" x14ac:dyDescent="0.25">
      <c r="A789" s="13" t="s">
        <v>2095</v>
      </c>
      <c r="B789" s="14" t="s">
        <v>5438</v>
      </c>
      <c r="C789" s="14" t="s">
        <v>2088</v>
      </c>
      <c r="D789" s="14" t="s">
        <v>2089</v>
      </c>
      <c r="E789" s="14" t="s">
        <v>2096</v>
      </c>
      <c r="F789" s="21">
        <v>1920</v>
      </c>
      <c r="H789" s="14">
        <v>0</v>
      </c>
      <c r="I789" s="14">
        <v>4</v>
      </c>
      <c r="J789" s="22">
        <v>0.92682508969311195</v>
      </c>
      <c r="K789" s="22">
        <v>7.3174910306888399E-2</v>
      </c>
      <c r="L789" s="14">
        <v>0</v>
      </c>
    </row>
    <row r="790" spans="1:12" x14ac:dyDescent="0.25">
      <c r="A790" s="13" t="s">
        <v>2097</v>
      </c>
      <c r="B790" s="14" t="s">
        <v>5438</v>
      </c>
      <c r="C790" s="14" t="s">
        <v>2088</v>
      </c>
      <c r="D790" s="14" t="s">
        <v>2089</v>
      </c>
      <c r="E790" s="14" t="s">
        <v>2098</v>
      </c>
      <c r="F790" s="21">
        <v>1920</v>
      </c>
      <c r="G790" s="14">
        <v>64</v>
      </c>
      <c r="H790" s="14">
        <v>0</v>
      </c>
      <c r="I790" s="14">
        <v>9</v>
      </c>
      <c r="J790" s="22">
        <v>0.82233246704784602</v>
      </c>
      <c r="K790" s="22">
        <v>0.17766753295215401</v>
      </c>
      <c r="L790" s="14">
        <v>0</v>
      </c>
    </row>
    <row r="791" spans="1:12" x14ac:dyDescent="0.25">
      <c r="A791" s="13" t="s">
        <v>6700</v>
      </c>
      <c r="B791" s="14" t="s">
        <v>110</v>
      </c>
      <c r="C791" s="14" t="s">
        <v>2100</v>
      </c>
      <c r="D791" s="14" t="s">
        <v>2101</v>
      </c>
      <c r="E791" s="14" t="s">
        <v>2102</v>
      </c>
      <c r="F791" s="21">
        <v>2100</v>
      </c>
      <c r="G791" s="14">
        <v>350</v>
      </c>
      <c r="H791" s="14">
        <v>1</v>
      </c>
      <c r="I791" s="14">
        <v>43</v>
      </c>
      <c r="J791" s="22">
        <v>0.88282248207625502</v>
      </c>
      <c r="K791" s="22">
        <v>0.11717751792374501</v>
      </c>
      <c r="L791" s="14">
        <v>0</v>
      </c>
    </row>
    <row r="792" spans="1:12" x14ac:dyDescent="0.25">
      <c r="A792" s="13" t="s">
        <v>2103</v>
      </c>
      <c r="B792" s="14" t="s">
        <v>5493</v>
      </c>
      <c r="C792" s="14" t="s">
        <v>2104</v>
      </c>
      <c r="D792" s="14" t="s">
        <v>2105</v>
      </c>
      <c r="E792" s="14" t="s">
        <v>2106</v>
      </c>
      <c r="F792" s="21">
        <v>2311.56</v>
      </c>
      <c r="G792" s="14">
        <v>135</v>
      </c>
      <c r="H792" s="14">
        <v>0</v>
      </c>
      <c r="I792" s="14" t="s">
        <v>6314</v>
      </c>
      <c r="J792" s="22">
        <v>0.85026969827954402</v>
      </c>
      <c r="K792" s="22">
        <v>0.14973030172045601</v>
      </c>
      <c r="L792" s="14">
        <v>0</v>
      </c>
    </row>
    <row r="793" spans="1:12" x14ac:dyDescent="0.25">
      <c r="A793" s="13">
        <v>3721994</v>
      </c>
      <c r="B793" s="14" t="s">
        <v>6445</v>
      </c>
      <c r="C793" s="14" t="s">
        <v>5622</v>
      </c>
      <c r="D793" s="14" t="s">
        <v>2109</v>
      </c>
      <c r="E793" s="14" t="s">
        <v>2110</v>
      </c>
      <c r="F793" s="21">
        <v>1525</v>
      </c>
      <c r="G793" s="14">
        <v>320</v>
      </c>
      <c r="I793" s="14">
        <v>36</v>
      </c>
      <c r="J793" s="22">
        <v>0.46555608870127302</v>
      </c>
      <c r="K793" s="22">
        <v>0.53444391129872704</v>
      </c>
      <c r="L793" s="14">
        <v>0</v>
      </c>
    </row>
    <row r="794" spans="1:12" x14ac:dyDescent="0.25">
      <c r="B794" s="14" t="s">
        <v>86</v>
      </c>
      <c r="C794" s="14" t="s">
        <v>2027</v>
      </c>
      <c r="D794" s="14" t="s">
        <v>2111</v>
      </c>
      <c r="E794" s="14" t="s">
        <v>2112</v>
      </c>
      <c r="F794" s="21">
        <v>1500</v>
      </c>
      <c r="G794" s="14">
        <v>444</v>
      </c>
      <c r="H794" s="14">
        <v>0</v>
      </c>
      <c r="I794" s="14">
        <v>43</v>
      </c>
      <c r="J794" s="22">
        <v>0.31537048075775798</v>
      </c>
      <c r="K794" s="22">
        <v>0.68462951924224202</v>
      </c>
      <c r="L794" s="14">
        <v>0</v>
      </c>
    </row>
    <row r="795" spans="1:12" x14ac:dyDescent="0.25">
      <c r="A795" s="13" t="s">
        <v>6701</v>
      </c>
      <c r="B795" s="14" t="s">
        <v>5419</v>
      </c>
      <c r="C795" s="14" t="s">
        <v>5619</v>
      </c>
      <c r="D795" s="14" t="s">
        <v>2115</v>
      </c>
      <c r="E795" s="14" t="s">
        <v>6702</v>
      </c>
      <c r="F795" s="21">
        <v>2040</v>
      </c>
      <c r="G795" s="14">
        <v>883</v>
      </c>
      <c r="H795" s="14">
        <v>0</v>
      </c>
      <c r="I795" s="14">
        <v>31</v>
      </c>
      <c r="J795" s="22">
        <v>0.96612885931605796</v>
      </c>
      <c r="K795" s="22">
        <v>3.3871140683942001E-2</v>
      </c>
      <c r="L795" s="14">
        <v>0</v>
      </c>
    </row>
    <row r="796" spans="1:12" x14ac:dyDescent="0.25">
      <c r="A796" s="13" t="s">
        <v>2117</v>
      </c>
      <c r="B796" s="14" t="s">
        <v>5417</v>
      </c>
      <c r="C796" s="14" t="s">
        <v>2114</v>
      </c>
      <c r="D796" s="14" t="s">
        <v>2118</v>
      </c>
      <c r="E796" s="14" t="s">
        <v>2119</v>
      </c>
      <c r="F796" s="21">
        <v>2040</v>
      </c>
      <c r="G796" s="14">
        <v>515</v>
      </c>
      <c r="H796" s="14">
        <v>1</v>
      </c>
      <c r="I796" s="14">
        <v>49</v>
      </c>
      <c r="J796" s="22">
        <v>4.35105520871297E-2</v>
      </c>
      <c r="K796" s="22">
        <v>0.95648944791287005</v>
      </c>
      <c r="L796" s="14">
        <v>0</v>
      </c>
    </row>
    <row r="797" spans="1:12" x14ac:dyDescent="0.25">
      <c r="A797" s="13" t="s">
        <v>2120</v>
      </c>
      <c r="B797" s="14" t="s">
        <v>5417</v>
      </c>
      <c r="C797" s="14" t="s">
        <v>2114</v>
      </c>
      <c r="D797" s="14" t="s">
        <v>2118</v>
      </c>
      <c r="E797" s="14" t="s">
        <v>2121</v>
      </c>
      <c r="F797" s="21">
        <v>2040</v>
      </c>
      <c r="G797" s="14">
        <v>375</v>
      </c>
      <c r="H797" s="14">
        <v>1</v>
      </c>
      <c r="I797" s="14">
        <v>21</v>
      </c>
      <c r="J797" s="22">
        <v>0.89424630503699798</v>
      </c>
      <c r="K797" s="22">
        <v>0.10575369496300201</v>
      </c>
      <c r="L797" s="14">
        <v>0</v>
      </c>
    </row>
    <row r="798" spans="1:12" x14ac:dyDescent="0.25">
      <c r="A798" s="13" t="s">
        <v>6703</v>
      </c>
      <c r="B798" s="14" t="s">
        <v>5417</v>
      </c>
      <c r="C798" s="14" t="s">
        <v>2114</v>
      </c>
      <c r="D798" s="14" t="s">
        <v>2118</v>
      </c>
      <c r="E798" s="14" t="s">
        <v>2122</v>
      </c>
      <c r="F798" s="21">
        <v>2100</v>
      </c>
      <c r="G798" s="14">
        <v>214</v>
      </c>
      <c r="H798" s="14">
        <v>0</v>
      </c>
      <c r="I798" s="14" t="s">
        <v>6314</v>
      </c>
      <c r="J798" s="22">
        <v>0.85661283978035196</v>
      </c>
      <c r="K798" s="22">
        <v>0.14338716021964801</v>
      </c>
      <c r="L798" s="14">
        <v>0</v>
      </c>
    </row>
    <row r="799" spans="1:12" x14ac:dyDescent="0.25">
      <c r="A799" s="13" t="s">
        <v>2123</v>
      </c>
      <c r="B799" s="14" t="s">
        <v>5417</v>
      </c>
      <c r="C799" s="14" t="s">
        <v>2114</v>
      </c>
      <c r="D799" s="14" t="s">
        <v>2118</v>
      </c>
      <c r="E799" s="14" t="s">
        <v>2124</v>
      </c>
      <c r="F799" s="21">
        <v>2100</v>
      </c>
      <c r="H799" s="14">
        <v>1</v>
      </c>
      <c r="I799" s="14">
        <v>30</v>
      </c>
      <c r="J799" s="22">
        <v>0.11079939332154901</v>
      </c>
      <c r="K799" s="22">
        <v>0.88920060667845202</v>
      </c>
      <c r="L799" s="14">
        <v>0</v>
      </c>
    </row>
    <row r="800" spans="1:12" x14ac:dyDescent="0.25">
      <c r="B800" s="14" t="s">
        <v>5417</v>
      </c>
      <c r="C800" s="14" t="s">
        <v>2114</v>
      </c>
      <c r="D800" s="14" t="s">
        <v>2118</v>
      </c>
      <c r="E800" s="14" t="s">
        <v>2125</v>
      </c>
      <c r="F800" s="21">
        <v>2100</v>
      </c>
      <c r="G800" s="14">
        <v>31</v>
      </c>
      <c r="H800" s="14">
        <v>1</v>
      </c>
      <c r="I800" s="14">
        <v>45</v>
      </c>
      <c r="J800" s="22">
        <v>0.70150951942786199</v>
      </c>
      <c r="K800" s="22">
        <v>0.29849048057213801</v>
      </c>
      <c r="L800" s="14">
        <v>0</v>
      </c>
    </row>
    <row r="801" spans="1:12" x14ac:dyDescent="0.25">
      <c r="B801" s="14" t="s">
        <v>5417</v>
      </c>
      <c r="C801" s="14" t="s">
        <v>2114</v>
      </c>
      <c r="D801" s="14" t="s">
        <v>2118</v>
      </c>
      <c r="E801" s="14" t="s">
        <v>2126</v>
      </c>
      <c r="F801" s="21">
        <v>2100</v>
      </c>
      <c r="G801" s="14">
        <v>102</v>
      </c>
      <c r="H801" s="14">
        <v>0</v>
      </c>
      <c r="I801" s="14">
        <v>16</v>
      </c>
      <c r="J801" s="22">
        <v>0.45123822627905402</v>
      </c>
      <c r="K801" s="22">
        <v>0.54876177372094603</v>
      </c>
      <c r="L801" s="14">
        <v>0</v>
      </c>
    </row>
    <row r="802" spans="1:12" x14ac:dyDescent="0.25">
      <c r="A802" s="13" t="s">
        <v>2127</v>
      </c>
      <c r="B802" s="14" t="s">
        <v>3900</v>
      </c>
      <c r="C802" s="14" t="s">
        <v>2114</v>
      </c>
      <c r="D802" s="14" t="s">
        <v>2118</v>
      </c>
      <c r="E802" s="14" t="s">
        <v>2128</v>
      </c>
      <c r="F802" s="21">
        <v>2040</v>
      </c>
      <c r="G802" s="14">
        <v>97</v>
      </c>
      <c r="H802" s="14">
        <v>0</v>
      </c>
      <c r="I802" s="14">
        <v>27</v>
      </c>
      <c r="J802" s="22">
        <v>0.96978328294983196</v>
      </c>
      <c r="K802" s="22">
        <v>3.0216717050167999E-2</v>
      </c>
      <c r="L802" s="14">
        <v>0</v>
      </c>
    </row>
    <row r="803" spans="1:12" x14ac:dyDescent="0.25">
      <c r="A803" s="13" t="s">
        <v>2129</v>
      </c>
      <c r="B803" s="14" t="s">
        <v>3900</v>
      </c>
      <c r="C803" s="14" t="s">
        <v>2114</v>
      </c>
      <c r="D803" s="14" t="s">
        <v>2118</v>
      </c>
      <c r="E803" s="14" t="s">
        <v>2130</v>
      </c>
      <c r="F803" s="21">
        <v>2040</v>
      </c>
      <c r="G803" s="14">
        <v>465</v>
      </c>
      <c r="H803" s="14">
        <v>0</v>
      </c>
      <c r="I803" s="14">
        <v>48</v>
      </c>
      <c r="J803" s="22">
        <v>0.94033595197417996</v>
      </c>
      <c r="K803" s="22">
        <v>5.9664048025819802E-2</v>
      </c>
      <c r="L803" s="14">
        <v>0</v>
      </c>
    </row>
    <row r="804" spans="1:12" x14ac:dyDescent="0.25">
      <c r="A804" s="13" t="s">
        <v>6027</v>
      </c>
      <c r="B804" s="14" t="s">
        <v>3900</v>
      </c>
      <c r="C804" s="14" t="s">
        <v>2114</v>
      </c>
      <c r="D804" s="14" t="s">
        <v>2118</v>
      </c>
      <c r="E804" s="14" t="s">
        <v>2132</v>
      </c>
      <c r="F804" s="21">
        <v>2100</v>
      </c>
      <c r="G804" s="14">
        <v>390</v>
      </c>
      <c r="H804" s="14">
        <v>0</v>
      </c>
      <c r="I804" s="14">
        <v>11</v>
      </c>
      <c r="J804" s="22">
        <v>0.76981655071335797</v>
      </c>
      <c r="K804" s="22">
        <v>0.230183449286642</v>
      </c>
      <c r="L804" s="14">
        <v>0</v>
      </c>
    </row>
    <row r="805" spans="1:12" x14ac:dyDescent="0.25">
      <c r="A805" s="13" t="s">
        <v>2133</v>
      </c>
      <c r="B805" s="14" t="s">
        <v>5418</v>
      </c>
      <c r="C805" s="14" t="s">
        <v>2114</v>
      </c>
      <c r="D805" s="14" t="s">
        <v>2118</v>
      </c>
      <c r="E805" s="14" t="s">
        <v>2134</v>
      </c>
      <c r="F805" s="21">
        <v>1700</v>
      </c>
      <c r="G805" s="14">
        <v>21</v>
      </c>
      <c r="H805" s="14">
        <v>1</v>
      </c>
      <c r="I805" s="14">
        <v>38</v>
      </c>
      <c r="J805" s="22">
        <v>0.55985255932407696</v>
      </c>
      <c r="K805" s="22">
        <v>0.44014744067592299</v>
      </c>
      <c r="L805" s="14">
        <v>0</v>
      </c>
    </row>
    <row r="806" spans="1:12" ht="39.6" x14ac:dyDescent="0.25">
      <c r="A806" s="20" t="s">
        <v>6704</v>
      </c>
      <c r="B806" s="14" t="s">
        <v>110</v>
      </c>
      <c r="C806" s="14" t="s">
        <v>2114</v>
      </c>
      <c r="D806" s="14" t="s">
        <v>2118</v>
      </c>
      <c r="E806" s="14" t="s">
        <v>2136</v>
      </c>
      <c r="F806" s="21">
        <v>1978.75</v>
      </c>
      <c r="G806" s="14">
        <v>99</v>
      </c>
      <c r="H806" s="14">
        <v>0</v>
      </c>
      <c r="I806" s="14">
        <v>37</v>
      </c>
      <c r="J806" s="22">
        <v>0.93399238660517403</v>
      </c>
      <c r="K806" s="22">
        <v>6.6007613394826095E-2</v>
      </c>
      <c r="L806" s="14">
        <v>0</v>
      </c>
    </row>
    <row r="807" spans="1:12" x14ac:dyDescent="0.25">
      <c r="A807" s="13" t="s">
        <v>2137</v>
      </c>
      <c r="B807" s="14" t="s">
        <v>110</v>
      </c>
      <c r="C807" s="14" t="s">
        <v>2114</v>
      </c>
      <c r="D807" s="14" t="s">
        <v>2118</v>
      </c>
      <c r="E807" s="14" t="s">
        <v>2138</v>
      </c>
      <c r="F807" s="21">
        <v>2040</v>
      </c>
      <c r="G807" s="14">
        <v>441</v>
      </c>
      <c r="H807" s="14">
        <v>1</v>
      </c>
      <c r="I807" s="14">
        <v>21</v>
      </c>
      <c r="J807" s="22">
        <v>0.37920519191511198</v>
      </c>
      <c r="K807" s="22">
        <v>0.62079480808488796</v>
      </c>
      <c r="L807" s="14">
        <v>0</v>
      </c>
    </row>
    <row r="808" spans="1:12" x14ac:dyDescent="0.25">
      <c r="A808" s="13" t="s">
        <v>2139</v>
      </c>
      <c r="B808" s="14" t="s">
        <v>110</v>
      </c>
      <c r="C808" s="14" t="s">
        <v>2114</v>
      </c>
      <c r="D808" s="14" t="s">
        <v>2118</v>
      </c>
      <c r="E808" s="14" t="s">
        <v>2140</v>
      </c>
      <c r="F808" s="21">
        <v>2040</v>
      </c>
      <c r="G808" s="14">
        <v>74</v>
      </c>
      <c r="H808" s="14">
        <v>1</v>
      </c>
      <c r="I808" s="14">
        <v>38</v>
      </c>
      <c r="J808" s="22">
        <v>0.81093453888115796</v>
      </c>
      <c r="K808" s="22">
        <v>0.18906546111884201</v>
      </c>
      <c r="L808" s="14">
        <v>0</v>
      </c>
    </row>
    <row r="809" spans="1:12" x14ac:dyDescent="0.25">
      <c r="A809" s="13" t="s">
        <v>2141</v>
      </c>
      <c r="B809" s="14" t="s">
        <v>110</v>
      </c>
      <c r="C809" s="14" t="s">
        <v>5620</v>
      </c>
      <c r="D809" s="14" t="s">
        <v>2118</v>
      </c>
      <c r="E809" s="14" t="s">
        <v>2142</v>
      </c>
      <c r="F809" s="21">
        <v>2040</v>
      </c>
      <c r="H809" s="14">
        <v>0</v>
      </c>
      <c r="I809" s="14">
        <v>43</v>
      </c>
      <c r="J809" s="22">
        <v>0.75451575299904405</v>
      </c>
      <c r="K809" s="22">
        <v>0.245484247000956</v>
      </c>
      <c r="L809" s="14">
        <v>0</v>
      </c>
    </row>
    <row r="810" spans="1:12" ht="26.4" x14ac:dyDescent="0.25">
      <c r="A810" s="20" t="s">
        <v>6705</v>
      </c>
      <c r="B810" s="14" t="s">
        <v>110</v>
      </c>
      <c r="C810" s="14" t="s">
        <v>2114</v>
      </c>
      <c r="D810" s="14" t="s">
        <v>2118</v>
      </c>
      <c r="E810" s="14" t="s">
        <v>2144</v>
      </c>
      <c r="F810" s="21">
        <v>2040</v>
      </c>
      <c r="G810" s="14">
        <v>576</v>
      </c>
      <c r="H810" s="14">
        <v>1</v>
      </c>
      <c r="I810" s="14">
        <v>48</v>
      </c>
      <c r="J810" s="22">
        <v>0.57170969233001401</v>
      </c>
      <c r="K810" s="22">
        <v>0.42829030766998599</v>
      </c>
      <c r="L810" s="14">
        <v>0</v>
      </c>
    </row>
    <row r="811" spans="1:12" x14ac:dyDescent="0.25">
      <c r="A811" s="13" t="s">
        <v>6706</v>
      </c>
      <c r="B811" s="14" t="s">
        <v>110</v>
      </c>
      <c r="C811" s="14" t="s">
        <v>2114</v>
      </c>
      <c r="D811" s="14" t="s">
        <v>2118</v>
      </c>
      <c r="E811" s="14" t="s">
        <v>2145</v>
      </c>
      <c r="F811" s="21">
        <v>2100</v>
      </c>
      <c r="G811" s="14">
        <v>949</v>
      </c>
      <c r="H811" s="14">
        <v>0</v>
      </c>
      <c r="I811" s="14">
        <v>32</v>
      </c>
      <c r="J811" s="22">
        <v>0.82549744366473898</v>
      </c>
      <c r="K811" s="22">
        <v>0.17450255633526099</v>
      </c>
      <c r="L811" s="14">
        <v>0</v>
      </c>
    </row>
    <row r="812" spans="1:12" x14ac:dyDescent="0.25">
      <c r="A812" s="13" t="s">
        <v>6707</v>
      </c>
      <c r="B812" s="14" t="s">
        <v>110</v>
      </c>
      <c r="C812" s="14" t="s">
        <v>2114</v>
      </c>
      <c r="D812" s="14" t="s">
        <v>2118</v>
      </c>
      <c r="E812" s="14" t="s">
        <v>2147</v>
      </c>
      <c r="F812" s="21">
        <v>2100</v>
      </c>
      <c r="G812" s="14">
        <v>45</v>
      </c>
      <c r="H812" s="14">
        <v>1</v>
      </c>
      <c r="I812" s="14">
        <v>47</v>
      </c>
      <c r="J812" s="22">
        <v>0.90220587113500195</v>
      </c>
      <c r="K812" s="22">
        <v>9.7794128864998303E-2</v>
      </c>
      <c r="L812" s="14">
        <v>0</v>
      </c>
    </row>
    <row r="813" spans="1:12" x14ac:dyDescent="0.25">
      <c r="A813" s="13" t="s">
        <v>2148</v>
      </c>
      <c r="B813" s="14" t="s">
        <v>5421</v>
      </c>
      <c r="C813" s="14" t="s">
        <v>2114</v>
      </c>
      <c r="D813" s="14" t="s">
        <v>2118</v>
      </c>
      <c r="E813" s="14" t="s">
        <v>6708</v>
      </c>
      <c r="F813" s="21">
        <v>2040</v>
      </c>
      <c r="G813" s="14">
        <v>634</v>
      </c>
      <c r="H813" s="14">
        <v>1</v>
      </c>
      <c r="I813" s="14">
        <v>2</v>
      </c>
      <c r="J813" s="22">
        <v>0.30349753640986299</v>
      </c>
      <c r="K813" s="22">
        <v>0.69650246359013801</v>
      </c>
      <c r="L813" s="14">
        <v>0</v>
      </c>
    </row>
    <row r="814" spans="1:12" x14ac:dyDescent="0.25">
      <c r="A814" s="13" t="s">
        <v>2150</v>
      </c>
      <c r="B814" s="14" t="s">
        <v>5421</v>
      </c>
      <c r="C814" s="14" t="s">
        <v>2114</v>
      </c>
      <c r="D814" s="14" t="s">
        <v>2118</v>
      </c>
      <c r="E814" s="14" t="s">
        <v>2151</v>
      </c>
      <c r="F814" s="21">
        <v>2040</v>
      </c>
      <c r="G814" s="14">
        <v>272</v>
      </c>
      <c r="H814" s="14">
        <v>0</v>
      </c>
      <c r="I814" s="14">
        <v>35</v>
      </c>
      <c r="J814" s="22">
        <v>0.56210839779412802</v>
      </c>
      <c r="K814" s="22">
        <v>0.43789160220587198</v>
      </c>
      <c r="L814" s="14">
        <v>0</v>
      </c>
    </row>
    <row r="815" spans="1:12" x14ac:dyDescent="0.25">
      <c r="A815" s="13" t="s">
        <v>2152</v>
      </c>
      <c r="B815" s="14" t="s">
        <v>110</v>
      </c>
      <c r="C815" s="14" t="s">
        <v>5621</v>
      </c>
      <c r="D815" s="14" t="s">
        <v>2115</v>
      </c>
      <c r="E815" s="14" t="s">
        <v>2153</v>
      </c>
      <c r="F815" s="21">
        <v>1700</v>
      </c>
      <c r="G815" s="14">
        <v>163</v>
      </c>
      <c r="H815" s="14">
        <v>0</v>
      </c>
      <c r="I815" s="14" t="s">
        <v>6314</v>
      </c>
      <c r="J815" s="22">
        <v>0.444569384461035</v>
      </c>
      <c r="K815" s="22">
        <v>0.555430615538965</v>
      </c>
      <c r="L815" s="14">
        <v>0</v>
      </c>
    </row>
    <row r="816" spans="1:12" x14ac:dyDescent="0.25">
      <c r="A816" s="13">
        <v>3272220</v>
      </c>
      <c r="B816" s="14" t="s">
        <v>86</v>
      </c>
      <c r="C816" s="14" t="s">
        <v>2155</v>
      </c>
      <c r="D816" s="14" t="s">
        <v>2111</v>
      </c>
      <c r="E816" s="14" t="s">
        <v>2156</v>
      </c>
      <c r="F816" s="21">
        <v>2310.9499999999998</v>
      </c>
      <c r="G816" s="14">
        <v>288</v>
      </c>
      <c r="H816" s="14">
        <v>0</v>
      </c>
      <c r="I816" s="14">
        <v>32</v>
      </c>
      <c r="J816" s="22">
        <v>0.121968539432286</v>
      </c>
      <c r="K816" s="22">
        <v>0.87803146056771397</v>
      </c>
      <c r="L816" s="14">
        <v>0</v>
      </c>
    </row>
    <row r="817" spans="1:12" x14ac:dyDescent="0.25">
      <c r="A817" s="13" t="s">
        <v>6709</v>
      </c>
      <c r="B817" s="14" t="s">
        <v>5493</v>
      </c>
      <c r="C817" s="14" t="s">
        <v>2155</v>
      </c>
      <c r="D817" s="14" t="s">
        <v>2111</v>
      </c>
      <c r="E817" s="14" t="s">
        <v>2157</v>
      </c>
      <c r="F817" s="21">
        <v>1986.9</v>
      </c>
      <c r="G817" s="14">
        <v>946</v>
      </c>
      <c r="H817" s="14">
        <v>0</v>
      </c>
      <c r="I817" s="14">
        <v>42</v>
      </c>
      <c r="J817" s="22">
        <v>0.94608454451720703</v>
      </c>
      <c r="K817" s="22">
        <v>5.3915455482793098E-2</v>
      </c>
      <c r="L817" s="14">
        <v>0</v>
      </c>
    </row>
    <row r="818" spans="1:12" ht="39.6" x14ac:dyDescent="0.25">
      <c r="A818" s="20" t="s">
        <v>6710</v>
      </c>
      <c r="B818" s="14" t="s">
        <v>86</v>
      </c>
      <c r="C818" s="14" t="s">
        <v>2159</v>
      </c>
      <c r="D818" s="14" t="s">
        <v>2160</v>
      </c>
      <c r="E818" s="14" t="s">
        <v>2161</v>
      </c>
      <c r="F818" s="21">
        <v>1500</v>
      </c>
      <c r="H818" s="14">
        <v>0</v>
      </c>
      <c r="I818" s="14">
        <v>7</v>
      </c>
      <c r="J818" s="22">
        <v>0.87838183842304796</v>
      </c>
      <c r="K818" s="22">
        <v>0.121618161576953</v>
      </c>
      <c r="L818" s="14">
        <v>0</v>
      </c>
    </row>
    <row r="819" spans="1:12" x14ac:dyDescent="0.25">
      <c r="A819" s="13" t="s">
        <v>6711</v>
      </c>
      <c r="B819" s="14" t="s">
        <v>110</v>
      </c>
      <c r="C819" s="14" t="s">
        <v>2163</v>
      </c>
      <c r="D819" s="14" t="s">
        <v>2164</v>
      </c>
      <c r="E819" s="14" t="s">
        <v>2165</v>
      </c>
      <c r="F819" s="21">
        <v>2040</v>
      </c>
      <c r="G819" s="14">
        <v>550</v>
      </c>
      <c r="H819" s="14">
        <v>1</v>
      </c>
      <c r="I819" s="14">
        <v>13</v>
      </c>
      <c r="J819" s="22">
        <v>0.51199089206239301</v>
      </c>
      <c r="K819" s="22">
        <v>0.48800910793760699</v>
      </c>
      <c r="L819" s="14">
        <v>0</v>
      </c>
    </row>
    <row r="820" spans="1:12" x14ac:dyDescent="0.25">
      <c r="A820" s="13" t="s">
        <v>2166</v>
      </c>
      <c r="B820" s="14" t="s">
        <v>5343</v>
      </c>
      <c r="C820" s="14" t="s">
        <v>2108</v>
      </c>
      <c r="D820" s="14" t="s">
        <v>2167</v>
      </c>
      <c r="E820" s="14" t="s">
        <v>2168</v>
      </c>
      <c r="F820" s="21">
        <v>1125</v>
      </c>
      <c r="G820" s="14">
        <v>809</v>
      </c>
      <c r="H820" s="14">
        <v>1</v>
      </c>
      <c r="I820" s="14">
        <v>12</v>
      </c>
      <c r="J820" s="22">
        <v>0.443166867534528</v>
      </c>
      <c r="K820" s="22">
        <v>0.55683313246547295</v>
      </c>
      <c r="L820" s="14">
        <v>0</v>
      </c>
    </row>
    <row r="821" spans="1:12" x14ac:dyDescent="0.25">
      <c r="B821" s="14" t="s">
        <v>2169</v>
      </c>
      <c r="C821" s="14" t="s">
        <v>2324</v>
      </c>
      <c r="D821" s="14" t="s">
        <v>2171</v>
      </c>
      <c r="E821" s="14" t="s">
        <v>2172</v>
      </c>
      <c r="F821" s="21">
        <v>2587.1</v>
      </c>
      <c r="G821" s="14">
        <v>172</v>
      </c>
      <c r="H821" s="14">
        <v>0</v>
      </c>
      <c r="I821" s="14">
        <v>2</v>
      </c>
      <c r="J821" s="22">
        <v>0.26730306003210802</v>
      </c>
      <c r="K821" s="22">
        <v>0.73269693996789198</v>
      </c>
      <c r="L821" s="14">
        <v>0</v>
      </c>
    </row>
    <row r="822" spans="1:12" x14ac:dyDescent="0.25">
      <c r="A822" s="13">
        <v>3690473</v>
      </c>
      <c r="B822" s="14" t="s">
        <v>17</v>
      </c>
      <c r="C822" s="14" t="s">
        <v>5623</v>
      </c>
      <c r="D822" s="14" t="s">
        <v>2175</v>
      </c>
      <c r="E822" s="14" t="s">
        <v>2176</v>
      </c>
      <c r="F822" s="21">
        <v>2317.94</v>
      </c>
      <c r="G822" s="14">
        <v>592</v>
      </c>
      <c r="H822" s="14">
        <v>0</v>
      </c>
      <c r="I822" s="14">
        <v>24</v>
      </c>
      <c r="J822" s="22">
        <v>0.80730644998865797</v>
      </c>
      <c r="K822" s="22">
        <v>0.192693550011343</v>
      </c>
      <c r="L822" s="14">
        <v>0</v>
      </c>
    </row>
    <row r="823" spans="1:12" x14ac:dyDescent="0.25">
      <c r="A823" s="13" t="s">
        <v>2177</v>
      </c>
      <c r="B823" s="14" t="s">
        <v>17</v>
      </c>
      <c r="C823" s="14" t="s">
        <v>2178</v>
      </c>
      <c r="D823" s="14" t="s">
        <v>2179</v>
      </c>
      <c r="E823" s="14" t="s">
        <v>2180</v>
      </c>
      <c r="F823" s="21">
        <v>3799.84</v>
      </c>
      <c r="G823" s="14">
        <v>319</v>
      </c>
      <c r="H823" s="14">
        <v>0</v>
      </c>
      <c r="I823" s="14" t="s">
        <v>6314</v>
      </c>
      <c r="J823" s="22">
        <v>0.59081230504336801</v>
      </c>
      <c r="K823" s="22">
        <v>0.40918769495663199</v>
      </c>
      <c r="L823" s="14">
        <v>0</v>
      </c>
    </row>
    <row r="824" spans="1:12" ht="26.4" x14ac:dyDescent="0.25">
      <c r="A824" s="20" t="s">
        <v>6712</v>
      </c>
      <c r="B824" s="14" t="s">
        <v>17</v>
      </c>
      <c r="C824" s="14" t="s">
        <v>2178</v>
      </c>
      <c r="D824" s="14" t="s">
        <v>2179</v>
      </c>
      <c r="E824" s="14" t="s">
        <v>2182</v>
      </c>
      <c r="F824" s="21">
        <v>4069.66</v>
      </c>
      <c r="G824" s="14">
        <v>830</v>
      </c>
      <c r="I824" s="14" t="s">
        <v>6314</v>
      </c>
      <c r="J824" s="22">
        <v>0.78131206848121604</v>
      </c>
      <c r="K824" s="22">
        <v>0.21868793151878399</v>
      </c>
      <c r="L824" s="14">
        <v>0</v>
      </c>
    </row>
    <row r="825" spans="1:12" x14ac:dyDescent="0.25">
      <c r="A825" s="13" t="s">
        <v>6713</v>
      </c>
      <c r="B825" s="14" t="s">
        <v>69</v>
      </c>
      <c r="C825" s="14" t="s">
        <v>2184</v>
      </c>
      <c r="D825" s="14" t="s">
        <v>2185</v>
      </c>
      <c r="E825" s="14" t="s">
        <v>2186</v>
      </c>
      <c r="F825" s="21">
        <v>2211.52</v>
      </c>
      <c r="G825" s="14">
        <v>400</v>
      </c>
      <c r="H825" s="14">
        <v>1</v>
      </c>
      <c r="I825" s="14">
        <v>43</v>
      </c>
      <c r="J825" s="22">
        <v>0.70015177273479201</v>
      </c>
      <c r="K825" s="22">
        <v>0.29984822726520799</v>
      </c>
      <c r="L825" s="14">
        <v>0</v>
      </c>
    </row>
    <row r="826" spans="1:12" x14ac:dyDescent="0.25">
      <c r="A826" s="13" t="s">
        <v>6714</v>
      </c>
      <c r="B826" s="14" t="s">
        <v>69</v>
      </c>
      <c r="C826" s="14" t="s">
        <v>2184</v>
      </c>
      <c r="D826" s="14" t="s">
        <v>2185</v>
      </c>
      <c r="E826" s="14" t="s">
        <v>2188</v>
      </c>
      <c r="F826" s="21">
        <v>2240.86</v>
      </c>
      <c r="H826" s="14">
        <v>1</v>
      </c>
      <c r="I826" s="14">
        <v>50</v>
      </c>
      <c r="J826" s="22">
        <v>0.68143795187954503</v>
      </c>
      <c r="K826" s="22">
        <v>0.31856204812045502</v>
      </c>
      <c r="L826" s="14">
        <v>0</v>
      </c>
    </row>
    <row r="827" spans="1:12" x14ac:dyDescent="0.25">
      <c r="B827" s="14" t="s">
        <v>86</v>
      </c>
      <c r="C827" s="14" t="s">
        <v>2189</v>
      </c>
      <c r="D827" s="14" t="s">
        <v>2190</v>
      </c>
      <c r="E827" s="14" t="s">
        <v>2191</v>
      </c>
      <c r="F827" s="21">
        <v>1500</v>
      </c>
      <c r="G827" s="14">
        <v>843</v>
      </c>
      <c r="H827" s="14">
        <v>0</v>
      </c>
      <c r="I827" s="14">
        <v>24</v>
      </c>
      <c r="J827" s="22">
        <v>0.24267362920942501</v>
      </c>
      <c r="K827" s="22">
        <v>0.75732637079057596</v>
      </c>
      <c r="L827" s="14">
        <v>0</v>
      </c>
    </row>
    <row r="828" spans="1:12" ht="39.6" x14ac:dyDescent="0.25">
      <c r="A828" s="20" t="s">
        <v>6715</v>
      </c>
      <c r="B828" s="14" t="s">
        <v>5496</v>
      </c>
      <c r="C828" s="14" t="s">
        <v>2193</v>
      </c>
      <c r="D828" s="14" t="s">
        <v>2185</v>
      </c>
      <c r="E828" s="14" t="s">
        <v>2194</v>
      </c>
      <c r="F828" s="21">
        <v>1513.73</v>
      </c>
      <c r="G828" s="14">
        <v>896</v>
      </c>
      <c r="H828" s="14">
        <v>1</v>
      </c>
      <c r="I828" s="14">
        <v>6</v>
      </c>
      <c r="J828" s="22">
        <v>0.65023969633912604</v>
      </c>
      <c r="K828" s="22">
        <v>0.34976030366087402</v>
      </c>
      <c r="L828" s="14">
        <v>0</v>
      </c>
    </row>
    <row r="829" spans="1:12" x14ac:dyDescent="0.25">
      <c r="A829" s="13" t="s">
        <v>6716</v>
      </c>
      <c r="B829" s="14" t="s">
        <v>5493</v>
      </c>
      <c r="C829" s="14" t="s">
        <v>2193</v>
      </c>
      <c r="D829" s="14" t="s">
        <v>2185</v>
      </c>
      <c r="E829" s="14" t="s">
        <v>2195</v>
      </c>
      <c r="F829" s="21">
        <v>2305.08</v>
      </c>
      <c r="H829" s="14">
        <v>1</v>
      </c>
      <c r="I829" s="14">
        <v>7</v>
      </c>
      <c r="J829" s="22">
        <v>7.0537718616360295E-2</v>
      </c>
      <c r="K829" s="22">
        <v>0.92946228138363995</v>
      </c>
      <c r="L829" s="14">
        <v>0</v>
      </c>
    </row>
    <row r="830" spans="1:12" x14ac:dyDescent="0.25">
      <c r="A830" s="13" t="s">
        <v>6717</v>
      </c>
      <c r="B830" s="14" t="s">
        <v>17</v>
      </c>
      <c r="C830" s="14" t="s">
        <v>2197</v>
      </c>
      <c r="D830" s="14" t="s">
        <v>2198</v>
      </c>
      <c r="E830" s="14" t="s">
        <v>2199</v>
      </c>
      <c r="F830" s="21">
        <v>2961.924</v>
      </c>
      <c r="G830" s="14">
        <v>825</v>
      </c>
      <c r="H830" s="14">
        <v>1</v>
      </c>
      <c r="I830" s="14">
        <v>3</v>
      </c>
      <c r="J830" s="22">
        <v>0.22425200603338299</v>
      </c>
      <c r="K830" s="22">
        <v>0.77574799396661698</v>
      </c>
      <c r="L830" s="14">
        <v>0</v>
      </c>
    </row>
    <row r="831" spans="1:12" x14ac:dyDescent="0.25">
      <c r="A831" s="13">
        <v>3620707</v>
      </c>
      <c r="B831" s="14" t="s">
        <v>6445</v>
      </c>
      <c r="C831" s="14" t="s">
        <v>5624</v>
      </c>
      <c r="D831" s="14" t="s">
        <v>2202</v>
      </c>
      <c r="E831" s="14" t="s">
        <v>2203</v>
      </c>
      <c r="F831" s="21">
        <v>1345</v>
      </c>
      <c r="G831" s="14">
        <v>184</v>
      </c>
      <c r="H831" s="14">
        <v>0</v>
      </c>
      <c r="I831" s="14" t="s">
        <v>6314</v>
      </c>
      <c r="J831" s="22">
        <v>0.62838706899804397</v>
      </c>
      <c r="K831" s="22">
        <v>0.37161293100195603</v>
      </c>
      <c r="L831" s="14">
        <v>0</v>
      </c>
    </row>
    <row r="832" spans="1:12" x14ac:dyDescent="0.25">
      <c r="A832" s="13" t="s">
        <v>6718</v>
      </c>
      <c r="B832" s="14" t="s">
        <v>333</v>
      </c>
      <c r="C832" s="14" t="s">
        <v>2205</v>
      </c>
      <c r="D832" s="14" t="s">
        <v>2206</v>
      </c>
      <c r="E832" s="14" t="s">
        <v>2207</v>
      </c>
      <c r="F832" s="21">
        <v>1910.82</v>
      </c>
      <c r="G832" s="14">
        <v>173</v>
      </c>
      <c r="H832" s="14">
        <v>1</v>
      </c>
      <c r="I832" s="14" t="s">
        <v>6314</v>
      </c>
      <c r="J832" s="22">
        <v>8.2389784853242096E-2</v>
      </c>
      <c r="K832" s="22">
        <v>0.917610215146758</v>
      </c>
      <c r="L832" s="14">
        <v>0</v>
      </c>
    </row>
    <row r="833" spans="1:12" x14ac:dyDescent="0.25">
      <c r="A833" s="13" t="s">
        <v>6031</v>
      </c>
      <c r="B833" s="14" t="s">
        <v>333</v>
      </c>
      <c r="C833" s="14" t="s">
        <v>2205</v>
      </c>
      <c r="D833" s="14" t="s">
        <v>2206</v>
      </c>
      <c r="E833" s="14" t="s">
        <v>2208</v>
      </c>
      <c r="F833" s="21">
        <v>2034</v>
      </c>
      <c r="G833" s="14">
        <v>589</v>
      </c>
      <c r="H833" s="14">
        <v>0</v>
      </c>
      <c r="I833" s="14">
        <v>16</v>
      </c>
      <c r="J833" s="22">
        <v>0.53021708774578202</v>
      </c>
      <c r="K833" s="22">
        <v>0.46978291225421798</v>
      </c>
      <c r="L833" s="14">
        <v>0</v>
      </c>
    </row>
    <row r="834" spans="1:12" x14ac:dyDescent="0.25">
      <c r="A834" s="13" t="s">
        <v>6719</v>
      </c>
      <c r="B834" s="14" t="s">
        <v>333</v>
      </c>
      <c r="C834" s="14" t="s">
        <v>2205</v>
      </c>
      <c r="D834" s="14" t="s">
        <v>2206</v>
      </c>
      <c r="E834" s="14" t="s">
        <v>2210</v>
      </c>
      <c r="F834" s="21">
        <v>2249.4299999999998</v>
      </c>
      <c r="G834" s="14">
        <v>669</v>
      </c>
      <c r="H834" s="14">
        <v>0</v>
      </c>
      <c r="I834" s="14">
        <v>35</v>
      </c>
      <c r="J834" s="22">
        <v>0.913360355445064</v>
      </c>
      <c r="K834" s="22">
        <v>8.6639644554935696E-2</v>
      </c>
      <c r="L834" s="14">
        <v>0</v>
      </c>
    </row>
    <row r="835" spans="1:12" x14ac:dyDescent="0.25">
      <c r="A835" s="13">
        <v>3811811</v>
      </c>
      <c r="B835" s="14" t="s">
        <v>5333</v>
      </c>
      <c r="C835" s="14" t="s">
        <v>2205</v>
      </c>
      <c r="D835" s="14" t="s">
        <v>2206</v>
      </c>
      <c r="E835" s="14" t="s">
        <v>2212</v>
      </c>
      <c r="F835" s="21">
        <v>1529.54</v>
      </c>
      <c r="G835" s="14">
        <v>582</v>
      </c>
      <c r="H835" s="14">
        <v>0</v>
      </c>
      <c r="I835" s="14">
        <v>11</v>
      </c>
      <c r="J835" s="22">
        <v>0.78784988511957699</v>
      </c>
      <c r="K835" s="22">
        <v>0.21215011488042301</v>
      </c>
      <c r="L835" s="14">
        <v>0</v>
      </c>
    </row>
    <row r="836" spans="1:12" x14ac:dyDescent="0.25">
      <c r="A836" s="13" t="s">
        <v>6720</v>
      </c>
      <c r="B836" s="14" t="s">
        <v>328</v>
      </c>
      <c r="C836" s="14" t="s">
        <v>2205</v>
      </c>
      <c r="D836" s="14" t="s">
        <v>2206</v>
      </c>
      <c r="E836" s="14" t="s">
        <v>2214</v>
      </c>
      <c r="F836" s="21">
        <v>1237.76</v>
      </c>
      <c r="G836" s="14">
        <v>194</v>
      </c>
      <c r="H836" s="14">
        <v>0</v>
      </c>
      <c r="I836" s="14" t="s">
        <v>6314</v>
      </c>
      <c r="J836" s="22">
        <v>0.72262063898485296</v>
      </c>
      <c r="K836" s="22">
        <v>0.27737936101514699</v>
      </c>
      <c r="L836" s="14">
        <v>0</v>
      </c>
    </row>
    <row r="837" spans="1:12" x14ac:dyDescent="0.25">
      <c r="A837" s="13" t="s">
        <v>6721</v>
      </c>
      <c r="B837" s="14" t="s">
        <v>17</v>
      </c>
      <c r="C837" s="14" t="s">
        <v>2216</v>
      </c>
      <c r="D837" s="14" t="s">
        <v>2217</v>
      </c>
      <c r="E837" s="14" t="s">
        <v>2218</v>
      </c>
      <c r="F837" s="21">
        <v>1770.62</v>
      </c>
      <c r="G837" s="14">
        <v>958</v>
      </c>
      <c r="H837" s="14">
        <v>0</v>
      </c>
      <c r="I837" s="14">
        <v>40</v>
      </c>
      <c r="J837" s="22">
        <v>0.65264308965894502</v>
      </c>
      <c r="K837" s="22">
        <v>0.34735691034105498</v>
      </c>
      <c r="L837" s="14">
        <v>0</v>
      </c>
    </row>
    <row r="838" spans="1:12" x14ac:dyDescent="0.25">
      <c r="A838" s="13" t="s">
        <v>2219</v>
      </c>
      <c r="B838" s="14" t="s">
        <v>69</v>
      </c>
      <c r="C838" s="14" t="s">
        <v>2220</v>
      </c>
      <c r="D838" s="14" t="s">
        <v>2221</v>
      </c>
      <c r="E838" s="14" t="s">
        <v>2222</v>
      </c>
      <c r="F838" s="21">
        <v>2759.24</v>
      </c>
      <c r="G838" s="14">
        <v>10</v>
      </c>
      <c r="H838" s="14">
        <v>0</v>
      </c>
      <c r="I838" s="14">
        <v>42</v>
      </c>
      <c r="J838" s="22">
        <v>0.12704581817704999</v>
      </c>
      <c r="K838" s="22">
        <v>0.87295418182295004</v>
      </c>
      <c r="L838" s="14">
        <v>0</v>
      </c>
    </row>
    <row r="839" spans="1:12" x14ac:dyDescent="0.25">
      <c r="A839" s="13" t="s">
        <v>2223</v>
      </c>
      <c r="B839" s="14" t="s">
        <v>86</v>
      </c>
      <c r="C839" s="14" t="s">
        <v>2224</v>
      </c>
      <c r="D839" s="14" t="s">
        <v>2225</v>
      </c>
      <c r="E839" s="14" t="s">
        <v>2226</v>
      </c>
      <c r="F839" s="21">
        <v>1927.56</v>
      </c>
      <c r="G839" s="14">
        <v>782</v>
      </c>
      <c r="H839" s="14">
        <v>0</v>
      </c>
      <c r="I839" s="14">
        <v>6</v>
      </c>
      <c r="J839" s="22">
        <v>0.75548894119806698</v>
      </c>
      <c r="K839" s="22">
        <v>0.244511058801933</v>
      </c>
      <c r="L839" s="14">
        <v>0</v>
      </c>
    </row>
    <row r="840" spans="1:12" x14ac:dyDescent="0.25">
      <c r="A840" s="13">
        <v>23782406</v>
      </c>
      <c r="B840" s="14" t="s">
        <v>6550</v>
      </c>
      <c r="C840" s="14" t="s">
        <v>5625</v>
      </c>
      <c r="D840" s="14" t="s">
        <v>2228</v>
      </c>
      <c r="E840" s="14" t="s">
        <v>6722</v>
      </c>
      <c r="F840" s="21">
        <v>1834.77</v>
      </c>
      <c r="G840" s="14">
        <v>158</v>
      </c>
      <c r="H840" s="14">
        <v>1</v>
      </c>
      <c r="I840" s="14">
        <v>24</v>
      </c>
      <c r="J840" s="22">
        <v>0.53027385773812596</v>
      </c>
      <c r="K840" s="22">
        <v>0.46972614226187498</v>
      </c>
      <c r="L840" s="14">
        <v>0</v>
      </c>
    </row>
    <row r="841" spans="1:12" x14ac:dyDescent="0.25">
      <c r="A841" s="13" t="s">
        <v>2230</v>
      </c>
      <c r="B841" s="14" t="s">
        <v>5417</v>
      </c>
      <c r="C841" s="14" t="s">
        <v>5633</v>
      </c>
      <c r="D841" s="14" t="s">
        <v>2232</v>
      </c>
      <c r="E841" s="14" t="s">
        <v>2233</v>
      </c>
      <c r="F841" s="21">
        <v>1700</v>
      </c>
      <c r="G841" s="14">
        <v>187</v>
      </c>
      <c r="H841" s="14">
        <v>1</v>
      </c>
      <c r="I841" s="14" t="s">
        <v>6314</v>
      </c>
      <c r="J841" s="22">
        <v>0.91683109711627497</v>
      </c>
      <c r="K841" s="22">
        <v>8.3168902883724694E-2</v>
      </c>
      <c r="L841" s="14">
        <v>0</v>
      </c>
    </row>
    <row r="842" spans="1:12" x14ac:dyDescent="0.25">
      <c r="A842" s="13">
        <v>23137753</v>
      </c>
      <c r="B842" s="14" t="s">
        <v>17</v>
      </c>
      <c r="C842" s="14" t="s">
        <v>5626</v>
      </c>
      <c r="D842" s="14" t="s">
        <v>2235</v>
      </c>
      <c r="E842" s="14" t="s">
        <v>2236</v>
      </c>
      <c r="F842" s="21">
        <v>2294</v>
      </c>
      <c r="G842" s="14">
        <v>127</v>
      </c>
      <c r="H842" s="14">
        <v>1</v>
      </c>
      <c r="I842" s="14">
        <v>10</v>
      </c>
      <c r="J842" s="22">
        <v>0.31804739264735199</v>
      </c>
      <c r="K842" s="22">
        <v>0.68195260735264795</v>
      </c>
      <c r="L842" s="14">
        <v>0</v>
      </c>
    </row>
    <row r="843" spans="1:12" x14ac:dyDescent="0.25">
      <c r="A843" s="13" t="s">
        <v>2237</v>
      </c>
      <c r="B843" s="14" t="s">
        <v>5473</v>
      </c>
      <c r="C843" s="14" t="s">
        <v>5691</v>
      </c>
      <c r="D843" s="14" t="s">
        <v>2239</v>
      </c>
      <c r="E843" s="14" t="s">
        <v>2240</v>
      </c>
      <c r="F843" s="21">
        <v>1260</v>
      </c>
      <c r="G843" s="14">
        <v>304</v>
      </c>
      <c r="H843" s="14">
        <v>0</v>
      </c>
      <c r="I843" s="14">
        <v>30</v>
      </c>
      <c r="J843" s="22">
        <v>0.593701778625081</v>
      </c>
      <c r="K843" s="22">
        <v>0.406298221374919</v>
      </c>
      <c r="L843" s="14">
        <v>0</v>
      </c>
    </row>
    <row r="844" spans="1:12" x14ac:dyDescent="0.25">
      <c r="A844" s="13" t="s">
        <v>2241</v>
      </c>
      <c r="B844" s="14" t="s">
        <v>17</v>
      </c>
      <c r="C844" s="14" t="s">
        <v>2242</v>
      </c>
      <c r="D844" s="14" t="s">
        <v>2243</v>
      </c>
      <c r="E844" s="14" t="s">
        <v>2244</v>
      </c>
      <c r="F844" s="21">
        <v>1413.88</v>
      </c>
      <c r="G844" s="14">
        <v>260</v>
      </c>
      <c r="H844" s="14">
        <v>1</v>
      </c>
      <c r="I844" s="14">
        <v>45</v>
      </c>
      <c r="J844" s="22">
        <v>0.67841546632842498</v>
      </c>
      <c r="K844" s="22">
        <v>0.32158453367157602</v>
      </c>
      <c r="L844" s="14">
        <v>0</v>
      </c>
    </row>
    <row r="845" spans="1:12" x14ac:dyDescent="0.25">
      <c r="A845" s="13" t="s">
        <v>6723</v>
      </c>
      <c r="B845" s="14" t="s">
        <v>110</v>
      </c>
      <c r="C845" s="14" t="s">
        <v>2246</v>
      </c>
      <c r="D845" s="14" t="s">
        <v>2247</v>
      </c>
      <c r="E845" s="14" t="s">
        <v>2248</v>
      </c>
      <c r="F845" s="21">
        <v>2040</v>
      </c>
      <c r="G845" s="14">
        <v>364</v>
      </c>
      <c r="H845" s="14">
        <v>0</v>
      </c>
      <c r="I845" s="14">
        <v>44</v>
      </c>
      <c r="J845" s="22">
        <v>0.121651814162512</v>
      </c>
      <c r="K845" s="22">
        <v>0.87834818583748797</v>
      </c>
      <c r="L845" s="14">
        <v>0</v>
      </c>
    </row>
    <row r="846" spans="1:12" x14ac:dyDescent="0.25">
      <c r="B846" s="14" t="s">
        <v>5417</v>
      </c>
      <c r="C846" s="14" t="s">
        <v>5634</v>
      </c>
      <c r="D846" s="14" t="s">
        <v>2249</v>
      </c>
      <c r="E846" s="14" t="s">
        <v>2250</v>
      </c>
      <c r="F846" s="21">
        <v>2400</v>
      </c>
      <c r="G846" s="14">
        <v>426</v>
      </c>
      <c r="H846" s="14">
        <v>0</v>
      </c>
      <c r="I846" s="14">
        <v>33</v>
      </c>
      <c r="J846" s="22">
        <v>0.34056880175654097</v>
      </c>
      <c r="K846" s="22">
        <v>0.65943119824345897</v>
      </c>
      <c r="L846" s="14">
        <v>0</v>
      </c>
    </row>
    <row r="847" spans="1:12" x14ac:dyDescent="0.25">
      <c r="A847" s="13" t="s">
        <v>6036</v>
      </c>
      <c r="B847" s="14" t="s">
        <v>148</v>
      </c>
      <c r="C847" s="14" t="s">
        <v>2252</v>
      </c>
      <c r="D847" s="14" t="s">
        <v>2253</v>
      </c>
      <c r="E847" s="14" t="s">
        <v>2254</v>
      </c>
      <c r="F847" s="21">
        <v>1398</v>
      </c>
      <c r="G847" s="14">
        <v>662</v>
      </c>
      <c r="H847" s="14">
        <v>0</v>
      </c>
      <c r="I847" s="14">
        <v>37</v>
      </c>
      <c r="J847" s="22">
        <v>0.68579744488363603</v>
      </c>
      <c r="K847" s="22">
        <v>0.31420255511636402</v>
      </c>
      <c r="L847" s="14">
        <v>0</v>
      </c>
    </row>
    <row r="848" spans="1:12" x14ac:dyDescent="0.25">
      <c r="B848" s="14" t="s">
        <v>17</v>
      </c>
      <c r="C848" s="14" t="s">
        <v>2234</v>
      </c>
      <c r="D848" s="14" t="s">
        <v>2235</v>
      </c>
      <c r="E848" s="14" t="s">
        <v>2255</v>
      </c>
      <c r="F848" s="21">
        <v>1410</v>
      </c>
      <c r="G848" s="14">
        <v>558</v>
      </c>
      <c r="H848" s="14">
        <v>1</v>
      </c>
      <c r="I848" s="14">
        <v>29</v>
      </c>
      <c r="J848" s="22">
        <v>0.62957881792260695</v>
      </c>
      <c r="K848" s="22">
        <v>0.370421182077393</v>
      </c>
      <c r="L848" s="14">
        <v>0</v>
      </c>
    </row>
    <row r="849" spans="1:12" x14ac:dyDescent="0.25">
      <c r="B849" s="14" t="s">
        <v>17</v>
      </c>
      <c r="C849" s="14" t="s">
        <v>5628</v>
      </c>
      <c r="D849" s="14" t="s">
        <v>2257</v>
      </c>
      <c r="E849" s="14" t="s">
        <v>2258</v>
      </c>
      <c r="F849" s="21">
        <v>2330.12</v>
      </c>
      <c r="G849" s="14">
        <v>960</v>
      </c>
      <c r="H849" s="14">
        <v>1</v>
      </c>
      <c r="I849" s="14">
        <v>22</v>
      </c>
      <c r="J849" s="22">
        <v>0.41020046793611797</v>
      </c>
      <c r="K849" s="22">
        <v>0.58979953206388203</v>
      </c>
      <c r="L849" s="14">
        <v>0</v>
      </c>
    </row>
    <row r="850" spans="1:12" x14ac:dyDescent="0.25">
      <c r="A850" s="13" t="s">
        <v>6724</v>
      </c>
      <c r="B850" s="14" t="s">
        <v>148</v>
      </c>
      <c r="C850" s="14" t="s">
        <v>2260</v>
      </c>
      <c r="D850" s="14" t="s">
        <v>2261</v>
      </c>
      <c r="E850" s="14" t="s">
        <v>2262</v>
      </c>
      <c r="F850" s="21">
        <v>719.97</v>
      </c>
      <c r="G850" s="14">
        <v>751</v>
      </c>
      <c r="H850" s="14">
        <v>0</v>
      </c>
      <c r="I850" s="14">
        <v>16</v>
      </c>
      <c r="J850" s="22">
        <v>0.71319272846526305</v>
      </c>
      <c r="K850" s="22">
        <v>0.28680727153473701</v>
      </c>
      <c r="L850" s="14">
        <v>0</v>
      </c>
    </row>
    <row r="851" spans="1:12" x14ac:dyDescent="0.25">
      <c r="A851" s="13" t="s">
        <v>2263</v>
      </c>
      <c r="B851" s="14" t="s">
        <v>5342</v>
      </c>
      <c r="C851" s="14" t="s">
        <v>5629</v>
      </c>
      <c r="D851" s="14" t="s">
        <v>2261</v>
      </c>
      <c r="E851" s="14" t="s">
        <v>2264</v>
      </c>
      <c r="F851" s="21">
        <v>1315.8</v>
      </c>
      <c r="G851" s="14">
        <v>189</v>
      </c>
      <c r="H851" s="14">
        <v>1</v>
      </c>
      <c r="I851" s="14">
        <v>4</v>
      </c>
      <c r="J851" s="22">
        <v>0.85428130369850297</v>
      </c>
      <c r="K851" s="22">
        <v>0.145718696301497</v>
      </c>
      <c r="L851" s="14">
        <v>0</v>
      </c>
    </row>
    <row r="852" spans="1:12" x14ac:dyDescent="0.25">
      <c r="B852" s="14" t="s">
        <v>17</v>
      </c>
      <c r="C852" s="14" t="s">
        <v>5630</v>
      </c>
      <c r="D852" s="14" t="s">
        <v>2266</v>
      </c>
      <c r="E852" s="14" t="s">
        <v>2267</v>
      </c>
      <c r="F852" s="21">
        <v>2384.5300000000002</v>
      </c>
      <c r="G852" s="14">
        <v>150</v>
      </c>
      <c r="H852" s="14">
        <v>0</v>
      </c>
      <c r="I852" s="14">
        <v>19</v>
      </c>
      <c r="J852" s="22">
        <v>0.90435097788762697</v>
      </c>
      <c r="K852" s="22">
        <v>9.5649022112372806E-2</v>
      </c>
      <c r="L852" s="14">
        <v>0</v>
      </c>
    </row>
    <row r="853" spans="1:12" x14ac:dyDescent="0.25">
      <c r="A853" s="13" t="s">
        <v>6725</v>
      </c>
      <c r="B853" s="14" t="s">
        <v>17</v>
      </c>
      <c r="C853" s="14" t="s">
        <v>2269</v>
      </c>
      <c r="D853" s="14" t="s">
        <v>2270</v>
      </c>
      <c r="E853" s="14" t="s">
        <v>2271</v>
      </c>
      <c r="F853" s="21">
        <v>1128.42</v>
      </c>
      <c r="G853" s="14">
        <v>840</v>
      </c>
      <c r="H853" s="14">
        <v>1</v>
      </c>
      <c r="I853" s="14">
        <v>1</v>
      </c>
      <c r="J853" s="22">
        <v>0.22299085710984601</v>
      </c>
      <c r="K853" s="22">
        <v>0.77700914289015399</v>
      </c>
      <c r="L853" s="14">
        <v>0</v>
      </c>
    </row>
    <row r="854" spans="1:12" x14ac:dyDescent="0.25">
      <c r="A854" s="13" t="s">
        <v>2272</v>
      </c>
      <c r="B854" s="14" t="s">
        <v>17</v>
      </c>
      <c r="C854" s="14" t="s">
        <v>2269</v>
      </c>
      <c r="D854" s="14" t="s">
        <v>2270</v>
      </c>
      <c r="E854" s="14" t="s">
        <v>2273</v>
      </c>
      <c r="F854" s="21">
        <v>2384.2199999999998</v>
      </c>
      <c r="G854" s="14">
        <v>84</v>
      </c>
      <c r="H854" s="14">
        <v>0</v>
      </c>
      <c r="I854" s="14">
        <v>28</v>
      </c>
      <c r="J854" s="22">
        <v>0.73575378775046696</v>
      </c>
      <c r="K854" s="22">
        <v>0.26424621224953299</v>
      </c>
      <c r="L854" s="14">
        <v>0</v>
      </c>
    </row>
    <row r="855" spans="1:12" x14ac:dyDescent="0.25">
      <c r="A855" s="13" t="s">
        <v>6726</v>
      </c>
      <c r="B855" s="14" t="s">
        <v>17</v>
      </c>
      <c r="C855" s="14" t="s">
        <v>2269</v>
      </c>
      <c r="D855" s="14" t="s">
        <v>2270</v>
      </c>
      <c r="E855" s="14" t="s">
        <v>2275</v>
      </c>
      <c r="F855" s="21">
        <v>2406.73</v>
      </c>
      <c r="G855" s="14">
        <v>274</v>
      </c>
      <c r="H855" s="14">
        <v>0</v>
      </c>
      <c r="I855" s="14">
        <v>23</v>
      </c>
      <c r="J855" s="22">
        <v>0.22684903419444899</v>
      </c>
      <c r="K855" s="22">
        <v>0.77315096580555098</v>
      </c>
      <c r="L855" s="14">
        <v>0</v>
      </c>
    </row>
    <row r="856" spans="1:12" x14ac:dyDescent="0.25">
      <c r="A856" s="13" t="s">
        <v>6727</v>
      </c>
      <c r="B856" s="14" t="s">
        <v>2276</v>
      </c>
      <c r="C856" s="14" t="s">
        <v>2277</v>
      </c>
      <c r="D856" s="14" t="s">
        <v>2278</v>
      </c>
      <c r="E856" s="14" t="s">
        <v>2279</v>
      </c>
      <c r="F856" s="21">
        <v>1306.1099999999999</v>
      </c>
      <c r="G856" s="14">
        <v>113</v>
      </c>
      <c r="H856" s="14">
        <v>0</v>
      </c>
      <c r="I856" s="14">
        <v>1</v>
      </c>
      <c r="J856" s="22">
        <v>7.2393642913956099E-2</v>
      </c>
      <c r="K856" s="22">
        <v>0.927606357086044</v>
      </c>
      <c r="L856" s="14">
        <v>0</v>
      </c>
    </row>
    <row r="857" spans="1:12" ht="26.4" x14ac:dyDescent="0.25">
      <c r="A857" s="20" t="s">
        <v>6728</v>
      </c>
      <c r="B857" s="14" t="s">
        <v>5417</v>
      </c>
      <c r="C857" s="14" t="s">
        <v>2231</v>
      </c>
      <c r="D857" s="14" t="s">
        <v>2249</v>
      </c>
      <c r="E857" s="14" t="s">
        <v>2281</v>
      </c>
      <c r="F857" s="21">
        <v>2040</v>
      </c>
      <c r="G857" s="14">
        <v>757</v>
      </c>
      <c r="H857" s="14">
        <v>1</v>
      </c>
      <c r="I857" s="14">
        <v>45</v>
      </c>
      <c r="J857" s="22">
        <v>0.12609549704224299</v>
      </c>
      <c r="K857" s="22">
        <v>0.87390450295775701</v>
      </c>
      <c r="L857" s="14">
        <v>0</v>
      </c>
    </row>
    <row r="858" spans="1:12" x14ac:dyDescent="0.25">
      <c r="B858" s="14" t="s">
        <v>5417</v>
      </c>
      <c r="C858" s="14" t="s">
        <v>2231</v>
      </c>
      <c r="D858" s="14" t="s">
        <v>2249</v>
      </c>
      <c r="E858" s="14" t="s">
        <v>2282</v>
      </c>
      <c r="F858" s="21">
        <v>2400</v>
      </c>
      <c r="G858" s="14">
        <v>181</v>
      </c>
      <c r="H858" s="14">
        <v>1</v>
      </c>
      <c r="I858" s="14">
        <v>2</v>
      </c>
      <c r="J858" s="22">
        <v>9.3488412479877298E-2</v>
      </c>
      <c r="K858" s="22">
        <v>0.90651158752012295</v>
      </c>
      <c r="L858" s="14">
        <v>0</v>
      </c>
    </row>
    <row r="859" spans="1:12" x14ac:dyDescent="0.25">
      <c r="A859" s="13" t="s">
        <v>2283</v>
      </c>
      <c r="B859" s="14" t="s">
        <v>110</v>
      </c>
      <c r="C859" s="14" t="s">
        <v>2231</v>
      </c>
      <c r="D859" s="14" t="s">
        <v>2249</v>
      </c>
      <c r="E859" s="14" t="s">
        <v>2284</v>
      </c>
      <c r="F859" s="21">
        <v>2040</v>
      </c>
      <c r="G859" s="14">
        <v>785</v>
      </c>
      <c r="H859" s="14">
        <v>1</v>
      </c>
      <c r="I859" s="14">
        <v>4</v>
      </c>
      <c r="J859" s="22">
        <v>0.67637402616580999</v>
      </c>
      <c r="K859" s="22">
        <v>0.32362597383419001</v>
      </c>
      <c r="L859" s="14">
        <v>0</v>
      </c>
    </row>
    <row r="860" spans="1:12" x14ac:dyDescent="0.25">
      <c r="A860" s="13" t="s">
        <v>6729</v>
      </c>
      <c r="B860" s="14" t="s">
        <v>110</v>
      </c>
      <c r="C860" s="14" t="s">
        <v>2231</v>
      </c>
      <c r="D860" s="14" t="s">
        <v>2249</v>
      </c>
      <c r="E860" s="14" t="s">
        <v>2285</v>
      </c>
      <c r="F860" s="21">
        <v>2400</v>
      </c>
      <c r="G860" s="14">
        <v>699</v>
      </c>
      <c r="H860" s="14">
        <v>1</v>
      </c>
      <c r="I860" s="14">
        <v>17</v>
      </c>
      <c r="J860" s="22">
        <v>0.27390027826334501</v>
      </c>
      <c r="K860" s="22">
        <v>0.72609972173665505</v>
      </c>
      <c r="L860" s="14">
        <v>0</v>
      </c>
    </row>
    <row r="861" spans="1:12" x14ac:dyDescent="0.25">
      <c r="A861" s="13" t="s">
        <v>6730</v>
      </c>
      <c r="B861" s="14" t="s">
        <v>110</v>
      </c>
      <c r="C861" s="14" t="s">
        <v>2231</v>
      </c>
      <c r="D861" s="14" t="s">
        <v>2249</v>
      </c>
      <c r="E861" s="14" t="s">
        <v>2287</v>
      </c>
      <c r="F861" s="21">
        <v>2400</v>
      </c>
      <c r="G861" s="14">
        <v>108</v>
      </c>
      <c r="H861" s="14">
        <v>1</v>
      </c>
      <c r="I861" s="14">
        <v>36</v>
      </c>
      <c r="J861" s="22">
        <v>0.52136996603354002</v>
      </c>
      <c r="K861" s="22">
        <v>0.47863003396645998</v>
      </c>
      <c r="L861" s="14">
        <v>0</v>
      </c>
    </row>
    <row r="862" spans="1:12" x14ac:dyDescent="0.25">
      <c r="A862" s="13">
        <v>23837793</v>
      </c>
      <c r="B862" s="14" t="s">
        <v>5493</v>
      </c>
      <c r="C862" s="14" t="s">
        <v>2288</v>
      </c>
      <c r="D862" s="14" t="s">
        <v>2289</v>
      </c>
      <c r="E862" s="14" t="s">
        <v>2290</v>
      </c>
      <c r="F862" s="21">
        <v>2320.0300000000002</v>
      </c>
      <c r="G862" s="14">
        <v>719</v>
      </c>
      <c r="H862" s="14">
        <v>1</v>
      </c>
      <c r="I862" s="14">
        <v>17</v>
      </c>
      <c r="J862" s="22">
        <v>0.469874294455641</v>
      </c>
      <c r="K862" s="22">
        <v>0.530125705544359</v>
      </c>
      <c r="L862" s="14">
        <v>0</v>
      </c>
    </row>
    <row r="863" spans="1:12" ht="39.6" x14ac:dyDescent="0.25">
      <c r="B863" s="14" t="s">
        <v>2291</v>
      </c>
      <c r="C863" s="23" t="s">
        <v>6731</v>
      </c>
      <c r="D863" s="14" t="s">
        <v>2293</v>
      </c>
      <c r="E863" s="14" t="s">
        <v>2294</v>
      </c>
      <c r="F863" s="21">
        <v>187.03</v>
      </c>
      <c r="G863" s="14">
        <v>636</v>
      </c>
      <c r="H863" s="14">
        <v>1</v>
      </c>
      <c r="I863" s="14">
        <v>15</v>
      </c>
      <c r="J863" s="22">
        <v>0.77778713127872601</v>
      </c>
      <c r="K863" s="22">
        <v>0.22221286872127399</v>
      </c>
      <c r="L863" s="14">
        <v>0</v>
      </c>
    </row>
    <row r="864" spans="1:12" x14ac:dyDescent="0.25">
      <c r="A864" s="13" t="s">
        <v>2295</v>
      </c>
      <c r="B864" s="14" t="s">
        <v>86</v>
      </c>
      <c r="C864" s="14" t="s">
        <v>2296</v>
      </c>
      <c r="D864" s="14" t="s">
        <v>2297</v>
      </c>
      <c r="E864" s="14" t="s">
        <v>2298</v>
      </c>
      <c r="F864" s="21">
        <v>2302.9299999999998</v>
      </c>
      <c r="G864" s="14">
        <v>673</v>
      </c>
      <c r="H864" s="14">
        <v>0</v>
      </c>
      <c r="I864" s="14">
        <v>46</v>
      </c>
      <c r="J864" s="22">
        <v>8.3499784791295606E-2</v>
      </c>
      <c r="K864" s="22">
        <v>0.91650021520870395</v>
      </c>
      <c r="L864" s="14">
        <v>0</v>
      </c>
    </row>
    <row r="865" spans="1:12" x14ac:dyDescent="0.25">
      <c r="A865" s="13" t="s">
        <v>6732</v>
      </c>
      <c r="B865" s="14" t="s">
        <v>148</v>
      </c>
      <c r="C865" s="14" t="s">
        <v>2300</v>
      </c>
      <c r="D865" s="14" t="s">
        <v>2301</v>
      </c>
      <c r="E865" s="14" t="s">
        <v>2302</v>
      </c>
      <c r="F865" s="21">
        <v>867.38</v>
      </c>
      <c r="G865" s="14">
        <v>417</v>
      </c>
      <c r="H865" s="14">
        <v>1</v>
      </c>
      <c r="I865" s="14">
        <v>32</v>
      </c>
      <c r="J865" s="22">
        <v>1.07766767829439E-2</v>
      </c>
      <c r="K865" s="22">
        <v>0.98922332321705597</v>
      </c>
      <c r="L865" s="14">
        <v>0</v>
      </c>
    </row>
    <row r="866" spans="1:12" x14ac:dyDescent="0.25">
      <c r="A866" s="13" t="s">
        <v>6038</v>
      </c>
      <c r="B866" s="14" t="s">
        <v>113</v>
      </c>
      <c r="C866" s="14" t="s">
        <v>2303</v>
      </c>
      <c r="D866" s="14" t="s">
        <v>2304</v>
      </c>
      <c r="E866" s="14" t="s">
        <v>2305</v>
      </c>
      <c r="F866" s="21">
        <v>1020</v>
      </c>
      <c r="H866" s="14">
        <v>0</v>
      </c>
      <c r="I866" s="14">
        <v>5</v>
      </c>
      <c r="J866" s="22">
        <v>0.89071021935444294</v>
      </c>
      <c r="K866" s="22">
        <v>0.109289780645557</v>
      </c>
      <c r="L866" s="14">
        <v>0</v>
      </c>
    </row>
    <row r="867" spans="1:12" x14ac:dyDescent="0.25">
      <c r="A867" s="13" t="s">
        <v>6733</v>
      </c>
      <c r="B867" s="14" t="s">
        <v>2307</v>
      </c>
      <c r="C867" s="14" t="s">
        <v>5636</v>
      </c>
      <c r="D867" s="14" t="s">
        <v>2257</v>
      </c>
      <c r="E867" s="14" t="s">
        <v>2309</v>
      </c>
      <c r="F867" s="21">
        <v>1384.34</v>
      </c>
      <c r="G867" s="14">
        <v>52</v>
      </c>
      <c r="H867" s="14">
        <v>1</v>
      </c>
      <c r="I867" s="14">
        <v>42</v>
      </c>
      <c r="J867" s="22">
        <v>0.92668911752669403</v>
      </c>
      <c r="K867" s="22">
        <v>7.3310882473306499E-2</v>
      </c>
      <c r="L867" s="14">
        <v>0</v>
      </c>
    </row>
    <row r="868" spans="1:12" x14ac:dyDescent="0.25">
      <c r="A868" s="13" t="s">
        <v>6734</v>
      </c>
      <c r="B868" s="14" t="s">
        <v>607</v>
      </c>
      <c r="C868" s="14" t="s">
        <v>2311</v>
      </c>
      <c r="D868" s="14" t="s">
        <v>2312</v>
      </c>
      <c r="E868" s="14" t="s">
        <v>2313</v>
      </c>
      <c r="F868" s="21">
        <v>3000</v>
      </c>
      <c r="G868" s="14">
        <v>137</v>
      </c>
      <c r="H868" s="14">
        <v>0</v>
      </c>
      <c r="I868" s="14">
        <v>41</v>
      </c>
      <c r="J868" s="22">
        <v>0.88367922885046801</v>
      </c>
      <c r="K868" s="22">
        <v>0.116320771149532</v>
      </c>
      <c r="L868" s="14">
        <v>1612</v>
      </c>
    </row>
    <row r="869" spans="1:12" x14ac:dyDescent="0.25">
      <c r="A869" s="13" t="s">
        <v>2314</v>
      </c>
      <c r="B869" s="14" t="s">
        <v>17</v>
      </c>
      <c r="C869" s="14" t="s">
        <v>5627</v>
      </c>
      <c r="D869" s="14" t="s">
        <v>2235</v>
      </c>
      <c r="E869" s="14" t="s">
        <v>2315</v>
      </c>
      <c r="F869" s="21">
        <v>2386.44</v>
      </c>
      <c r="G869" s="14">
        <v>379</v>
      </c>
      <c r="H869" s="14">
        <v>0</v>
      </c>
      <c r="I869" s="14">
        <v>36</v>
      </c>
      <c r="J869" s="22">
        <v>0.45231568932301103</v>
      </c>
      <c r="K869" s="22">
        <v>0.54768431067698897</v>
      </c>
      <c r="L869" s="14">
        <v>0</v>
      </c>
    </row>
    <row r="870" spans="1:12" x14ac:dyDescent="0.25">
      <c r="A870" s="13" t="s">
        <v>6735</v>
      </c>
      <c r="B870" s="14" t="s">
        <v>2317</v>
      </c>
      <c r="C870" s="14" t="s">
        <v>2318</v>
      </c>
      <c r="D870" s="14" t="s">
        <v>2319</v>
      </c>
      <c r="E870" s="14" t="s">
        <v>2320</v>
      </c>
      <c r="F870" s="21">
        <v>626</v>
      </c>
      <c r="G870" s="14">
        <v>19</v>
      </c>
      <c r="H870" s="14">
        <v>0</v>
      </c>
      <c r="I870" s="14">
        <v>42</v>
      </c>
      <c r="J870" s="22">
        <v>0.87208958308972695</v>
      </c>
      <c r="K870" s="22">
        <v>0.12791041691027299</v>
      </c>
      <c r="L870" s="14">
        <v>0</v>
      </c>
    </row>
    <row r="871" spans="1:12" x14ac:dyDescent="0.25">
      <c r="B871" s="14" t="s">
        <v>86</v>
      </c>
      <c r="C871" s="14" t="s">
        <v>2321</v>
      </c>
      <c r="D871" s="14" t="s">
        <v>2322</v>
      </c>
      <c r="E871" s="14" t="s">
        <v>2323</v>
      </c>
      <c r="F871" s="21">
        <v>1500</v>
      </c>
      <c r="G871" s="14">
        <v>262</v>
      </c>
      <c r="H871" s="14">
        <v>0</v>
      </c>
      <c r="I871" s="14">
        <v>18</v>
      </c>
      <c r="J871" s="22">
        <v>0.63317679769625101</v>
      </c>
      <c r="K871" s="22">
        <v>0.36682320230374899</v>
      </c>
      <c r="L871" s="14">
        <v>0</v>
      </c>
    </row>
    <row r="872" spans="1:12" x14ac:dyDescent="0.25">
      <c r="B872" s="14" t="s">
        <v>5391</v>
      </c>
      <c r="C872" s="14" t="s">
        <v>6736</v>
      </c>
      <c r="D872" s="14" t="s">
        <v>2324</v>
      </c>
      <c r="E872" s="14" t="s">
        <v>2325</v>
      </c>
      <c r="F872" s="21">
        <v>2440.41</v>
      </c>
      <c r="H872" s="14">
        <v>1</v>
      </c>
      <c r="I872" s="14">
        <v>17</v>
      </c>
      <c r="J872" s="22">
        <v>7.5641646756163805E-2</v>
      </c>
      <c r="K872" s="22">
        <v>0.92435835324383597</v>
      </c>
      <c r="L872" s="14">
        <v>0</v>
      </c>
    </row>
    <row r="873" spans="1:12" x14ac:dyDescent="0.25">
      <c r="A873" s="13" t="s">
        <v>2326</v>
      </c>
      <c r="B873" s="14" t="s">
        <v>5359</v>
      </c>
      <c r="C873" s="14" t="s">
        <v>2327</v>
      </c>
      <c r="D873" s="14" t="s">
        <v>2328</v>
      </c>
      <c r="E873" s="14" t="s">
        <v>2329</v>
      </c>
      <c r="F873" s="21">
        <v>2034</v>
      </c>
      <c r="G873" s="14">
        <v>80</v>
      </c>
      <c r="H873" s="14">
        <v>0</v>
      </c>
      <c r="I873" s="14">
        <v>44</v>
      </c>
      <c r="J873" s="22">
        <v>0.38735995364728398</v>
      </c>
      <c r="K873" s="22">
        <v>0.61264004635271596</v>
      </c>
      <c r="L873" s="14">
        <v>0</v>
      </c>
    </row>
    <row r="874" spans="1:12" x14ac:dyDescent="0.25">
      <c r="A874" s="13" t="s">
        <v>6737</v>
      </c>
      <c r="B874" s="14" t="s">
        <v>5370</v>
      </c>
      <c r="C874" s="14" t="s">
        <v>2332</v>
      </c>
      <c r="D874" s="14" t="s">
        <v>2333</v>
      </c>
      <c r="E874" s="14" t="s">
        <v>2334</v>
      </c>
      <c r="F874" s="21">
        <v>2775.23</v>
      </c>
      <c r="H874" s="14">
        <v>0</v>
      </c>
      <c r="I874" s="14">
        <v>34</v>
      </c>
      <c r="J874" s="22">
        <v>0.93287073391434105</v>
      </c>
      <c r="K874" s="22">
        <v>6.7129266085659098E-2</v>
      </c>
      <c r="L874" s="14">
        <v>0</v>
      </c>
    </row>
    <row r="875" spans="1:12" x14ac:dyDescent="0.25">
      <c r="A875" s="13">
        <v>3733698</v>
      </c>
      <c r="B875" s="14" t="s">
        <v>3900</v>
      </c>
      <c r="C875" s="14" t="s">
        <v>5635</v>
      </c>
      <c r="D875" s="14" t="s">
        <v>2249</v>
      </c>
      <c r="E875" s="14" t="s">
        <v>2336</v>
      </c>
      <c r="F875" s="21">
        <v>2040</v>
      </c>
      <c r="G875" s="14">
        <v>841</v>
      </c>
      <c r="H875" s="14">
        <v>1</v>
      </c>
      <c r="I875" s="14">
        <v>30</v>
      </c>
      <c r="J875" s="22">
        <v>0.35188224181718603</v>
      </c>
      <c r="K875" s="22">
        <v>0.64811775818281403</v>
      </c>
      <c r="L875" s="14">
        <v>0</v>
      </c>
    </row>
    <row r="876" spans="1:12" x14ac:dyDescent="0.25">
      <c r="A876" s="13" t="s">
        <v>2337</v>
      </c>
      <c r="B876" s="14" t="s">
        <v>530</v>
      </c>
      <c r="C876" s="14" t="s">
        <v>5647</v>
      </c>
      <c r="D876" s="14" t="s">
        <v>6738</v>
      </c>
      <c r="E876" s="14" t="s">
        <v>2340</v>
      </c>
      <c r="F876" s="21">
        <v>1487.46</v>
      </c>
      <c r="G876" s="14">
        <v>361</v>
      </c>
      <c r="H876" s="14">
        <v>0</v>
      </c>
      <c r="I876" s="14">
        <v>12</v>
      </c>
      <c r="J876" s="22">
        <v>0.92562168970606196</v>
      </c>
      <c r="K876" s="22">
        <v>7.4378310293938002E-2</v>
      </c>
      <c r="L876" s="14">
        <v>0</v>
      </c>
    </row>
    <row r="877" spans="1:12" x14ac:dyDescent="0.25">
      <c r="A877" s="13" t="s">
        <v>2341</v>
      </c>
      <c r="B877" s="14" t="s">
        <v>530</v>
      </c>
      <c r="C877" s="14" t="s">
        <v>5647</v>
      </c>
      <c r="D877" s="14" t="s">
        <v>6738</v>
      </c>
      <c r="E877" s="14" t="s">
        <v>2342</v>
      </c>
      <c r="F877" s="21">
        <v>1531.08</v>
      </c>
      <c r="G877" s="14">
        <v>622</v>
      </c>
      <c r="H877" s="14">
        <v>0</v>
      </c>
      <c r="I877" s="14">
        <v>11</v>
      </c>
      <c r="J877" s="22">
        <v>0.249386957733857</v>
      </c>
      <c r="K877" s="22">
        <v>0.750613042266143</v>
      </c>
      <c r="L877" s="14">
        <v>0</v>
      </c>
    </row>
    <row r="878" spans="1:12" x14ac:dyDescent="0.25">
      <c r="A878" s="13" t="s">
        <v>2343</v>
      </c>
      <c r="B878" s="14" t="s">
        <v>5325</v>
      </c>
      <c r="C878" s="14" t="s">
        <v>5647</v>
      </c>
      <c r="D878" s="14" t="s">
        <v>6738</v>
      </c>
      <c r="E878" s="14" t="s">
        <v>2344</v>
      </c>
      <c r="F878" s="21">
        <v>1290.23</v>
      </c>
      <c r="G878" s="14">
        <v>122</v>
      </c>
      <c r="H878" s="14">
        <v>1</v>
      </c>
      <c r="I878" s="14" t="s">
        <v>6314</v>
      </c>
      <c r="J878" s="22">
        <v>0.66670924418078004</v>
      </c>
      <c r="K878" s="22">
        <v>0.33329075581922102</v>
      </c>
      <c r="L878" s="14">
        <v>0</v>
      </c>
    </row>
    <row r="879" spans="1:12" x14ac:dyDescent="0.25">
      <c r="A879" s="13" t="s">
        <v>2345</v>
      </c>
      <c r="B879" s="14" t="s">
        <v>5325</v>
      </c>
      <c r="C879" s="14" t="s">
        <v>5647</v>
      </c>
      <c r="D879" s="14" t="s">
        <v>6738</v>
      </c>
      <c r="E879" s="14" t="s">
        <v>6739</v>
      </c>
      <c r="F879" s="21">
        <v>1508.97</v>
      </c>
      <c r="G879" s="14">
        <v>517</v>
      </c>
      <c r="H879" s="14">
        <v>1</v>
      </c>
      <c r="I879" s="14">
        <v>50</v>
      </c>
      <c r="J879" s="22">
        <v>0.65666975259723304</v>
      </c>
      <c r="K879" s="22">
        <v>0.34333024740276702</v>
      </c>
      <c r="L879" s="14">
        <v>0</v>
      </c>
    </row>
    <row r="880" spans="1:12" x14ac:dyDescent="0.25">
      <c r="A880" s="13" t="s">
        <v>2347</v>
      </c>
      <c r="B880" s="14" t="s">
        <v>5325</v>
      </c>
      <c r="C880" s="14" t="s">
        <v>5647</v>
      </c>
      <c r="D880" s="14" t="s">
        <v>6738</v>
      </c>
      <c r="E880" s="14" t="s">
        <v>2348</v>
      </c>
      <c r="F880" s="21">
        <v>1521.32</v>
      </c>
      <c r="H880" s="14">
        <v>1</v>
      </c>
      <c r="I880" s="14">
        <v>20</v>
      </c>
      <c r="J880" s="22">
        <v>0.49538180616887201</v>
      </c>
      <c r="K880" s="22">
        <v>0.50461819383112905</v>
      </c>
      <c r="L880" s="14">
        <v>0</v>
      </c>
    </row>
    <row r="881" spans="1:12" x14ac:dyDescent="0.25">
      <c r="A881" s="13" t="s">
        <v>2349</v>
      </c>
      <c r="B881" s="14" t="s">
        <v>5325</v>
      </c>
      <c r="C881" s="14" t="s">
        <v>5648</v>
      </c>
      <c r="D881" s="14" t="s">
        <v>6738</v>
      </c>
      <c r="E881" s="14" t="s">
        <v>2350</v>
      </c>
      <c r="F881" s="21">
        <v>1334.16</v>
      </c>
      <c r="G881" s="14">
        <v>362</v>
      </c>
      <c r="H881" s="14">
        <v>0</v>
      </c>
      <c r="I881" s="14">
        <v>39</v>
      </c>
      <c r="J881" s="22">
        <v>9.8352231381879499E-2</v>
      </c>
      <c r="K881" s="22">
        <v>0.90164776861812101</v>
      </c>
      <c r="L881" s="14">
        <v>0</v>
      </c>
    </row>
    <row r="882" spans="1:12" x14ac:dyDescent="0.25">
      <c r="A882" s="13" t="s">
        <v>6740</v>
      </c>
      <c r="B882" s="14" t="s">
        <v>2352</v>
      </c>
      <c r="C882" s="14" t="s">
        <v>5656</v>
      </c>
      <c r="D882" s="14" t="s">
        <v>2354</v>
      </c>
      <c r="E882" s="14" t="s">
        <v>2355</v>
      </c>
      <c r="F882" s="21">
        <v>2350</v>
      </c>
      <c r="G882" s="14">
        <v>178</v>
      </c>
      <c r="H882" s="14">
        <v>1</v>
      </c>
      <c r="I882" s="14">
        <v>2</v>
      </c>
      <c r="J882" s="22">
        <v>0.67114195310374103</v>
      </c>
      <c r="K882" s="22">
        <v>0.32885804689625903</v>
      </c>
      <c r="L882" s="14">
        <v>0</v>
      </c>
    </row>
    <row r="883" spans="1:12" x14ac:dyDescent="0.25">
      <c r="A883" s="13" t="s">
        <v>6041</v>
      </c>
      <c r="B883" s="14" t="s">
        <v>5463</v>
      </c>
      <c r="C883" s="14" t="s">
        <v>5657</v>
      </c>
      <c r="D883" s="14" t="s">
        <v>6741</v>
      </c>
      <c r="E883" s="14" t="s">
        <v>2359</v>
      </c>
      <c r="F883" s="21">
        <v>2400</v>
      </c>
      <c r="G883" s="14">
        <v>687</v>
      </c>
      <c r="H883" s="14">
        <v>1</v>
      </c>
      <c r="I883" s="14">
        <v>42</v>
      </c>
      <c r="J883" s="22">
        <v>0.59597435379524899</v>
      </c>
      <c r="K883" s="22">
        <v>0.40402564620475101</v>
      </c>
      <c r="L883" s="14">
        <v>0</v>
      </c>
    </row>
    <row r="884" spans="1:12" x14ac:dyDescent="0.25">
      <c r="A884" s="13" t="s">
        <v>6742</v>
      </c>
      <c r="B884" s="14" t="s">
        <v>328</v>
      </c>
      <c r="C884" s="14" t="s">
        <v>5661</v>
      </c>
      <c r="D884" s="14" t="s">
        <v>6743</v>
      </c>
      <c r="E884" s="14" t="s">
        <v>2363</v>
      </c>
      <c r="F884" s="21">
        <v>1250.6600000000001</v>
      </c>
      <c r="G884" s="14">
        <v>615</v>
      </c>
      <c r="H884" s="14">
        <v>0</v>
      </c>
      <c r="I884" s="14">
        <v>11</v>
      </c>
      <c r="J884" s="22">
        <v>0.71756668407344404</v>
      </c>
      <c r="K884" s="22">
        <v>0.28243331592655602</v>
      </c>
      <c r="L884" s="14">
        <v>0</v>
      </c>
    </row>
    <row r="885" spans="1:12" x14ac:dyDescent="0.25">
      <c r="A885" s="13">
        <v>3549224</v>
      </c>
      <c r="B885" s="14" t="s">
        <v>6744</v>
      </c>
      <c r="C885" s="14" t="s">
        <v>5668</v>
      </c>
      <c r="D885" s="14" t="s">
        <v>6745</v>
      </c>
      <c r="E885" s="14" t="s">
        <v>2367</v>
      </c>
      <c r="F885" s="21">
        <v>1926.45</v>
      </c>
      <c r="G885" s="14">
        <v>647</v>
      </c>
      <c r="H885" s="14">
        <v>0</v>
      </c>
      <c r="I885" s="14" t="s">
        <v>6314</v>
      </c>
      <c r="J885" s="22">
        <v>0.38064919707205602</v>
      </c>
      <c r="K885" s="22">
        <v>0.61935080292794498</v>
      </c>
      <c r="L885" s="14">
        <v>0</v>
      </c>
    </row>
    <row r="886" spans="1:12" x14ac:dyDescent="0.25">
      <c r="A886" s="13" t="s">
        <v>6746</v>
      </c>
      <c r="B886" s="14" t="s">
        <v>191</v>
      </c>
      <c r="C886" s="14" t="s">
        <v>6747</v>
      </c>
      <c r="D886" s="14" t="s">
        <v>6745</v>
      </c>
      <c r="E886" s="14" t="s">
        <v>6748</v>
      </c>
      <c r="F886" s="21">
        <v>772.13</v>
      </c>
      <c r="G886" s="14">
        <v>68</v>
      </c>
      <c r="H886" s="14">
        <v>1</v>
      </c>
      <c r="I886" s="14">
        <v>50</v>
      </c>
      <c r="J886" s="22">
        <v>0.71529883674466299</v>
      </c>
      <c r="K886" s="22">
        <v>0.28470116325533701</v>
      </c>
      <c r="L886" s="14">
        <v>0</v>
      </c>
    </row>
    <row r="887" spans="1:12" x14ac:dyDescent="0.25">
      <c r="A887" s="13">
        <v>3475639</v>
      </c>
      <c r="B887" s="14" t="s">
        <v>6559</v>
      </c>
      <c r="C887" s="14" t="s">
        <v>5670</v>
      </c>
      <c r="D887" s="14" t="s">
        <v>6749</v>
      </c>
      <c r="E887" s="14" t="s">
        <v>2373</v>
      </c>
      <c r="F887" s="21">
        <v>378.78</v>
      </c>
      <c r="G887" s="14">
        <v>160</v>
      </c>
      <c r="H887" s="14">
        <v>1</v>
      </c>
      <c r="I887" s="14">
        <v>30</v>
      </c>
      <c r="J887" s="22">
        <v>0.164605015238589</v>
      </c>
      <c r="K887" s="22">
        <v>0.83539498476141105</v>
      </c>
      <c r="L887" s="14">
        <v>0</v>
      </c>
    </row>
    <row r="888" spans="1:12" x14ac:dyDescent="0.25">
      <c r="A888" s="13" t="s">
        <v>6750</v>
      </c>
      <c r="B888" s="14" t="s">
        <v>5316</v>
      </c>
      <c r="C888" s="14" t="s">
        <v>5673</v>
      </c>
      <c r="D888" s="14" t="s">
        <v>6751</v>
      </c>
      <c r="E888" s="14" t="s">
        <v>2377</v>
      </c>
      <c r="F888" s="21">
        <v>642.55999999999995</v>
      </c>
      <c r="G888" s="14">
        <v>997</v>
      </c>
      <c r="H888" s="14">
        <v>1</v>
      </c>
      <c r="I888" s="14" t="s">
        <v>6314</v>
      </c>
      <c r="J888" s="22">
        <v>0.34916966448888898</v>
      </c>
      <c r="K888" s="22">
        <v>0.65083033551111102</v>
      </c>
      <c r="L888" s="14">
        <v>0</v>
      </c>
    </row>
    <row r="889" spans="1:12" x14ac:dyDescent="0.25">
      <c r="A889" s="13" t="s">
        <v>6046</v>
      </c>
      <c r="B889" s="14" t="s">
        <v>5316</v>
      </c>
      <c r="C889" s="14" t="s">
        <v>5673</v>
      </c>
      <c r="D889" s="14" t="s">
        <v>6751</v>
      </c>
      <c r="E889" s="14" t="s">
        <v>2379</v>
      </c>
      <c r="F889" s="21">
        <v>669.64</v>
      </c>
      <c r="G889" s="14">
        <v>910</v>
      </c>
      <c r="H889" s="14">
        <v>0</v>
      </c>
      <c r="I889" s="14">
        <v>10</v>
      </c>
      <c r="J889" s="22">
        <v>0.73230338822380803</v>
      </c>
      <c r="K889" s="22">
        <v>0.26769661177619197</v>
      </c>
      <c r="L889" s="14">
        <v>0</v>
      </c>
    </row>
    <row r="890" spans="1:12" x14ac:dyDescent="0.25">
      <c r="A890" s="13" t="s">
        <v>2380</v>
      </c>
      <c r="B890" s="14" t="s">
        <v>2381</v>
      </c>
      <c r="C890" s="14" t="s">
        <v>5674</v>
      </c>
      <c r="D890" s="14" t="s">
        <v>6751</v>
      </c>
      <c r="E890" s="14" t="s">
        <v>2382</v>
      </c>
      <c r="F890" s="21">
        <v>625.6</v>
      </c>
      <c r="G890" s="14">
        <v>228</v>
      </c>
      <c r="H890" s="14">
        <v>0</v>
      </c>
      <c r="I890" s="14">
        <v>11</v>
      </c>
      <c r="J890" s="22">
        <v>3.7952292205583202E-2</v>
      </c>
      <c r="K890" s="22">
        <v>0.96204770779441695</v>
      </c>
      <c r="L890" s="14">
        <v>0</v>
      </c>
    </row>
    <row r="891" spans="1:12" x14ac:dyDescent="0.25">
      <c r="A891" s="13" t="s">
        <v>6752</v>
      </c>
      <c r="B891" s="14" t="s">
        <v>2381</v>
      </c>
      <c r="C891" s="14" t="s">
        <v>5674</v>
      </c>
      <c r="D891" s="14" t="s">
        <v>6751</v>
      </c>
      <c r="E891" s="14" t="s">
        <v>2384</v>
      </c>
      <c r="F891" s="21">
        <v>1272.99</v>
      </c>
      <c r="G891" s="14">
        <v>478</v>
      </c>
      <c r="H891" s="14">
        <v>1</v>
      </c>
      <c r="I891" s="14">
        <v>3</v>
      </c>
      <c r="J891" s="22">
        <v>0.195558937838582</v>
      </c>
      <c r="K891" s="22">
        <v>0.80444106216141797</v>
      </c>
      <c r="L891" s="14">
        <v>0</v>
      </c>
    </row>
    <row r="892" spans="1:12" x14ac:dyDescent="0.25">
      <c r="A892" s="13" t="s">
        <v>2385</v>
      </c>
      <c r="B892" s="14" t="s">
        <v>2381</v>
      </c>
      <c r="C892" s="14" t="s">
        <v>5674</v>
      </c>
      <c r="D892" s="14" t="s">
        <v>6751</v>
      </c>
      <c r="E892" s="14" t="s">
        <v>2386</v>
      </c>
      <c r="F892" s="21">
        <v>1280.73</v>
      </c>
      <c r="H892" s="14">
        <v>0</v>
      </c>
      <c r="I892" s="14">
        <v>32</v>
      </c>
      <c r="J892" s="22">
        <v>4.03137353759047E-2</v>
      </c>
      <c r="K892" s="22">
        <v>0.95968626462409501</v>
      </c>
      <c r="L892" s="14">
        <v>0</v>
      </c>
    </row>
    <row r="893" spans="1:12" x14ac:dyDescent="0.25">
      <c r="A893" s="13" t="s">
        <v>2387</v>
      </c>
      <c r="B893" s="14" t="s">
        <v>2381</v>
      </c>
      <c r="C893" s="14" t="s">
        <v>5674</v>
      </c>
      <c r="D893" s="14" t="s">
        <v>6751</v>
      </c>
      <c r="E893" s="14" t="s">
        <v>2388</v>
      </c>
      <c r="F893" s="21">
        <v>1535.56</v>
      </c>
      <c r="G893" s="14">
        <v>24</v>
      </c>
      <c r="H893" s="14">
        <v>1</v>
      </c>
      <c r="I893" s="14">
        <v>47</v>
      </c>
      <c r="J893" s="22">
        <v>0.600404491122705</v>
      </c>
      <c r="K893" s="22">
        <v>0.399595508877295</v>
      </c>
      <c r="L893" s="14">
        <v>0</v>
      </c>
    </row>
    <row r="894" spans="1:12" ht="26.4" x14ac:dyDescent="0.25">
      <c r="A894" s="20" t="s">
        <v>6753</v>
      </c>
      <c r="B894" s="14" t="s">
        <v>5394</v>
      </c>
      <c r="C894" s="14" t="s">
        <v>5394</v>
      </c>
      <c r="D894" s="14" t="s">
        <v>2392</v>
      </c>
      <c r="E894" s="14" t="s">
        <v>2393</v>
      </c>
      <c r="F894" s="21">
        <v>1303.21</v>
      </c>
      <c r="G894" s="14">
        <v>302</v>
      </c>
      <c r="H894" s="14">
        <v>1</v>
      </c>
      <c r="I894" s="14">
        <v>5</v>
      </c>
      <c r="J894" s="22">
        <v>0.44679510697437902</v>
      </c>
      <c r="K894" s="22">
        <v>0.55320489302562104</v>
      </c>
      <c r="L894" s="14">
        <v>0</v>
      </c>
    </row>
    <row r="895" spans="1:12" x14ac:dyDescent="0.25">
      <c r="A895" s="13" t="s">
        <v>2394</v>
      </c>
      <c r="B895" s="14" t="s">
        <v>17</v>
      </c>
      <c r="C895" s="14" t="s">
        <v>5675</v>
      </c>
      <c r="E895" s="14" t="s">
        <v>2396</v>
      </c>
      <c r="F895" s="21">
        <v>2264.1999999999998</v>
      </c>
      <c r="G895" s="14">
        <v>711</v>
      </c>
      <c r="H895" s="14">
        <v>0</v>
      </c>
      <c r="I895" s="14">
        <v>38</v>
      </c>
      <c r="J895" s="22">
        <v>0.16160249399587701</v>
      </c>
      <c r="K895" s="22">
        <v>0.83839750600412299</v>
      </c>
      <c r="L895" s="14">
        <v>0</v>
      </c>
    </row>
    <row r="896" spans="1:12" x14ac:dyDescent="0.25">
      <c r="A896" s="13" t="s">
        <v>6754</v>
      </c>
      <c r="B896" s="14" t="s">
        <v>5316</v>
      </c>
      <c r="C896" s="14" t="s">
        <v>5682</v>
      </c>
      <c r="D896" s="14" t="s">
        <v>6755</v>
      </c>
      <c r="E896" s="14" t="s">
        <v>2400</v>
      </c>
      <c r="F896" s="21">
        <v>685.88</v>
      </c>
      <c r="G896" s="14">
        <v>359</v>
      </c>
      <c r="H896" s="14">
        <v>1</v>
      </c>
      <c r="I896" s="14">
        <v>7</v>
      </c>
      <c r="J896" s="22">
        <v>7.8039216457752095E-2</v>
      </c>
      <c r="K896" s="22">
        <v>0.92196078354224797</v>
      </c>
      <c r="L896" s="14">
        <v>0</v>
      </c>
    </row>
    <row r="897" spans="1:12" x14ac:dyDescent="0.25">
      <c r="A897" s="13">
        <v>23291110</v>
      </c>
      <c r="B897" s="14" t="s">
        <v>5375</v>
      </c>
      <c r="C897" s="14" t="s">
        <v>5686</v>
      </c>
      <c r="D897" s="14" t="s">
        <v>2402</v>
      </c>
      <c r="E897" s="14" t="s">
        <v>2403</v>
      </c>
      <c r="F897" s="21">
        <v>2322.5700000000002</v>
      </c>
      <c r="G897" s="14">
        <v>60</v>
      </c>
      <c r="H897" s="14">
        <v>0</v>
      </c>
      <c r="I897" s="14">
        <v>44</v>
      </c>
      <c r="J897" s="22">
        <v>0.89928651506179802</v>
      </c>
      <c r="K897" s="22">
        <v>0.10071348493820199</v>
      </c>
      <c r="L897" s="14">
        <v>0</v>
      </c>
    </row>
    <row r="898" spans="1:12" x14ac:dyDescent="0.25">
      <c r="A898" s="13" t="s">
        <v>2404</v>
      </c>
      <c r="B898" s="14" t="s">
        <v>45</v>
      </c>
      <c r="C898" s="14" t="s">
        <v>5688</v>
      </c>
      <c r="D898" s="14" t="s">
        <v>6756</v>
      </c>
      <c r="E898" s="14" t="s">
        <v>2407</v>
      </c>
      <c r="F898" s="21">
        <v>746.9</v>
      </c>
      <c r="G898" s="14">
        <v>27</v>
      </c>
      <c r="H898" s="14">
        <v>0</v>
      </c>
      <c r="I898" s="14">
        <v>7</v>
      </c>
      <c r="J898" s="22">
        <v>0.90866700248444998</v>
      </c>
      <c r="K898" s="22">
        <v>9.1332997515549602E-2</v>
      </c>
      <c r="L898" s="14">
        <v>0</v>
      </c>
    </row>
    <row r="899" spans="1:12" x14ac:dyDescent="0.25">
      <c r="A899" s="13" t="s">
        <v>2408</v>
      </c>
      <c r="B899" s="14" t="s">
        <v>121</v>
      </c>
      <c r="C899" s="14" t="s">
        <v>2409</v>
      </c>
      <c r="D899" s="14" t="s">
        <v>2410</v>
      </c>
      <c r="E899" s="14" t="s">
        <v>2411</v>
      </c>
      <c r="F899" s="21">
        <v>1375.8</v>
      </c>
      <c r="G899" s="14">
        <v>410</v>
      </c>
      <c r="H899" s="14">
        <v>0</v>
      </c>
      <c r="I899" s="14">
        <v>42</v>
      </c>
      <c r="J899" s="22">
        <v>0.87029058096694401</v>
      </c>
      <c r="K899" s="22">
        <v>0.12970941903305599</v>
      </c>
      <c r="L899" s="14">
        <v>0</v>
      </c>
    </row>
    <row r="900" spans="1:12" x14ac:dyDescent="0.25">
      <c r="A900" s="13" t="s">
        <v>2412</v>
      </c>
      <c r="B900" s="14" t="s">
        <v>2307</v>
      </c>
      <c r="C900" s="14" t="s">
        <v>5632</v>
      </c>
      <c r="D900" s="14" t="s">
        <v>2414</v>
      </c>
      <c r="E900" s="14" t="s">
        <v>2415</v>
      </c>
      <c r="F900" s="21">
        <v>952.45</v>
      </c>
      <c r="G900" s="14">
        <v>949</v>
      </c>
      <c r="H900" s="14">
        <v>0</v>
      </c>
      <c r="I900" s="14">
        <v>9</v>
      </c>
      <c r="J900" s="22">
        <v>0.496049109185141</v>
      </c>
      <c r="K900" s="22">
        <v>0.503950890814859</v>
      </c>
      <c r="L900" s="14">
        <v>0</v>
      </c>
    </row>
    <row r="901" spans="1:12" x14ac:dyDescent="0.25">
      <c r="A901" s="13">
        <v>23443656</v>
      </c>
      <c r="B901" s="14" t="s">
        <v>5326</v>
      </c>
      <c r="C901" s="14" t="s">
        <v>5649</v>
      </c>
      <c r="D901" s="14" t="s">
        <v>2416</v>
      </c>
      <c r="E901" s="14" t="s">
        <v>2417</v>
      </c>
      <c r="F901" s="21">
        <v>381.04</v>
      </c>
      <c r="G901" s="14">
        <v>626</v>
      </c>
      <c r="H901" s="14">
        <v>0</v>
      </c>
      <c r="I901" s="14">
        <v>17</v>
      </c>
      <c r="J901" s="22">
        <v>0.66731542656016596</v>
      </c>
      <c r="K901" s="22">
        <v>0.33268457343983399</v>
      </c>
      <c r="L901" s="14">
        <v>0</v>
      </c>
    </row>
    <row r="902" spans="1:12" x14ac:dyDescent="0.25">
      <c r="A902" s="13">
        <v>23166325</v>
      </c>
      <c r="B902" s="14" t="s">
        <v>5355</v>
      </c>
      <c r="C902" s="14" t="s">
        <v>5649</v>
      </c>
      <c r="D902" s="14" t="s">
        <v>2416</v>
      </c>
      <c r="E902" s="14" t="s">
        <v>2418</v>
      </c>
      <c r="F902" s="21">
        <v>1035</v>
      </c>
      <c r="G902" s="14">
        <v>125</v>
      </c>
      <c r="H902" s="14">
        <v>0</v>
      </c>
      <c r="I902" s="14">
        <v>26</v>
      </c>
      <c r="J902" s="22">
        <v>0.71853729201434902</v>
      </c>
      <c r="K902" s="22">
        <v>0.28146270798565098</v>
      </c>
      <c r="L902" s="14">
        <v>0</v>
      </c>
    </row>
    <row r="903" spans="1:12" x14ac:dyDescent="0.25">
      <c r="A903" s="13" t="s">
        <v>6757</v>
      </c>
      <c r="B903" s="14" t="s">
        <v>5331</v>
      </c>
      <c r="C903" s="14" t="s">
        <v>5649</v>
      </c>
      <c r="D903" s="14" t="s">
        <v>2416</v>
      </c>
      <c r="E903" s="14" t="s">
        <v>2420</v>
      </c>
      <c r="F903" s="21">
        <v>1255.58</v>
      </c>
      <c r="G903" s="14">
        <v>760</v>
      </c>
      <c r="H903" s="14">
        <v>0</v>
      </c>
      <c r="I903" s="14">
        <v>12</v>
      </c>
      <c r="J903" s="22">
        <v>0.79358894425292403</v>
      </c>
      <c r="K903" s="22">
        <v>0.20641105574707599</v>
      </c>
      <c r="L903" s="14">
        <v>0</v>
      </c>
    </row>
    <row r="904" spans="1:12" x14ac:dyDescent="0.25">
      <c r="B904" s="14" t="s">
        <v>113</v>
      </c>
      <c r="C904" s="14" t="s">
        <v>5690</v>
      </c>
      <c r="D904" s="14" t="s">
        <v>2422</v>
      </c>
      <c r="E904" s="14" t="s">
        <v>2423</v>
      </c>
      <c r="F904" s="21">
        <v>2034</v>
      </c>
      <c r="G904" s="14">
        <v>188</v>
      </c>
      <c r="H904" s="14">
        <v>1</v>
      </c>
      <c r="I904" s="14">
        <v>11</v>
      </c>
      <c r="J904" s="22">
        <v>0.57684276120946298</v>
      </c>
      <c r="K904" s="22">
        <v>0.42315723879053702</v>
      </c>
      <c r="L904" s="14">
        <v>0</v>
      </c>
    </row>
    <row r="905" spans="1:12" x14ac:dyDescent="0.25">
      <c r="A905" s="13" t="s">
        <v>2424</v>
      </c>
      <c r="B905" s="14" t="s">
        <v>5332</v>
      </c>
      <c r="C905" s="14" t="s">
        <v>5662</v>
      </c>
      <c r="D905" s="14" t="s">
        <v>2362</v>
      </c>
      <c r="E905" s="14" t="s">
        <v>2425</v>
      </c>
      <c r="F905" s="21">
        <v>1364.47</v>
      </c>
      <c r="G905" s="14">
        <v>388</v>
      </c>
      <c r="H905" s="14">
        <v>1</v>
      </c>
      <c r="I905" s="14">
        <v>10</v>
      </c>
      <c r="J905" s="22">
        <v>0.56030182254905103</v>
      </c>
      <c r="K905" s="22">
        <v>0.43969817745094902</v>
      </c>
      <c r="L905" s="14">
        <v>0</v>
      </c>
    </row>
    <row r="906" spans="1:12" x14ac:dyDescent="0.25">
      <c r="A906" s="13" t="s">
        <v>2426</v>
      </c>
      <c r="B906" s="14" t="s">
        <v>5327</v>
      </c>
      <c r="C906" s="14" t="s">
        <v>5650</v>
      </c>
      <c r="D906" s="14" t="s">
        <v>2427</v>
      </c>
      <c r="E906" s="14" t="s">
        <v>2428</v>
      </c>
      <c r="F906" s="21">
        <v>938.75</v>
      </c>
      <c r="G906" s="14">
        <v>922</v>
      </c>
      <c r="H906" s="14">
        <v>1</v>
      </c>
      <c r="I906" s="14" t="s">
        <v>6314</v>
      </c>
      <c r="J906" s="22">
        <v>0.52363600925518805</v>
      </c>
      <c r="K906" s="22">
        <v>0.476363990744812</v>
      </c>
      <c r="L906" s="14">
        <v>0</v>
      </c>
    </row>
    <row r="907" spans="1:12" x14ac:dyDescent="0.25">
      <c r="B907" s="14" t="s">
        <v>5472</v>
      </c>
      <c r="C907" s="14" t="s">
        <v>5659</v>
      </c>
      <c r="D907" s="14" t="s">
        <v>2430</v>
      </c>
      <c r="E907" s="14" t="s">
        <v>2431</v>
      </c>
      <c r="F907" s="21">
        <v>3602.41</v>
      </c>
      <c r="G907" s="14">
        <v>407</v>
      </c>
      <c r="H907" s="14">
        <v>0</v>
      </c>
      <c r="I907" s="14">
        <v>47</v>
      </c>
      <c r="J907" s="22">
        <v>0.41720846363563102</v>
      </c>
      <c r="K907" s="22">
        <v>0.58279153636436898</v>
      </c>
      <c r="L907" s="14">
        <v>0</v>
      </c>
    </row>
    <row r="908" spans="1:12" x14ac:dyDescent="0.25">
      <c r="A908" s="13" t="s">
        <v>2432</v>
      </c>
      <c r="B908" s="14" t="s">
        <v>406</v>
      </c>
      <c r="C908" s="14" t="s">
        <v>2433</v>
      </c>
      <c r="D908" s="14" t="s">
        <v>2434</v>
      </c>
      <c r="E908" s="14" t="s">
        <v>2435</v>
      </c>
      <c r="F908" s="21">
        <v>2534.5300000000002</v>
      </c>
      <c r="G908" s="14">
        <v>946</v>
      </c>
      <c r="H908" s="14">
        <v>0</v>
      </c>
      <c r="I908" s="14">
        <v>12</v>
      </c>
      <c r="J908" s="22">
        <v>0.14984268712336199</v>
      </c>
      <c r="K908" s="22">
        <v>0.85015731287663798</v>
      </c>
      <c r="L908" s="14">
        <v>0</v>
      </c>
    </row>
    <row r="909" spans="1:12" x14ac:dyDescent="0.25">
      <c r="A909" s="13" t="s">
        <v>6758</v>
      </c>
      <c r="B909" s="14" t="s">
        <v>5501</v>
      </c>
      <c r="C909" s="14" t="s">
        <v>5637</v>
      </c>
      <c r="D909" s="14" t="s">
        <v>2436</v>
      </c>
      <c r="E909" s="14" t="s">
        <v>2437</v>
      </c>
      <c r="F909" s="21">
        <v>2034.75</v>
      </c>
      <c r="G909" s="14">
        <v>648</v>
      </c>
      <c r="H909" s="14">
        <v>0</v>
      </c>
      <c r="I909" s="14">
        <v>48</v>
      </c>
      <c r="J909" s="22">
        <v>0.49185148694583197</v>
      </c>
      <c r="K909" s="22">
        <v>0.50814851305416797</v>
      </c>
      <c r="L909" s="14">
        <v>0</v>
      </c>
    </row>
    <row r="910" spans="1:12" x14ac:dyDescent="0.25">
      <c r="A910" s="13" t="s">
        <v>6759</v>
      </c>
      <c r="B910" s="14" t="s">
        <v>121</v>
      </c>
      <c r="C910" s="14" t="s">
        <v>5638</v>
      </c>
      <c r="D910" s="14" t="s">
        <v>2410</v>
      </c>
      <c r="E910" s="14" t="s">
        <v>2438</v>
      </c>
      <c r="F910" s="21">
        <v>1836.92</v>
      </c>
      <c r="G910" s="14">
        <v>747</v>
      </c>
      <c r="I910" s="14">
        <v>1</v>
      </c>
      <c r="J910" s="22">
        <v>0.214450309824463</v>
      </c>
      <c r="K910" s="22">
        <v>0.785549690175537</v>
      </c>
      <c r="L910" s="14">
        <v>0</v>
      </c>
    </row>
    <row r="911" spans="1:12" x14ac:dyDescent="0.25">
      <c r="A911" s="13" t="s">
        <v>2439</v>
      </c>
      <c r="B911" s="14" t="s">
        <v>17</v>
      </c>
      <c r="C911" s="14" t="s">
        <v>2440</v>
      </c>
      <c r="D911" s="14" t="s">
        <v>2441</v>
      </c>
      <c r="E911" s="14" t="s">
        <v>2442</v>
      </c>
      <c r="F911" s="21">
        <v>2283.58</v>
      </c>
      <c r="G911" s="14">
        <v>278</v>
      </c>
      <c r="H911" s="14">
        <v>1</v>
      </c>
      <c r="I911" s="14">
        <v>24</v>
      </c>
      <c r="J911" s="22">
        <v>0.99570804957762804</v>
      </c>
      <c r="K911" s="22">
        <v>4.29195042237163E-3</v>
      </c>
      <c r="L911" s="14">
        <v>0</v>
      </c>
    </row>
    <row r="912" spans="1:12" x14ac:dyDescent="0.25">
      <c r="A912" s="13" t="s">
        <v>2443</v>
      </c>
      <c r="B912" s="14" t="s">
        <v>17</v>
      </c>
      <c r="C912" s="14" t="s">
        <v>2440</v>
      </c>
      <c r="D912" s="14" t="s">
        <v>2441</v>
      </c>
      <c r="E912" s="14" t="s">
        <v>2444</v>
      </c>
      <c r="F912" s="21">
        <v>2323.4899999999998</v>
      </c>
      <c r="G912" s="14">
        <v>190</v>
      </c>
      <c r="H912" s="14">
        <v>1</v>
      </c>
      <c r="I912" s="14">
        <v>9</v>
      </c>
      <c r="J912" s="22">
        <v>0.67898389842656803</v>
      </c>
      <c r="K912" s="22">
        <v>0.32101610157343202</v>
      </c>
      <c r="L912" s="14">
        <v>0</v>
      </c>
    </row>
    <row r="913" spans="1:12" x14ac:dyDescent="0.25">
      <c r="A913" s="13" t="s">
        <v>2445</v>
      </c>
      <c r="B913" s="14" t="s">
        <v>17</v>
      </c>
      <c r="C913" s="14" t="s">
        <v>2440</v>
      </c>
      <c r="D913" s="14" t="s">
        <v>2441</v>
      </c>
      <c r="E913" s="14" t="s">
        <v>2446</v>
      </c>
      <c r="F913" s="21">
        <v>2357.04</v>
      </c>
      <c r="G913" s="14">
        <v>523</v>
      </c>
      <c r="H913" s="14">
        <v>1</v>
      </c>
      <c r="I913" s="14">
        <v>17</v>
      </c>
      <c r="J913" s="22">
        <v>0.15390349433234901</v>
      </c>
      <c r="K913" s="22">
        <v>0.84609650566765104</v>
      </c>
      <c r="L913" s="14">
        <v>0</v>
      </c>
    </row>
    <row r="914" spans="1:12" x14ac:dyDescent="0.25">
      <c r="A914" s="13" t="s">
        <v>6760</v>
      </c>
      <c r="B914" s="14" t="s">
        <v>17</v>
      </c>
      <c r="C914" s="14" t="s">
        <v>6761</v>
      </c>
      <c r="D914" s="14" t="s">
        <v>2441</v>
      </c>
      <c r="E914" s="14" t="s">
        <v>2448</v>
      </c>
      <c r="F914" s="21">
        <v>1530.77</v>
      </c>
      <c r="G914" s="14">
        <v>692</v>
      </c>
      <c r="H914" s="14">
        <v>0</v>
      </c>
      <c r="I914" s="14">
        <v>35</v>
      </c>
      <c r="J914" s="22">
        <v>0.38944774632268098</v>
      </c>
      <c r="K914" s="22">
        <v>0.61055225367731902</v>
      </c>
      <c r="L914" s="14">
        <v>0</v>
      </c>
    </row>
    <row r="915" spans="1:12" x14ac:dyDescent="0.25">
      <c r="A915" s="13" t="s">
        <v>2449</v>
      </c>
      <c r="B915" s="14" t="s">
        <v>121</v>
      </c>
      <c r="C915" s="14" t="s">
        <v>2450</v>
      </c>
      <c r="E915" s="14" t="s">
        <v>2451</v>
      </c>
      <c r="F915" s="21">
        <v>2009.65</v>
      </c>
      <c r="G915" s="14">
        <v>891</v>
      </c>
      <c r="H915" s="14">
        <v>1</v>
      </c>
      <c r="I915" s="14">
        <v>31</v>
      </c>
      <c r="J915" s="22">
        <v>0.78675310015717503</v>
      </c>
      <c r="K915" s="22">
        <v>0.21324689984282499</v>
      </c>
      <c r="L915" s="14">
        <v>0</v>
      </c>
    </row>
    <row r="916" spans="1:12" x14ac:dyDescent="0.25">
      <c r="A916" s="13" t="s">
        <v>2452</v>
      </c>
      <c r="B916" s="14" t="s">
        <v>5388</v>
      </c>
      <c r="C916" s="14" t="s">
        <v>5640</v>
      </c>
      <c r="D916" s="14" t="s">
        <v>2454</v>
      </c>
      <c r="E916" s="14" t="s">
        <v>2455</v>
      </c>
      <c r="F916" s="21">
        <v>655.85</v>
      </c>
      <c r="G916" s="14">
        <v>73</v>
      </c>
      <c r="H916" s="14">
        <v>0</v>
      </c>
      <c r="I916" s="14">
        <v>34</v>
      </c>
      <c r="J916" s="22">
        <v>0.83139897604749402</v>
      </c>
      <c r="K916" s="22">
        <v>0.16860102395250601</v>
      </c>
      <c r="L916" s="14">
        <v>0</v>
      </c>
    </row>
    <row r="917" spans="1:12" x14ac:dyDescent="0.25">
      <c r="A917" s="13" t="s">
        <v>2456</v>
      </c>
      <c r="B917" s="14" t="s">
        <v>17</v>
      </c>
      <c r="C917" s="14" t="s">
        <v>5641</v>
      </c>
      <c r="D917" s="14" t="s">
        <v>2458</v>
      </c>
      <c r="E917" s="14" t="s">
        <v>2459</v>
      </c>
      <c r="F917" s="21">
        <v>2277.79</v>
      </c>
      <c r="G917" s="14">
        <v>659</v>
      </c>
      <c r="H917" s="14">
        <v>0</v>
      </c>
      <c r="I917" s="14">
        <v>37</v>
      </c>
      <c r="J917" s="22">
        <v>0.99466599743126105</v>
      </c>
      <c r="K917" s="22">
        <v>5.3340025687393898E-3</v>
      </c>
      <c r="L917" s="14">
        <v>0</v>
      </c>
    </row>
    <row r="918" spans="1:12" x14ac:dyDescent="0.25">
      <c r="A918" s="13" t="s">
        <v>2460</v>
      </c>
      <c r="B918" s="14" t="s">
        <v>17</v>
      </c>
      <c r="C918" s="14" t="s">
        <v>5641</v>
      </c>
      <c r="D918" s="14" t="s">
        <v>2458</v>
      </c>
      <c r="E918" s="14" t="s">
        <v>2461</v>
      </c>
      <c r="F918" s="21">
        <v>2277.8000000000002</v>
      </c>
      <c r="H918" s="14">
        <v>1</v>
      </c>
      <c r="I918" s="14">
        <v>21</v>
      </c>
      <c r="J918" s="22">
        <v>0.601635110013645</v>
      </c>
      <c r="K918" s="22">
        <v>0.398364889986355</v>
      </c>
      <c r="L918" s="14">
        <v>0</v>
      </c>
    </row>
    <row r="919" spans="1:12" x14ac:dyDescent="0.25">
      <c r="A919" s="13" t="s">
        <v>6762</v>
      </c>
      <c r="B919" s="14" t="s">
        <v>17</v>
      </c>
      <c r="C919" s="14" t="s">
        <v>2457</v>
      </c>
      <c r="D919" s="14" t="s">
        <v>2463</v>
      </c>
      <c r="E919" s="14" t="s">
        <v>2464</v>
      </c>
      <c r="F919" s="21">
        <v>1914.82</v>
      </c>
      <c r="G919" s="14">
        <v>566</v>
      </c>
      <c r="H919" s="14">
        <v>1</v>
      </c>
      <c r="I919" s="14">
        <v>40</v>
      </c>
      <c r="J919" s="22">
        <v>0.36632446692509002</v>
      </c>
      <c r="K919" s="22">
        <v>0.63367553307490998</v>
      </c>
      <c r="L919" s="14">
        <v>0</v>
      </c>
    </row>
    <row r="920" spans="1:12" x14ac:dyDescent="0.25">
      <c r="A920" s="13">
        <v>23806636</v>
      </c>
      <c r="B920" s="14" t="s">
        <v>17</v>
      </c>
      <c r="C920" s="14" t="s">
        <v>5642</v>
      </c>
      <c r="D920" s="14" t="s">
        <v>2463</v>
      </c>
      <c r="E920" s="14" t="s">
        <v>2465</v>
      </c>
      <c r="F920" s="21">
        <v>2320.04</v>
      </c>
      <c r="G920" s="14">
        <v>669</v>
      </c>
      <c r="H920" s="14">
        <v>0</v>
      </c>
      <c r="I920" s="14">
        <v>9</v>
      </c>
      <c r="J920" s="22">
        <v>0.16889746041253101</v>
      </c>
      <c r="K920" s="22">
        <v>0.83110253958746905</v>
      </c>
      <c r="L920" s="14">
        <v>0</v>
      </c>
    </row>
    <row r="921" spans="1:12" x14ac:dyDescent="0.25">
      <c r="B921" s="14" t="s">
        <v>17</v>
      </c>
      <c r="C921" s="14" t="s">
        <v>2457</v>
      </c>
      <c r="D921" s="14" t="s">
        <v>2463</v>
      </c>
      <c r="E921" s="14" t="s">
        <v>2466</v>
      </c>
      <c r="F921" s="21">
        <v>2382.4899999999998</v>
      </c>
      <c r="H921" s="14">
        <v>0</v>
      </c>
      <c r="I921" s="14">
        <v>6</v>
      </c>
      <c r="J921" s="22">
        <v>0.77751524181964005</v>
      </c>
      <c r="K921" s="22">
        <v>0.22248475818036001</v>
      </c>
      <c r="L921" s="14">
        <v>0</v>
      </c>
    </row>
    <row r="922" spans="1:12" x14ac:dyDescent="0.25">
      <c r="B922" s="14" t="s">
        <v>2467</v>
      </c>
      <c r="C922" s="14" t="s">
        <v>5643</v>
      </c>
      <c r="D922" s="14" t="s">
        <v>2441</v>
      </c>
      <c r="E922" s="14" t="s">
        <v>2469</v>
      </c>
      <c r="F922" s="21">
        <v>780.25</v>
      </c>
      <c r="H922" s="14">
        <v>1</v>
      </c>
      <c r="I922" s="14">
        <v>42</v>
      </c>
      <c r="J922" s="22">
        <v>0.90567208884278505</v>
      </c>
      <c r="K922" s="22">
        <v>9.4327911157215505E-2</v>
      </c>
      <c r="L922" s="14">
        <v>0</v>
      </c>
    </row>
    <row r="923" spans="1:12" x14ac:dyDescent="0.25">
      <c r="B923" s="14" t="s">
        <v>17</v>
      </c>
      <c r="C923" s="14" t="s">
        <v>2470</v>
      </c>
      <c r="D923" s="14" t="s">
        <v>2471</v>
      </c>
      <c r="E923" s="14" t="s">
        <v>2472</v>
      </c>
      <c r="F923" s="21">
        <v>2470.0100000000002</v>
      </c>
      <c r="G923" s="14">
        <v>162</v>
      </c>
      <c r="H923" s="14">
        <v>1</v>
      </c>
      <c r="I923" s="14">
        <v>27</v>
      </c>
      <c r="J923" s="22">
        <v>0.33838020409453101</v>
      </c>
      <c r="K923" s="22">
        <v>0.66161979590546904</v>
      </c>
      <c r="L923" s="14">
        <v>0</v>
      </c>
    </row>
    <row r="924" spans="1:12" x14ac:dyDescent="0.25">
      <c r="A924" s="13" t="s">
        <v>6763</v>
      </c>
      <c r="B924" s="14" t="s">
        <v>5417</v>
      </c>
      <c r="C924" s="14" t="s">
        <v>2474</v>
      </c>
      <c r="D924" s="14" t="s">
        <v>2475</v>
      </c>
      <c r="E924" s="14" t="s">
        <v>2476</v>
      </c>
      <c r="F924" s="21">
        <v>2400</v>
      </c>
      <c r="G924" s="14">
        <v>127</v>
      </c>
      <c r="H924" s="14">
        <v>1</v>
      </c>
      <c r="I924" s="14">
        <v>17</v>
      </c>
      <c r="J924" s="22">
        <v>0.62230703004005306</v>
      </c>
      <c r="K924" s="22">
        <v>0.377692969959947</v>
      </c>
      <c r="L924" s="14">
        <v>1029</v>
      </c>
    </row>
    <row r="925" spans="1:12" ht="39.6" x14ac:dyDescent="0.25">
      <c r="A925" s="20" t="s">
        <v>6764</v>
      </c>
      <c r="B925" s="14" t="s">
        <v>3900</v>
      </c>
      <c r="C925" s="14" t="s">
        <v>2474</v>
      </c>
      <c r="D925" s="14" t="s">
        <v>2475</v>
      </c>
      <c r="E925" s="14" t="s">
        <v>2478</v>
      </c>
      <c r="F925" s="21">
        <v>2040</v>
      </c>
      <c r="G925" s="14">
        <v>263</v>
      </c>
      <c r="H925" s="14">
        <v>1</v>
      </c>
      <c r="I925" s="14">
        <v>32</v>
      </c>
      <c r="J925" s="22">
        <v>0.43216330959347099</v>
      </c>
      <c r="K925" s="22">
        <v>0.56783669040652895</v>
      </c>
      <c r="L925" s="14">
        <v>0</v>
      </c>
    </row>
    <row r="926" spans="1:12" x14ac:dyDescent="0.25">
      <c r="A926" s="13" t="s">
        <v>6765</v>
      </c>
      <c r="B926" s="14" t="s">
        <v>45</v>
      </c>
      <c r="C926" s="14" t="s">
        <v>2480</v>
      </c>
      <c r="D926" s="14" t="s">
        <v>2475</v>
      </c>
      <c r="E926" s="14" t="s">
        <v>2481</v>
      </c>
      <c r="F926" s="21">
        <v>758.53</v>
      </c>
      <c r="G926" s="14">
        <v>414</v>
      </c>
      <c r="H926" s="14">
        <v>0</v>
      </c>
      <c r="I926" s="14">
        <v>44</v>
      </c>
      <c r="J926" s="22">
        <v>0.342527609637932</v>
      </c>
      <c r="K926" s="22">
        <v>0.65747239036206795</v>
      </c>
      <c r="L926" s="14">
        <v>0</v>
      </c>
    </row>
    <row r="927" spans="1:12" ht="26.4" x14ac:dyDescent="0.25">
      <c r="A927" s="20" t="s">
        <v>6766</v>
      </c>
      <c r="B927" s="14" t="s">
        <v>5321</v>
      </c>
      <c r="C927" s="14" t="s">
        <v>2484</v>
      </c>
      <c r="D927" s="14" t="s">
        <v>2434</v>
      </c>
      <c r="E927" s="14" t="s">
        <v>2485</v>
      </c>
      <c r="F927" s="21">
        <v>1288</v>
      </c>
      <c r="H927" s="14">
        <v>0</v>
      </c>
      <c r="I927" s="14">
        <v>10</v>
      </c>
      <c r="J927" s="22">
        <v>0.88758469764571601</v>
      </c>
      <c r="K927" s="22">
        <v>0.112415302354284</v>
      </c>
      <c r="L927" s="14">
        <v>0</v>
      </c>
    </row>
    <row r="928" spans="1:12" x14ac:dyDescent="0.25">
      <c r="A928" s="13" t="s">
        <v>2486</v>
      </c>
      <c r="B928" s="14" t="s">
        <v>17</v>
      </c>
      <c r="C928" s="14" t="s">
        <v>2487</v>
      </c>
      <c r="D928" s="14" t="s">
        <v>2488</v>
      </c>
      <c r="E928" s="14" t="s">
        <v>2489</v>
      </c>
      <c r="F928" s="21">
        <v>2243.5500000000002</v>
      </c>
      <c r="H928" s="14">
        <v>0</v>
      </c>
      <c r="I928" s="14">
        <v>33</v>
      </c>
      <c r="J928" s="22">
        <v>0.84169464317226494</v>
      </c>
      <c r="K928" s="22">
        <v>0.158305356827735</v>
      </c>
      <c r="L928" s="14">
        <v>0</v>
      </c>
    </row>
    <row r="929" spans="1:12" x14ac:dyDescent="0.25">
      <c r="A929" s="13">
        <v>23748436</v>
      </c>
      <c r="B929" s="14" t="s">
        <v>69</v>
      </c>
      <c r="C929" s="14" t="s">
        <v>5644</v>
      </c>
      <c r="D929" s="14" t="s">
        <v>2491</v>
      </c>
      <c r="E929" s="14" t="s">
        <v>2492</v>
      </c>
      <c r="F929" s="21">
        <v>2324.7600000000002</v>
      </c>
      <c r="G929" s="14">
        <v>334</v>
      </c>
      <c r="H929" s="14">
        <v>0</v>
      </c>
      <c r="I929" s="14">
        <v>4</v>
      </c>
      <c r="J929" s="22">
        <v>0.29724527133268103</v>
      </c>
      <c r="K929" s="22">
        <v>0.70275472866732003</v>
      </c>
      <c r="L929" s="14">
        <v>0</v>
      </c>
    </row>
    <row r="930" spans="1:12" x14ac:dyDescent="0.25">
      <c r="A930" s="13" t="s">
        <v>2493</v>
      </c>
      <c r="B930" s="14" t="s">
        <v>69</v>
      </c>
      <c r="C930" s="14" t="s">
        <v>2490</v>
      </c>
      <c r="D930" s="14" t="s">
        <v>2491</v>
      </c>
      <c r="E930" s="14" t="s">
        <v>2494</v>
      </c>
      <c r="F930" s="21">
        <v>2240.48</v>
      </c>
      <c r="G930" s="14">
        <v>457</v>
      </c>
      <c r="H930" s="14">
        <v>1</v>
      </c>
      <c r="I930" s="14">
        <v>5</v>
      </c>
      <c r="J930" s="22">
        <v>0.311101364602001</v>
      </c>
      <c r="K930" s="22">
        <v>0.688898635397999</v>
      </c>
      <c r="L930" s="14">
        <v>0</v>
      </c>
    </row>
    <row r="931" spans="1:12" x14ac:dyDescent="0.25">
      <c r="A931" s="13" t="s">
        <v>2495</v>
      </c>
      <c r="B931" s="14" t="s">
        <v>333</v>
      </c>
      <c r="C931" s="14" t="s">
        <v>2496</v>
      </c>
      <c r="D931" s="14" t="s">
        <v>2497</v>
      </c>
      <c r="E931" s="14" t="s">
        <v>2498</v>
      </c>
      <c r="F931" s="21">
        <v>1343.82</v>
      </c>
      <c r="G931" s="14">
        <v>112</v>
      </c>
      <c r="H931" s="14">
        <v>1</v>
      </c>
      <c r="I931" s="14">
        <v>40</v>
      </c>
      <c r="J931" s="22">
        <v>0.46983869124664701</v>
      </c>
      <c r="K931" s="22">
        <v>0.53016130875335299</v>
      </c>
      <c r="L931" s="14">
        <v>0</v>
      </c>
    </row>
    <row r="932" spans="1:12" x14ac:dyDescent="0.25">
      <c r="A932" s="13" t="s">
        <v>6767</v>
      </c>
      <c r="B932" s="14" t="s">
        <v>5357</v>
      </c>
      <c r="C932" s="14" t="s">
        <v>5645</v>
      </c>
      <c r="D932" s="14" t="s">
        <v>2497</v>
      </c>
      <c r="E932" s="14" t="s">
        <v>6768</v>
      </c>
      <c r="F932" s="21">
        <v>2082.11</v>
      </c>
      <c r="G932" s="14">
        <v>594</v>
      </c>
      <c r="H932" s="14">
        <v>1</v>
      </c>
      <c r="I932" s="14">
        <v>43</v>
      </c>
      <c r="J932" s="22">
        <v>7.3073901524314299E-3</v>
      </c>
      <c r="K932" s="22">
        <v>0.99269260984756902</v>
      </c>
      <c r="L932" s="14">
        <v>0</v>
      </c>
    </row>
    <row r="933" spans="1:12" x14ac:dyDescent="0.25">
      <c r="B933" s="14" t="s">
        <v>17</v>
      </c>
      <c r="C933" s="14" t="s">
        <v>2501</v>
      </c>
      <c r="D933" s="14" t="s">
        <v>2502</v>
      </c>
      <c r="E933" s="14" t="s">
        <v>2503</v>
      </c>
      <c r="F933" s="21">
        <v>1442.64</v>
      </c>
      <c r="G933" s="14">
        <v>677</v>
      </c>
      <c r="H933" s="14">
        <v>1</v>
      </c>
      <c r="I933" s="14">
        <v>36</v>
      </c>
      <c r="J933" s="22">
        <v>0.181727295363703</v>
      </c>
      <c r="K933" s="22">
        <v>0.81827270463629698</v>
      </c>
      <c r="L933" s="14">
        <v>0</v>
      </c>
    </row>
    <row r="934" spans="1:12" x14ac:dyDescent="0.25">
      <c r="A934" s="13" t="s">
        <v>2504</v>
      </c>
      <c r="B934" s="14" t="s">
        <v>17</v>
      </c>
      <c r="C934" s="14" t="s">
        <v>2501</v>
      </c>
      <c r="D934" s="14" t="s">
        <v>2502</v>
      </c>
      <c r="E934" s="14" t="s">
        <v>2505</v>
      </c>
      <c r="F934" s="21">
        <v>2332.6</v>
      </c>
      <c r="G934" s="14">
        <v>926</v>
      </c>
      <c r="H934" s="14">
        <v>1</v>
      </c>
      <c r="I934" s="14">
        <v>29</v>
      </c>
      <c r="J934" s="22">
        <v>0.70366519844585795</v>
      </c>
      <c r="K934" s="22">
        <v>0.29633480155414199</v>
      </c>
      <c r="L934" s="14">
        <v>0</v>
      </c>
    </row>
    <row r="935" spans="1:12" x14ac:dyDescent="0.25">
      <c r="A935" s="13" t="s">
        <v>2506</v>
      </c>
      <c r="B935" s="14" t="s">
        <v>17</v>
      </c>
      <c r="C935" s="14" t="s">
        <v>5646</v>
      </c>
      <c r="D935" s="14" t="s">
        <v>2507</v>
      </c>
      <c r="E935" s="14" t="s">
        <v>6769</v>
      </c>
      <c r="F935" s="21">
        <v>2375.14</v>
      </c>
      <c r="G935" s="14">
        <v>905</v>
      </c>
      <c r="H935" s="14">
        <v>0</v>
      </c>
      <c r="I935" s="14">
        <v>15</v>
      </c>
      <c r="J935" s="22">
        <v>0.24400801818985399</v>
      </c>
      <c r="K935" s="22">
        <v>0.75599198181014604</v>
      </c>
      <c r="L935" s="14">
        <v>0</v>
      </c>
    </row>
    <row r="936" spans="1:12" x14ac:dyDescent="0.25">
      <c r="A936" s="13" t="s">
        <v>6770</v>
      </c>
      <c r="B936" s="14" t="s">
        <v>5453</v>
      </c>
      <c r="C936" s="14" t="s">
        <v>2509</v>
      </c>
      <c r="D936" s="14" t="s">
        <v>2510</v>
      </c>
      <c r="E936" s="14" t="s">
        <v>2511</v>
      </c>
      <c r="F936" s="21">
        <v>2262.6799999999998</v>
      </c>
      <c r="G936" s="14">
        <v>747</v>
      </c>
      <c r="H936" s="14">
        <v>1</v>
      </c>
      <c r="I936" s="14">
        <v>20</v>
      </c>
      <c r="J936" s="22">
        <v>8.1493322868774795E-2</v>
      </c>
      <c r="K936" s="22">
        <v>0.91850667713122502</v>
      </c>
      <c r="L936" s="14">
        <v>0</v>
      </c>
    </row>
    <row r="937" spans="1:12" ht="26.4" x14ac:dyDescent="0.25">
      <c r="A937" s="20" t="s">
        <v>6771</v>
      </c>
      <c r="B937" s="14" t="s">
        <v>69</v>
      </c>
      <c r="C937" s="14" t="s">
        <v>2513</v>
      </c>
      <c r="D937" s="14" t="s">
        <v>2514</v>
      </c>
      <c r="E937" s="14" t="s">
        <v>2515</v>
      </c>
      <c r="F937" s="21">
        <v>1938.26</v>
      </c>
      <c r="I937" s="14">
        <v>6</v>
      </c>
      <c r="J937" s="22">
        <v>0.83346416237467402</v>
      </c>
      <c r="K937" s="22">
        <v>0.16653583762532601</v>
      </c>
      <c r="L937" s="14">
        <v>0</v>
      </c>
    </row>
    <row r="938" spans="1:12" x14ac:dyDescent="0.25">
      <c r="A938" s="13">
        <v>23589301</v>
      </c>
      <c r="B938" s="14" t="s">
        <v>5329</v>
      </c>
      <c r="C938" s="14" t="s">
        <v>5651</v>
      </c>
      <c r="D938" s="14" t="s">
        <v>2339</v>
      </c>
      <c r="E938" s="14" t="s">
        <v>6772</v>
      </c>
      <c r="F938" s="21">
        <v>1055.07</v>
      </c>
      <c r="G938" s="14">
        <v>929</v>
      </c>
      <c r="H938" s="14">
        <v>0</v>
      </c>
      <c r="I938" s="14">
        <v>32</v>
      </c>
      <c r="J938" s="22">
        <v>0.96892215308032703</v>
      </c>
      <c r="K938" s="22">
        <v>3.10778469196729E-2</v>
      </c>
      <c r="L938" s="14">
        <v>0</v>
      </c>
    </row>
    <row r="939" spans="1:12" x14ac:dyDescent="0.25">
      <c r="A939" s="13">
        <v>22610094</v>
      </c>
      <c r="B939" s="14" t="s">
        <v>5322</v>
      </c>
      <c r="C939" s="14" t="s">
        <v>2338</v>
      </c>
      <c r="D939" s="14" t="s">
        <v>2339</v>
      </c>
      <c r="E939" s="14" t="s">
        <v>2517</v>
      </c>
      <c r="F939" s="21">
        <v>265.67</v>
      </c>
      <c r="I939" s="14">
        <v>46</v>
      </c>
      <c r="J939" s="22">
        <v>0.246301798698951</v>
      </c>
      <c r="K939" s="22">
        <v>0.75369820130104903</v>
      </c>
      <c r="L939" s="14">
        <v>0</v>
      </c>
    </row>
    <row r="940" spans="1:12" x14ac:dyDescent="0.25">
      <c r="A940" s="13" t="s">
        <v>2518</v>
      </c>
      <c r="B940" s="14" t="s">
        <v>5323</v>
      </c>
      <c r="C940" s="14" t="s">
        <v>2338</v>
      </c>
      <c r="D940" s="14" t="s">
        <v>2339</v>
      </c>
      <c r="E940" s="14" t="s">
        <v>2519</v>
      </c>
      <c r="F940" s="21">
        <v>1100</v>
      </c>
      <c r="G940" s="14">
        <v>490</v>
      </c>
      <c r="H940" s="14">
        <v>1</v>
      </c>
      <c r="I940" s="14">
        <v>41</v>
      </c>
      <c r="J940" s="22">
        <v>0.57582904581549899</v>
      </c>
      <c r="K940" s="22">
        <v>0.42417095418450101</v>
      </c>
      <c r="L940" s="14">
        <v>0</v>
      </c>
    </row>
    <row r="941" spans="1:12" x14ac:dyDescent="0.25">
      <c r="A941" s="13" t="s">
        <v>6773</v>
      </c>
      <c r="B941" s="14" t="s">
        <v>5324</v>
      </c>
      <c r="C941" s="14" t="s">
        <v>2338</v>
      </c>
      <c r="D941" s="14" t="s">
        <v>2339</v>
      </c>
      <c r="E941" s="14" t="s">
        <v>2521</v>
      </c>
      <c r="F941" s="21">
        <v>2259.64</v>
      </c>
      <c r="G941" s="14">
        <v>277</v>
      </c>
      <c r="H941" s="14">
        <v>0</v>
      </c>
      <c r="I941" s="14">
        <v>40</v>
      </c>
      <c r="J941" s="22">
        <v>2.1127198609880399E-3</v>
      </c>
      <c r="K941" s="22">
        <v>0.99788728013901196</v>
      </c>
      <c r="L941" s="14">
        <v>0</v>
      </c>
    </row>
    <row r="942" spans="1:12" x14ac:dyDescent="0.25">
      <c r="A942" s="13" t="s">
        <v>6774</v>
      </c>
      <c r="B942" s="14" t="s">
        <v>530</v>
      </c>
      <c r="C942" s="14" t="s">
        <v>2338</v>
      </c>
      <c r="D942" s="14" t="s">
        <v>2339</v>
      </c>
      <c r="E942" s="14" t="s">
        <v>2523</v>
      </c>
      <c r="F942" s="21">
        <v>955</v>
      </c>
      <c r="G942" s="14">
        <v>548</v>
      </c>
      <c r="H942" s="14">
        <v>1</v>
      </c>
      <c r="I942" s="14">
        <v>35</v>
      </c>
      <c r="J942" s="22">
        <v>0.42938385794649903</v>
      </c>
      <c r="K942" s="22">
        <v>0.57061614205350197</v>
      </c>
      <c r="L942" s="14">
        <v>0</v>
      </c>
    </row>
    <row r="943" spans="1:12" ht="26.4" x14ac:dyDescent="0.25">
      <c r="A943" s="20" t="s">
        <v>6775</v>
      </c>
      <c r="B943" s="14" t="s">
        <v>530</v>
      </c>
      <c r="C943" s="14" t="s">
        <v>2338</v>
      </c>
      <c r="D943" s="14" t="s">
        <v>2339</v>
      </c>
      <c r="E943" s="14" t="s">
        <v>2525</v>
      </c>
      <c r="F943" s="21">
        <v>969.68</v>
      </c>
      <c r="G943" s="14">
        <v>129</v>
      </c>
      <c r="H943" s="14">
        <v>1</v>
      </c>
      <c r="I943" s="14">
        <v>39</v>
      </c>
      <c r="J943" s="22">
        <v>0.41013409641670701</v>
      </c>
      <c r="K943" s="22">
        <v>0.58986590358329305</v>
      </c>
      <c r="L943" s="14">
        <v>0</v>
      </c>
    </row>
    <row r="944" spans="1:12" x14ac:dyDescent="0.25">
      <c r="A944" s="13" t="s">
        <v>6776</v>
      </c>
      <c r="B944" s="14" t="s">
        <v>530</v>
      </c>
      <c r="C944" s="14" t="s">
        <v>2338</v>
      </c>
      <c r="D944" s="14" t="s">
        <v>2339</v>
      </c>
      <c r="E944" s="14" t="s">
        <v>2527</v>
      </c>
      <c r="F944" s="21">
        <v>1019.71</v>
      </c>
      <c r="H944" s="14">
        <v>1</v>
      </c>
      <c r="I944" s="14" t="s">
        <v>6314</v>
      </c>
      <c r="J944" s="22">
        <v>0.27870010244357901</v>
      </c>
      <c r="K944" s="22">
        <v>0.72129989755642099</v>
      </c>
      <c r="L944" s="14">
        <v>1798</v>
      </c>
    </row>
    <row r="945" spans="1:12" x14ac:dyDescent="0.25">
      <c r="A945" s="13" t="s">
        <v>6777</v>
      </c>
      <c r="B945" s="14" t="s">
        <v>530</v>
      </c>
      <c r="C945" s="14" t="s">
        <v>2338</v>
      </c>
      <c r="D945" s="14" t="s">
        <v>2339</v>
      </c>
      <c r="E945" s="14" t="s">
        <v>2529</v>
      </c>
      <c r="F945" s="21">
        <v>1119.6099999999999</v>
      </c>
      <c r="G945" s="14">
        <v>916</v>
      </c>
      <c r="H945" s="14">
        <v>0</v>
      </c>
      <c r="I945" s="14">
        <v>31</v>
      </c>
      <c r="J945" s="22">
        <v>0.33384186217730699</v>
      </c>
      <c r="K945" s="22">
        <v>0.66615813782269295</v>
      </c>
      <c r="L945" s="14">
        <v>0</v>
      </c>
    </row>
    <row r="946" spans="1:12" x14ac:dyDescent="0.25">
      <c r="A946" s="13" t="s">
        <v>6778</v>
      </c>
      <c r="B946" s="14" t="s">
        <v>530</v>
      </c>
      <c r="C946" s="14" t="s">
        <v>2338</v>
      </c>
      <c r="D946" s="14" t="s">
        <v>2339</v>
      </c>
      <c r="E946" s="14" t="s">
        <v>2531</v>
      </c>
      <c r="F946" s="21">
        <v>1131.01</v>
      </c>
      <c r="G946" s="14">
        <v>641</v>
      </c>
      <c r="H946" s="14">
        <v>1</v>
      </c>
      <c r="I946" s="14">
        <v>13</v>
      </c>
      <c r="J946" s="22">
        <v>0.346976479833639</v>
      </c>
      <c r="K946" s="22">
        <v>0.653023520166361</v>
      </c>
      <c r="L946" s="14">
        <v>0</v>
      </c>
    </row>
    <row r="947" spans="1:12" ht="26.4" x14ac:dyDescent="0.25">
      <c r="A947" s="20" t="s">
        <v>6779</v>
      </c>
      <c r="B947" s="14" t="s">
        <v>530</v>
      </c>
      <c r="C947" s="14" t="s">
        <v>2338</v>
      </c>
      <c r="D947" s="14" t="s">
        <v>2339</v>
      </c>
      <c r="E947" s="14" t="s">
        <v>2533</v>
      </c>
      <c r="F947" s="21">
        <v>1137.51</v>
      </c>
      <c r="G947" s="14">
        <v>382</v>
      </c>
      <c r="H947" s="14">
        <v>0</v>
      </c>
      <c r="I947" s="14">
        <v>43</v>
      </c>
      <c r="J947" s="22">
        <v>0.50972035940869098</v>
      </c>
      <c r="K947" s="22">
        <v>0.49027964059130902</v>
      </c>
      <c r="L947" s="14">
        <v>0</v>
      </c>
    </row>
    <row r="948" spans="1:12" x14ac:dyDescent="0.25">
      <c r="A948" s="13" t="s">
        <v>6780</v>
      </c>
      <c r="B948" s="14" t="s">
        <v>530</v>
      </c>
      <c r="C948" s="14" t="s">
        <v>2338</v>
      </c>
      <c r="D948" s="14" t="s">
        <v>2339</v>
      </c>
      <c r="E948" s="14" t="s">
        <v>2535</v>
      </c>
      <c r="F948" s="21">
        <v>1152.72</v>
      </c>
      <c r="G948" s="14">
        <v>659</v>
      </c>
      <c r="H948" s="14">
        <v>1</v>
      </c>
      <c r="I948" s="14" t="s">
        <v>6314</v>
      </c>
      <c r="J948" s="22">
        <v>0.99718288796940902</v>
      </c>
      <c r="K948" s="22">
        <v>2.81711203059076E-3</v>
      </c>
      <c r="L948" s="14">
        <v>0</v>
      </c>
    </row>
    <row r="949" spans="1:12" x14ac:dyDescent="0.25">
      <c r="A949" s="13" t="s">
        <v>6781</v>
      </c>
      <c r="B949" s="14" t="s">
        <v>530</v>
      </c>
      <c r="C949" s="14" t="s">
        <v>2338</v>
      </c>
      <c r="D949" s="14" t="s">
        <v>2339</v>
      </c>
      <c r="E949" s="14" t="s">
        <v>2537</v>
      </c>
      <c r="F949" s="21">
        <v>1160.0899999999999</v>
      </c>
      <c r="G949" s="14">
        <v>1000</v>
      </c>
      <c r="H949" s="14">
        <v>0</v>
      </c>
      <c r="I949" s="14">
        <v>1</v>
      </c>
      <c r="J949" s="22">
        <v>0.62956995199346899</v>
      </c>
      <c r="K949" s="22">
        <v>0.37043004800653101</v>
      </c>
      <c r="L949" s="14">
        <v>0</v>
      </c>
    </row>
    <row r="950" spans="1:12" x14ac:dyDescent="0.25">
      <c r="A950" s="13" t="s">
        <v>6782</v>
      </c>
      <c r="B950" s="14" t="s">
        <v>530</v>
      </c>
      <c r="C950" s="14" t="s">
        <v>2338</v>
      </c>
      <c r="D950" s="14" t="s">
        <v>2339</v>
      </c>
      <c r="E950" s="14" t="s">
        <v>2539</v>
      </c>
      <c r="F950" s="21">
        <v>1166.8499999999999</v>
      </c>
      <c r="G950" s="14">
        <v>963</v>
      </c>
      <c r="H950" s="14">
        <v>0</v>
      </c>
      <c r="I950" s="14">
        <v>30</v>
      </c>
      <c r="J950" s="22">
        <v>3.8431096963014597E-2</v>
      </c>
      <c r="K950" s="22">
        <v>0.96156890303698495</v>
      </c>
      <c r="L950" s="14">
        <v>0</v>
      </c>
    </row>
    <row r="951" spans="1:12" ht="39.6" x14ac:dyDescent="0.25">
      <c r="A951" s="20" t="s">
        <v>6783</v>
      </c>
      <c r="B951" s="14" t="s">
        <v>530</v>
      </c>
      <c r="C951" s="14" t="s">
        <v>2338</v>
      </c>
      <c r="D951" s="14" t="s">
        <v>2339</v>
      </c>
      <c r="E951" s="14" t="s">
        <v>6784</v>
      </c>
      <c r="F951" s="21">
        <v>1261.44</v>
      </c>
      <c r="G951" s="14">
        <v>545</v>
      </c>
      <c r="H951" s="14">
        <v>0</v>
      </c>
      <c r="I951" s="14">
        <v>16</v>
      </c>
      <c r="J951" s="22">
        <v>0.14423736293220299</v>
      </c>
      <c r="K951" s="22">
        <v>0.85576263706779698</v>
      </c>
      <c r="L951" s="14">
        <v>0</v>
      </c>
    </row>
    <row r="952" spans="1:12" x14ac:dyDescent="0.25">
      <c r="A952" s="13" t="s">
        <v>2542</v>
      </c>
      <c r="B952" s="14" t="s">
        <v>530</v>
      </c>
      <c r="C952" s="14" t="s">
        <v>2338</v>
      </c>
      <c r="D952" s="14" t="s">
        <v>2339</v>
      </c>
      <c r="E952" s="14" t="s">
        <v>2543</v>
      </c>
      <c r="F952" s="21">
        <v>1276.08</v>
      </c>
      <c r="G952" s="14">
        <v>60</v>
      </c>
      <c r="H952" s="14">
        <v>1</v>
      </c>
      <c r="I952" s="14">
        <v>43</v>
      </c>
      <c r="J952" s="22">
        <v>0.68408260465160897</v>
      </c>
      <c r="K952" s="22">
        <v>0.31591739534839097</v>
      </c>
      <c r="L952" s="14">
        <v>0</v>
      </c>
    </row>
    <row r="953" spans="1:12" x14ac:dyDescent="0.25">
      <c r="A953" s="13" t="s">
        <v>2544</v>
      </c>
      <c r="B953" s="14" t="s">
        <v>530</v>
      </c>
      <c r="C953" s="14" t="s">
        <v>5652</v>
      </c>
      <c r="D953" s="14" t="s">
        <v>2339</v>
      </c>
      <c r="E953" s="14" t="s">
        <v>2545</v>
      </c>
      <c r="F953" s="21">
        <v>1540</v>
      </c>
      <c r="G953" s="14">
        <v>137</v>
      </c>
      <c r="H953" s="14">
        <v>1</v>
      </c>
      <c r="I953" s="14">
        <v>29</v>
      </c>
      <c r="J953" s="22">
        <v>0.42524856181791698</v>
      </c>
      <c r="K953" s="22">
        <v>0.57475143818208296</v>
      </c>
      <c r="L953" s="14">
        <v>0</v>
      </c>
    </row>
    <row r="954" spans="1:12" x14ac:dyDescent="0.25">
      <c r="A954" s="13" t="s">
        <v>2546</v>
      </c>
      <c r="B954" s="14" t="s">
        <v>530</v>
      </c>
      <c r="C954" s="14" t="s">
        <v>2338</v>
      </c>
      <c r="D954" s="14" t="s">
        <v>2339</v>
      </c>
      <c r="E954" s="14" t="s">
        <v>2547</v>
      </c>
      <c r="F954" s="21">
        <v>1586.36</v>
      </c>
      <c r="G954" s="14">
        <v>119</v>
      </c>
      <c r="H954" s="14">
        <v>0</v>
      </c>
      <c r="I954" s="14" t="s">
        <v>6314</v>
      </c>
      <c r="J954" s="22">
        <v>0.961761691836861</v>
      </c>
      <c r="K954" s="22">
        <v>3.82383081631388E-2</v>
      </c>
      <c r="L954" s="14">
        <v>0</v>
      </c>
    </row>
    <row r="955" spans="1:12" x14ac:dyDescent="0.25">
      <c r="A955" s="13">
        <v>3610976</v>
      </c>
      <c r="B955" s="14" t="s">
        <v>530</v>
      </c>
      <c r="C955" s="14" t="s">
        <v>2338</v>
      </c>
      <c r="D955" s="14" t="s">
        <v>2339</v>
      </c>
      <c r="E955" s="14" t="s">
        <v>2549</v>
      </c>
      <c r="F955" s="21">
        <v>1664.94</v>
      </c>
      <c r="G955" s="14">
        <v>864</v>
      </c>
      <c r="H955" s="14">
        <v>1</v>
      </c>
      <c r="I955" s="14">
        <v>2</v>
      </c>
      <c r="J955" s="22">
        <v>0.53047182623114797</v>
      </c>
      <c r="K955" s="22">
        <v>0.46952817376885297</v>
      </c>
      <c r="L955" s="14">
        <v>0</v>
      </c>
    </row>
    <row r="956" spans="1:12" ht="39.6" x14ac:dyDescent="0.25">
      <c r="A956" s="20" t="s">
        <v>6785</v>
      </c>
      <c r="B956" s="14" t="s">
        <v>530</v>
      </c>
      <c r="C956" s="14" t="s">
        <v>2338</v>
      </c>
      <c r="D956" s="14" t="s">
        <v>2339</v>
      </c>
      <c r="E956" s="14" t="s">
        <v>6786</v>
      </c>
      <c r="F956" s="21">
        <v>1743.84</v>
      </c>
      <c r="G956" s="14">
        <v>236</v>
      </c>
      <c r="H956" s="14">
        <v>0</v>
      </c>
      <c r="I956" s="14">
        <v>10</v>
      </c>
      <c r="J956" s="22">
        <v>0.90233889260474198</v>
      </c>
      <c r="K956" s="22">
        <v>9.7661107395257699E-2</v>
      </c>
      <c r="L956" s="14">
        <v>0</v>
      </c>
    </row>
    <row r="957" spans="1:12" x14ac:dyDescent="0.25">
      <c r="A957" s="13" t="s">
        <v>6787</v>
      </c>
      <c r="B957" s="14" t="s">
        <v>530</v>
      </c>
      <c r="C957" s="14" t="s">
        <v>2338</v>
      </c>
      <c r="D957" s="14" t="s">
        <v>2339</v>
      </c>
      <c r="E957" s="14" t="s">
        <v>2553</v>
      </c>
      <c r="F957" s="21">
        <v>2501.0700000000002</v>
      </c>
      <c r="H957" s="14">
        <v>0</v>
      </c>
      <c r="I957" s="14">
        <v>48</v>
      </c>
      <c r="J957" s="22">
        <v>0.30434666733673299</v>
      </c>
      <c r="K957" s="22">
        <v>0.69565333266326701</v>
      </c>
      <c r="L957" s="14">
        <v>0</v>
      </c>
    </row>
    <row r="958" spans="1:12" x14ac:dyDescent="0.25">
      <c r="A958" s="13">
        <v>3137072</v>
      </c>
      <c r="B958" s="14" t="s">
        <v>5325</v>
      </c>
      <c r="C958" s="14" t="s">
        <v>2338</v>
      </c>
      <c r="D958" s="14" t="s">
        <v>2339</v>
      </c>
      <c r="E958" s="14" t="s">
        <v>2555</v>
      </c>
      <c r="F958" s="21" t="s">
        <v>6788</v>
      </c>
      <c r="G958" s="14">
        <v>681</v>
      </c>
      <c r="H958" s="14">
        <v>1</v>
      </c>
      <c r="I958" s="14">
        <v>7</v>
      </c>
      <c r="J958" s="22">
        <v>0.82792045536466796</v>
      </c>
      <c r="K958" s="22">
        <v>0.17207954463533201</v>
      </c>
      <c r="L958" s="14">
        <v>0</v>
      </c>
    </row>
    <row r="959" spans="1:12" ht="39.6" x14ac:dyDescent="0.25">
      <c r="A959" s="13" t="s">
        <v>2556</v>
      </c>
      <c r="B959" s="14" t="s">
        <v>5325</v>
      </c>
      <c r="C959" s="14" t="s">
        <v>5653</v>
      </c>
      <c r="D959" s="14" t="s">
        <v>2339</v>
      </c>
      <c r="E959" s="23" t="s">
        <v>6789</v>
      </c>
      <c r="F959" s="21">
        <v>929.31</v>
      </c>
      <c r="G959" s="14">
        <v>659</v>
      </c>
      <c r="H959" s="14">
        <v>1</v>
      </c>
      <c r="I959" s="14">
        <v>8</v>
      </c>
      <c r="J959" s="22">
        <v>0.121667167532568</v>
      </c>
      <c r="K959" s="22">
        <v>0.87833283246743199</v>
      </c>
      <c r="L959" s="14">
        <v>0</v>
      </c>
    </row>
    <row r="960" spans="1:12" x14ac:dyDescent="0.25">
      <c r="A960" s="13" t="s">
        <v>6790</v>
      </c>
      <c r="B960" s="14" t="s">
        <v>5325</v>
      </c>
      <c r="C960" s="14" t="s">
        <v>2338</v>
      </c>
      <c r="D960" s="14" t="s">
        <v>2339</v>
      </c>
      <c r="E960" s="14" t="s">
        <v>2559</v>
      </c>
      <c r="F960" s="21">
        <v>992.01</v>
      </c>
      <c r="G960" s="14">
        <v>862</v>
      </c>
      <c r="H960" s="14">
        <v>0</v>
      </c>
      <c r="I960" s="14">
        <v>21</v>
      </c>
      <c r="J960" s="22">
        <v>8.7330508018849506E-2</v>
      </c>
      <c r="K960" s="22">
        <v>0.91266949198115099</v>
      </c>
      <c r="L960" s="14">
        <v>0</v>
      </c>
    </row>
    <row r="961" spans="1:12" x14ac:dyDescent="0.25">
      <c r="A961" s="13" t="s">
        <v>6791</v>
      </c>
      <c r="B961" s="14" t="s">
        <v>5325</v>
      </c>
      <c r="C961" s="14" t="s">
        <v>2338</v>
      </c>
      <c r="D961" s="14" t="s">
        <v>2339</v>
      </c>
      <c r="E961" s="14" t="s">
        <v>2561</v>
      </c>
      <c r="F961" s="21">
        <v>1134.5</v>
      </c>
      <c r="G961" s="14">
        <v>321</v>
      </c>
      <c r="H961" s="14">
        <v>0</v>
      </c>
      <c r="I961" s="14">
        <v>17</v>
      </c>
      <c r="J961" s="22">
        <v>0.68304247442335597</v>
      </c>
      <c r="K961" s="22">
        <v>0.31695752557664397</v>
      </c>
      <c r="L961" s="14">
        <v>0</v>
      </c>
    </row>
    <row r="962" spans="1:12" x14ac:dyDescent="0.25">
      <c r="A962" s="13" t="s">
        <v>6792</v>
      </c>
      <c r="B962" s="14" t="s">
        <v>5325</v>
      </c>
      <c r="C962" s="14" t="s">
        <v>2338</v>
      </c>
      <c r="D962" s="14" t="s">
        <v>2339</v>
      </c>
      <c r="E962" s="14" t="s">
        <v>2563</v>
      </c>
      <c r="F962" s="21" t="s">
        <v>6793</v>
      </c>
      <c r="G962" s="14">
        <v>370</v>
      </c>
      <c r="H962" s="14">
        <v>0</v>
      </c>
      <c r="I962" s="14">
        <v>48</v>
      </c>
      <c r="J962" s="22">
        <v>0.24986068482851101</v>
      </c>
      <c r="K962" s="22">
        <v>0.75013931517148902</v>
      </c>
      <c r="L962" s="14">
        <v>0</v>
      </c>
    </row>
    <row r="963" spans="1:12" x14ac:dyDescent="0.25">
      <c r="A963" s="13" t="s">
        <v>6794</v>
      </c>
      <c r="B963" s="14" t="s">
        <v>5325</v>
      </c>
      <c r="C963" s="14" t="s">
        <v>2338</v>
      </c>
      <c r="D963" s="14" t="s">
        <v>2339</v>
      </c>
      <c r="E963" s="14" t="s">
        <v>2565</v>
      </c>
      <c r="F963" s="21">
        <v>1225.26</v>
      </c>
      <c r="G963" s="14">
        <v>236</v>
      </c>
      <c r="H963" s="14">
        <v>0</v>
      </c>
      <c r="I963" s="14">
        <v>32</v>
      </c>
      <c r="J963" s="22">
        <v>0.58874818929700801</v>
      </c>
      <c r="K963" s="22">
        <v>0.41125181070299199</v>
      </c>
      <c r="L963" s="14">
        <v>0</v>
      </c>
    </row>
    <row r="964" spans="1:12" x14ac:dyDescent="0.25">
      <c r="A964" s="13" t="s">
        <v>6795</v>
      </c>
      <c r="B964" s="14" t="s">
        <v>5325</v>
      </c>
      <c r="C964" s="14" t="s">
        <v>2338</v>
      </c>
      <c r="D964" s="14" t="s">
        <v>2339</v>
      </c>
      <c r="E964" s="14" t="s">
        <v>2567</v>
      </c>
      <c r="F964" s="21">
        <v>1246.42</v>
      </c>
      <c r="G964" s="14">
        <v>704</v>
      </c>
      <c r="H964" s="14">
        <v>0</v>
      </c>
      <c r="I964" s="14">
        <v>3</v>
      </c>
      <c r="J964" s="22">
        <v>5.51299224447565E-2</v>
      </c>
      <c r="K964" s="22">
        <v>0.94487007755524399</v>
      </c>
      <c r="L964" s="14">
        <v>0</v>
      </c>
    </row>
    <row r="965" spans="1:12" x14ac:dyDescent="0.25">
      <c r="A965" s="13" t="s">
        <v>2568</v>
      </c>
      <c r="B965" s="14" t="s">
        <v>5325</v>
      </c>
      <c r="C965" s="14" t="s">
        <v>2338</v>
      </c>
      <c r="D965" s="14" t="s">
        <v>2339</v>
      </c>
      <c r="E965" s="14" t="s">
        <v>2569</v>
      </c>
      <c r="F965" s="21">
        <v>1246.76</v>
      </c>
      <c r="H965" s="14">
        <v>1</v>
      </c>
      <c r="I965" s="14">
        <v>23</v>
      </c>
      <c r="J965" s="22">
        <v>0.14062782314297601</v>
      </c>
      <c r="K965" s="22">
        <v>0.85937217685702405</v>
      </c>
      <c r="L965" s="14">
        <v>0</v>
      </c>
    </row>
    <row r="966" spans="1:12" x14ac:dyDescent="0.25">
      <c r="B966" s="14" t="s">
        <v>5325</v>
      </c>
      <c r="C966" s="14" t="s">
        <v>2338</v>
      </c>
      <c r="D966" s="14" t="s">
        <v>2339</v>
      </c>
      <c r="E966" s="14" t="s">
        <v>2570</v>
      </c>
      <c r="F966" s="21">
        <v>1260.9000000000001</v>
      </c>
      <c r="G966" s="14">
        <v>469</v>
      </c>
      <c r="H966" s="14">
        <v>1</v>
      </c>
      <c r="I966" s="14">
        <v>26</v>
      </c>
      <c r="J966" s="22">
        <v>0.63314350393018803</v>
      </c>
      <c r="K966" s="22">
        <v>0.36685649606981202</v>
      </c>
      <c r="L966" s="14">
        <v>0</v>
      </c>
    </row>
    <row r="967" spans="1:12" x14ac:dyDescent="0.25">
      <c r="A967" s="13">
        <v>3234717</v>
      </c>
      <c r="B967" s="14" t="s">
        <v>5325</v>
      </c>
      <c r="C967" s="14" t="s">
        <v>2338</v>
      </c>
      <c r="D967" s="14" t="s">
        <v>2339</v>
      </c>
      <c r="E967" s="14" t="s">
        <v>2572</v>
      </c>
      <c r="F967" s="21">
        <v>1276.08</v>
      </c>
      <c r="G967" s="14">
        <v>528</v>
      </c>
      <c r="H967" s="14">
        <v>0</v>
      </c>
      <c r="I967" s="14">
        <v>9</v>
      </c>
      <c r="J967" s="22">
        <v>0.93588153609070801</v>
      </c>
      <c r="K967" s="22">
        <v>6.4118463909291795E-2</v>
      </c>
      <c r="L967" s="14">
        <v>0</v>
      </c>
    </row>
    <row r="968" spans="1:12" x14ac:dyDescent="0.25">
      <c r="A968" s="13" t="s">
        <v>2573</v>
      </c>
      <c r="B968" s="14" t="s">
        <v>5325</v>
      </c>
      <c r="C968" s="14" t="s">
        <v>2338</v>
      </c>
      <c r="D968" s="14" t="s">
        <v>2339</v>
      </c>
      <c r="E968" s="14" t="s">
        <v>2574</v>
      </c>
      <c r="F968" s="21">
        <v>1286.8599999999999</v>
      </c>
      <c r="G968" s="14">
        <v>321</v>
      </c>
      <c r="H968" s="14">
        <v>1</v>
      </c>
      <c r="I968" s="14">
        <v>11</v>
      </c>
      <c r="J968" s="22">
        <v>0.10006413658197801</v>
      </c>
      <c r="K968" s="22">
        <v>0.89993586341802201</v>
      </c>
      <c r="L968" s="14">
        <v>0</v>
      </c>
    </row>
    <row r="969" spans="1:12" x14ac:dyDescent="0.25">
      <c r="A969" s="13">
        <v>3696646</v>
      </c>
      <c r="B969" s="14" t="s">
        <v>5325</v>
      </c>
      <c r="C969" s="14" t="s">
        <v>2338</v>
      </c>
      <c r="D969" s="14" t="s">
        <v>2339</v>
      </c>
      <c r="E969" s="14" t="s">
        <v>2576</v>
      </c>
      <c r="F969" s="21">
        <v>1287.75</v>
      </c>
      <c r="G969" s="14">
        <v>447</v>
      </c>
      <c r="H969" s="14">
        <v>1</v>
      </c>
      <c r="I969" s="14">
        <v>40</v>
      </c>
      <c r="J969" s="22">
        <v>0.58257187358207196</v>
      </c>
      <c r="K969" s="22">
        <v>0.41742812641792798</v>
      </c>
      <c r="L969" s="14">
        <v>0</v>
      </c>
    </row>
    <row r="970" spans="1:12" x14ac:dyDescent="0.25">
      <c r="A970" s="13" t="s">
        <v>2577</v>
      </c>
      <c r="B970" s="14" t="s">
        <v>5325</v>
      </c>
      <c r="C970" s="14" t="s">
        <v>2338</v>
      </c>
      <c r="D970" s="14" t="s">
        <v>2339</v>
      </c>
      <c r="E970" s="14" t="s">
        <v>2578</v>
      </c>
      <c r="F970" s="21">
        <v>1302.76</v>
      </c>
      <c r="H970" s="14">
        <v>1</v>
      </c>
      <c r="I970" s="14">
        <v>4</v>
      </c>
      <c r="J970" s="22">
        <v>0.82010818987872303</v>
      </c>
      <c r="K970" s="22">
        <v>0.179891810121277</v>
      </c>
      <c r="L970" s="14">
        <v>0</v>
      </c>
    </row>
    <row r="971" spans="1:12" x14ac:dyDescent="0.25">
      <c r="A971" s="13" t="s">
        <v>6796</v>
      </c>
      <c r="B971" s="14" t="s">
        <v>5325</v>
      </c>
      <c r="C971" s="14" t="s">
        <v>5652</v>
      </c>
      <c r="D971" s="14" t="s">
        <v>2339</v>
      </c>
      <c r="E971" s="14" t="s">
        <v>6797</v>
      </c>
      <c r="F971" s="21">
        <v>1314.53</v>
      </c>
      <c r="H971" s="14">
        <v>1</v>
      </c>
      <c r="I971" s="14">
        <v>1</v>
      </c>
      <c r="J971" s="22">
        <v>0.35396147853057303</v>
      </c>
      <c r="K971" s="22">
        <v>0.64603852146942697</v>
      </c>
      <c r="L971" s="14">
        <v>0</v>
      </c>
    </row>
    <row r="972" spans="1:12" x14ac:dyDescent="0.25">
      <c r="A972" s="13">
        <v>3431625</v>
      </c>
      <c r="B972" s="14" t="s">
        <v>5325</v>
      </c>
      <c r="C972" s="14" t="s">
        <v>2338</v>
      </c>
      <c r="D972" s="14" t="s">
        <v>2339</v>
      </c>
      <c r="E972" s="14" t="s">
        <v>2582</v>
      </c>
      <c r="F972" s="21">
        <v>1343.39</v>
      </c>
      <c r="G972" s="14">
        <v>167</v>
      </c>
      <c r="H972" s="14">
        <v>1</v>
      </c>
      <c r="I972" s="14">
        <v>40</v>
      </c>
      <c r="J972" s="22">
        <v>0.707465684561291</v>
      </c>
      <c r="K972" s="22">
        <v>0.292534315438709</v>
      </c>
      <c r="L972" s="14">
        <v>0</v>
      </c>
    </row>
    <row r="973" spans="1:12" x14ac:dyDescent="0.25">
      <c r="A973" s="13" t="s">
        <v>2583</v>
      </c>
      <c r="B973" s="14" t="s">
        <v>5325</v>
      </c>
      <c r="C973" s="14" t="s">
        <v>5653</v>
      </c>
      <c r="D973" s="14" t="s">
        <v>2339</v>
      </c>
      <c r="E973" s="14" t="s">
        <v>2584</v>
      </c>
      <c r="F973" s="21">
        <v>1443.99</v>
      </c>
      <c r="G973" s="14">
        <v>782</v>
      </c>
      <c r="H973" s="14">
        <v>1</v>
      </c>
      <c r="I973" s="14">
        <v>34</v>
      </c>
      <c r="J973" s="22">
        <v>0.94342129334695202</v>
      </c>
      <c r="K973" s="22">
        <v>5.65787066530479E-2</v>
      </c>
      <c r="L973" s="14">
        <v>0</v>
      </c>
    </row>
    <row r="974" spans="1:12" x14ac:dyDescent="0.25">
      <c r="A974" s="13" t="s">
        <v>6798</v>
      </c>
      <c r="B974" s="14" t="s">
        <v>5325</v>
      </c>
      <c r="C974" s="14" t="s">
        <v>2338</v>
      </c>
      <c r="D974" s="14" t="s">
        <v>2339</v>
      </c>
      <c r="E974" s="14" t="s">
        <v>2586</v>
      </c>
      <c r="F974" s="21">
        <v>1545.1</v>
      </c>
      <c r="G974" s="14">
        <v>231</v>
      </c>
      <c r="H974" s="14">
        <v>1</v>
      </c>
      <c r="I974" s="14" t="s">
        <v>6314</v>
      </c>
      <c r="J974" s="22">
        <v>0.17868173895848599</v>
      </c>
      <c r="K974" s="22">
        <v>0.82131826104151395</v>
      </c>
      <c r="L974" s="14">
        <v>0</v>
      </c>
    </row>
    <row r="975" spans="1:12" x14ac:dyDescent="0.25">
      <c r="A975" s="13" t="s">
        <v>2587</v>
      </c>
      <c r="B975" s="14" t="s">
        <v>5325</v>
      </c>
      <c r="C975" s="14" t="s">
        <v>2338</v>
      </c>
      <c r="D975" s="14" t="s">
        <v>2339</v>
      </c>
      <c r="E975" s="14" t="s">
        <v>2588</v>
      </c>
      <c r="F975" s="21">
        <v>1552.26</v>
      </c>
      <c r="G975" s="14">
        <v>850</v>
      </c>
      <c r="H975" s="14">
        <v>0</v>
      </c>
      <c r="I975" s="14">
        <v>38</v>
      </c>
      <c r="J975" s="22">
        <v>0.23050203212937201</v>
      </c>
      <c r="K975" s="22">
        <v>0.76949796787062796</v>
      </c>
      <c r="L975" s="14">
        <v>0</v>
      </c>
    </row>
    <row r="976" spans="1:12" x14ac:dyDescent="0.25">
      <c r="A976" s="13">
        <v>3121340</v>
      </c>
      <c r="B976" s="14" t="s">
        <v>5325</v>
      </c>
      <c r="C976" s="14" t="s">
        <v>2338</v>
      </c>
      <c r="D976" s="14" t="s">
        <v>2339</v>
      </c>
      <c r="E976" s="14" t="s">
        <v>6799</v>
      </c>
      <c r="F976" s="21">
        <v>1556.61</v>
      </c>
      <c r="G976" s="14">
        <v>748</v>
      </c>
      <c r="H976" s="14">
        <v>1</v>
      </c>
      <c r="I976" s="14">
        <v>38</v>
      </c>
      <c r="J976" s="22">
        <v>0.764928361215098</v>
      </c>
      <c r="K976" s="22">
        <v>0.235071638784902</v>
      </c>
      <c r="L976" s="14">
        <v>0</v>
      </c>
    </row>
    <row r="977" spans="1:12" x14ac:dyDescent="0.25">
      <c r="A977" s="13">
        <v>2952269</v>
      </c>
      <c r="B977" s="14" t="s">
        <v>5325</v>
      </c>
      <c r="C977" s="14" t="s">
        <v>2338</v>
      </c>
      <c r="D977" s="14" t="s">
        <v>2339</v>
      </c>
      <c r="E977" s="14" t="s">
        <v>2592</v>
      </c>
      <c r="F977" s="21">
        <v>1556.61</v>
      </c>
      <c r="G977" s="14">
        <v>196</v>
      </c>
      <c r="H977" s="14">
        <v>1</v>
      </c>
      <c r="I977" s="14">
        <v>39</v>
      </c>
      <c r="J977" s="22">
        <v>0.87727816352575205</v>
      </c>
      <c r="K977" s="22">
        <v>0.122721836474248</v>
      </c>
      <c r="L977" s="14">
        <v>0</v>
      </c>
    </row>
    <row r="978" spans="1:12" x14ac:dyDescent="0.25">
      <c r="A978" s="13" t="s">
        <v>2593</v>
      </c>
      <c r="B978" s="14" t="s">
        <v>5325</v>
      </c>
      <c r="C978" s="14" t="s">
        <v>5652</v>
      </c>
      <c r="D978" s="14" t="s">
        <v>2339</v>
      </c>
      <c r="E978" s="14" t="s">
        <v>2594</v>
      </c>
      <c r="F978" s="21">
        <v>1572.24</v>
      </c>
      <c r="G978" s="14">
        <v>507</v>
      </c>
      <c r="H978" s="14">
        <v>0</v>
      </c>
      <c r="I978" s="14">
        <v>31</v>
      </c>
      <c r="J978" s="22">
        <v>0.14017200060561899</v>
      </c>
      <c r="K978" s="22">
        <v>0.85982799939438104</v>
      </c>
      <c r="L978" s="14">
        <v>0</v>
      </c>
    </row>
    <row r="979" spans="1:12" x14ac:dyDescent="0.25">
      <c r="A979" s="13" t="s">
        <v>6800</v>
      </c>
      <c r="B979" s="14" t="s">
        <v>5325</v>
      </c>
      <c r="C979" s="14" t="s">
        <v>2338</v>
      </c>
      <c r="D979" s="14" t="s">
        <v>2339</v>
      </c>
      <c r="E979" s="14" t="s">
        <v>2596</v>
      </c>
      <c r="F979" s="21">
        <v>1580.47</v>
      </c>
      <c r="G979" s="14">
        <v>219</v>
      </c>
      <c r="H979" s="14">
        <v>0</v>
      </c>
      <c r="I979" s="14">
        <v>29</v>
      </c>
      <c r="J979" s="22">
        <v>0.15786279842238099</v>
      </c>
      <c r="K979" s="22">
        <v>0.84213720157761895</v>
      </c>
      <c r="L979" s="14">
        <v>0</v>
      </c>
    </row>
    <row r="980" spans="1:12" x14ac:dyDescent="0.25">
      <c r="A980" s="13" t="s">
        <v>2597</v>
      </c>
      <c r="B980" s="14" t="s">
        <v>5325</v>
      </c>
      <c r="C980" s="14" t="s">
        <v>2338</v>
      </c>
      <c r="D980" s="14" t="s">
        <v>2339</v>
      </c>
      <c r="E980" s="14" t="s">
        <v>2598</v>
      </c>
      <c r="F980" s="21">
        <v>1600.25</v>
      </c>
      <c r="G980" s="14">
        <v>753</v>
      </c>
      <c r="H980" s="14">
        <v>1</v>
      </c>
      <c r="I980" s="14">
        <v>35</v>
      </c>
      <c r="J980" s="22">
        <v>0.36972018143455998</v>
      </c>
      <c r="K980" s="22">
        <v>0.63027981856544002</v>
      </c>
      <c r="L980" s="14">
        <v>0</v>
      </c>
    </row>
    <row r="981" spans="1:12" x14ac:dyDescent="0.25">
      <c r="A981" s="13" t="s">
        <v>6069</v>
      </c>
      <c r="B981" s="14" t="s">
        <v>5325</v>
      </c>
      <c r="C981" s="14" t="s">
        <v>2338</v>
      </c>
      <c r="D981" s="14" t="s">
        <v>2339</v>
      </c>
      <c r="E981" s="14" t="s">
        <v>2600</v>
      </c>
      <c r="F981" s="21">
        <v>1609.66</v>
      </c>
      <c r="G981" s="14">
        <v>290</v>
      </c>
      <c r="I981" s="14">
        <v>25</v>
      </c>
      <c r="J981" s="22">
        <v>0.95486544693562603</v>
      </c>
      <c r="K981" s="22">
        <v>4.5134553064374403E-2</v>
      </c>
      <c r="L981" s="14">
        <v>0</v>
      </c>
    </row>
    <row r="982" spans="1:12" x14ac:dyDescent="0.25">
      <c r="A982" s="13" t="s">
        <v>2601</v>
      </c>
      <c r="B982" s="14" t="s">
        <v>5325</v>
      </c>
      <c r="C982" s="14" t="s">
        <v>2338</v>
      </c>
      <c r="D982" s="14" t="s">
        <v>2339</v>
      </c>
      <c r="E982" s="14" t="s">
        <v>2602</v>
      </c>
      <c r="F982" s="21">
        <v>1610.31</v>
      </c>
      <c r="G982" s="14">
        <v>881</v>
      </c>
      <c r="H982" s="14">
        <v>0</v>
      </c>
      <c r="I982" s="14">
        <v>13</v>
      </c>
      <c r="J982" s="22">
        <v>0.874075924224061</v>
      </c>
      <c r="K982" s="22">
        <v>0.125924075775939</v>
      </c>
      <c r="L982" s="14">
        <v>0</v>
      </c>
    </row>
    <row r="983" spans="1:12" x14ac:dyDescent="0.25">
      <c r="A983" s="13" t="s">
        <v>2603</v>
      </c>
      <c r="B983" s="14" t="s">
        <v>5325</v>
      </c>
      <c r="C983" s="14" t="s">
        <v>2338</v>
      </c>
      <c r="D983" s="14" t="s">
        <v>2339</v>
      </c>
      <c r="E983" s="14" t="s">
        <v>2604</v>
      </c>
      <c r="F983" s="21">
        <v>1621.62</v>
      </c>
      <c r="G983" s="14">
        <v>751</v>
      </c>
      <c r="H983" s="14">
        <v>0</v>
      </c>
      <c r="I983" s="14">
        <v>34</v>
      </c>
      <c r="J983" s="22">
        <v>6.8582104947824393E-2</v>
      </c>
      <c r="K983" s="22">
        <v>0.93141789505217598</v>
      </c>
      <c r="L983" s="14">
        <v>0</v>
      </c>
    </row>
    <row r="984" spans="1:12" x14ac:dyDescent="0.25">
      <c r="A984" s="13">
        <v>2797226</v>
      </c>
      <c r="B984" s="14" t="s">
        <v>5325</v>
      </c>
      <c r="C984" s="14" t="s">
        <v>2338</v>
      </c>
      <c r="D984" s="14" t="s">
        <v>2339</v>
      </c>
      <c r="E984" s="14" t="s">
        <v>2606</v>
      </c>
      <c r="F984" s="21">
        <v>1707.08</v>
      </c>
      <c r="G984" s="14">
        <v>410</v>
      </c>
      <c r="H984" s="14">
        <v>0</v>
      </c>
      <c r="I984" s="14">
        <v>43</v>
      </c>
      <c r="J984" s="22">
        <v>0.42442599811671999</v>
      </c>
      <c r="K984" s="22">
        <v>0.57557400188328001</v>
      </c>
      <c r="L984" s="14">
        <v>0</v>
      </c>
    </row>
    <row r="985" spans="1:12" x14ac:dyDescent="0.25">
      <c r="A985" s="13" t="s">
        <v>2607</v>
      </c>
      <c r="B985" s="14" t="s">
        <v>5325</v>
      </c>
      <c r="C985" s="14" t="s">
        <v>2338</v>
      </c>
      <c r="D985" s="14" t="s">
        <v>2339</v>
      </c>
      <c r="E985" s="14" t="s">
        <v>2608</v>
      </c>
      <c r="F985" s="21">
        <v>1763.21</v>
      </c>
      <c r="G985" s="14">
        <v>374</v>
      </c>
      <c r="H985" s="14">
        <v>1</v>
      </c>
      <c r="I985" s="14" t="s">
        <v>6314</v>
      </c>
      <c r="J985" s="22">
        <v>0.88188261668585499</v>
      </c>
      <c r="K985" s="22">
        <v>0.11811738331414499</v>
      </c>
      <c r="L985" s="14">
        <v>0</v>
      </c>
    </row>
    <row r="986" spans="1:12" x14ac:dyDescent="0.25">
      <c r="A986" s="13">
        <v>2898433</v>
      </c>
      <c r="B986" s="14" t="s">
        <v>5325</v>
      </c>
      <c r="C986" s="14" t="s">
        <v>2338</v>
      </c>
      <c r="D986" s="14" t="s">
        <v>2339</v>
      </c>
      <c r="E986" s="14" t="s">
        <v>2610</v>
      </c>
      <c r="F986" s="21">
        <v>2003.13</v>
      </c>
      <c r="G986" s="14">
        <v>496</v>
      </c>
      <c r="H986" s="14">
        <v>0</v>
      </c>
      <c r="I986" s="14">
        <v>8</v>
      </c>
      <c r="J986" s="22">
        <v>6.11405648999193E-2</v>
      </c>
      <c r="K986" s="22">
        <v>0.93885943510008096</v>
      </c>
      <c r="L986" s="14">
        <v>0</v>
      </c>
    </row>
    <row r="987" spans="1:12" x14ac:dyDescent="0.25">
      <c r="A987" s="13">
        <v>3397837</v>
      </c>
      <c r="B987" s="14" t="s">
        <v>5325</v>
      </c>
      <c r="C987" s="14" t="s">
        <v>2338</v>
      </c>
      <c r="D987" s="14" t="s">
        <v>2339</v>
      </c>
      <c r="E987" s="14" t="s">
        <v>2612</v>
      </c>
      <c r="F987" s="21">
        <v>2032.22</v>
      </c>
      <c r="G987" s="14">
        <v>66</v>
      </c>
      <c r="H987" s="14">
        <v>1</v>
      </c>
      <c r="I987" s="14">
        <v>2</v>
      </c>
      <c r="J987" s="22">
        <v>0.23041183896654199</v>
      </c>
      <c r="K987" s="22">
        <v>0.76958816103345795</v>
      </c>
      <c r="L987" s="14">
        <v>0</v>
      </c>
    </row>
    <row r="988" spans="1:12" x14ac:dyDescent="0.25">
      <c r="A988" s="13" t="s">
        <v>6801</v>
      </c>
      <c r="B988" s="14" t="s">
        <v>5325</v>
      </c>
      <c r="C988" s="14" t="s">
        <v>2338</v>
      </c>
      <c r="D988" s="14" t="s">
        <v>2339</v>
      </c>
      <c r="E988" s="14" t="s">
        <v>2614</v>
      </c>
      <c r="F988" s="21">
        <v>2311.5700000000002</v>
      </c>
      <c r="G988" s="14">
        <v>112</v>
      </c>
      <c r="H988" s="14">
        <v>0</v>
      </c>
      <c r="I988" s="14">
        <v>20</v>
      </c>
      <c r="J988" s="22">
        <v>0.30446005599022902</v>
      </c>
      <c r="K988" s="22">
        <v>0.69553994400977104</v>
      </c>
      <c r="L988" s="14">
        <v>0</v>
      </c>
    </row>
    <row r="989" spans="1:12" x14ac:dyDescent="0.25">
      <c r="A989" s="13">
        <v>2975197</v>
      </c>
      <c r="B989" s="14" t="s">
        <v>5325</v>
      </c>
      <c r="C989" s="14" t="s">
        <v>2338</v>
      </c>
      <c r="D989" s="14" t="s">
        <v>2339</v>
      </c>
      <c r="E989" s="14" t="s">
        <v>2616</v>
      </c>
      <c r="F989" s="21">
        <v>2344.79</v>
      </c>
      <c r="G989" s="14">
        <v>864</v>
      </c>
      <c r="H989" s="14">
        <v>0</v>
      </c>
      <c r="I989" s="14">
        <v>43</v>
      </c>
      <c r="J989" s="22">
        <v>0.35446256887087801</v>
      </c>
      <c r="K989" s="22">
        <v>0.64553743112912199</v>
      </c>
      <c r="L989" s="14">
        <v>0</v>
      </c>
    </row>
    <row r="990" spans="1:12" x14ac:dyDescent="0.25">
      <c r="A990" s="13" t="s">
        <v>6802</v>
      </c>
      <c r="B990" s="14" t="s">
        <v>5328</v>
      </c>
      <c r="C990" s="14" t="s">
        <v>2338</v>
      </c>
      <c r="D990" s="14" t="s">
        <v>2339</v>
      </c>
      <c r="E990" s="14" t="s">
        <v>2618</v>
      </c>
      <c r="F990" s="21">
        <v>1188.3900000000001</v>
      </c>
      <c r="G990" s="14">
        <v>651</v>
      </c>
      <c r="H990" s="14">
        <v>1</v>
      </c>
      <c r="I990" s="14">
        <v>41</v>
      </c>
      <c r="J990" s="22">
        <v>0.87908142952851198</v>
      </c>
      <c r="K990" s="22">
        <v>0.120918570471488</v>
      </c>
      <c r="L990" s="14">
        <v>0</v>
      </c>
    </row>
    <row r="991" spans="1:12" x14ac:dyDescent="0.25">
      <c r="A991" s="13" t="s">
        <v>6803</v>
      </c>
      <c r="B991" s="14" t="s">
        <v>6804</v>
      </c>
      <c r="C991" s="14" t="s">
        <v>2338</v>
      </c>
      <c r="D991" s="14" t="s">
        <v>2339</v>
      </c>
      <c r="E991" s="14" t="s">
        <v>2620</v>
      </c>
      <c r="F991" s="21">
        <v>1804</v>
      </c>
      <c r="H991" s="14">
        <v>0</v>
      </c>
      <c r="I991" s="14">
        <v>49</v>
      </c>
      <c r="J991" s="22">
        <v>0.36488178582527198</v>
      </c>
      <c r="K991" s="22">
        <v>0.63511821417472802</v>
      </c>
      <c r="L991" s="14">
        <v>0</v>
      </c>
    </row>
    <row r="992" spans="1:12" x14ac:dyDescent="0.25">
      <c r="A992" s="13" t="s">
        <v>6805</v>
      </c>
      <c r="B992" s="14" t="s">
        <v>69</v>
      </c>
      <c r="C992" s="14" t="s">
        <v>2622</v>
      </c>
      <c r="D992" s="14" t="s">
        <v>2623</v>
      </c>
      <c r="E992" s="14" t="s">
        <v>2624</v>
      </c>
      <c r="F992" s="21">
        <v>2226.16</v>
      </c>
      <c r="H992" s="14">
        <v>0</v>
      </c>
      <c r="I992" s="14">
        <v>31</v>
      </c>
      <c r="J992" s="22">
        <v>0.267898870482843</v>
      </c>
      <c r="K992" s="22">
        <v>0.732101129517157</v>
      </c>
      <c r="L992" s="14">
        <v>0</v>
      </c>
    </row>
    <row r="993" spans="1:12" x14ac:dyDescent="0.25">
      <c r="B993" s="14" t="s">
        <v>2291</v>
      </c>
      <c r="C993" s="14" t="s">
        <v>2625</v>
      </c>
      <c r="D993" s="14" t="s">
        <v>2626</v>
      </c>
      <c r="E993" s="14" t="s">
        <v>2627</v>
      </c>
      <c r="F993" s="21">
        <v>135.29</v>
      </c>
      <c r="H993" s="14">
        <v>0</v>
      </c>
      <c r="I993" s="14" t="s">
        <v>6314</v>
      </c>
      <c r="J993" s="22">
        <v>0.24261284652402099</v>
      </c>
      <c r="K993" s="22">
        <v>0.75738715347597896</v>
      </c>
      <c r="L993" s="14">
        <v>0</v>
      </c>
    </row>
    <row r="994" spans="1:12" x14ac:dyDescent="0.25">
      <c r="A994" s="13" t="s">
        <v>2628</v>
      </c>
      <c r="B994" s="14" t="s">
        <v>86</v>
      </c>
      <c r="C994" s="14" t="s">
        <v>2629</v>
      </c>
      <c r="D994" s="14" t="s">
        <v>2630</v>
      </c>
      <c r="E994" s="14" t="s">
        <v>2631</v>
      </c>
      <c r="F994" s="21">
        <v>755.45</v>
      </c>
      <c r="G994" s="14">
        <v>666</v>
      </c>
      <c r="H994" s="14">
        <v>0</v>
      </c>
      <c r="I994" s="14">
        <v>8</v>
      </c>
      <c r="J994" s="22">
        <v>0.52925415493489703</v>
      </c>
      <c r="K994" s="22">
        <v>0.47074584506510297</v>
      </c>
      <c r="L994" s="14">
        <v>0</v>
      </c>
    </row>
    <row r="995" spans="1:12" x14ac:dyDescent="0.25">
      <c r="A995" s="13" t="s">
        <v>6806</v>
      </c>
      <c r="B995" s="14" t="s">
        <v>5488</v>
      </c>
      <c r="C995" s="14" t="s">
        <v>2633</v>
      </c>
      <c r="D995" s="14" t="s">
        <v>2634</v>
      </c>
      <c r="E995" s="14" t="s">
        <v>2635</v>
      </c>
      <c r="F995" s="21">
        <v>2380.96</v>
      </c>
      <c r="H995" s="14">
        <v>0</v>
      </c>
      <c r="I995" s="14" t="s">
        <v>6314</v>
      </c>
      <c r="J995" s="22">
        <v>0.55417365102544403</v>
      </c>
      <c r="K995" s="22">
        <v>0.44582634897455597</v>
      </c>
      <c r="L995" s="14">
        <v>0</v>
      </c>
    </row>
    <row r="996" spans="1:12" x14ac:dyDescent="0.25">
      <c r="A996" s="13" t="s">
        <v>6807</v>
      </c>
      <c r="B996" s="14" t="s">
        <v>5462</v>
      </c>
      <c r="C996" s="14" t="s">
        <v>2357</v>
      </c>
      <c r="D996" s="14" t="s">
        <v>2358</v>
      </c>
      <c r="E996" s="14" t="s">
        <v>2637</v>
      </c>
      <c r="F996" s="21">
        <v>2400</v>
      </c>
      <c r="G996" s="14">
        <v>281</v>
      </c>
      <c r="H996" s="14">
        <v>0</v>
      </c>
      <c r="I996" s="14">
        <v>23</v>
      </c>
      <c r="J996" s="22">
        <v>0.13793396266069799</v>
      </c>
      <c r="K996" s="22">
        <v>0.86206603733930198</v>
      </c>
      <c r="L996" s="14">
        <v>0</v>
      </c>
    </row>
    <row r="997" spans="1:12" x14ac:dyDescent="0.25">
      <c r="A997" s="13" t="s">
        <v>2638</v>
      </c>
      <c r="B997" s="14" t="s">
        <v>5463</v>
      </c>
      <c r="C997" s="14" t="s">
        <v>2357</v>
      </c>
      <c r="D997" s="14" t="s">
        <v>2358</v>
      </c>
      <c r="E997" s="14" t="s">
        <v>6808</v>
      </c>
      <c r="F997" s="21">
        <v>1620</v>
      </c>
      <c r="H997" s="14">
        <v>0</v>
      </c>
      <c r="I997" s="14">
        <v>27</v>
      </c>
      <c r="J997" s="22">
        <v>0.43003022851603001</v>
      </c>
      <c r="K997" s="22">
        <v>0.56996977148396999</v>
      </c>
      <c r="L997" s="14">
        <v>0</v>
      </c>
    </row>
    <row r="998" spans="1:12" x14ac:dyDescent="0.25">
      <c r="A998" s="13">
        <v>3613178</v>
      </c>
      <c r="B998" s="14" t="s">
        <v>5463</v>
      </c>
      <c r="C998" s="14" t="s">
        <v>2357</v>
      </c>
      <c r="D998" s="14" t="s">
        <v>2358</v>
      </c>
      <c r="E998" s="14" t="s">
        <v>6809</v>
      </c>
      <c r="F998" s="21">
        <v>1620</v>
      </c>
      <c r="G998" s="14">
        <v>186</v>
      </c>
      <c r="H998" s="14">
        <v>0</v>
      </c>
      <c r="I998" s="14" t="s">
        <v>6314</v>
      </c>
      <c r="J998" s="22">
        <v>2.47795944301815E-2</v>
      </c>
      <c r="K998" s="22">
        <v>0.97522040556981904</v>
      </c>
      <c r="L998" s="14">
        <v>0</v>
      </c>
    </row>
    <row r="999" spans="1:12" x14ac:dyDescent="0.25">
      <c r="A999" s="13">
        <v>3613179</v>
      </c>
      <c r="B999" s="14" t="s">
        <v>5463</v>
      </c>
      <c r="C999" s="14" t="s">
        <v>2357</v>
      </c>
      <c r="D999" s="14" t="s">
        <v>2358</v>
      </c>
      <c r="E999" s="14" t="s">
        <v>2643</v>
      </c>
      <c r="F999" s="21">
        <v>1620</v>
      </c>
      <c r="G999" s="14">
        <v>461</v>
      </c>
      <c r="H999" s="14">
        <v>1</v>
      </c>
      <c r="I999" s="14">
        <v>14</v>
      </c>
      <c r="J999" s="22">
        <v>0.70187598762104098</v>
      </c>
      <c r="K999" s="22">
        <v>0.29812401237895902</v>
      </c>
      <c r="L999" s="14">
        <v>0</v>
      </c>
    </row>
    <row r="1000" spans="1:12" x14ac:dyDescent="0.25">
      <c r="A1000" s="13" t="s">
        <v>6079</v>
      </c>
      <c r="B1000" s="14" t="s">
        <v>5463</v>
      </c>
      <c r="C1000" s="14" t="s">
        <v>2357</v>
      </c>
      <c r="D1000" s="14" t="s">
        <v>2358</v>
      </c>
      <c r="E1000" s="14" t="s">
        <v>2645</v>
      </c>
      <c r="F1000" s="21">
        <v>2400</v>
      </c>
      <c r="G1000" s="14">
        <v>430</v>
      </c>
      <c r="H1000" s="14">
        <v>1</v>
      </c>
      <c r="I1000" s="14">
        <v>45</v>
      </c>
      <c r="J1000" s="22">
        <v>0.110403086365295</v>
      </c>
      <c r="K1000" s="22">
        <v>0.88959691363470506</v>
      </c>
      <c r="L1000" s="14">
        <v>0</v>
      </c>
    </row>
    <row r="1001" spans="1:12" x14ac:dyDescent="0.25">
      <c r="B1001" s="14" t="s">
        <v>5463</v>
      </c>
      <c r="C1001" s="14" t="s">
        <v>2357</v>
      </c>
      <c r="D1001" s="14" t="s">
        <v>2358</v>
      </c>
      <c r="E1001" s="14" t="s">
        <v>2646</v>
      </c>
      <c r="F1001" s="21">
        <v>2400</v>
      </c>
      <c r="H1001" s="14">
        <v>0</v>
      </c>
      <c r="I1001" s="14">
        <v>24</v>
      </c>
      <c r="J1001" s="22">
        <v>0.283733380730606</v>
      </c>
      <c r="K1001" s="22">
        <v>0.71626661926939394</v>
      </c>
      <c r="L1001" s="14">
        <v>0</v>
      </c>
    </row>
    <row r="1002" spans="1:12" x14ac:dyDescent="0.25">
      <c r="A1002" s="13" t="s">
        <v>6810</v>
      </c>
      <c r="B1002" s="14" t="s">
        <v>5464</v>
      </c>
      <c r="C1002" s="14" t="s">
        <v>2357</v>
      </c>
      <c r="D1002" s="14" t="s">
        <v>2358</v>
      </c>
      <c r="E1002" s="14" t="s">
        <v>2647</v>
      </c>
      <c r="F1002" s="21">
        <v>2000</v>
      </c>
      <c r="G1002" s="14">
        <v>923</v>
      </c>
      <c r="H1002" s="14">
        <v>0</v>
      </c>
      <c r="I1002" s="14">
        <v>45</v>
      </c>
      <c r="J1002" s="22">
        <v>0.132276174114492</v>
      </c>
      <c r="K1002" s="22">
        <v>0.867723825885508</v>
      </c>
      <c r="L1002" s="14">
        <v>0</v>
      </c>
    </row>
    <row r="1003" spans="1:12" x14ac:dyDescent="0.25">
      <c r="A1003" s="13" t="s">
        <v>2648</v>
      </c>
      <c r="B1003" s="14" t="s">
        <v>525</v>
      </c>
      <c r="C1003" s="14" t="s">
        <v>2357</v>
      </c>
      <c r="D1003" s="14" t="s">
        <v>2358</v>
      </c>
      <c r="E1003" s="14" t="s">
        <v>2649</v>
      </c>
      <c r="F1003" s="21">
        <v>2400</v>
      </c>
      <c r="G1003" s="14">
        <v>478</v>
      </c>
      <c r="H1003" s="14">
        <v>0</v>
      </c>
      <c r="I1003" s="14">
        <v>10</v>
      </c>
      <c r="J1003" s="22">
        <v>0.97758795716240199</v>
      </c>
      <c r="K1003" s="22">
        <v>2.2412042837598099E-2</v>
      </c>
      <c r="L1003" s="14">
        <v>0</v>
      </c>
    </row>
    <row r="1004" spans="1:12" x14ac:dyDescent="0.25">
      <c r="A1004" s="13">
        <v>41609</v>
      </c>
      <c r="B1004" s="14" t="s">
        <v>86</v>
      </c>
      <c r="C1004" s="14" t="s">
        <v>2650</v>
      </c>
      <c r="D1004" s="14" t="s">
        <v>2651</v>
      </c>
      <c r="E1004" s="14" t="s">
        <v>2652</v>
      </c>
      <c r="F1004" s="21">
        <v>1971.87</v>
      </c>
      <c r="G1004" s="14">
        <v>544</v>
      </c>
      <c r="H1004" s="14">
        <v>0</v>
      </c>
      <c r="I1004" s="14">
        <v>38</v>
      </c>
      <c r="J1004" s="22">
        <v>7.7816077241901302E-2</v>
      </c>
      <c r="K1004" s="22">
        <v>0.92218392275809902</v>
      </c>
      <c r="L1004" s="14">
        <v>0</v>
      </c>
    </row>
    <row r="1005" spans="1:12" x14ac:dyDescent="0.25">
      <c r="A1005" s="13">
        <v>3790930</v>
      </c>
      <c r="B1005" s="14" t="s">
        <v>5411</v>
      </c>
      <c r="C1005" s="14" t="s">
        <v>2654</v>
      </c>
      <c r="D1005" s="14" t="s">
        <v>2655</v>
      </c>
      <c r="E1005" s="14" t="s">
        <v>2656</v>
      </c>
      <c r="F1005" s="21">
        <v>1920</v>
      </c>
      <c r="G1005" s="14">
        <v>982</v>
      </c>
      <c r="H1005" s="14">
        <v>0</v>
      </c>
      <c r="I1005" s="14">
        <v>1</v>
      </c>
      <c r="J1005" s="22">
        <v>0.62004724965788505</v>
      </c>
      <c r="K1005" s="22">
        <v>0.37995275034211501</v>
      </c>
      <c r="L1005" s="14">
        <v>0</v>
      </c>
    </row>
    <row r="1006" spans="1:12" ht="26.4" x14ac:dyDescent="0.25">
      <c r="A1006" s="20" t="s">
        <v>6811</v>
      </c>
      <c r="B1006" s="14" t="s">
        <v>5411</v>
      </c>
      <c r="C1006" s="14" t="s">
        <v>5658</v>
      </c>
      <c r="D1006" s="14" t="s">
        <v>2655</v>
      </c>
      <c r="E1006" s="14" t="s">
        <v>2658</v>
      </c>
      <c r="F1006" s="21">
        <v>2040</v>
      </c>
      <c r="G1006" s="14">
        <v>279</v>
      </c>
      <c r="H1006" s="14">
        <v>0</v>
      </c>
      <c r="I1006" s="14">
        <v>20</v>
      </c>
      <c r="J1006" s="22">
        <v>0.21378531650083399</v>
      </c>
      <c r="K1006" s="22">
        <v>0.78621468349916601</v>
      </c>
      <c r="L1006" s="14">
        <v>0</v>
      </c>
    </row>
    <row r="1007" spans="1:12" x14ac:dyDescent="0.25">
      <c r="A1007" s="13" t="s">
        <v>6812</v>
      </c>
      <c r="B1007" s="14" t="s">
        <v>5317</v>
      </c>
      <c r="C1007" s="14" t="s">
        <v>2660</v>
      </c>
      <c r="D1007" s="14" t="s">
        <v>2661</v>
      </c>
      <c r="E1007" s="14" t="s">
        <v>2662</v>
      </c>
      <c r="F1007" s="21">
        <v>1329.69</v>
      </c>
      <c r="G1007" s="14">
        <v>904</v>
      </c>
      <c r="H1007" s="14">
        <v>1</v>
      </c>
      <c r="I1007" s="14">
        <v>22</v>
      </c>
      <c r="J1007" s="22">
        <v>0.202143312347494</v>
      </c>
      <c r="K1007" s="22">
        <v>0.79785668765250595</v>
      </c>
      <c r="L1007" s="14">
        <v>0</v>
      </c>
    </row>
    <row r="1008" spans="1:12" x14ac:dyDescent="0.25">
      <c r="A1008" s="13" t="s">
        <v>2663</v>
      </c>
      <c r="B1008" s="14" t="s">
        <v>148</v>
      </c>
      <c r="C1008" s="14" t="s">
        <v>2664</v>
      </c>
      <c r="D1008" s="14" t="s">
        <v>2427</v>
      </c>
      <c r="E1008" s="14" t="s">
        <v>2665</v>
      </c>
      <c r="F1008" s="21">
        <v>882.12</v>
      </c>
      <c r="G1008" s="14">
        <v>529</v>
      </c>
      <c r="H1008" s="14">
        <v>0</v>
      </c>
      <c r="I1008" s="14">
        <v>43</v>
      </c>
      <c r="J1008" s="22">
        <v>0.86529475599897998</v>
      </c>
      <c r="K1008" s="22">
        <v>0.13470524400101999</v>
      </c>
      <c r="L1008" s="14">
        <v>0</v>
      </c>
    </row>
    <row r="1009" spans="1:12" x14ac:dyDescent="0.25">
      <c r="A1009" s="13">
        <v>3796855</v>
      </c>
      <c r="B1009" s="14" t="s">
        <v>86</v>
      </c>
      <c r="C1009" s="14" t="s">
        <v>2667</v>
      </c>
      <c r="D1009" s="14" t="s">
        <v>2668</v>
      </c>
      <c r="E1009" s="14" t="s">
        <v>2669</v>
      </c>
      <c r="F1009" s="21">
        <v>2222.2199999999998</v>
      </c>
      <c r="G1009" s="14">
        <v>124</v>
      </c>
      <c r="H1009" s="14">
        <v>0</v>
      </c>
      <c r="I1009" s="14">
        <v>27</v>
      </c>
      <c r="J1009" s="22">
        <v>7.2396874687864696E-2</v>
      </c>
      <c r="K1009" s="22">
        <v>0.92760312531213496</v>
      </c>
      <c r="L1009" s="14">
        <v>0</v>
      </c>
    </row>
    <row r="1010" spans="1:12" x14ac:dyDescent="0.25">
      <c r="A1010" s="13" t="s">
        <v>6813</v>
      </c>
      <c r="B1010" s="14" t="s">
        <v>5493</v>
      </c>
      <c r="C1010" s="14" t="s">
        <v>2667</v>
      </c>
      <c r="D1010" s="14" t="s">
        <v>2668</v>
      </c>
      <c r="E1010" s="14" t="s">
        <v>2671</v>
      </c>
      <c r="F1010" s="21">
        <v>1872.14</v>
      </c>
      <c r="G1010" s="14">
        <v>56</v>
      </c>
      <c r="H1010" s="14">
        <v>0</v>
      </c>
      <c r="I1010" s="14">
        <v>1</v>
      </c>
      <c r="J1010" s="22">
        <v>3.6676045582850099E-2</v>
      </c>
      <c r="K1010" s="22">
        <v>0.96332395441715002</v>
      </c>
      <c r="L1010" s="14">
        <v>0</v>
      </c>
    </row>
    <row r="1011" spans="1:12" x14ac:dyDescent="0.25">
      <c r="A1011" s="13" t="s">
        <v>6814</v>
      </c>
      <c r="B1011" s="14" t="s">
        <v>5493</v>
      </c>
      <c r="C1011" s="14" t="s">
        <v>2667</v>
      </c>
      <c r="D1011" s="14" t="s">
        <v>2668</v>
      </c>
      <c r="E1011" s="14" t="s">
        <v>2673</v>
      </c>
      <c r="F1011" s="21">
        <v>2232</v>
      </c>
      <c r="G1011" s="14">
        <v>299</v>
      </c>
      <c r="H1011" s="14">
        <v>1</v>
      </c>
      <c r="I1011" s="14" t="s">
        <v>6314</v>
      </c>
      <c r="J1011" s="22">
        <v>7.0444061358512902E-2</v>
      </c>
      <c r="K1011" s="22">
        <v>0.929555938641487</v>
      </c>
      <c r="L1011" s="14">
        <v>0</v>
      </c>
    </row>
    <row r="1012" spans="1:12" ht="39.6" x14ac:dyDescent="0.25">
      <c r="A1012" s="20" t="s">
        <v>6815</v>
      </c>
      <c r="B1012" s="14" t="s">
        <v>5471</v>
      </c>
      <c r="C1012" s="14" t="s">
        <v>5660</v>
      </c>
      <c r="D1012" s="14" t="s">
        <v>2430</v>
      </c>
      <c r="E1012" s="14" t="s">
        <v>2675</v>
      </c>
      <c r="F1012" s="21">
        <v>1970.57</v>
      </c>
      <c r="G1012" s="14">
        <v>964</v>
      </c>
      <c r="H1012" s="14">
        <v>1</v>
      </c>
      <c r="I1012" s="14">
        <v>29</v>
      </c>
      <c r="J1012" s="22">
        <v>0.71582007162072203</v>
      </c>
      <c r="K1012" s="22">
        <v>0.28417992837927802</v>
      </c>
      <c r="L1012" s="14">
        <v>0</v>
      </c>
    </row>
    <row r="1013" spans="1:12" x14ac:dyDescent="0.25">
      <c r="A1013" s="13">
        <v>3589712</v>
      </c>
      <c r="B1013" s="14" t="s">
        <v>5363</v>
      </c>
      <c r="C1013" s="14" t="s">
        <v>2429</v>
      </c>
      <c r="D1013" s="14" t="s">
        <v>2678</v>
      </c>
      <c r="E1013" s="14" t="s">
        <v>2679</v>
      </c>
      <c r="F1013" s="21">
        <v>2310.83</v>
      </c>
      <c r="G1013" s="14">
        <v>122</v>
      </c>
      <c r="H1013" s="14">
        <v>1</v>
      </c>
      <c r="I1013" s="14">
        <v>41</v>
      </c>
      <c r="J1013" s="22">
        <v>0.99796246095903196</v>
      </c>
      <c r="K1013" s="22">
        <v>2.03753904096782E-3</v>
      </c>
      <c r="L1013" s="14">
        <v>0</v>
      </c>
    </row>
    <row r="1014" spans="1:12" ht="52.8" x14ac:dyDescent="0.25">
      <c r="A1014" s="20" t="s">
        <v>6816</v>
      </c>
      <c r="B1014" s="14" t="s">
        <v>5469</v>
      </c>
      <c r="C1014" s="14" t="s">
        <v>2429</v>
      </c>
      <c r="D1014" s="14" t="s">
        <v>2678</v>
      </c>
      <c r="E1014" s="14" t="s">
        <v>2681</v>
      </c>
      <c r="F1014" s="21">
        <v>1995.43</v>
      </c>
      <c r="G1014" s="14">
        <v>606</v>
      </c>
      <c r="H1014" s="14">
        <v>0</v>
      </c>
      <c r="I1014" s="14">
        <v>22</v>
      </c>
      <c r="J1014" s="22">
        <v>0.107472801596943</v>
      </c>
      <c r="K1014" s="22">
        <v>0.89252719840305705</v>
      </c>
      <c r="L1014" s="14">
        <v>0</v>
      </c>
    </row>
    <row r="1015" spans="1:12" x14ac:dyDescent="0.25">
      <c r="A1015" s="13">
        <v>3462937</v>
      </c>
      <c r="B1015" s="14" t="s">
        <v>5469</v>
      </c>
      <c r="C1015" s="14" t="s">
        <v>2429</v>
      </c>
      <c r="D1015" s="14" t="s">
        <v>2678</v>
      </c>
      <c r="E1015" s="14" t="s">
        <v>2683</v>
      </c>
      <c r="F1015" s="21">
        <v>2224.52</v>
      </c>
      <c r="H1015" s="14">
        <v>1</v>
      </c>
      <c r="I1015" s="14">
        <v>19</v>
      </c>
      <c r="J1015" s="22">
        <v>0.64203044958400801</v>
      </c>
      <c r="K1015" s="22">
        <v>0.35796955041599199</v>
      </c>
      <c r="L1015" s="14">
        <v>0</v>
      </c>
    </row>
    <row r="1016" spans="1:12" x14ac:dyDescent="0.25">
      <c r="A1016" s="13" t="s">
        <v>6086</v>
      </c>
      <c r="B1016" s="14" t="s">
        <v>5469</v>
      </c>
      <c r="C1016" s="14" t="s">
        <v>2429</v>
      </c>
      <c r="D1016" s="14" t="s">
        <v>2678</v>
      </c>
      <c r="E1016" s="14" t="s">
        <v>2685</v>
      </c>
      <c r="F1016" s="21">
        <v>2355.52</v>
      </c>
      <c r="G1016" s="14">
        <v>519</v>
      </c>
      <c r="H1016" s="14">
        <v>0</v>
      </c>
      <c r="I1016" s="14" t="s">
        <v>6314</v>
      </c>
      <c r="J1016" s="22">
        <v>0.79476410945505205</v>
      </c>
      <c r="K1016" s="22">
        <v>0.20523589054494801</v>
      </c>
      <c r="L1016" s="14">
        <v>0</v>
      </c>
    </row>
    <row r="1017" spans="1:12" x14ac:dyDescent="0.25">
      <c r="A1017" s="13" t="s">
        <v>6817</v>
      </c>
      <c r="B1017" s="14" t="s">
        <v>1508</v>
      </c>
      <c r="C1017" s="14" t="s">
        <v>2429</v>
      </c>
      <c r="D1017" s="14" t="s">
        <v>2678</v>
      </c>
      <c r="E1017" s="14" t="s">
        <v>2687</v>
      </c>
      <c r="F1017" s="21">
        <v>1909</v>
      </c>
      <c r="G1017" s="14">
        <v>115</v>
      </c>
      <c r="H1017" s="14">
        <v>1</v>
      </c>
      <c r="I1017" s="14">
        <v>49</v>
      </c>
      <c r="J1017" s="22">
        <v>0.99086966223373296</v>
      </c>
      <c r="K1017" s="22">
        <v>9.1303377662665906E-3</v>
      </c>
      <c r="L1017" s="14">
        <v>0</v>
      </c>
    </row>
    <row r="1018" spans="1:12" x14ac:dyDescent="0.25">
      <c r="A1018" s="13" t="s">
        <v>6818</v>
      </c>
      <c r="B1018" s="14" t="s">
        <v>1508</v>
      </c>
      <c r="C1018" s="14" t="s">
        <v>2429</v>
      </c>
      <c r="D1018" s="14" t="s">
        <v>2678</v>
      </c>
      <c r="E1018" s="14" t="s">
        <v>2689</v>
      </c>
      <c r="F1018" s="21">
        <v>1969.56</v>
      </c>
      <c r="G1018" s="14">
        <v>696</v>
      </c>
      <c r="H1018" s="14">
        <v>1</v>
      </c>
      <c r="I1018" s="14">
        <v>47</v>
      </c>
      <c r="J1018" s="22">
        <v>0.90236878063204595</v>
      </c>
      <c r="K1018" s="22">
        <v>9.76312193679542E-2</v>
      </c>
      <c r="L1018" s="14">
        <v>0</v>
      </c>
    </row>
    <row r="1019" spans="1:12" x14ac:dyDescent="0.25">
      <c r="A1019" s="13" t="s">
        <v>6819</v>
      </c>
      <c r="B1019" s="14" t="s">
        <v>1508</v>
      </c>
      <c r="C1019" s="14" t="s">
        <v>2429</v>
      </c>
      <c r="D1019" s="14" t="s">
        <v>2678</v>
      </c>
      <c r="E1019" s="14" t="s">
        <v>2691</v>
      </c>
      <c r="F1019" s="21">
        <v>2320</v>
      </c>
      <c r="G1019" s="14">
        <v>791</v>
      </c>
      <c r="H1019" s="14">
        <v>1</v>
      </c>
      <c r="I1019" s="14" t="s">
        <v>6314</v>
      </c>
      <c r="J1019" s="22">
        <v>0.93993515922800097</v>
      </c>
      <c r="K1019" s="22">
        <v>6.0064840771998598E-2</v>
      </c>
      <c r="L1019" s="14">
        <v>0</v>
      </c>
    </row>
    <row r="1020" spans="1:12" x14ac:dyDescent="0.25">
      <c r="A1020" s="13" t="s">
        <v>6820</v>
      </c>
      <c r="B1020" s="14" t="s">
        <v>1508</v>
      </c>
      <c r="C1020" s="14" t="s">
        <v>2429</v>
      </c>
      <c r="D1020" s="14" t="s">
        <v>2678</v>
      </c>
      <c r="E1020" s="14" t="s">
        <v>2693</v>
      </c>
      <c r="F1020" s="21">
        <v>2347.87</v>
      </c>
      <c r="G1020" s="14">
        <v>550</v>
      </c>
      <c r="H1020" s="14">
        <v>0</v>
      </c>
      <c r="I1020" s="14">
        <v>42</v>
      </c>
      <c r="J1020" s="22">
        <v>0.394867530300957</v>
      </c>
      <c r="K1020" s="22">
        <v>0.605132469699043</v>
      </c>
      <c r="L1020" s="14">
        <v>0</v>
      </c>
    </row>
    <row r="1021" spans="1:12" x14ac:dyDescent="0.25">
      <c r="B1021" s="14" t="s">
        <v>17</v>
      </c>
      <c r="C1021" s="14" t="s">
        <v>2694</v>
      </c>
      <c r="D1021" s="14" t="s">
        <v>2430</v>
      </c>
      <c r="E1021" s="14" t="s">
        <v>6821</v>
      </c>
      <c r="F1021" s="21">
        <v>1955.21</v>
      </c>
      <c r="G1021" s="14">
        <v>921</v>
      </c>
      <c r="H1021" s="14">
        <v>0</v>
      </c>
      <c r="I1021" s="14">
        <v>23</v>
      </c>
      <c r="J1021" s="22">
        <v>0.32631305915804698</v>
      </c>
      <c r="K1021" s="22">
        <v>0.67368694084195302</v>
      </c>
      <c r="L1021" s="14">
        <v>0</v>
      </c>
    </row>
    <row r="1022" spans="1:12" x14ac:dyDescent="0.25">
      <c r="A1022" s="13" t="s">
        <v>2696</v>
      </c>
      <c r="B1022" s="14" t="s">
        <v>328</v>
      </c>
      <c r="C1022" s="14" t="s">
        <v>2361</v>
      </c>
      <c r="D1022" s="14" t="s">
        <v>2362</v>
      </c>
      <c r="E1022" s="14" t="s">
        <v>2697</v>
      </c>
      <c r="F1022" s="21">
        <v>1289.32</v>
      </c>
      <c r="G1022" s="14">
        <v>664</v>
      </c>
      <c r="H1022" s="14">
        <v>0</v>
      </c>
      <c r="I1022" s="14">
        <v>7</v>
      </c>
      <c r="J1022" s="22">
        <v>0.46396442992145798</v>
      </c>
      <c r="K1022" s="22">
        <v>0.53603557007854197</v>
      </c>
      <c r="L1022" s="14">
        <v>0</v>
      </c>
    </row>
    <row r="1023" spans="1:12" ht="26.4" x14ac:dyDescent="0.25">
      <c r="A1023" s="20" t="s">
        <v>6822</v>
      </c>
      <c r="B1023" s="14" t="s">
        <v>6823</v>
      </c>
      <c r="C1023" s="14" t="s">
        <v>6824</v>
      </c>
      <c r="D1023" s="14" t="s">
        <v>2362</v>
      </c>
      <c r="E1023" s="14" t="s">
        <v>2699</v>
      </c>
      <c r="F1023" s="21">
        <v>1503.47</v>
      </c>
      <c r="G1023" s="14">
        <v>69</v>
      </c>
      <c r="I1023" s="14" t="s">
        <v>6314</v>
      </c>
      <c r="J1023" s="22">
        <v>0.38915527871384498</v>
      </c>
      <c r="K1023" s="22">
        <v>0.61084472128615497</v>
      </c>
      <c r="L1023" s="14">
        <v>0</v>
      </c>
    </row>
    <row r="1024" spans="1:12" x14ac:dyDescent="0.25">
      <c r="A1024" s="13" t="s">
        <v>2700</v>
      </c>
      <c r="B1024" s="14" t="s">
        <v>758</v>
      </c>
      <c r="C1024" s="14" t="s">
        <v>2701</v>
      </c>
      <c r="D1024" s="14" t="s">
        <v>2634</v>
      </c>
      <c r="E1024" s="14" t="s">
        <v>2702</v>
      </c>
      <c r="F1024" s="21">
        <v>2340</v>
      </c>
      <c r="G1024" s="14">
        <v>598</v>
      </c>
      <c r="H1024" s="14">
        <v>1</v>
      </c>
      <c r="I1024" s="14">
        <v>17</v>
      </c>
      <c r="J1024" s="22">
        <v>0.33798380150872798</v>
      </c>
      <c r="K1024" s="22">
        <v>0.66201619849127202</v>
      </c>
      <c r="L1024" s="14">
        <v>0</v>
      </c>
    </row>
    <row r="1025" spans="1:12" x14ac:dyDescent="0.25">
      <c r="A1025" s="13" t="s">
        <v>2703</v>
      </c>
      <c r="B1025" s="14" t="s">
        <v>17</v>
      </c>
      <c r="C1025" s="14" t="s">
        <v>2704</v>
      </c>
      <c r="D1025" s="14" t="s">
        <v>2705</v>
      </c>
      <c r="E1025" s="14" t="s">
        <v>2706</v>
      </c>
      <c r="F1025" s="21">
        <v>2486.13</v>
      </c>
      <c r="I1025" s="14">
        <v>43</v>
      </c>
      <c r="J1025" s="22">
        <v>0.152185210935909</v>
      </c>
      <c r="K1025" s="22">
        <v>0.84781478906409102</v>
      </c>
      <c r="L1025" s="14">
        <v>0</v>
      </c>
    </row>
    <row r="1026" spans="1:12" x14ac:dyDescent="0.25">
      <c r="A1026" s="13" t="s">
        <v>2707</v>
      </c>
      <c r="B1026" s="14" t="s">
        <v>2708</v>
      </c>
      <c r="C1026" s="14" t="s">
        <v>2709</v>
      </c>
      <c r="D1026" s="14" t="s">
        <v>2710</v>
      </c>
      <c r="E1026" s="14" t="s">
        <v>2711</v>
      </c>
      <c r="F1026" s="21">
        <v>808.85</v>
      </c>
      <c r="H1026" s="14">
        <v>1</v>
      </c>
      <c r="I1026" s="14">
        <v>16</v>
      </c>
      <c r="J1026" s="22">
        <v>0.936206604764941</v>
      </c>
      <c r="K1026" s="22">
        <v>6.37933952350586E-2</v>
      </c>
      <c r="L1026" s="14">
        <v>0</v>
      </c>
    </row>
    <row r="1027" spans="1:12" x14ac:dyDescent="0.25">
      <c r="A1027" s="13">
        <v>23386329</v>
      </c>
      <c r="B1027" s="14" t="s">
        <v>5493</v>
      </c>
      <c r="C1027" s="14" t="s">
        <v>2712</v>
      </c>
      <c r="D1027" s="14" t="s">
        <v>2710</v>
      </c>
      <c r="E1027" s="14" t="s">
        <v>2713</v>
      </c>
      <c r="F1027" s="21">
        <v>1909.73</v>
      </c>
      <c r="G1027" s="14">
        <v>735</v>
      </c>
      <c r="H1027" s="14">
        <v>1</v>
      </c>
      <c r="I1027" s="14">
        <v>14</v>
      </c>
      <c r="J1027" s="22">
        <v>0.39534078444530102</v>
      </c>
      <c r="K1027" s="22">
        <v>0.60465921555469904</v>
      </c>
      <c r="L1027" s="14">
        <v>0</v>
      </c>
    </row>
    <row r="1028" spans="1:12" ht="26.4" x14ac:dyDescent="0.25">
      <c r="A1028" s="20" t="s">
        <v>6825</v>
      </c>
      <c r="B1028" s="14" t="s">
        <v>69</v>
      </c>
      <c r="C1028" s="14" t="s">
        <v>2715</v>
      </c>
      <c r="D1028" s="14" t="s">
        <v>2710</v>
      </c>
      <c r="E1028" s="14" t="s">
        <v>2716</v>
      </c>
      <c r="F1028" s="21">
        <v>2241.4299999999998</v>
      </c>
      <c r="G1028" s="14">
        <v>629</v>
      </c>
      <c r="H1028" s="14">
        <v>0</v>
      </c>
      <c r="I1028" s="14">
        <v>38</v>
      </c>
      <c r="J1028" s="22">
        <v>0.93189167132995998</v>
      </c>
      <c r="K1028" s="22">
        <v>6.8108328670039894E-2</v>
      </c>
      <c r="L1028" s="14">
        <v>0</v>
      </c>
    </row>
    <row r="1029" spans="1:12" ht="39.6" x14ac:dyDescent="0.25">
      <c r="A1029" s="13" t="s">
        <v>2717</v>
      </c>
      <c r="B1029" s="14" t="s">
        <v>406</v>
      </c>
      <c r="C1029" s="14" t="s">
        <v>2718</v>
      </c>
      <c r="D1029" s="14" t="s">
        <v>2719</v>
      </c>
      <c r="E1029" s="23" t="s">
        <v>6826</v>
      </c>
      <c r="F1029" s="21">
        <v>3037.86</v>
      </c>
      <c r="G1029" s="14">
        <v>891</v>
      </c>
      <c r="H1029" s="14">
        <v>0</v>
      </c>
      <c r="I1029" s="14">
        <v>14</v>
      </c>
      <c r="J1029" s="22">
        <v>0.95364921252784896</v>
      </c>
      <c r="K1029" s="22">
        <v>4.6350787472150899E-2</v>
      </c>
      <c r="L1029" s="14">
        <v>0</v>
      </c>
    </row>
    <row r="1030" spans="1:12" x14ac:dyDescent="0.25">
      <c r="A1030" s="13" t="s">
        <v>2721</v>
      </c>
      <c r="B1030" s="14" t="s">
        <v>5460</v>
      </c>
      <c r="C1030" s="14" t="s">
        <v>2722</v>
      </c>
      <c r="D1030" s="14" t="s">
        <v>2430</v>
      </c>
      <c r="E1030" s="14" t="s">
        <v>2723</v>
      </c>
      <c r="F1030" s="21">
        <v>2145.6</v>
      </c>
      <c r="G1030" s="14">
        <v>970</v>
      </c>
      <c r="H1030" s="14">
        <v>0</v>
      </c>
      <c r="I1030" s="14">
        <v>36</v>
      </c>
      <c r="J1030" s="22">
        <v>0.108795556977478</v>
      </c>
      <c r="K1030" s="22">
        <v>0.891204443022522</v>
      </c>
      <c r="L1030" s="14">
        <v>0</v>
      </c>
    </row>
    <row r="1031" spans="1:12" x14ac:dyDescent="0.25">
      <c r="A1031" s="13" t="s">
        <v>6827</v>
      </c>
      <c r="B1031" s="14" t="s">
        <v>17</v>
      </c>
      <c r="C1031" s="14" t="s">
        <v>5664</v>
      </c>
      <c r="D1031" s="14" t="s">
        <v>2726</v>
      </c>
      <c r="E1031" s="14" t="s">
        <v>2727</v>
      </c>
      <c r="F1031" s="21">
        <v>2396.85</v>
      </c>
      <c r="G1031" s="14">
        <v>713</v>
      </c>
      <c r="H1031" s="14">
        <v>1</v>
      </c>
      <c r="I1031" s="14">
        <v>36</v>
      </c>
      <c r="J1031" s="22">
        <v>0.878792328704042</v>
      </c>
      <c r="K1031" s="22">
        <v>0.121207671295958</v>
      </c>
      <c r="L1031" s="14">
        <v>0</v>
      </c>
    </row>
    <row r="1032" spans="1:12" x14ac:dyDescent="0.25">
      <c r="A1032" s="13" t="s">
        <v>6828</v>
      </c>
      <c r="B1032" s="14" t="s">
        <v>5479</v>
      </c>
      <c r="C1032" s="14" t="s">
        <v>5665</v>
      </c>
      <c r="D1032" s="14" t="s">
        <v>2730</v>
      </c>
      <c r="E1032" s="14" t="s">
        <v>2731</v>
      </c>
      <c r="F1032" s="21">
        <v>2321.38</v>
      </c>
      <c r="G1032" s="14">
        <v>839</v>
      </c>
      <c r="H1032" s="14">
        <v>1</v>
      </c>
      <c r="I1032" s="14">
        <v>1</v>
      </c>
      <c r="J1032" s="22">
        <v>0.43135346642828598</v>
      </c>
      <c r="K1032" s="22">
        <v>0.56864653357171402</v>
      </c>
      <c r="L1032" s="14">
        <v>0</v>
      </c>
    </row>
    <row r="1033" spans="1:12" x14ac:dyDescent="0.25">
      <c r="A1033" s="13" t="s">
        <v>6829</v>
      </c>
      <c r="B1033" s="14" t="s">
        <v>5479</v>
      </c>
      <c r="C1033" s="14" t="s">
        <v>5665</v>
      </c>
      <c r="D1033" s="14" t="s">
        <v>2730</v>
      </c>
      <c r="E1033" s="14" t="s">
        <v>2733</v>
      </c>
      <c r="F1033" s="21">
        <v>2321.38</v>
      </c>
      <c r="G1033" s="14">
        <v>423</v>
      </c>
      <c r="H1033" s="14">
        <v>0</v>
      </c>
      <c r="I1033" s="14">
        <v>43</v>
      </c>
      <c r="J1033" s="22">
        <v>0.86367419551359903</v>
      </c>
      <c r="K1033" s="22">
        <v>0.136325804486401</v>
      </c>
      <c r="L1033" s="14">
        <v>0</v>
      </c>
    </row>
    <row r="1034" spans="1:12" x14ac:dyDescent="0.25">
      <c r="A1034" s="13">
        <v>3535885</v>
      </c>
      <c r="B1034" s="14" t="s">
        <v>5347</v>
      </c>
      <c r="C1034" s="14" t="s">
        <v>2735</v>
      </c>
      <c r="D1034" s="14" t="s">
        <v>2736</v>
      </c>
      <c r="E1034" s="14" t="s">
        <v>2737</v>
      </c>
      <c r="F1034" s="21">
        <v>1200</v>
      </c>
      <c r="G1034" s="14">
        <v>869</v>
      </c>
      <c r="H1034" s="14">
        <v>0</v>
      </c>
      <c r="I1034" s="14">
        <v>31</v>
      </c>
      <c r="J1034" s="22">
        <v>0.24134964824609201</v>
      </c>
      <c r="K1034" s="22">
        <v>0.75865035175390805</v>
      </c>
      <c r="L1034" s="14">
        <v>0</v>
      </c>
    </row>
    <row r="1035" spans="1:12" x14ac:dyDescent="0.25">
      <c r="A1035" s="13">
        <v>3596772</v>
      </c>
      <c r="B1035" s="14" t="s">
        <v>5348</v>
      </c>
      <c r="C1035" s="14" t="s">
        <v>5666</v>
      </c>
      <c r="D1035" s="14" t="s">
        <v>2740</v>
      </c>
      <c r="E1035" s="14" t="s">
        <v>2741</v>
      </c>
      <c r="F1035" s="21">
        <v>2040</v>
      </c>
      <c r="G1035" s="14">
        <v>300</v>
      </c>
      <c r="H1035" s="14">
        <v>0</v>
      </c>
      <c r="I1035" s="14">
        <v>27</v>
      </c>
      <c r="J1035" s="22">
        <v>0.34996264520482001</v>
      </c>
      <c r="K1035" s="22">
        <v>0.65003735479517999</v>
      </c>
      <c r="L1035" s="14">
        <v>0</v>
      </c>
    </row>
    <row r="1036" spans="1:12" x14ac:dyDescent="0.25">
      <c r="B1036" s="14" t="s">
        <v>758</v>
      </c>
      <c r="C1036" s="14" t="s">
        <v>6830</v>
      </c>
      <c r="D1036" s="14" t="s">
        <v>2740</v>
      </c>
      <c r="E1036" s="14" t="s">
        <v>6831</v>
      </c>
      <c r="F1036" s="21">
        <v>1989</v>
      </c>
      <c r="G1036" s="14">
        <v>578</v>
      </c>
      <c r="H1036" s="14">
        <v>1</v>
      </c>
      <c r="I1036" s="14">
        <v>40</v>
      </c>
      <c r="J1036" s="22">
        <v>0.86279142099356898</v>
      </c>
      <c r="K1036" s="22">
        <v>0.13720857900643099</v>
      </c>
      <c r="L1036" s="14">
        <v>0</v>
      </c>
    </row>
    <row r="1037" spans="1:12" x14ac:dyDescent="0.25">
      <c r="A1037" s="13" t="s">
        <v>6832</v>
      </c>
      <c r="B1037" s="14" t="s">
        <v>352</v>
      </c>
      <c r="C1037" s="14" t="s">
        <v>2739</v>
      </c>
      <c r="D1037" s="14" t="s">
        <v>2740</v>
      </c>
      <c r="E1037" s="14" t="s">
        <v>2744</v>
      </c>
      <c r="F1037" s="21">
        <v>1755</v>
      </c>
      <c r="H1037" s="14">
        <v>0</v>
      </c>
      <c r="I1037" s="14">
        <v>19</v>
      </c>
      <c r="J1037" s="22">
        <v>0.26615500973773298</v>
      </c>
      <c r="K1037" s="22">
        <v>0.73384499026226702</v>
      </c>
      <c r="L1037" s="14">
        <v>0</v>
      </c>
    </row>
    <row r="1038" spans="1:12" x14ac:dyDescent="0.25">
      <c r="A1038" s="13" t="s">
        <v>6833</v>
      </c>
      <c r="B1038" s="14" t="s">
        <v>5493</v>
      </c>
      <c r="C1038" s="14" t="s">
        <v>2745</v>
      </c>
      <c r="D1038" s="14" t="s">
        <v>2746</v>
      </c>
      <c r="E1038" s="14" t="s">
        <v>2747</v>
      </c>
      <c r="F1038" s="21">
        <v>2275.02</v>
      </c>
      <c r="G1038" s="14">
        <v>327</v>
      </c>
      <c r="H1038" s="14">
        <v>1</v>
      </c>
      <c r="I1038" s="14">
        <v>49</v>
      </c>
      <c r="J1038" s="22">
        <v>0.58092946334288298</v>
      </c>
      <c r="K1038" s="22">
        <v>0.41907053665711702</v>
      </c>
      <c r="L1038" s="14">
        <v>0</v>
      </c>
    </row>
    <row r="1039" spans="1:12" x14ac:dyDescent="0.25">
      <c r="A1039" s="13" t="s">
        <v>6834</v>
      </c>
      <c r="B1039" s="14" t="s">
        <v>5493</v>
      </c>
      <c r="C1039" s="14" t="s">
        <v>2745</v>
      </c>
      <c r="D1039" s="14" t="s">
        <v>2746</v>
      </c>
      <c r="E1039" s="14" t="s">
        <v>2749</v>
      </c>
      <c r="F1039" s="21">
        <v>2328.04</v>
      </c>
      <c r="G1039" s="14">
        <v>666</v>
      </c>
      <c r="H1039" s="14">
        <v>1</v>
      </c>
      <c r="I1039" s="14">
        <v>6</v>
      </c>
      <c r="J1039" s="22">
        <v>0.137953026464147</v>
      </c>
      <c r="K1039" s="22">
        <v>0.86204697353585402</v>
      </c>
      <c r="L1039" s="14">
        <v>0</v>
      </c>
    </row>
    <row r="1040" spans="1:12" x14ac:dyDescent="0.25">
      <c r="A1040" s="13" t="s">
        <v>2750</v>
      </c>
      <c r="B1040" s="14" t="s">
        <v>86</v>
      </c>
      <c r="C1040" s="14" t="s">
        <v>2751</v>
      </c>
      <c r="D1040" s="14" t="s">
        <v>2752</v>
      </c>
      <c r="E1040" s="14" t="s">
        <v>2753</v>
      </c>
      <c r="F1040" s="21">
        <v>2365.54</v>
      </c>
      <c r="G1040" s="14">
        <v>194</v>
      </c>
      <c r="H1040" s="14">
        <v>1</v>
      </c>
      <c r="I1040" s="14">
        <v>18</v>
      </c>
      <c r="J1040" s="22">
        <v>0.83522094743804998</v>
      </c>
      <c r="K1040" s="22">
        <v>0.16477905256195</v>
      </c>
      <c r="L1040" s="14">
        <v>0</v>
      </c>
    </row>
    <row r="1041" spans="1:12" x14ac:dyDescent="0.25">
      <c r="A1041" s="13" t="s">
        <v>6835</v>
      </c>
      <c r="B1041" s="14" t="s">
        <v>6836</v>
      </c>
      <c r="C1041" s="14" t="s">
        <v>2755</v>
      </c>
      <c r="D1041" s="14" t="s">
        <v>2756</v>
      </c>
      <c r="E1041" s="14" t="s">
        <v>2757</v>
      </c>
      <c r="F1041" s="21">
        <v>2474.16</v>
      </c>
      <c r="G1041" s="14">
        <v>600</v>
      </c>
      <c r="H1041" s="14">
        <v>1</v>
      </c>
      <c r="I1041" s="14">
        <v>46</v>
      </c>
      <c r="J1041" s="22">
        <v>0.78225527485433699</v>
      </c>
      <c r="K1041" s="22">
        <v>0.21774472514566301</v>
      </c>
      <c r="L1041" s="14">
        <v>0</v>
      </c>
    </row>
    <row r="1042" spans="1:12" x14ac:dyDescent="0.25">
      <c r="A1042" s="13">
        <v>23668184</v>
      </c>
      <c r="B1042" s="14" t="s">
        <v>406</v>
      </c>
      <c r="C1042" s="14" t="s">
        <v>6837</v>
      </c>
      <c r="D1042" s="14" t="s">
        <v>2759</v>
      </c>
      <c r="E1042" s="14" t="s">
        <v>2760</v>
      </c>
      <c r="F1042" s="21">
        <v>3144.24</v>
      </c>
      <c r="G1042" s="14">
        <v>199</v>
      </c>
      <c r="H1042" s="14">
        <v>1</v>
      </c>
      <c r="I1042" s="14">
        <v>6</v>
      </c>
      <c r="J1042" s="22">
        <v>0.101797693613773</v>
      </c>
      <c r="K1042" s="22">
        <v>0.898202306386227</v>
      </c>
      <c r="L1042" s="14">
        <v>0</v>
      </c>
    </row>
    <row r="1043" spans="1:12" ht="39.6" x14ac:dyDescent="0.25">
      <c r="A1043" s="20" t="s">
        <v>6838</v>
      </c>
      <c r="B1043" s="14" t="s">
        <v>406</v>
      </c>
      <c r="C1043" s="14" t="s">
        <v>2762</v>
      </c>
      <c r="D1043" s="14" t="s">
        <v>2763</v>
      </c>
      <c r="E1043" s="14" t="s">
        <v>2764</v>
      </c>
      <c r="F1043" s="21">
        <v>2659.32</v>
      </c>
      <c r="G1043" s="14">
        <v>126</v>
      </c>
      <c r="H1043" s="14">
        <v>0</v>
      </c>
      <c r="I1043" s="14">
        <v>16</v>
      </c>
      <c r="J1043" s="22">
        <v>0.74173522618585397</v>
      </c>
      <c r="K1043" s="22">
        <v>0.25826477381414598</v>
      </c>
      <c r="L1043" s="14">
        <v>0</v>
      </c>
    </row>
    <row r="1044" spans="1:12" x14ac:dyDescent="0.25">
      <c r="A1044" s="13" t="s">
        <v>2765</v>
      </c>
      <c r="B1044" s="14" t="s">
        <v>6839</v>
      </c>
      <c r="C1044" s="14" t="s">
        <v>2762</v>
      </c>
      <c r="D1044" s="14" t="s">
        <v>2763</v>
      </c>
      <c r="E1044" s="14" t="s">
        <v>2766</v>
      </c>
      <c r="F1044" s="21">
        <v>2561.4</v>
      </c>
      <c r="G1044" s="14">
        <v>529</v>
      </c>
      <c r="H1044" s="14">
        <v>0</v>
      </c>
      <c r="I1044" s="14">
        <v>48</v>
      </c>
      <c r="J1044" s="22">
        <v>0.93981774856645695</v>
      </c>
      <c r="K1044" s="22">
        <v>6.0182251433543402E-2</v>
      </c>
      <c r="L1044" s="14">
        <v>0</v>
      </c>
    </row>
    <row r="1045" spans="1:12" x14ac:dyDescent="0.25">
      <c r="A1045" s="13" t="s">
        <v>6840</v>
      </c>
      <c r="B1045" s="14" t="s">
        <v>406</v>
      </c>
      <c r="C1045" s="14" t="s">
        <v>2768</v>
      </c>
      <c r="D1045" s="14" t="s">
        <v>2769</v>
      </c>
      <c r="E1045" s="14" t="s">
        <v>6841</v>
      </c>
      <c r="F1045" s="21">
        <v>3092.18</v>
      </c>
      <c r="G1045" s="14">
        <v>250</v>
      </c>
      <c r="H1045" s="14">
        <v>1</v>
      </c>
      <c r="I1045" s="14">
        <v>19</v>
      </c>
      <c r="J1045" s="22">
        <v>0.79503784055897697</v>
      </c>
      <c r="K1045" s="22">
        <v>0.204962159441023</v>
      </c>
      <c r="L1045" s="14">
        <v>0</v>
      </c>
    </row>
    <row r="1046" spans="1:12" x14ac:dyDescent="0.25">
      <c r="A1046" s="13" t="s">
        <v>6842</v>
      </c>
      <c r="B1046" s="14" t="s">
        <v>2772</v>
      </c>
      <c r="C1046" s="14" t="s">
        <v>2773</v>
      </c>
      <c r="D1046" s="14" t="s">
        <v>2774</v>
      </c>
      <c r="E1046" s="14" t="s">
        <v>2775</v>
      </c>
      <c r="F1046" s="21">
        <v>1575</v>
      </c>
      <c r="G1046" s="14">
        <v>239</v>
      </c>
      <c r="H1046" s="14">
        <v>1</v>
      </c>
      <c r="I1046" s="14">
        <v>48</v>
      </c>
      <c r="J1046" s="22">
        <v>0.14213255007779901</v>
      </c>
      <c r="K1046" s="22">
        <v>0.85786744992220099</v>
      </c>
      <c r="L1046" s="14">
        <v>0</v>
      </c>
    </row>
    <row r="1047" spans="1:12" x14ac:dyDescent="0.25">
      <c r="A1047" s="13" t="s">
        <v>6843</v>
      </c>
      <c r="B1047" s="14" t="s">
        <v>2772</v>
      </c>
      <c r="C1047" s="14" t="s">
        <v>2773</v>
      </c>
      <c r="D1047" s="14" t="s">
        <v>2774</v>
      </c>
      <c r="E1047" s="14" t="s">
        <v>2777</v>
      </c>
      <c r="F1047" s="21">
        <v>1750</v>
      </c>
      <c r="G1047" s="14">
        <v>914</v>
      </c>
      <c r="H1047" s="14">
        <v>0</v>
      </c>
      <c r="I1047" s="14">
        <v>37</v>
      </c>
      <c r="J1047" s="22">
        <v>0.66555890858358102</v>
      </c>
      <c r="K1047" s="22">
        <v>0.33444109141641898</v>
      </c>
      <c r="L1047" s="14">
        <v>0</v>
      </c>
    </row>
    <row r="1048" spans="1:12" x14ac:dyDescent="0.25">
      <c r="A1048" s="13" t="s">
        <v>6844</v>
      </c>
      <c r="B1048" s="14" t="s">
        <v>2772</v>
      </c>
      <c r="C1048" s="14" t="s">
        <v>2773</v>
      </c>
      <c r="D1048" s="14" t="s">
        <v>2774</v>
      </c>
      <c r="E1048" s="14" t="s">
        <v>2779</v>
      </c>
      <c r="F1048" s="21">
        <v>2100</v>
      </c>
      <c r="G1048" s="14">
        <v>911</v>
      </c>
      <c r="H1048" s="14">
        <v>1</v>
      </c>
      <c r="I1048" s="14">
        <v>47</v>
      </c>
      <c r="J1048" s="22">
        <v>0.62628837091752099</v>
      </c>
      <c r="K1048" s="22">
        <v>0.37371162908248001</v>
      </c>
      <c r="L1048" s="14">
        <v>0</v>
      </c>
    </row>
    <row r="1049" spans="1:12" x14ac:dyDescent="0.25">
      <c r="A1049" s="13" t="s">
        <v>6845</v>
      </c>
      <c r="B1049" s="14" t="s">
        <v>2772</v>
      </c>
      <c r="C1049" s="14" t="s">
        <v>2773</v>
      </c>
      <c r="D1049" s="14" t="s">
        <v>2774</v>
      </c>
      <c r="E1049" s="14" t="s">
        <v>2781</v>
      </c>
      <c r="F1049" s="21">
        <v>2100</v>
      </c>
      <c r="G1049" s="14">
        <v>322</v>
      </c>
      <c r="H1049" s="14">
        <v>0</v>
      </c>
      <c r="I1049" s="14">
        <v>50</v>
      </c>
      <c r="J1049" s="22">
        <v>0.276048182899433</v>
      </c>
      <c r="K1049" s="22">
        <v>0.723951817100567</v>
      </c>
      <c r="L1049" s="14">
        <v>0</v>
      </c>
    </row>
    <row r="1050" spans="1:12" x14ac:dyDescent="0.25">
      <c r="A1050" s="13" t="s">
        <v>6846</v>
      </c>
      <c r="B1050" s="14" t="s">
        <v>2772</v>
      </c>
      <c r="C1050" s="14" t="s">
        <v>2773</v>
      </c>
      <c r="D1050" s="14" t="s">
        <v>2774</v>
      </c>
      <c r="E1050" s="14" t="s">
        <v>2783</v>
      </c>
      <c r="F1050" s="21">
        <v>2100</v>
      </c>
      <c r="H1050" s="14">
        <v>1</v>
      </c>
      <c r="I1050" s="14">
        <v>25</v>
      </c>
      <c r="J1050" s="22">
        <v>0.11918730223981799</v>
      </c>
      <c r="K1050" s="22">
        <v>0.88081269776018201</v>
      </c>
      <c r="L1050" s="14">
        <v>0</v>
      </c>
    </row>
    <row r="1051" spans="1:12" ht="26.4" x14ac:dyDescent="0.25">
      <c r="A1051" s="20" t="s">
        <v>6847</v>
      </c>
      <c r="B1051" s="14" t="s">
        <v>2772</v>
      </c>
      <c r="C1051" s="14" t="s">
        <v>2773</v>
      </c>
      <c r="D1051" s="14" t="s">
        <v>2774</v>
      </c>
      <c r="E1051" s="14" t="s">
        <v>2785</v>
      </c>
      <c r="F1051" s="21">
        <v>2100</v>
      </c>
      <c r="G1051" s="14">
        <v>871</v>
      </c>
      <c r="H1051" s="14">
        <v>1</v>
      </c>
      <c r="I1051" s="14">
        <v>40</v>
      </c>
      <c r="J1051" s="22">
        <v>0.65075668846873602</v>
      </c>
      <c r="K1051" s="22">
        <v>0.34924331153126398</v>
      </c>
      <c r="L1051" s="14">
        <v>0</v>
      </c>
    </row>
    <row r="1052" spans="1:12" x14ac:dyDescent="0.25">
      <c r="A1052" s="13" t="s">
        <v>6848</v>
      </c>
      <c r="B1052" s="14" t="s">
        <v>2772</v>
      </c>
      <c r="C1052" s="14" t="s">
        <v>2773</v>
      </c>
      <c r="D1052" s="14" t="s">
        <v>2774</v>
      </c>
      <c r="E1052" s="14" t="s">
        <v>2787</v>
      </c>
      <c r="F1052" s="21">
        <v>2100</v>
      </c>
      <c r="G1052" s="14">
        <v>359</v>
      </c>
      <c r="H1052" s="14">
        <v>1</v>
      </c>
      <c r="I1052" s="14">
        <v>50</v>
      </c>
      <c r="J1052" s="22">
        <v>0.59494486893103304</v>
      </c>
      <c r="K1052" s="22">
        <v>0.40505513106896701</v>
      </c>
      <c r="L1052" s="14">
        <v>0</v>
      </c>
    </row>
    <row r="1053" spans="1:12" x14ac:dyDescent="0.25">
      <c r="A1053" s="13" t="s">
        <v>6849</v>
      </c>
      <c r="B1053" s="14" t="s">
        <v>2772</v>
      </c>
      <c r="C1053" s="14" t="s">
        <v>2773</v>
      </c>
      <c r="D1053" s="14" t="s">
        <v>2774</v>
      </c>
      <c r="E1053" s="14" t="s">
        <v>2788</v>
      </c>
      <c r="F1053" s="21">
        <v>2100</v>
      </c>
      <c r="G1053" s="14">
        <v>365</v>
      </c>
      <c r="H1053" s="14">
        <v>0</v>
      </c>
      <c r="I1053" s="14">
        <v>34</v>
      </c>
      <c r="J1053" s="22">
        <v>0.67441181773244496</v>
      </c>
      <c r="K1053" s="22">
        <v>0.32558818226755498</v>
      </c>
      <c r="L1053" s="14">
        <v>0</v>
      </c>
    </row>
    <row r="1054" spans="1:12" x14ac:dyDescent="0.25">
      <c r="A1054" s="13" t="s">
        <v>6850</v>
      </c>
      <c r="B1054" s="14" t="s">
        <v>2772</v>
      </c>
      <c r="C1054" s="14" t="s">
        <v>2773</v>
      </c>
      <c r="D1054" s="14" t="s">
        <v>2774</v>
      </c>
      <c r="E1054" s="14" t="s">
        <v>2790</v>
      </c>
      <c r="F1054" s="21">
        <v>2100</v>
      </c>
      <c r="G1054" s="14">
        <v>173</v>
      </c>
      <c r="H1054" s="14">
        <v>1</v>
      </c>
      <c r="I1054" s="14" t="s">
        <v>6314</v>
      </c>
      <c r="J1054" s="22">
        <v>0.63942012011507698</v>
      </c>
      <c r="K1054" s="22">
        <v>0.36057987988492302</v>
      </c>
      <c r="L1054" s="14">
        <v>0</v>
      </c>
    </row>
    <row r="1055" spans="1:12" x14ac:dyDescent="0.25">
      <c r="A1055" s="13" t="s">
        <v>6851</v>
      </c>
      <c r="B1055" s="14" t="s">
        <v>2772</v>
      </c>
      <c r="C1055" s="14" t="s">
        <v>2773</v>
      </c>
      <c r="D1055" s="14" t="s">
        <v>2774</v>
      </c>
      <c r="E1055" s="14" t="s">
        <v>2792</v>
      </c>
      <c r="F1055" s="21">
        <v>2100</v>
      </c>
      <c r="G1055" s="14">
        <v>660</v>
      </c>
      <c r="H1055" s="14">
        <v>0</v>
      </c>
      <c r="I1055" s="14">
        <v>41</v>
      </c>
      <c r="J1055" s="22">
        <v>0.45688549758156199</v>
      </c>
      <c r="K1055" s="22">
        <v>0.54311450241843895</v>
      </c>
      <c r="L1055" s="14">
        <v>0</v>
      </c>
    </row>
    <row r="1056" spans="1:12" x14ac:dyDescent="0.25">
      <c r="A1056" s="13" t="s">
        <v>2793</v>
      </c>
      <c r="B1056" s="14" t="s">
        <v>5445</v>
      </c>
      <c r="C1056" s="14" t="s">
        <v>2773</v>
      </c>
      <c r="D1056" s="14" t="s">
        <v>2774</v>
      </c>
      <c r="E1056" s="14" t="s">
        <v>2794</v>
      </c>
      <c r="F1056" s="21">
        <v>1750</v>
      </c>
      <c r="H1056" s="14">
        <v>0</v>
      </c>
      <c r="I1056" s="14">
        <v>25</v>
      </c>
      <c r="J1056" s="22">
        <v>0.57811947374514605</v>
      </c>
      <c r="K1056" s="22">
        <v>0.421880526254854</v>
      </c>
      <c r="L1056" s="14">
        <v>0</v>
      </c>
    </row>
    <row r="1057" spans="1:12" x14ac:dyDescent="0.25">
      <c r="A1057" s="13" t="s">
        <v>2795</v>
      </c>
      <c r="B1057" s="14" t="s">
        <v>3900</v>
      </c>
      <c r="C1057" s="14" t="s">
        <v>2796</v>
      </c>
      <c r="D1057" s="14" t="s">
        <v>2797</v>
      </c>
      <c r="E1057" s="14" t="s">
        <v>2798</v>
      </c>
      <c r="F1057" s="21">
        <v>2040</v>
      </c>
      <c r="G1057" s="14">
        <v>729</v>
      </c>
      <c r="H1057" s="14">
        <v>1</v>
      </c>
      <c r="I1057" s="14">
        <v>31</v>
      </c>
      <c r="J1057" s="22">
        <v>0.80873168565994702</v>
      </c>
      <c r="K1057" s="22">
        <v>0.19126831434005301</v>
      </c>
      <c r="L1057" s="14">
        <v>0</v>
      </c>
    </row>
    <row r="1058" spans="1:12" x14ac:dyDescent="0.25">
      <c r="A1058" s="13" t="s">
        <v>6852</v>
      </c>
      <c r="B1058" s="14" t="s">
        <v>17</v>
      </c>
      <c r="C1058" s="14" t="s">
        <v>2800</v>
      </c>
      <c r="D1058" s="14" t="s">
        <v>2801</v>
      </c>
      <c r="E1058" s="14" t="s">
        <v>2802</v>
      </c>
      <c r="F1058" s="21">
        <v>2328.2399999999998</v>
      </c>
      <c r="G1058" s="14">
        <v>237</v>
      </c>
      <c r="H1058" s="14">
        <v>1</v>
      </c>
      <c r="I1058" s="14">
        <v>4</v>
      </c>
      <c r="J1058" s="22">
        <v>0.79039151225019899</v>
      </c>
      <c r="K1058" s="22">
        <v>0.20960848774980101</v>
      </c>
      <c r="L1058" s="14">
        <v>0</v>
      </c>
    </row>
    <row r="1059" spans="1:12" x14ac:dyDescent="0.25">
      <c r="A1059" s="13" t="s">
        <v>2803</v>
      </c>
      <c r="B1059" s="14" t="s">
        <v>17</v>
      </c>
      <c r="C1059" s="14" t="s">
        <v>2800</v>
      </c>
      <c r="D1059" s="14" t="s">
        <v>2801</v>
      </c>
      <c r="E1059" s="14" t="s">
        <v>2804</v>
      </c>
      <c r="F1059" s="21">
        <v>2366.5700000000002</v>
      </c>
      <c r="G1059" s="14">
        <v>402</v>
      </c>
      <c r="H1059" s="14">
        <v>1</v>
      </c>
      <c r="I1059" s="14">
        <v>28</v>
      </c>
      <c r="J1059" s="22">
        <v>0.25342743879940299</v>
      </c>
      <c r="K1059" s="22">
        <v>0.74657256120059801</v>
      </c>
      <c r="L1059" s="14">
        <v>0</v>
      </c>
    </row>
    <row r="1060" spans="1:12" x14ac:dyDescent="0.25">
      <c r="A1060" s="13" t="s">
        <v>6853</v>
      </c>
      <c r="B1060" s="14" t="s">
        <v>5438</v>
      </c>
      <c r="C1060" s="14" t="s">
        <v>5667</v>
      </c>
      <c r="D1060" s="14" t="s">
        <v>2807</v>
      </c>
      <c r="E1060" s="14" t="s">
        <v>2808</v>
      </c>
      <c r="F1060" s="21">
        <v>1893.34</v>
      </c>
      <c r="G1060" s="14">
        <v>187</v>
      </c>
      <c r="H1060" s="14">
        <v>0</v>
      </c>
      <c r="I1060" s="14">
        <v>50</v>
      </c>
      <c r="J1060" s="22">
        <v>0.351662828391963</v>
      </c>
      <c r="K1060" s="22">
        <v>0.64833717160803706</v>
      </c>
      <c r="L1060" s="14">
        <v>0</v>
      </c>
    </row>
    <row r="1061" spans="1:12" x14ac:dyDescent="0.25">
      <c r="B1061" s="14" t="s">
        <v>17</v>
      </c>
      <c r="C1061" s="14" t="s">
        <v>2809</v>
      </c>
      <c r="D1061" s="14" t="s">
        <v>2810</v>
      </c>
      <c r="E1061" s="14" t="s">
        <v>2811</v>
      </c>
      <c r="F1061" s="21">
        <v>596.46</v>
      </c>
      <c r="G1061" s="14">
        <v>480</v>
      </c>
      <c r="H1061" s="14">
        <v>1</v>
      </c>
      <c r="I1061" s="14">
        <v>49</v>
      </c>
      <c r="J1061" s="22">
        <v>0.671336445914129</v>
      </c>
      <c r="K1061" s="22">
        <v>0.328663554085871</v>
      </c>
      <c r="L1061" s="14">
        <v>0</v>
      </c>
    </row>
    <row r="1062" spans="1:12" x14ac:dyDescent="0.25">
      <c r="A1062" s="13" t="s">
        <v>2812</v>
      </c>
      <c r="B1062" s="14" t="s">
        <v>17</v>
      </c>
      <c r="C1062" s="14" t="s">
        <v>2813</v>
      </c>
      <c r="D1062" s="14" t="s">
        <v>2814</v>
      </c>
      <c r="E1062" s="14" t="s">
        <v>2815</v>
      </c>
      <c r="F1062" s="21">
        <v>2293.37</v>
      </c>
      <c r="G1062" s="14">
        <v>444</v>
      </c>
      <c r="H1062" s="14">
        <v>0</v>
      </c>
      <c r="I1062" s="14">
        <v>26</v>
      </c>
      <c r="J1062" s="22">
        <v>0.59547849227013105</v>
      </c>
      <c r="K1062" s="22">
        <v>0.404521507729869</v>
      </c>
      <c r="L1062" s="14">
        <v>0</v>
      </c>
    </row>
    <row r="1063" spans="1:12" x14ac:dyDescent="0.25">
      <c r="A1063" s="13" t="s">
        <v>6854</v>
      </c>
      <c r="B1063" s="14" t="s">
        <v>2817</v>
      </c>
      <c r="C1063" s="14" t="s">
        <v>2365</v>
      </c>
      <c r="D1063" s="14" t="s">
        <v>2818</v>
      </c>
      <c r="E1063" s="14" t="s">
        <v>2819</v>
      </c>
      <c r="F1063" s="21">
        <v>2035</v>
      </c>
      <c r="G1063" s="14">
        <v>294</v>
      </c>
      <c r="H1063" s="14">
        <v>0</v>
      </c>
      <c r="I1063" s="14">
        <v>33</v>
      </c>
      <c r="J1063" s="22">
        <v>9.8187109630924696E-2</v>
      </c>
      <c r="K1063" s="22">
        <v>0.90181289036907497</v>
      </c>
      <c r="L1063" s="14">
        <v>0</v>
      </c>
    </row>
    <row r="1064" spans="1:12" x14ac:dyDescent="0.25">
      <c r="A1064" s="13" t="s">
        <v>6855</v>
      </c>
      <c r="B1064" s="14" t="s">
        <v>2817</v>
      </c>
      <c r="C1064" s="14" t="s">
        <v>2365</v>
      </c>
      <c r="D1064" s="14" t="s">
        <v>2818</v>
      </c>
      <c r="E1064" s="14" t="s">
        <v>2821</v>
      </c>
      <c r="F1064" s="21">
        <v>3108.08</v>
      </c>
      <c r="G1064" s="14">
        <v>783</v>
      </c>
      <c r="H1064" s="14">
        <v>1</v>
      </c>
      <c r="I1064" s="14">
        <v>10</v>
      </c>
      <c r="J1064" s="22">
        <v>0.721106202835882</v>
      </c>
      <c r="K1064" s="22">
        <v>0.278893797164118</v>
      </c>
      <c r="L1064" s="14">
        <v>0</v>
      </c>
    </row>
    <row r="1065" spans="1:12" x14ac:dyDescent="0.25">
      <c r="A1065" s="13" t="s">
        <v>6856</v>
      </c>
      <c r="B1065" s="14" t="s">
        <v>191</v>
      </c>
      <c r="C1065" s="14" t="s">
        <v>2365</v>
      </c>
      <c r="D1065" s="14" t="s">
        <v>2818</v>
      </c>
      <c r="E1065" s="14" t="s">
        <v>2823</v>
      </c>
      <c r="F1065" s="21">
        <v>1932.69</v>
      </c>
      <c r="G1065" s="14">
        <v>405</v>
      </c>
      <c r="H1065" s="14">
        <v>0</v>
      </c>
      <c r="I1065" s="14" t="s">
        <v>6314</v>
      </c>
      <c r="J1065" s="22">
        <v>0.41101086442267898</v>
      </c>
      <c r="K1065" s="22">
        <v>0.58898913557732202</v>
      </c>
      <c r="L1065" s="14">
        <v>0</v>
      </c>
    </row>
    <row r="1066" spans="1:12" x14ac:dyDescent="0.25">
      <c r="A1066" s="13" t="s">
        <v>6857</v>
      </c>
      <c r="B1066" s="14" t="s">
        <v>17</v>
      </c>
      <c r="C1066" s="14" t="s">
        <v>2825</v>
      </c>
      <c r="D1066" s="14" t="s">
        <v>2818</v>
      </c>
      <c r="E1066" s="14" t="s">
        <v>2826</v>
      </c>
      <c r="F1066" s="21">
        <v>2286.09</v>
      </c>
      <c r="G1066" s="14">
        <v>704</v>
      </c>
      <c r="H1066" s="14">
        <v>1</v>
      </c>
      <c r="I1066" s="14">
        <v>14</v>
      </c>
      <c r="J1066" s="22">
        <v>0.306125443027286</v>
      </c>
      <c r="K1066" s="22">
        <v>0.69387455697271405</v>
      </c>
      <c r="L1066" s="14">
        <v>0</v>
      </c>
    </row>
    <row r="1067" spans="1:12" x14ac:dyDescent="0.25">
      <c r="A1067" s="13" t="s">
        <v>6858</v>
      </c>
      <c r="B1067" s="14" t="s">
        <v>5417</v>
      </c>
      <c r="C1067" s="14" t="s">
        <v>2371</v>
      </c>
      <c r="D1067" s="14" t="s">
        <v>2372</v>
      </c>
      <c r="E1067" s="14" t="s">
        <v>2828</v>
      </c>
      <c r="F1067" s="21">
        <v>2250</v>
      </c>
      <c r="G1067" s="14">
        <v>363</v>
      </c>
      <c r="H1067" s="14">
        <v>1</v>
      </c>
      <c r="I1067" s="14">
        <v>28</v>
      </c>
      <c r="J1067" s="22">
        <v>0.29463569077106</v>
      </c>
      <c r="K1067" s="22">
        <v>0.70536430922894</v>
      </c>
      <c r="L1067" s="14">
        <v>0</v>
      </c>
    </row>
    <row r="1068" spans="1:12" x14ac:dyDescent="0.25">
      <c r="A1068" s="13" t="s">
        <v>5806</v>
      </c>
      <c r="B1068" s="14" t="s">
        <v>5417</v>
      </c>
      <c r="C1068" s="14" t="s">
        <v>2371</v>
      </c>
      <c r="D1068" s="14" t="s">
        <v>2372</v>
      </c>
      <c r="E1068" s="14" t="s">
        <v>6859</v>
      </c>
      <c r="F1068" s="21">
        <v>2625.6</v>
      </c>
      <c r="G1068" s="14">
        <v>955</v>
      </c>
      <c r="H1068" s="14">
        <v>1</v>
      </c>
      <c r="I1068" s="14">
        <v>27</v>
      </c>
      <c r="J1068" s="22">
        <v>0.99311765984959899</v>
      </c>
      <c r="K1068" s="22">
        <v>6.8823401504011202E-3</v>
      </c>
      <c r="L1068" s="14">
        <v>0</v>
      </c>
    </row>
    <row r="1069" spans="1:12" x14ac:dyDescent="0.25">
      <c r="A1069" s="13" t="s">
        <v>6860</v>
      </c>
      <c r="B1069" s="14" t="s">
        <v>5417</v>
      </c>
      <c r="C1069" s="14" t="s">
        <v>2371</v>
      </c>
      <c r="D1069" s="14" t="s">
        <v>2372</v>
      </c>
      <c r="E1069" s="14" t="s">
        <v>2830</v>
      </c>
      <c r="F1069" s="21">
        <v>2625.6</v>
      </c>
      <c r="H1069" s="14">
        <v>0</v>
      </c>
      <c r="I1069" s="14">
        <v>29</v>
      </c>
      <c r="J1069" s="22">
        <v>0.58969900193756197</v>
      </c>
      <c r="K1069" s="22">
        <v>0.41030099806243803</v>
      </c>
      <c r="L1069" s="14">
        <v>0</v>
      </c>
    </row>
    <row r="1070" spans="1:12" x14ac:dyDescent="0.25">
      <c r="A1070" s="13" t="s">
        <v>6861</v>
      </c>
      <c r="B1070" s="14" t="s">
        <v>5419</v>
      </c>
      <c r="C1070" s="14" t="s">
        <v>2371</v>
      </c>
      <c r="D1070" s="14" t="s">
        <v>2372</v>
      </c>
      <c r="E1070" s="14" t="s">
        <v>2832</v>
      </c>
      <c r="F1070" s="21">
        <v>2040</v>
      </c>
      <c r="G1070" s="14">
        <v>884</v>
      </c>
      <c r="H1070" s="14">
        <v>1</v>
      </c>
      <c r="I1070" s="14">
        <v>14</v>
      </c>
      <c r="J1070" s="22">
        <v>0.13301192440336801</v>
      </c>
      <c r="K1070" s="22">
        <v>0.86698807559663205</v>
      </c>
      <c r="L1070" s="14">
        <v>0</v>
      </c>
    </row>
    <row r="1071" spans="1:12" ht="118.8" x14ac:dyDescent="0.25">
      <c r="A1071" s="13" t="s">
        <v>6862</v>
      </c>
      <c r="B1071" s="14" t="s">
        <v>110</v>
      </c>
      <c r="C1071" s="14" t="s">
        <v>2371</v>
      </c>
      <c r="D1071" s="14" t="s">
        <v>2372</v>
      </c>
      <c r="E1071" s="23" t="s">
        <v>6863</v>
      </c>
      <c r="F1071" s="21">
        <v>2841.6</v>
      </c>
      <c r="G1071" s="14">
        <v>625</v>
      </c>
      <c r="H1071" s="14">
        <v>0</v>
      </c>
      <c r="I1071" s="14">
        <v>24</v>
      </c>
      <c r="J1071" s="22">
        <v>0.339670060518865</v>
      </c>
      <c r="K1071" s="22">
        <v>0.66032993948113505</v>
      </c>
      <c r="L1071" s="14">
        <v>0</v>
      </c>
    </row>
    <row r="1072" spans="1:12" ht="39.6" x14ac:dyDescent="0.25">
      <c r="A1072" s="13" t="s">
        <v>6864</v>
      </c>
      <c r="B1072" s="14" t="s">
        <v>110</v>
      </c>
      <c r="C1072" s="23" t="s">
        <v>6865</v>
      </c>
      <c r="D1072" s="14" t="s">
        <v>2372</v>
      </c>
      <c r="E1072" s="14" t="s">
        <v>2835</v>
      </c>
      <c r="F1072" s="21">
        <v>2625.6</v>
      </c>
      <c r="G1072" s="14">
        <v>87</v>
      </c>
      <c r="H1072" s="14">
        <v>0</v>
      </c>
      <c r="I1072" s="14">
        <v>31</v>
      </c>
      <c r="J1072" s="22">
        <v>0.87851626272910999</v>
      </c>
      <c r="K1072" s="22">
        <v>0.12148373727089</v>
      </c>
      <c r="L1072" s="14">
        <v>0</v>
      </c>
    </row>
    <row r="1073" spans="1:12" ht="39.6" x14ac:dyDescent="0.25">
      <c r="A1073" s="20" t="s">
        <v>6866</v>
      </c>
      <c r="B1073" s="23" t="s">
        <v>6504</v>
      </c>
      <c r="C1073" s="23" t="s">
        <v>6865</v>
      </c>
      <c r="D1073" s="14" t="s">
        <v>2372</v>
      </c>
      <c r="E1073" s="23" t="s">
        <v>6867</v>
      </c>
      <c r="F1073" s="21">
        <v>2040</v>
      </c>
      <c r="G1073" s="14">
        <v>969</v>
      </c>
      <c r="H1073" s="14">
        <v>1</v>
      </c>
      <c r="I1073" s="14">
        <v>21</v>
      </c>
      <c r="J1073" s="22">
        <v>0.17887430828853801</v>
      </c>
      <c r="K1073" s="22">
        <v>0.82112569171146199</v>
      </c>
      <c r="L1073" s="14">
        <v>0</v>
      </c>
    </row>
    <row r="1074" spans="1:12" x14ac:dyDescent="0.25">
      <c r="A1074" s="13" t="s">
        <v>2838</v>
      </c>
      <c r="B1074" s="14" t="s">
        <v>69</v>
      </c>
      <c r="C1074" s="14" t="s">
        <v>2839</v>
      </c>
      <c r="D1074" s="14" t="s">
        <v>2840</v>
      </c>
      <c r="E1074" s="14" t="s">
        <v>2841</v>
      </c>
      <c r="F1074" s="21">
        <v>2127.6799999999998</v>
      </c>
      <c r="G1074" s="14">
        <v>451</v>
      </c>
      <c r="H1074" s="14">
        <v>1</v>
      </c>
      <c r="I1074" s="14">
        <v>8</v>
      </c>
      <c r="J1074" s="22">
        <v>0.889077888742277</v>
      </c>
      <c r="K1074" s="22">
        <v>0.110922111257723</v>
      </c>
      <c r="L1074" s="14">
        <v>0</v>
      </c>
    </row>
    <row r="1075" spans="1:12" x14ac:dyDescent="0.25">
      <c r="A1075" s="13" t="s">
        <v>2842</v>
      </c>
      <c r="B1075" s="14" t="s">
        <v>5488</v>
      </c>
      <c r="C1075" s="14" t="s">
        <v>2843</v>
      </c>
      <c r="D1075" s="14" t="s">
        <v>2840</v>
      </c>
      <c r="E1075" s="14" t="s">
        <v>2844</v>
      </c>
      <c r="F1075" s="21">
        <v>1873.87</v>
      </c>
      <c r="G1075" s="14">
        <v>3</v>
      </c>
      <c r="H1075" s="14">
        <v>1</v>
      </c>
      <c r="I1075" s="14">
        <v>16</v>
      </c>
      <c r="J1075" s="22">
        <v>8.0307500438971599E-2</v>
      </c>
      <c r="K1075" s="22">
        <v>0.91969249956102805</v>
      </c>
      <c r="L1075" s="14">
        <v>0</v>
      </c>
    </row>
    <row r="1076" spans="1:12" ht="26.4" x14ac:dyDescent="0.25">
      <c r="A1076" s="20" t="s">
        <v>6868</v>
      </c>
      <c r="B1076" s="14" t="s">
        <v>5411</v>
      </c>
      <c r="C1076" s="14" t="s">
        <v>2846</v>
      </c>
      <c r="D1076" s="14" t="s">
        <v>2372</v>
      </c>
      <c r="E1076" s="14" t="s">
        <v>2847</v>
      </c>
      <c r="F1076" s="21">
        <v>2520</v>
      </c>
      <c r="H1076" s="14">
        <v>1</v>
      </c>
      <c r="I1076" s="14">
        <v>38</v>
      </c>
      <c r="J1076" s="22">
        <v>0.26517084559674597</v>
      </c>
      <c r="K1076" s="22">
        <v>0.73482915440325403</v>
      </c>
      <c r="L1076" s="14">
        <v>0</v>
      </c>
    </row>
    <row r="1077" spans="1:12" x14ac:dyDescent="0.25">
      <c r="A1077" s="13" t="s">
        <v>6869</v>
      </c>
      <c r="B1077" s="14" t="s">
        <v>607</v>
      </c>
      <c r="C1077" s="14" t="s">
        <v>2846</v>
      </c>
      <c r="D1077" s="14" t="s">
        <v>2372</v>
      </c>
      <c r="E1077" s="14" t="s">
        <v>2848</v>
      </c>
      <c r="F1077" s="21">
        <v>2520</v>
      </c>
      <c r="G1077" s="14">
        <v>479</v>
      </c>
      <c r="H1077" s="14">
        <v>0</v>
      </c>
      <c r="I1077" s="14">
        <v>18</v>
      </c>
      <c r="J1077" s="22">
        <v>0.71323384074230201</v>
      </c>
      <c r="K1077" s="22">
        <v>0.28676615925769799</v>
      </c>
      <c r="L1077" s="14">
        <v>0</v>
      </c>
    </row>
    <row r="1078" spans="1:12" x14ac:dyDescent="0.25">
      <c r="A1078" s="13" t="s">
        <v>6870</v>
      </c>
      <c r="B1078" s="14" t="s">
        <v>607</v>
      </c>
      <c r="C1078" s="14" t="s">
        <v>2846</v>
      </c>
      <c r="D1078" s="14" t="s">
        <v>2372</v>
      </c>
      <c r="E1078" s="14" t="s">
        <v>2849</v>
      </c>
      <c r="F1078" s="21">
        <v>2520</v>
      </c>
      <c r="G1078" s="14">
        <v>319</v>
      </c>
      <c r="H1078" s="14">
        <v>1</v>
      </c>
      <c r="I1078" s="14">
        <v>28</v>
      </c>
      <c r="J1078" s="22">
        <v>0.35699387846788999</v>
      </c>
      <c r="K1078" s="22">
        <v>0.64300612153211001</v>
      </c>
      <c r="L1078" s="14">
        <v>0</v>
      </c>
    </row>
    <row r="1079" spans="1:12" x14ac:dyDescent="0.25">
      <c r="A1079" s="13" t="s">
        <v>6871</v>
      </c>
      <c r="B1079" s="14" t="s">
        <v>607</v>
      </c>
      <c r="C1079" s="14" t="s">
        <v>2846</v>
      </c>
      <c r="D1079" s="14" t="s">
        <v>2372</v>
      </c>
      <c r="E1079" s="14" t="s">
        <v>2851</v>
      </c>
      <c r="F1079" s="21">
        <v>2520</v>
      </c>
      <c r="G1079" s="14">
        <v>879</v>
      </c>
      <c r="H1079" s="14">
        <v>1</v>
      </c>
      <c r="I1079" s="14">
        <v>46</v>
      </c>
      <c r="J1079" s="22">
        <v>0.847545455756333</v>
      </c>
      <c r="K1079" s="22">
        <v>0.152454544243667</v>
      </c>
      <c r="L1079" s="14">
        <v>0</v>
      </c>
    </row>
    <row r="1080" spans="1:12" x14ac:dyDescent="0.25">
      <c r="A1080" s="13" t="s">
        <v>2852</v>
      </c>
      <c r="B1080" s="14" t="s">
        <v>5382</v>
      </c>
      <c r="C1080" s="14" t="s">
        <v>2853</v>
      </c>
      <c r="D1080" s="14" t="s">
        <v>2854</v>
      </c>
      <c r="E1080" s="14" t="s">
        <v>2855</v>
      </c>
      <c r="F1080" s="21">
        <v>1626.36</v>
      </c>
      <c r="G1080" s="14">
        <v>962</v>
      </c>
      <c r="H1080" s="14">
        <v>0</v>
      </c>
      <c r="I1080" s="14">
        <v>15</v>
      </c>
      <c r="J1080" s="22">
        <v>0.52030298511330297</v>
      </c>
      <c r="K1080" s="22">
        <v>0.47969701488669703</v>
      </c>
      <c r="L1080" s="14">
        <v>0</v>
      </c>
    </row>
    <row r="1081" spans="1:12" x14ac:dyDescent="0.25">
      <c r="A1081" s="13" t="s">
        <v>6872</v>
      </c>
      <c r="B1081" s="14" t="s">
        <v>2856</v>
      </c>
      <c r="C1081" s="14" t="s">
        <v>2853</v>
      </c>
      <c r="D1081" s="14" t="s">
        <v>2854</v>
      </c>
      <c r="E1081" s="14" t="s">
        <v>2857</v>
      </c>
      <c r="F1081" s="21">
        <v>1956</v>
      </c>
      <c r="G1081" s="14">
        <v>190</v>
      </c>
      <c r="I1081" s="14">
        <v>31</v>
      </c>
      <c r="J1081" s="22">
        <v>0.30293407259378702</v>
      </c>
      <c r="K1081" s="22">
        <v>0.69706592740621298</v>
      </c>
      <c r="L1081" s="14">
        <v>0</v>
      </c>
    </row>
    <row r="1082" spans="1:12" x14ac:dyDescent="0.25">
      <c r="A1082" s="13" t="s">
        <v>6873</v>
      </c>
      <c r="B1082" s="14" t="s">
        <v>5447</v>
      </c>
      <c r="C1082" s="14" t="s">
        <v>2853</v>
      </c>
      <c r="D1082" s="14" t="s">
        <v>2854</v>
      </c>
      <c r="E1082" s="14" t="s">
        <v>2859</v>
      </c>
      <c r="F1082" s="21">
        <v>1598.38</v>
      </c>
      <c r="G1082" s="14">
        <v>699</v>
      </c>
      <c r="H1082" s="14">
        <v>0</v>
      </c>
      <c r="I1082" s="14">
        <v>26</v>
      </c>
      <c r="J1082" s="22">
        <v>0.77766311512529696</v>
      </c>
      <c r="K1082" s="22">
        <v>0.22233688487470299</v>
      </c>
      <c r="L1082" s="14">
        <v>0</v>
      </c>
    </row>
    <row r="1083" spans="1:12" ht="26.4" x14ac:dyDescent="0.25">
      <c r="A1083" s="20" t="s">
        <v>6874</v>
      </c>
      <c r="B1083" s="14" t="s">
        <v>17</v>
      </c>
      <c r="C1083" s="14" t="s">
        <v>5702</v>
      </c>
      <c r="D1083" s="14" t="s">
        <v>2862</v>
      </c>
      <c r="E1083" s="14" t="s">
        <v>6875</v>
      </c>
      <c r="F1083" s="21">
        <v>2696.34</v>
      </c>
      <c r="G1083" s="14">
        <v>292</v>
      </c>
      <c r="H1083" s="14">
        <v>0</v>
      </c>
      <c r="I1083" s="14">
        <v>26</v>
      </c>
      <c r="J1083" s="22">
        <v>0.48504848416165502</v>
      </c>
      <c r="K1083" s="22">
        <v>0.51495151583834498</v>
      </c>
      <c r="L1083" s="14">
        <v>0</v>
      </c>
    </row>
    <row r="1084" spans="1:12" x14ac:dyDescent="0.25">
      <c r="B1084" s="14" t="s">
        <v>758</v>
      </c>
      <c r="C1084" s="14" t="s">
        <v>2864</v>
      </c>
      <c r="D1084" s="14" t="s">
        <v>2865</v>
      </c>
      <c r="E1084" s="14" t="s">
        <v>2866</v>
      </c>
      <c r="F1084" s="21">
        <v>2040</v>
      </c>
      <c r="G1084" s="14">
        <v>928</v>
      </c>
      <c r="H1084" s="14">
        <v>1</v>
      </c>
      <c r="I1084" s="14">
        <v>1</v>
      </c>
      <c r="J1084" s="22">
        <v>0.21810648969662499</v>
      </c>
      <c r="K1084" s="22">
        <v>0.78189351030337595</v>
      </c>
      <c r="L1084" s="14">
        <v>0</v>
      </c>
    </row>
    <row r="1085" spans="1:12" x14ac:dyDescent="0.25">
      <c r="A1085" s="13" t="s">
        <v>2867</v>
      </c>
      <c r="B1085" s="14" t="s">
        <v>5348</v>
      </c>
      <c r="C1085" s="14" t="s">
        <v>2864</v>
      </c>
      <c r="D1085" s="14" t="s">
        <v>2865</v>
      </c>
      <c r="E1085" s="14" t="s">
        <v>2868</v>
      </c>
      <c r="F1085" s="21">
        <v>2040</v>
      </c>
      <c r="G1085" s="14">
        <v>416</v>
      </c>
      <c r="H1085" s="14">
        <v>0</v>
      </c>
      <c r="I1085" s="14">
        <v>29</v>
      </c>
      <c r="J1085" s="22">
        <v>0.90514865950795098</v>
      </c>
      <c r="K1085" s="22">
        <v>9.4851340492049199E-2</v>
      </c>
      <c r="L1085" s="14">
        <v>0</v>
      </c>
    </row>
    <row r="1086" spans="1:12" x14ac:dyDescent="0.25">
      <c r="B1086" s="14" t="s">
        <v>758</v>
      </c>
      <c r="C1086" s="14" t="s">
        <v>2869</v>
      </c>
      <c r="D1086" s="14" t="s">
        <v>2870</v>
      </c>
      <c r="E1086" s="14" t="s">
        <v>2871</v>
      </c>
      <c r="F1086" s="21">
        <v>1989</v>
      </c>
      <c r="G1086" s="14">
        <v>426</v>
      </c>
      <c r="H1086" s="14">
        <v>0</v>
      </c>
      <c r="I1086" s="14">
        <v>5</v>
      </c>
      <c r="J1086" s="22">
        <v>0.29789255703343898</v>
      </c>
      <c r="K1086" s="22">
        <v>0.70210744296656102</v>
      </c>
      <c r="L1086" s="14">
        <v>0</v>
      </c>
    </row>
    <row r="1087" spans="1:12" x14ac:dyDescent="0.25">
      <c r="A1087" s="13" t="s">
        <v>2872</v>
      </c>
      <c r="B1087" s="14" t="s">
        <v>758</v>
      </c>
      <c r="C1087" s="14" t="s">
        <v>2869</v>
      </c>
      <c r="D1087" s="14" t="s">
        <v>2870</v>
      </c>
      <c r="E1087" s="14" t="s">
        <v>2873</v>
      </c>
      <c r="F1087" s="21">
        <v>2340</v>
      </c>
      <c r="G1087" s="14">
        <v>150</v>
      </c>
      <c r="H1087" s="14">
        <v>0</v>
      </c>
      <c r="I1087" s="14">
        <v>8</v>
      </c>
      <c r="J1087" s="22">
        <v>0.74034236739541104</v>
      </c>
      <c r="K1087" s="22">
        <v>0.25965763260458902</v>
      </c>
      <c r="L1087" s="14">
        <v>0</v>
      </c>
    </row>
    <row r="1088" spans="1:12" x14ac:dyDescent="0.25">
      <c r="A1088" s="13">
        <v>41609</v>
      </c>
      <c r="B1088" s="14" t="s">
        <v>5481</v>
      </c>
      <c r="C1088" s="14" t="s">
        <v>2874</v>
      </c>
      <c r="D1088" s="14" t="s">
        <v>2875</v>
      </c>
      <c r="E1088" s="14" t="s">
        <v>2876</v>
      </c>
      <c r="F1088" s="21">
        <v>612.59</v>
      </c>
      <c r="G1088" s="14">
        <v>20</v>
      </c>
      <c r="H1088" s="14">
        <v>1</v>
      </c>
      <c r="I1088" s="14">
        <v>24</v>
      </c>
      <c r="J1088" s="22">
        <v>0.38829270352622502</v>
      </c>
      <c r="K1088" s="22">
        <v>0.61170729647377498</v>
      </c>
      <c r="L1088" s="14">
        <v>0</v>
      </c>
    </row>
    <row r="1089" spans="1:12" x14ac:dyDescent="0.25">
      <c r="A1089" s="13" t="s">
        <v>6876</v>
      </c>
      <c r="B1089" s="14" t="s">
        <v>6550</v>
      </c>
      <c r="C1089" s="14" t="s">
        <v>6877</v>
      </c>
      <c r="D1089" s="14" t="s">
        <v>2875</v>
      </c>
      <c r="E1089" s="14" t="s">
        <v>6878</v>
      </c>
      <c r="F1089" s="21">
        <v>1834.77</v>
      </c>
      <c r="G1089" s="14">
        <v>429</v>
      </c>
      <c r="H1089" s="14">
        <v>0</v>
      </c>
      <c r="I1089" s="14">
        <v>24</v>
      </c>
      <c r="J1089" s="22">
        <v>1.7996543701257299E-2</v>
      </c>
      <c r="K1089" s="22">
        <v>0.98200345629874297</v>
      </c>
      <c r="L1089" s="14">
        <v>0</v>
      </c>
    </row>
    <row r="1090" spans="1:12" x14ac:dyDescent="0.25">
      <c r="A1090" s="13" t="s">
        <v>2879</v>
      </c>
      <c r="B1090" s="14" t="s">
        <v>5316</v>
      </c>
      <c r="C1090" s="14" t="s">
        <v>2375</v>
      </c>
      <c r="D1090" s="14" t="s">
        <v>2376</v>
      </c>
      <c r="E1090" s="14" t="s">
        <v>2880</v>
      </c>
      <c r="F1090" s="21">
        <v>2392.1999999999998</v>
      </c>
      <c r="G1090" s="14">
        <v>303</v>
      </c>
      <c r="H1090" s="14">
        <v>0</v>
      </c>
      <c r="I1090" s="14">
        <v>20</v>
      </c>
      <c r="J1090" s="22">
        <v>0.540974167935238</v>
      </c>
      <c r="K1090" s="22">
        <v>0.459025832064762</v>
      </c>
      <c r="L1090" s="14">
        <v>1898</v>
      </c>
    </row>
    <row r="1091" spans="1:12" x14ac:dyDescent="0.25">
      <c r="A1091" s="13" t="s">
        <v>6879</v>
      </c>
      <c r="B1091" s="14" t="s">
        <v>5317</v>
      </c>
      <c r="C1091" s="14" t="s">
        <v>2375</v>
      </c>
      <c r="D1091" s="14" t="s">
        <v>2376</v>
      </c>
      <c r="E1091" s="14" t="s">
        <v>2882</v>
      </c>
      <c r="F1091" s="21">
        <v>1287.2</v>
      </c>
      <c r="G1091" s="14">
        <v>15</v>
      </c>
      <c r="H1091" s="14">
        <v>1</v>
      </c>
      <c r="I1091" s="14">
        <v>38</v>
      </c>
      <c r="J1091" s="22">
        <v>0.99698725141968303</v>
      </c>
      <c r="K1091" s="22">
        <v>3.01274858031742E-3</v>
      </c>
      <c r="L1091" s="14">
        <v>0</v>
      </c>
    </row>
    <row r="1092" spans="1:12" x14ac:dyDescent="0.25">
      <c r="A1092" s="13" t="s">
        <v>6880</v>
      </c>
      <c r="B1092" s="14" t="s">
        <v>5317</v>
      </c>
      <c r="C1092" s="14" t="s">
        <v>2375</v>
      </c>
      <c r="D1092" s="14" t="s">
        <v>2376</v>
      </c>
      <c r="E1092" s="14" t="s">
        <v>2884</v>
      </c>
      <c r="F1092" s="21">
        <v>1324.66</v>
      </c>
      <c r="G1092" s="14">
        <v>990</v>
      </c>
      <c r="I1092" s="14">
        <v>18</v>
      </c>
      <c r="J1092" s="22">
        <v>0.61382654002969195</v>
      </c>
      <c r="K1092" s="22">
        <v>0.386173459970308</v>
      </c>
      <c r="L1092" s="14">
        <v>0</v>
      </c>
    </row>
    <row r="1093" spans="1:12" x14ac:dyDescent="0.25">
      <c r="A1093" s="13" t="s">
        <v>2885</v>
      </c>
      <c r="B1093" s="14" t="s">
        <v>5318</v>
      </c>
      <c r="C1093" s="14" t="s">
        <v>2375</v>
      </c>
      <c r="D1093" s="14" t="s">
        <v>2376</v>
      </c>
      <c r="E1093" s="14" t="s">
        <v>2886</v>
      </c>
      <c r="F1093" s="21">
        <v>1006.72</v>
      </c>
      <c r="G1093" s="14">
        <v>14</v>
      </c>
      <c r="H1093" s="14">
        <v>0</v>
      </c>
      <c r="I1093" s="14">
        <v>37</v>
      </c>
      <c r="J1093" s="22">
        <v>0.59514974031699897</v>
      </c>
      <c r="K1093" s="22">
        <v>0.40485025968300098</v>
      </c>
      <c r="L1093" s="14">
        <v>0</v>
      </c>
    </row>
    <row r="1094" spans="1:12" x14ac:dyDescent="0.25">
      <c r="A1094" s="13" t="s">
        <v>6881</v>
      </c>
      <c r="B1094" s="14" t="s">
        <v>22</v>
      </c>
      <c r="C1094" s="14" t="s">
        <v>2375</v>
      </c>
      <c r="D1094" s="14" t="s">
        <v>2376</v>
      </c>
      <c r="E1094" s="14" t="s">
        <v>2887</v>
      </c>
      <c r="F1094" s="21">
        <v>572.74</v>
      </c>
      <c r="G1094" s="14">
        <v>96</v>
      </c>
      <c r="H1094" s="14">
        <v>0</v>
      </c>
      <c r="I1094" s="14" t="s">
        <v>6314</v>
      </c>
      <c r="J1094" s="22">
        <v>0.90229235841688404</v>
      </c>
      <c r="K1094" s="22">
        <v>9.7707641583115595E-2</v>
      </c>
      <c r="L1094" s="14">
        <v>0</v>
      </c>
    </row>
    <row r="1095" spans="1:12" x14ac:dyDescent="0.25">
      <c r="A1095" s="13" t="s">
        <v>6882</v>
      </c>
      <c r="B1095" s="14" t="s">
        <v>22</v>
      </c>
      <c r="C1095" s="14" t="s">
        <v>2375</v>
      </c>
      <c r="D1095" s="14" t="s">
        <v>2376</v>
      </c>
      <c r="E1095" s="14" t="s">
        <v>2889</v>
      </c>
      <c r="F1095" s="21">
        <v>750.66</v>
      </c>
      <c r="G1095" s="14">
        <v>989</v>
      </c>
      <c r="H1095" s="14">
        <v>0</v>
      </c>
      <c r="I1095" s="14">
        <v>38</v>
      </c>
      <c r="J1095" s="22">
        <v>0.22329338610886701</v>
      </c>
      <c r="K1095" s="22">
        <v>0.77670661389113305</v>
      </c>
      <c r="L1095" s="14">
        <v>0</v>
      </c>
    </row>
    <row r="1096" spans="1:12" x14ac:dyDescent="0.25">
      <c r="A1096" s="13" t="s">
        <v>6883</v>
      </c>
      <c r="B1096" s="14" t="s">
        <v>22</v>
      </c>
      <c r="C1096" s="14" t="s">
        <v>6884</v>
      </c>
      <c r="D1096" s="14" t="s">
        <v>2376</v>
      </c>
      <c r="E1096" s="14" t="s">
        <v>2891</v>
      </c>
      <c r="F1096" s="21">
        <v>321.12</v>
      </c>
      <c r="G1096" s="14">
        <v>75</v>
      </c>
      <c r="H1096" s="14">
        <v>0</v>
      </c>
      <c r="I1096" s="14">
        <v>24</v>
      </c>
      <c r="J1096" s="22">
        <v>0.589902481395155</v>
      </c>
      <c r="K1096" s="22">
        <v>0.410097518604845</v>
      </c>
      <c r="L1096" s="14">
        <v>0</v>
      </c>
    </row>
    <row r="1097" spans="1:12" x14ac:dyDescent="0.25">
      <c r="A1097" s="13" t="s">
        <v>6885</v>
      </c>
      <c r="B1097" s="14" t="s">
        <v>2772</v>
      </c>
      <c r="C1097" s="14" t="s">
        <v>2893</v>
      </c>
      <c r="D1097" s="14" t="s">
        <v>2894</v>
      </c>
      <c r="E1097" s="14" t="s">
        <v>2895</v>
      </c>
      <c r="F1097" s="21">
        <v>2100</v>
      </c>
      <c r="G1097" s="14">
        <v>900</v>
      </c>
      <c r="H1097" s="14">
        <v>0</v>
      </c>
      <c r="I1097" s="14">
        <v>1</v>
      </c>
      <c r="J1097" s="22">
        <v>0.66230280865054703</v>
      </c>
      <c r="K1097" s="22">
        <v>0.33769719134945297</v>
      </c>
      <c r="L1097" s="14">
        <v>0</v>
      </c>
    </row>
    <row r="1098" spans="1:12" x14ac:dyDescent="0.25">
      <c r="A1098" s="13" t="s">
        <v>6098</v>
      </c>
      <c r="B1098" s="14" t="s">
        <v>5493</v>
      </c>
      <c r="C1098" s="14" t="s">
        <v>2897</v>
      </c>
      <c r="D1098" s="14" t="s">
        <v>2894</v>
      </c>
      <c r="E1098" s="14" t="s">
        <v>2898</v>
      </c>
      <c r="F1098" s="21">
        <v>2400</v>
      </c>
      <c r="G1098" s="14">
        <v>50</v>
      </c>
      <c r="H1098" s="14">
        <v>0</v>
      </c>
      <c r="I1098" s="14">
        <v>47</v>
      </c>
      <c r="J1098" s="22">
        <v>0.92670688027853498</v>
      </c>
      <c r="K1098" s="22">
        <v>7.3293119721464794E-2</v>
      </c>
      <c r="L1098" s="14">
        <v>0</v>
      </c>
    </row>
    <row r="1099" spans="1:12" x14ac:dyDescent="0.25">
      <c r="A1099" s="13" t="s">
        <v>2899</v>
      </c>
      <c r="B1099" s="14" t="s">
        <v>17</v>
      </c>
      <c r="C1099" s="14" t="s">
        <v>2395</v>
      </c>
      <c r="D1099" s="14" t="s">
        <v>2900</v>
      </c>
      <c r="E1099" s="14" t="s">
        <v>2901</v>
      </c>
      <c r="F1099" s="21">
        <v>2192.89</v>
      </c>
      <c r="G1099" s="14">
        <v>236</v>
      </c>
      <c r="H1099" s="14">
        <v>1</v>
      </c>
      <c r="I1099" s="14">
        <v>16</v>
      </c>
      <c r="J1099" s="22">
        <v>0.47566755560970497</v>
      </c>
      <c r="K1099" s="22">
        <v>0.52433244439029503</v>
      </c>
      <c r="L1099" s="14">
        <v>0</v>
      </c>
    </row>
    <row r="1100" spans="1:12" x14ac:dyDescent="0.25">
      <c r="A1100" s="13" t="s">
        <v>6886</v>
      </c>
      <c r="B1100" s="14" t="s">
        <v>17</v>
      </c>
      <c r="C1100" s="14" t="s">
        <v>2395</v>
      </c>
      <c r="D1100" s="14" t="s">
        <v>2900</v>
      </c>
      <c r="E1100" s="14" t="s">
        <v>2903</v>
      </c>
      <c r="F1100" s="21">
        <v>2372.0100000000002</v>
      </c>
      <c r="G1100" s="14">
        <v>715</v>
      </c>
      <c r="H1100" s="14">
        <v>0</v>
      </c>
      <c r="I1100" s="14">
        <v>14</v>
      </c>
      <c r="J1100" s="22">
        <v>0.70798295067249895</v>
      </c>
      <c r="K1100" s="22">
        <v>0.292017049327501</v>
      </c>
      <c r="L1100" s="14">
        <v>0</v>
      </c>
    </row>
    <row r="1101" spans="1:12" x14ac:dyDescent="0.25">
      <c r="A1101" s="13" t="s">
        <v>6887</v>
      </c>
      <c r="B1101" s="14" t="s">
        <v>17</v>
      </c>
      <c r="C1101" s="14" t="s">
        <v>2395</v>
      </c>
      <c r="D1101" s="14" t="s">
        <v>2900</v>
      </c>
      <c r="E1101" s="14" t="s">
        <v>2905</v>
      </c>
      <c r="F1101" s="21">
        <v>2455.8200000000002</v>
      </c>
      <c r="G1101" s="14">
        <v>367</v>
      </c>
      <c r="H1101" s="14">
        <v>0</v>
      </c>
      <c r="I1101" s="14" t="s">
        <v>6314</v>
      </c>
      <c r="J1101" s="22">
        <v>0.61027678165942301</v>
      </c>
      <c r="K1101" s="22">
        <v>0.38972321834057699</v>
      </c>
      <c r="L1101" s="14">
        <v>0</v>
      </c>
    </row>
    <row r="1102" spans="1:12" x14ac:dyDescent="0.25">
      <c r="A1102" s="13" t="s">
        <v>6888</v>
      </c>
      <c r="B1102" s="14" t="s">
        <v>6355</v>
      </c>
      <c r="C1102" s="14" t="s">
        <v>2395</v>
      </c>
      <c r="D1102" s="14" t="s">
        <v>2900</v>
      </c>
      <c r="E1102" s="14" t="s">
        <v>2906</v>
      </c>
      <c r="F1102" s="21">
        <v>2459.3200000000002</v>
      </c>
      <c r="G1102" s="14">
        <v>866</v>
      </c>
      <c r="H1102" s="14">
        <v>1</v>
      </c>
      <c r="I1102" s="14">
        <v>2</v>
      </c>
      <c r="J1102" s="22">
        <v>0.87862305792503803</v>
      </c>
      <c r="K1102" s="22">
        <v>0.121376942074962</v>
      </c>
      <c r="L1102" s="14">
        <v>0</v>
      </c>
    </row>
    <row r="1103" spans="1:12" x14ac:dyDescent="0.25">
      <c r="A1103" s="13" t="s">
        <v>2907</v>
      </c>
      <c r="B1103" s="14" t="s">
        <v>5347</v>
      </c>
      <c r="C1103" s="14" t="s">
        <v>2908</v>
      </c>
      <c r="D1103" s="14" t="s">
        <v>2865</v>
      </c>
      <c r="E1103" s="14" t="s">
        <v>2909</v>
      </c>
      <c r="F1103" s="21">
        <v>1200</v>
      </c>
      <c r="H1103" s="14">
        <v>1</v>
      </c>
      <c r="I1103" s="14">
        <v>8</v>
      </c>
      <c r="J1103" s="22">
        <v>0.742216395844843</v>
      </c>
      <c r="K1103" s="22">
        <v>0.257783604155157</v>
      </c>
      <c r="L1103" s="14">
        <v>0</v>
      </c>
    </row>
    <row r="1104" spans="1:12" x14ac:dyDescent="0.25">
      <c r="A1104" s="13" t="s">
        <v>6889</v>
      </c>
      <c r="B1104" s="14" t="s">
        <v>5347</v>
      </c>
      <c r="C1104" s="14" t="s">
        <v>5676</v>
      </c>
      <c r="D1104" s="14" t="s">
        <v>2865</v>
      </c>
      <c r="E1104" s="14" t="s">
        <v>2911</v>
      </c>
      <c r="F1104" s="21">
        <v>2400</v>
      </c>
      <c r="G1104" s="14">
        <v>767</v>
      </c>
      <c r="H1104" s="14">
        <v>1</v>
      </c>
      <c r="I1104" s="14">
        <v>20</v>
      </c>
      <c r="J1104" s="22">
        <v>0.528473864394439</v>
      </c>
      <c r="K1104" s="22">
        <v>0.471526135605561</v>
      </c>
      <c r="L1104" s="14">
        <v>0</v>
      </c>
    </row>
    <row r="1105" spans="1:12" ht="26.4" x14ac:dyDescent="0.25">
      <c r="A1105" s="20" t="s">
        <v>6890</v>
      </c>
      <c r="B1105" s="14" t="s">
        <v>5456</v>
      </c>
      <c r="C1105" s="14" t="s">
        <v>2913</v>
      </c>
      <c r="D1105" s="14" t="s">
        <v>2914</v>
      </c>
      <c r="E1105" s="14" t="s">
        <v>2915</v>
      </c>
      <c r="F1105" s="21">
        <v>2262.59</v>
      </c>
      <c r="G1105" s="14">
        <v>943</v>
      </c>
      <c r="H1105" s="14">
        <v>0</v>
      </c>
      <c r="I1105" s="14" t="s">
        <v>6314</v>
      </c>
      <c r="J1105" s="22">
        <v>0.69255835754404305</v>
      </c>
      <c r="K1105" s="22">
        <v>0.30744164245595701</v>
      </c>
      <c r="L1105" s="14">
        <v>0</v>
      </c>
    </row>
    <row r="1106" spans="1:12" x14ac:dyDescent="0.25">
      <c r="A1106" s="13" t="s">
        <v>5920</v>
      </c>
      <c r="B1106" s="14" t="s">
        <v>69</v>
      </c>
      <c r="C1106" s="14" t="s">
        <v>2916</v>
      </c>
      <c r="D1106" s="14" t="s">
        <v>2917</v>
      </c>
      <c r="E1106" s="14" t="s">
        <v>2918</v>
      </c>
      <c r="F1106" s="21">
        <v>1896.98</v>
      </c>
      <c r="G1106" s="14">
        <v>779</v>
      </c>
      <c r="H1106" s="14">
        <v>1</v>
      </c>
      <c r="I1106" s="14">
        <v>16</v>
      </c>
      <c r="J1106" s="22">
        <v>0.26029904707886098</v>
      </c>
      <c r="K1106" s="22">
        <v>0.73970095292113902</v>
      </c>
      <c r="L1106" s="14">
        <v>0</v>
      </c>
    </row>
    <row r="1107" spans="1:12" x14ac:dyDescent="0.25">
      <c r="A1107" s="13" t="s">
        <v>6891</v>
      </c>
      <c r="B1107" s="14" t="s">
        <v>5455</v>
      </c>
      <c r="C1107" s="14" t="s">
        <v>2920</v>
      </c>
      <c r="D1107" s="14" t="s">
        <v>2921</v>
      </c>
      <c r="E1107" s="14" t="s">
        <v>2922</v>
      </c>
      <c r="F1107" s="21">
        <v>2289.17</v>
      </c>
      <c r="G1107" s="14">
        <v>890</v>
      </c>
      <c r="H1107" s="14">
        <v>1</v>
      </c>
      <c r="I1107" s="14">
        <v>11</v>
      </c>
      <c r="J1107" s="22">
        <v>0.86519393749877005</v>
      </c>
      <c r="K1107" s="22">
        <v>0.13480606250123001</v>
      </c>
      <c r="L1107" s="14">
        <v>0</v>
      </c>
    </row>
    <row r="1108" spans="1:12" ht="52.8" x14ac:dyDescent="0.25">
      <c r="A1108" s="20" t="s">
        <v>6892</v>
      </c>
      <c r="B1108" s="14" t="s">
        <v>86</v>
      </c>
      <c r="C1108" s="14" t="s">
        <v>2924</v>
      </c>
      <c r="D1108" s="14" t="s">
        <v>2925</v>
      </c>
      <c r="E1108" s="14" t="s">
        <v>2926</v>
      </c>
      <c r="F1108" s="21">
        <v>1860.57</v>
      </c>
      <c r="G1108" s="14">
        <v>102</v>
      </c>
      <c r="H1108" s="14">
        <v>0</v>
      </c>
      <c r="I1108" s="14">
        <v>39</v>
      </c>
      <c r="J1108" s="22">
        <v>0.58030356957621199</v>
      </c>
      <c r="K1108" s="22">
        <v>0.41969643042378801</v>
      </c>
      <c r="L1108" s="14">
        <v>0</v>
      </c>
    </row>
    <row r="1109" spans="1:12" x14ac:dyDescent="0.25">
      <c r="A1109" s="13" t="s">
        <v>2927</v>
      </c>
      <c r="B1109" s="14" t="s">
        <v>86</v>
      </c>
      <c r="C1109" s="14" t="s">
        <v>2924</v>
      </c>
      <c r="D1109" s="14" t="s">
        <v>2925</v>
      </c>
      <c r="E1109" s="14" t="s">
        <v>2928</v>
      </c>
      <c r="F1109" s="21">
        <v>2184.2199999999998</v>
      </c>
      <c r="G1109" s="14">
        <v>192</v>
      </c>
      <c r="H1109" s="14">
        <v>1</v>
      </c>
      <c r="I1109" s="14">
        <v>11</v>
      </c>
      <c r="J1109" s="22">
        <v>0.79762791054517701</v>
      </c>
      <c r="K1109" s="22">
        <v>0.20237208945482299</v>
      </c>
      <c r="L1109" s="14">
        <v>0</v>
      </c>
    </row>
    <row r="1110" spans="1:12" x14ac:dyDescent="0.25">
      <c r="A1110" s="13" t="s">
        <v>2929</v>
      </c>
      <c r="B1110" s="14" t="s">
        <v>86</v>
      </c>
      <c r="C1110" s="14" t="s">
        <v>2924</v>
      </c>
      <c r="D1110" s="14" t="s">
        <v>2925</v>
      </c>
      <c r="E1110" s="14" t="s">
        <v>2930</v>
      </c>
      <c r="F1110" s="21">
        <v>2184.2199999999998</v>
      </c>
      <c r="H1110" s="14">
        <v>1</v>
      </c>
      <c r="I1110" s="14">
        <v>48</v>
      </c>
      <c r="J1110" s="22">
        <v>0.18998852596835999</v>
      </c>
      <c r="K1110" s="22">
        <v>0.81001147403164098</v>
      </c>
      <c r="L1110" s="14">
        <v>0</v>
      </c>
    </row>
    <row r="1111" spans="1:12" x14ac:dyDescent="0.25">
      <c r="A1111" s="13" t="s">
        <v>2931</v>
      </c>
      <c r="B1111" s="14" t="s">
        <v>5486</v>
      </c>
      <c r="C1111" s="14" t="s">
        <v>5677</v>
      </c>
      <c r="D1111" s="14" t="s">
        <v>2925</v>
      </c>
      <c r="E1111" s="14" t="s">
        <v>2932</v>
      </c>
      <c r="F1111" s="21">
        <v>2270.34</v>
      </c>
      <c r="G1111" s="14">
        <v>202</v>
      </c>
      <c r="H1111" s="14">
        <v>0</v>
      </c>
      <c r="I1111" s="14">
        <v>15</v>
      </c>
      <c r="J1111" s="22">
        <v>0.43135451931559399</v>
      </c>
      <c r="K1111" s="22">
        <v>0.56864548068440601</v>
      </c>
      <c r="L1111" s="14">
        <v>0</v>
      </c>
    </row>
    <row r="1112" spans="1:12" ht="39.6" x14ac:dyDescent="0.25">
      <c r="A1112" s="20" t="s">
        <v>6893</v>
      </c>
      <c r="B1112" s="14" t="s">
        <v>86</v>
      </c>
      <c r="C1112" s="14" t="s">
        <v>6894</v>
      </c>
      <c r="D1112" s="14" t="s">
        <v>2925</v>
      </c>
      <c r="E1112" s="14" t="s">
        <v>2934</v>
      </c>
      <c r="F1112" s="21">
        <v>2010.24</v>
      </c>
      <c r="G1112" s="14">
        <v>209</v>
      </c>
      <c r="H1112" s="14">
        <v>0</v>
      </c>
      <c r="I1112" s="14">
        <v>33</v>
      </c>
      <c r="J1112" s="22">
        <v>0.965770658108979</v>
      </c>
      <c r="K1112" s="22">
        <v>3.4229341891021503E-2</v>
      </c>
      <c r="L1112" s="14">
        <v>0</v>
      </c>
    </row>
    <row r="1113" spans="1:12" x14ac:dyDescent="0.25">
      <c r="A1113" s="13" t="s">
        <v>2935</v>
      </c>
      <c r="B1113" s="14" t="s">
        <v>86</v>
      </c>
      <c r="C1113" s="14" t="s">
        <v>2936</v>
      </c>
      <c r="D1113" s="14" t="s">
        <v>2925</v>
      </c>
      <c r="E1113" s="14" t="s">
        <v>2937</v>
      </c>
      <c r="F1113" s="21">
        <v>2302.9299999999998</v>
      </c>
      <c r="G1113" s="14">
        <v>663</v>
      </c>
      <c r="H1113" s="14">
        <v>1</v>
      </c>
      <c r="I1113" s="14">
        <v>28</v>
      </c>
      <c r="J1113" s="22">
        <v>0.22297719809312699</v>
      </c>
      <c r="K1113" s="22">
        <v>0.77702280190687301</v>
      </c>
      <c r="L1113" s="14">
        <v>0</v>
      </c>
    </row>
    <row r="1114" spans="1:12" x14ac:dyDescent="0.25">
      <c r="A1114" s="13" t="s">
        <v>2938</v>
      </c>
      <c r="B1114" s="14" t="s">
        <v>5342</v>
      </c>
      <c r="C1114" s="14" t="s">
        <v>2939</v>
      </c>
      <c r="D1114" s="14" t="s">
        <v>2925</v>
      </c>
      <c r="E1114" s="14" t="s">
        <v>2940</v>
      </c>
      <c r="F1114" s="21">
        <v>1295.4000000000001</v>
      </c>
      <c r="G1114" s="14">
        <v>290</v>
      </c>
      <c r="H1114" s="14">
        <v>1</v>
      </c>
      <c r="I1114" s="14">
        <v>19</v>
      </c>
      <c r="J1114" s="22">
        <v>6.4234141135537798E-2</v>
      </c>
      <c r="K1114" s="22">
        <v>0.93576585886446195</v>
      </c>
      <c r="L1114" s="14">
        <v>0</v>
      </c>
    </row>
    <row r="1115" spans="1:12" x14ac:dyDescent="0.25">
      <c r="B1115" s="14" t="s">
        <v>69</v>
      </c>
      <c r="C1115" s="14" t="s">
        <v>2941</v>
      </c>
      <c r="D1115" s="14" t="s">
        <v>2925</v>
      </c>
      <c r="E1115" s="14" t="s">
        <v>2942</v>
      </c>
      <c r="F1115" s="21">
        <v>1851.29</v>
      </c>
      <c r="G1115" s="14">
        <v>317</v>
      </c>
      <c r="H1115" s="14">
        <v>0</v>
      </c>
      <c r="I1115" s="14">
        <v>18</v>
      </c>
      <c r="J1115" s="22">
        <v>0.83801247641270404</v>
      </c>
      <c r="K1115" s="22">
        <v>0.16198752358729601</v>
      </c>
      <c r="L1115" s="14">
        <v>0</v>
      </c>
    </row>
    <row r="1116" spans="1:12" x14ac:dyDescent="0.25">
      <c r="A1116" s="13" t="s">
        <v>6895</v>
      </c>
      <c r="B1116" s="14" t="s">
        <v>69</v>
      </c>
      <c r="C1116" s="14" t="s">
        <v>2941</v>
      </c>
      <c r="D1116" s="14" t="s">
        <v>2925</v>
      </c>
      <c r="E1116" s="14" t="s">
        <v>2944</v>
      </c>
      <c r="F1116" s="21">
        <v>1902.46</v>
      </c>
      <c r="G1116" s="14">
        <v>720</v>
      </c>
      <c r="H1116" s="14">
        <v>1</v>
      </c>
      <c r="I1116" s="14">
        <v>19</v>
      </c>
      <c r="J1116" s="22">
        <v>0.42284024333928899</v>
      </c>
      <c r="K1116" s="22">
        <v>0.57715975666071095</v>
      </c>
      <c r="L1116" s="14">
        <v>0</v>
      </c>
    </row>
    <row r="1117" spans="1:12" x14ac:dyDescent="0.25">
      <c r="A1117" s="13" t="s">
        <v>6896</v>
      </c>
      <c r="B1117" s="14" t="s">
        <v>69</v>
      </c>
      <c r="C1117" s="14" t="s">
        <v>2941</v>
      </c>
      <c r="D1117" s="14" t="s">
        <v>2925</v>
      </c>
      <c r="E1117" s="14" t="s">
        <v>2945</v>
      </c>
      <c r="F1117" s="21">
        <v>2209.7600000000002</v>
      </c>
      <c r="G1117" s="14">
        <v>966</v>
      </c>
      <c r="H1117" s="14">
        <v>1</v>
      </c>
      <c r="I1117" s="14">
        <v>21</v>
      </c>
      <c r="J1117" s="22">
        <v>0.99634934373835304</v>
      </c>
      <c r="K1117" s="22">
        <v>3.65065626164751E-3</v>
      </c>
      <c r="L1117" s="14">
        <v>0</v>
      </c>
    </row>
    <row r="1118" spans="1:12" x14ac:dyDescent="0.25">
      <c r="A1118" s="13" t="s">
        <v>2946</v>
      </c>
      <c r="B1118" s="14" t="s">
        <v>69</v>
      </c>
      <c r="C1118" s="14" t="s">
        <v>2941</v>
      </c>
      <c r="D1118" s="14" t="s">
        <v>2925</v>
      </c>
      <c r="E1118" s="14" t="s">
        <v>2947</v>
      </c>
      <c r="F1118" s="21">
        <v>2387.4899999999998</v>
      </c>
      <c r="H1118" s="14">
        <v>0</v>
      </c>
      <c r="I1118" s="14">
        <v>50</v>
      </c>
      <c r="J1118" s="22">
        <v>0.46714300770066303</v>
      </c>
      <c r="K1118" s="22">
        <v>0.53285699229933703</v>
      </c>
      <c r="L1118" s="14">
        <v>0</v>
      </c>
    </row>
    <row r="1119" spans="1:12" x14ac:dyDescent="0.25">
      <c r="B1119" s="14" t="s">
        <v>2948</v>
      </c>
      <c r="C1119" s="14" t="s">
        <v>5678</v>
      </c>
      <c r="D1119" s="14" t="s">
        <v>2950</v>
      </c>
      <c r="E1119" s="14" t="s">
        <v>2951</v>
      </c>
      <c r="F1119" s="21">
        <v>159.91</v>
      </c>
      <c r="G1119" s="14">
        <v>95</v>
      </c>
      <c r="H1119" s="14">
        <v>0</v>
      </c>
      <c r="I1119" s="14">
        <v>9</v>
      </c>
      <c r="J1119" s="22">
        <v>0.88569155808895705</v>
      </c>
      <c r="K1119" s="22">
        <v>0.114308441911043</v>
      </c>
      <c r="L1119" s="14">
        <v>0</v>
      </c>
    </row>
    <row r="1120" spans="1:12" x14ac:dyDescent="0.25">
      <c r="B1120" s="14" t="s">
        <v>758</v>
      </c>
      <c r="C1120" s="14" t="s">
        <v>5679</v>
      </c>
      <c r="D1120" s="14" t="s">
        <v>2953</v>
      </c>
      <c r="E1120" s="14" t="s">
        <v>2954</v>
      </c>
      <c r="F1120" s="21">
        <v>2040</v>
      </c>
      <c r="G1120" s="14">
        <v>209</v>
      </c>
      <c r="H1120" s="14">
        <v>0</v>
      </c>
      <c r="I1120" s="14">
        <v>24</v>
      </c>
      <c r="J1120" s="22">
        <v>0.88905087222254398</v>
      </c>
      <c r="K1120" s="22">
        <v>0.110949127777456</v>
      </c>
      <c r="L1120" s="14">
        <v>0</v>
      </c>
    </row>
    <row r="1121" spans="1:12" x14ac:dyDescent="0.25">
      <c r="A1121" s="13" t="s">
        <v>6897</v>
      </c>
      <c r="B1121" s="14" t="s">
        <v>758</v>
      </c>
      <c r="C1121" s="14" t="s">
        <v>6898</v>
      </c>
      <c r="D1121" s="14" t="s">
        <v>2953</v>
      </c>
      <c r="E1121" s="14" t="s">
        <v>2956</v>
      </c>
      <c r="F1121" s="21">
        <v>2040</v>
      </c>
      <c r="G1121" s="14">
        <v>214</v>
      </c>
      <c r="H1121" s="14">
        <v>0</v>
      </c>
      <c r="I1121" s="14">
        <v>4</v>
      </c>
      <c r="J1121" s="22">
        <v>0.401507047302049</v>
      </c>
      <c r="K1121" s="22">
        <v>0.598492952697951</v>
      </c>
      <c r="L1121" s="14">
        <v>0</v>
      </c>
    </row>
    <row r="1122" spans="1:12" ht="39.6" x14ac:dyDescent="0.25">
      <c r="A1122" s="20" t="s">
        <v>6899</v>
      </c>
      <c r="B1122" s="14" t="s">
        <v>758</v>
      </c>
      <c r="C1122" s="14" t="s">
        <v>2952</v>
      </c>
      <c r="D1122" s="14" t="s">
        <v>2953</v>
      </c>
      <c r="E1122" s="14" t="s">
        <v>2958</v>
      </c>
      <c r="F1122" s="21">
        <v>2040</v>
      </c>
      <c r="G1122" s="14">
        <v>632</v>
      </c>
      <c r="H1122" s="14">
        <v>0</v>
      </c>
      <c r="I1122" s="14">
        <v>49</v>
      </c>
      <c r="J1122" s="22">
        <v>0.17082469234957501</v>
      </c>
      <c r="K1122" s="22">
        <v>0.82917530765042502</v>
      </c>
      <c r="L1122" s="14">
        <v>0</v>
      </c>
    </row>
    <row r="1123" spans="1:12" x14ac:dyDescent="0.25">
      <c r="A1123" s="13" t="s">
        <v>6900</v>
      </c>
      <c r="B1123" s="14" t="s">
        <v>352</v>
      </c>
      <c r="C1123" s="14" t="s">
        <v>2952</v>
      </c>
      <c r="D1123" s="14" t="s">
        <v>2953</v>
      </c>
      <c r="E1123" s="14" t="s">
        <v>2960</v>
      </c>
      <c r="F1123" s="21">
        <v>2040</v>
      </c>
      <c r="G1123" s="14">
        <v>631</v>
      </c>
      <c r="H1123" s="14">
        <v>1</v>
      </c>
      <c r="I1123" s="14">
        <v>28</v>
      </c>
      <c r="J1123" s="22">
        <v>0.92014504029208699</v>
      </c>
      <c r="K1123" s="22">
        <v>7.9854959707913106E-2</v>
      </c>
      <c r="L1123" s="14">
        <v>0</v>
      </c>
    </row>
    <row r="1124" spans="1:12" x14ac:dyDescent="0.25">
      <c r="A1124" s="13" t="s">
        <v>6901</v>
      </c>
      <c r="B1124" s="14" t="s">
        <v>352</v>
      </c>
      <c r="C1124" s="14" t="s">
        <v>2952</v>
      </c>
      <c r="D1124" s="14" t="s">
        <v>2953</v>
      </c>
      <c r="E1124" s="14" t="s">
        <v>2962</v>
      </c>
      <c r="F1124" s="21">
        <v>2040</v>
      </c>
      <c r="G1124" s="14">
        <v>588</v>
      </c>
      <c r="H1124" s="14">
        <v>1</v>
      </c>
      <c r="I1124" s="14" t="s">
        <v>6314</v>
      </c>
      <c r="J1124" s="22">
        <v>0.87278510825649303</v>
      </c>
      <c r="K1124" s="22">
        <v>0.127214891743508</v>
      </c>
      <c r="L1124" s="14">
        <v>0</v>
      </c>
    </row>
    <row r="1125" spans="1:12" x14ac:dyDescent="0.25">
      <c r="A1125" s="13" t="s">
        <v>2963</v>
      </c>
      <c r="B1125" s="14" t="s">
        <v>5354</v>
      </c>
      <c r="C1125" s="14" t="s">
        <v>2952</v>
      </c>
      <c r="D1125" s="14" t="s">
        <v>2953</v>
      </c>
      <c r="E1125" s="14" t="s">
        <v>2964</v>
      </c>
      <c r="F1125" s="21">
        <v>2040</v>
      </c>
      <c r="G1125" s="14">
        <v>381</v>
      </c>
      <c r="H1125" s="14">
        <v>1</v>
      </c>
      <c r="I1125" s="14" t="s">
        <v>6314</v>
      </c>
      <c r="J1125" s="22">
        <v>0.66970311242962499</v>
      </c>
      <c r="K1125" s="22">
        <v>0.33029688757037501</v>
      </c>
      <c r="L1125" s="14">
        <v>0</v>
      </c>
    </row>
    <row r="1126" spans="1:12" ht="39.6" x14ac:dyDescent="0.25">
      <c r="A1126" s="20" t="s">
        <v>6902</v>
      </c>
      <c r="B1126" s="14" t="s">
        <v>2483</v>
      </c>
      <c r="C1126" s="14" t="s">
        <v>2966</v>
      </c>
      <c r="D1126" s="14" t="s">
        <v>2925</v>
      </c>
      <c r="E1126" s="14" t="s">
        <v>2967</v>
      </c>
      <c r="F1126" s="21">
        <v>1276.08</v>
      </c>
      <c r="H1126" s="14">
        <v>1</v>
      </c>
      <c r="I1126" s="14">
        <v>25</v>
      </c>
      <c r="J1126" s="22">
        <v>0.94475286631532895</v>
      </c>
      <c r="K1126" s="22">
        <v>5.5247133684671497E-2</v>
      </c>
      <c r="L1126" s="14">
        <v>0</v>
      </c>
    </row>
    <row r="1127" spans="1:12" ht="39.6" x14ac:dyDescent="0.25">
      <c r="A1127" s="20" t="s">
        <v>6903</v>
      </c>
      <c r="B1127" s="14" t="s">
        <v>2483</v>
      </c>
      <c r="C1127" s="14" t="s">
        <v>2966</v>
      </c>
      <c r="D1127" s="14" t="s">
        <v>2925</v>
      </c>
      <c r="E1127" s="14" t="s">
        <v>2969</v>
      </c>
      <c r="F1127" s="21">
        <v>1291.02</v>
      </c>
      <c r="G1127" s="14">
        <v>209</v>
      </c>
      <c r="H1127" s="14">
        <v>0</v>
      </c>
      <c r="I1127" s="14">
        <v>2</v>
      </c>
      <c r="J1127" s="22">
        <v>0.42757366465834401</v>
      </c>
      <c r="K1127" s="22">
        <v>0.57242633534165599</v>
      </c>
      <c r="L1127" s="14">
        <v>0</v>
      </c>
    </row>
    <row r="1128" spans="1:12" ht="26.4" x14ac:dyDescent="0.25">
      <c r="A1128" s="20" t="s">
        <v>6904</v>
      </c>
      <c r="B1128" s="14" t="s">
        <v>2483</v>
      </c>
      <c r="C1128" s="14" t="s">
        <v>2966</v>
      </c>
      <c r="D1128" s="14" t="s">
        <v>2925</v>
      </c>
      <c r="E1128" s="14" t="s">
        <v>2971</v>
      </c>
      <c r="F1128" s="21">
        <v>1319.17</v>
      </c>
      <c r="G1128" s="14">
        <v>923</v>
      </c>
      <c r="H1128" s="14">
        <v>1</v>
      </c>
      <c r="I1128" s="14">
        <v>13</v>
      </c>
      <c r="J1128" s="22">
        <v>0.34568965156178399</v>
      </c>
      <c r="K1128" s="22">
        <v>0.65431034843821601</v>
      </c>
      <c r="L1128" s="14">
        <v>0</v>
      </c>
    </row>
    <row r="1129" spans="1:12" x14ac:dyDescent="0.25">
      <c r="A1129" s="13" t="s">
        <v>2972</v>
      </c>
      <c r="B1129" s="14" t="s">
        <v>2483</v>
      </c>
      <c r="C1129" s="14" t="s">
        <v>2966</v>
      </c>
      <c r="D1129" s="14" t="s">
        <v>2925</v>
      </c>
      <c r="E1129" s="14" t="s">
        <v>2973</v>
      </c>
      <c r="F1129" s="21">
        <v>1514.35</v>
      </c>
      <c r="G1129" s="14">
        <v>39</v>
      </c>
      <c r="H1129" s="14">
        <v>0</v>
      </c>
      <c r="I1129" s="14">
        <v>1</v>
      </c>
      <c r="J1129" s="22">
        <v>0.86816478046358403</v>
      </c>
      <c r="K1129" s="22">
        <v>0.131835219536416</v>
      </c>
      <c r="L1129" s="14">
        <v>0</v>
      </c>
    </row>
    <row r="1130" spans="1:12" x14ac:dyDescent="0.25">
      <c r="A1130" s="13" t="s">
        <v>6905</v>
      </c>
      <c r="B1130" s="14" t="s">
        <v>2483</v>
      </c>
      <c r="C1130" s="14" t="s">
        <v>2966</v>
      </c>
      <c r="D1130" s="14" t="s">
        <v>2925</v>
      </c>
      <c r="E1130" s="14" t="s">
        <v>2975</v>
      </c>
      <c r="F1130" s="21">
        <v>1551.61</v>
      </c>
      <c r="G1130" s="14">
        <v>455</v>
      </c>
      <c r="H1130" s="14">
        <v>0</v>
      </c>
      <c r="I1130" s="14">
        <v>22</v>
      </c>
      <c r="J1130" s="22">
        <v>0.140835682801072</v>
      </c>
      <c r="K1130" s="22">
        <v>0.85916431719892805</v>
      </c>
      <c r="L1130" s="14">
        <v>0</v>
      </c>
    </row>
    <row r="1131" spans="1:12" x14ac:dyDescent="0.25">
      <c r="A1131" s="13" t="s">
        <v>6906</v>
      </c>
      <c r="B1131" s="14" t="s">
        <v>5358</v>
      </c>
      <c r="C1131" s="14" t="s">
        <v>2966</v>
      </c>
      <c r="D1131" s="14" t="s">
        <v>2925</v>
      </c>
      <c r="E1131" s="14" t="s">
        <v>2977</v>
      </c>
      <c r="F1131" s="21">
        <v>1565.06</v>
      </c>
      <c r="H1131" s="14">
        <v>0</v>
      </c>
      <c r="I1131" s="14">
        <v>8</v>
      </c>
      <c r="J1131" s="22">
        <v>0.52703112668604701</v>
      </c>
      <c r="K1131" s="22">
        <v>0.47296887331395299</v>
      </c>
      <c r="L1131" s="14">
        <v>0</v>
      </c>
    </row>
    <row r="1132" spans="1:12" x14ac:dyDescent="0.25">
      <c r="A1132" s="13" t="s">
        <v>6907</v>
      </c>
      <c r="B1132" s="14" t="s">
        <v>5355</v>
      </c>
      <c r="C1132" s="14" t="s">
        <v>2979</v>
      </c>
      <c r="D1132" s="14" t="s">
        <v>2925</v>
      </c>
      <c r="E1132" s="14" t="s">
        <v>2980</v>
      </c>
      <c r="F1132" s="21">
        <v>1283</v>
      </c>
      <c r="G1132" s="14">
        <v>336</v>
      </c>
      <c r="H1132" s="14">
        <v>1</v>
      </c>
      <c r="I1132" s="14">
        <v>34</v>
      </c>
      <c r="J1132" s="22">
        <v>1.5517662332225899E-2</v>
      </c>
      <c r="K1132" s="22">
        <v>0.98448233766777404</v>
      </c>
      <c r="L1132" s="14">
        <v>0</v>
      </c>
    </row>
    <row r="1133" spans="1:12" x14ac:dyDescent="0.25">
      <c r="B1133" s="14" t="s">
        <v>2981</v>
      </c>
      <c r="C1133" s="14" t="s">
        <v>2979</v>
      </c>
      <c r="D1133" s="14" t="s">
        <v>2925</v>
      </c>
      <c r="E1133" s="14" t="s">
        <v>2982</v>
      </c>
      <c r="F1133" s="21">
        <v>885.52</v>
      </c>
      <c r="G1133" s="14">
        <v>822</v>
      </c>
      <c r="H1133" s="14">
        <v>1</v>
      </c>
      <c r="I1133" s="14">
        <v>42</v>
      </c>
      <c r="J1133" s="22">
        <v>0.76313138315226103</v>
      </c>
      <c r="K1133" s="22">
        <v>0.23686861684773999</v>
      </c>
      <c r="L1133" s="14">
        <v>0</v>
      </c>
    </row>
    <row r="1134" spans="1:12" x14ac:dyDescent="0.25">
      <c r="A1134" s="13" t="s">
        <v>6908</v>
      </c>
      <c r="B1134" s="14" t="s">
        <v>2981</v>
      </c>
      <c r="C1134" s="14" t="s">
        <v>2979</v>
      </c>
      <c r="D1134" s="14" t="s">
        <v>2925</v>
      </c>
      <c r="E1134" s="14" t="s">
        <v>2984</v>
      </c>
      <c r="F1134" s="21">
        <v>1730.99</v>
      </c>
      <c r="G1134" s="14">
        <v>741</v>
      </c>
      <c r="H1134" s="14">
        <v>0</v>
      </c>
      <c r="I1134" s="14" t="s">
        <v>6314</v>
      </c>
      <c r="J1134" s="22">
        <v>0.60900700095851401</v>
      </c>
      <c r="K1134" s="22">
        <v>0.39099299904148599</v>
      </c>
      <c r="L1134" s="14">
        <v>0</v>
      </c>
    </row>
    <row r="1135" spans="1:12" x14ac:dyDescent="0.25">
      <c r="A1135" s="13">
        <v>3676539</v>
      </c>
      <c r="B1135" s="14" t="s">
        <v>2981</v>
      </c>
      <c r="C1135" s="14" t="s">
        <v>2979</v>
      </c>
      <c r="D1135" s="14" t="s">
        <v>2925</v>
      </c>
      <c r="E1135" s="14" t="s">
        <v>2986</v>
      </c>
      <c r="F1135" s="21">
        <v>1761.28</v>
      </c>
      <c r="G1135" s="14">
        <v>681</v>
      </c>
      <c r="H1135" s="14">
        <v>1</v>
      </c>
      <c r="I1135" s="14">
        <v>13</v>
      </c>
      <c r="J1135" s="22">
        <v>0.41237727527087098</v>
      </c>
      <c r="K1135" s="22">
        <v>0.58762272472912902</v>
      </c>
      <c r="L1135" s="14">
        <v>0</v>
      </c>
    </row>
    <row r="1136" spans="1:12" x14ac:dyDescent="0.25">
      <c r="A1136" s="13" t="s">
        <v>6909</v>
      </c>
      <c r="B1136" s="14" t="s">
        <v>2981</v>
      </c>
      <c r="C1136" s="14" t="s">
        <v>2979</v>
      </c>
      <c r="D1136" s="14" t="s">
        <v>2925</v>
      </c>
      <c r="E1136" s="14" t="s">
        <v>2988</v>
      </c>
      <c r="F1136" s="21">
        <v>1915.92</v>
      </c>
      <c r="G1136" s="14">
        <v>50</v>
      </c>
      <c r="H1136" s="14">
        <v>0</v>
      </c>
      <c r="I1136" s="14">
        <v>25</v>
      </c>
      <c r="J1136" s="22">
        <v>0.60535941225789403</v>
      </c>
      <c r="K1136" s="22">
        <v>0.39464058774210597</v>
      </c>
      <c r="L1136" s="14">
        <v>0</v>
      </c>
    </row>
    <row r="1137" spans="1:12" x14ac:dyDescent="0.25">
      <c r="B1137" s="14" t="s">
        <v>2981</v>
      </c>
      <c r="C1137" s="14" t="s">
        <v>2979</v>
      </c>
      <c r="D1137" s="14" t="s">
        <v>2925</v>
      </c>
      <c r="E1137" s="14" t="s">
        <v>2989</v>
      </c>
      <c r="F1137" s="21">
        <v>2029.47</v>
      </c>
      <c r="G1137" s="14">
        <v>7</v>
      </c>
      <c r="H1137" s="14">
        <v>1</v>
      </c>
      <c r="I1137" s="14">
        <v>10</v>
      </c>
      <c r="J1137" s="22">
        <v>0.83402051369170305</v>
      </c>
      <c r="K1137" s="22">
        <v>0.16597948630829701</v>
      </c>
      <c r="L1137" s="14">
        <v>0</v>
      </c>
    </row>
    <row r="1138" spans="1:12" x14ac:dyDescent="0.25">
      <c r="A1138" s="13" t="s">
        <v>6910</v>
      </c>
      <c r="B1138" s="14" t="s">
        <v>2981</v>
      </c>
      <c r="C1138" s="14" t="s">
        <v>2979</v>
      </c>
      <c r="D1138" s="14" t="s">
        <v>2925</v>
      </c>
      <c r="E1138" s="14" t="s">
        <v>2991</v>
      </c>
      <c r="F1138" s="21">
        <v>2069.75</v>
      </c>
      <c r="G1138" s="14">
        <v>776</v>
      </c>
      <c r="H1138" s="14">
        <v>0</v>
      </c>
      <c r="I1138" s="14" t="s">
        <v>6314</v>
      </c>
      <c r="J1138" s="22">
        <v>0.22413259283207501</v>
      </c>
      <c r="K1138" s="22">
        <v>0.77586740716792502</v>
      </c>
      <c r="L1138" s="14">
        <v>0</v>
      </c>
    </row>
    <row r="1139" spans="1:12" x14ac:dyDescent="0.25">
      <c r="A1139" s="13" t="s">
        <v>6911</v>
      </c>
      <c r="B1139" s="14" t="s">
        <v>2981</v>
      </c>
      <c r="C1139" s="14" t="s">
        <v>2979</v>
      </c>
      <c r="D1139" s="14" t="s">
        <v>2925</v>
      </c>
      <c r="E1139" s="14" t="s">
        <v>2992</v>
      </c>
      <c r="F1139" s="21">
        <v>2077.27</v>
      </c>
      <c r="G1139" s="14">
        <v>998</v>
      </c>
      <c r="H1139" s="14">
        <v>1</v>
      </c>
      <c r="I1139" s="14">
        <v>44</v>
      </c>
      <c r="J1139" s="22">
        <v>0.77372725015400601</v>
      </c>
      <c r="K1139" s="22">
        <v>0.22627274984599399</v>
      </c>
      <c r="L1139" s="14">
        <v>0</v>
      </c>
    </row>
    <row r="1140" spans="1:12" x14ac:dyDescent="0.25">
      <c r="A1140" s="13" t="s">
        <v>6912</v>
      </c>
      <c r="B1140" s="14" t="s">
        <v>2981</v>
      </c>
      <c r="C1140" s="14" t="s">
        <v>2979</v>
      </c>
      <c r="D1140" s="14" t="s">
        <v>2925</v>
      </c>
      <c r="E1140" s="14" t="s">
        <v>2994</v>
      </c>
      <c r="F1140" s="21">
        <v>2104.2199999999998</v>
      </c>
      <c r="G1140" s="14">
        <v>73</v>
      </c>
      <c r="I1140" s="14">
        <v>28</v>
      </c>
      <c r="J1140" s="22">
        <v>0.57086094816086097</v>
      </c>
      <c r="K1140" s="22">
        <v>0.42913905183913997</v>
      </c>
      <c r="L1140" s="14">
        <v>0</v>
      </c>
    </row>
    <row r="1141" spans="1:12" x14ac:dyDescent="0.25">
      <c r="B1141" s="14" t="s">
        <v>2981</v>
      </c>
      <c r="C1141" s="14" t="s">
        <v>2979</v>
      </c>
      <c r="D1141" s="14" t="s">
        <v>2925</v>
      </c>
      <c r="E1141" s="14" t="s">
        <v>2995</v>
      </c>
      <c r="F1141" s="21">
        <v>2214.66</v>
      </c>
      <c r="G1141" s="14">
        <v>233</v>
      </c>
      <c r="H1141" s="14">
        <v>0</v>
      </c>
      <c r="I1141" s="14">
        <v>12</v>
      </c>
      <c r="J1141" s="22">
        <v>0.30609209851188901</v>
      </c>
      <c r="K1141" s="22">
        <v>0.69390790148811099</v>
      </c>
      <c r="L1141" s="14">
        <v>0</v>
      </c>
    </row>
    <row r="1142" spans="1:12" x14ac:dyDescent="0.25">
      <c r="A1142" s="13" t="s">
        <v>2996</v>
      </c>
      <c r="B1142" s="14" t="s">
        <v>5448</v>
      </c>
      <c r="C1142" s="14" t="s">
        <v>2979</v>
      </c>
      <c r="D1142" s="14" t="s">
        <v>2925</v>
      </c>
      <c r="E1142" s="14" t="s">
        <v>2997</v>
      </c>
      <c r="F1142" s="21">
        <v>614.73</v>
      </c>
      <c r="G1142" s="14">
        <v>490</v>
      </c>
      <c r="H1142" s="14">
        <v>0</v>
      </c>
      <c r="I1142" s="14">
        <v>16</v>
      </c>
      <c r="J1142" s="22">
        <v>0.97586920926722498</v>
      </c>
      <c r="K1142" s="22">
        <v>2.41307907327751E-2</v>
      </c>
      <c r="L1142" s="14">
        <v>0</v>
      </c>
    </row>
    <row r="1143" spans="1:12" x14ac:dyDescent="0.25">
      <c r="A1143" s="13" t="s">
        <v>6913</v>
      </c>
      <c r="B1143" s="14" t="s">
        <v>5450</v>
      </c>
      <c r="C1143" s="14" t="s">
        <v>2979</v>
      </c>
      <c r="D1143" s="14" t="s">
        <v>2925</v>
      </c>
      <c r="E1143" s="14" t="s">
        <v>2998</v>
      </c>
      <c r="F1143" s="21">
        <v>2346.1799999999998</v>
      </c>
      <c r="G1143" s="14">
        <v>280</v>
      </c>
      <c r="H1143" s="14">
        <v>0</v>
      </c>
      <c r="I1143" s="14">
        <v>39</v>
      </c>
      <c r="J1143" s="22">
        <v>0.50259139525858698</v>
      </c>
      <c r="K1143" s="22">
        <v>0.49740860474141302</v>
      </c>
      <c r="L1143" s="14">
        <v>0</v>
      </c>
    </row>
    <row r="1144" spans="1:12" x14ac:dyDescent="0.25">
      <c r="A1144" s="13" t="s">
        <v>2999</v>
      </c>
      <c r="B1144" s="14" t="s">
        <v>2981</v>
      </c>
      <c r="C1144" s="14" t="s">
        <v>6914</v>
      </c>
      <c r="D1144" s="14" t="s">
        <v>2925</v>
      </c>
      <c r="E1144" s="14" t="s">
        <v>3000</v>
      </c>
      <c r="F1144" s="21">
        <v>2950.25</v>
      </c>
      <c r="G1144" s="14">
        <v>901</v>
      </c>
      <c r="H1144" s="14">
        <v>0</v>
      </c>
      <c r="I1144" s="14" t="s">
        <v>6314</v>
      </c>
      <c r="J1144" s="22">
        <v>0.62396949355021503</v>
      </c>
      <c r="K1144" s="22">
        <v>0.37603050644978497</v>
      </c>
      <c r="L1144" s="14">
        <v>0</v>
      </c>
    </row>
    <row r="1145" spans="1:12" x14ac:dyDescent="0.25">
      <c r="A1145" s="13" t="s">
        <v>6915</v>
      </c>
      <c r="B1145" s="14" t="s">
        <v>17</v>
      </c>
      <c r="C1145" s="14" t="s">
        <v>3002</v>
      </c>
      <c r="D1145" s="14" t="s">
        <v>3003</v>
      </c>
      <c r="E1145" s="14" t="s">
        <v>3004</v>
      </c>
      <c r="F1145" s="21">
        <v>1442.48</v>
      </c>
      <c r="G1145" s="14">
        <v>516</v>
      </c>
      <c r="H1145" s="14">
        <v>0</v>
      </c>
      <c r="I1145" s="14" t="s">
        <v>6314</v>
      </c>
      <c r="J1145" s="22">
        <v>0.306166926122526</v>
      </c>
      <c r="K1145" s="22">
        <v>0.69383307387747395</v>
      </c>
      <c r="L1145" s="14">
        <v>0</v>
      </c>
    </row>
    <row r="1146" spans="1:12" x14ac:dyDescent="0.25">
      <c r="A1146" s="13" t="s">
        <v>6916</v>
      </c>
      <c r="B1146" s="14" t="s">
        <v>17</v>
      </c>
      <c r="C1146" s="14" t="s">
        <v>3002</v>
      </c>
      <c r="D1146" s="14" t="s">
        <v>3003</v>
      </c>
      <c r="E1146" s="14" t="s">
        <v>3006</v>
      </c>
      <c r="F1146" s="21">
        <v>2420.16</v>
      </c>
      <c r="H1146" s="14">
        <v>0</v>
      </c>
      <c r="I1146" s="14">
        <v>46</v>
      </c>
      <c r="J1146" s="22">
        <v>0.62543280861402395</v>
      </c>
      <c r="K1146" s="22">
        <v>0.37456719138597599</v>
      </c>
      <c r="L1146" s="14">
        <v>0</v>
      </c>
    </row>
    <row r="1147" spans="1:12" x14ac:dyDescent="0.25">
      <c r="A1147" s="13" t="s">
        <v>6105</v>
      </c>
      <c r="B1147" s="14" t="s">
        <v>5372</v>
      </c>
      <c r="C1147" s="14" t="s">
        <v>3008</v>
      </c>
      <c r="D1147" s="14" t="s">
        <v>2925</v>
      </c>
      <c r="E1147" s="14" t="s">
        <v>3009</v>
      </c>
      <c r="F1147" s="21">
        <v>2594.13</v>
      </c>
      <c r="G1147" s="14">
        <v>991</v>
      </c>
      <c r="H1147" s="14">
        <v>1</v>
      </c>
      <c r="I1147" s="14">
        <v>17</v>
      </c>
      <c r="J1147" s="22">
        <v>0.88637934905100102</v>
      </c>
      <c r="K1147" s="22">
        <v>0.11362065094899899</v>
      </c>
      <c r="L1147" s="14">
        <v>0</v>
      </c>
    </row>
    <row r="1148" spans="1:12" x14ac:dyDescent="0.25">
      <c r="A1148" s="13" t="s">
        <v>6917</v>
      </c>
      <c r="B1148" s="14" t="s">
        <v>17</v>
      </c>
      <c r="C1148" s="14" t="s">
        <v>3011</v>
      </c>
      <c r="D1148" s="14" t="s">
        <v>3012</v>
      </c>
      <c r="E1148" s="14" t="s">
        <v>3013</v>
      </c>
      <c r="F1148" s="21">
        <v>2321.23</v>
      </c>
      <c r="G1148" s="14">
        <v>376</v>
      </c>
      <c r="H1148" s="14">
        <v>1</v>
      </c>
      <c r="I1148" s="14">
        <v>38</v>
      </c>
      <c r="J1148" s="22">
        <v>2.3090583639654699E-2</v>
      </c>
      <c r="K1148" s="22">
        <v>0.97690941636034501</v>
      </c>
      <c r="L1148" s="14">
        <v>0</v>
      </c>
    </row>
    <row r="1149" spans="1:12" ht="26.4" x14ac:dyDescent="0.25">
      <c r="A1149" s="20" t="s">
        <v>6918</v>
      </c>
      <c r="B1149" s="14" t="s">
        <v>5493</v>
      </c>
      <c r="C1149" s="14" t="s">
        <v>3015</v>
      </c>
      <c r="D1149" s="14" t="s">
        <v>3016</v>
      </c>
      <c r="E1149" s="14" t="s">
        <v>3017</v>
      </c>
      <c r="F1149" s="21">
        <v>2374.52</v>
      </c>
      <c r="G1149" s="14">
        <v>327</v>
      </c>
      <c r="H1149" s="14">
        <v>0</v>
      </c>
      <c r="I1149" s="14">
        <v>20</v>
      </c>
      <c r="J1149" s="22">
        <v>0.38852245125997198</v>
      </c>
      <c r="K1149" s="22">
        <v>0.61147754874002802</v>
      </c>
      <c r="L1149" s="14">
        <v>0</v>
      </c>
    </row>
    <row r="1150" spans="1:12" x14ac:dyDescent="0.25">
      <c r="A1150" s="13" t="s">
        <v>5930</v>
      </c>
      <c r="B1150" s="14" t="s">
        <v>17</v>
      </c>
      <c r="C1150" s="14" t="s">
        <v>6919</v>
      </c>
      <c r="D1150" s="14" t="s">
        <v>3019</v>
      </c>
      <c r="E1150" s="14" t="s">
        <v>3020</v>
      </c>
      <c r="F1150" s="21">
        <v>2444.75</v>
      </c>
      <c r="G1150" s="14">
        <v>288</v>
      </c>
      <c r="H1150" s="14">
        <v>0</v>
      </c>
      <c r="I1150" s="14">
        <v>28</v>
      </c>
      <c r="J1150" s="22">
        <v>0.65114482117993</v>
      </c>
      <c r="K1150" s="22">
        <v>0.34885517882007</v>
      </c>
      <c r="L1150" s="14">
        <v>0</v>
      </c>
    </row>
    <row r="1151" spans="1:12" ht="52.8" x14ac:dyDescent="0.25">
      <c r="A1151" s="13">
        <v>23476740</v>
      </c>
      <c r="B1151" s="14" t="s">
        <v>5388</v>
      </c>
      <c r="C1151" s="14" t="s">
        <v>3021</v>
      </c>
      <c r="D1151" s="14" t="s">
        <v>3022</v>
      </c>
      <c r="E1151" s="23" t="s">
        <v>6920</v>
      </c>
      <c r="F1151" s="21">
        <v>623.95399999999995</v>
      </c>
      <c r="G1151" s="14">
        <v>763</v>
      </c>
      <c r="H1151" s="14">
        <v>0</v>
      </c>
      <c r="I1151" s="14">
        <v>17</v>
      </c>
      <c r="J1151" s="22">
        <v>0.97699380372772204</v>
      </c>
      <c r="K1151" s="22">
        <v>2.30061962722782E-2</v>
      </c>
      <c r="L1151" s="14">
        <v>0</v>
      </c>
    </row>
    <row r="1152" spans="1:12" x14ac:dyDescent="0.25">
      <c r="A1152" s="13" t="s">
        <v>3024</v>
      </c>
      <c r="B1152" s="14" t="s">
        <v>5479</v>
      </c>
      <c r="C1152" s="14" t="s">
        <v>3025</v>
      </c>
      <c r="D1152" s="14" t="s">
        <v>3026</v>
      </c>
      <c r="E1152" s="14" t="s">
        <v>3027</v>
      </c>
      <c r="F1152" s="21">
        <v>2276.5300000000002</v>
      </c>
      <c r="G1152" s="14">
        <v>750</v>
      </c>
      <c r="H1152" s="14">
        <v>1</v>
      </c>
      <c r="I1152" s="14">
        <v>5</v>
      </c>
      <c r="J1152" s="22">
        <v>0.209686568313974</v>
      </c>
      <c r="K1152" s="22">
        <v>0.79031343168602597</v>
      </c>
      <c r="L1152" s="14">
        <v>0</v>
      </c>
    </row>
    <row r="1153" spans="1:12" x14ac:dyDescent="0.25">
      <c r="B1153" s="14" t="s">
        <v>86</v>
      </c>
      <c r="C1153" s="14" t="s">
        <v>3025</v>
      </c>
      <c r="D1153" s="14" t="s">
        <v>3026</v>
      </c>
      <c r="E1153" s="14" t="s">
        <v>3028</v>
      </c>
      <c r="F1153" s="21">
        <v>1500</v>
      </c>
      <c r="G1153" s="14">
        <v>395</v>
      </c>
      <c r="H1153" s="14">
        <v>0</v>
      </c>
      <c r="I1153" s="14">
        <v>48</v>
      </c>
      <c r="J1153" s="22">
        <v>0.33835070852003402</v>
      </c>
      <c r="K1153" s="22">
        <v>0.66164929147996598</v>
      </c>
      <c r="L1153" s="14">
        <v>0</v>
      </c>
    </row>
    <row r="1154" spans="1:12" x14ac:dyDescent="0.25">
      <c r="A1154" s="13" t="s">
        <v>3029</v>
      </c>
      <c r="B1154" s="14" t="s">
        <v>86</v>
      </c>
      <c r="C1154" s="14" t="s">
        <v>3025</v>
      </c>
      <c r="D1154" s="14" t="s">
        <v>3026</v>
      </c>
      <c r="E1154" s="14" t="s">
        <v>3030</v>
      </c>
      <c r="F1154" s="21">
        <v>1897.33</v>
      </c>
      <c r="G1154" s="14">
        <v>235</v>
      </c>
      <c r="H1154" s="14">
        <v>0</v>
      </c>
      <c r="I1154" s="14">
        <v>35</v>
      </c>
      <c r="J1154" s="22">
        <v>0.35254004778089698</v>
      </c>
      <c r="K1154" s="22">
        <v>0.64745995221910302</v>
      </c>
      <c r="L1154" s="14">
        <v>0</v>
      </c>
    </row>
    <row r="1155" spans="1:12" x14ac:dyDescent="0.25">
      <c r="A1155" s="13">
        <v>3472478</v>
      </c>
      <c r="B1155" s="14" t="s">
        <v>2483</v>
      </c>
      <c r="C1155" s="14" t="s">
        <v>3032</v>
      </c>
      <c r="D1155" s="14" t="s">
        <v>3026</v>
      </c>
      <c r="E1155" s="14" t="s">
        <v>3033</v>
      </c>
      <c r="F1155" s="21">
        <v>1314.58</v>
      </c>
      <c r="G1155" s="14">
        <v>38</v>
      </c>
      <c r="H1155" s="14">
        <v>1</v>
      </c>
      <c r="I1155" s="14">
        <v>13</v>
      </c>
      <c r="J1155" s="22">
        <v>0.18392446204870699</v>
      </c>
      <c r="K1155" s="22">
        <v>0.81607553795129295</v>
      </c>
      <c r="L1155" s="14">
        <v>0</v>
      </c>
    </row>
    <row r="1156" spans="1:12" x14ac:dyDescent="0.25">
      <c r="A1156" s="13" t="s">
        <v>6921</v>
      </c>
      <c r="B1156" s="14" t="s">
        <v>5479</v>
      </c>
      <c r="C1156" s="14" t="s">
        <v>3032</v>
      </c>
      <c r="D1156" s="14" t="s">
        <v>3026</v>
      </c>
      <c r="E1156" s="14" t="s">
        <v>3034</v>
      </c>
      <c r="F1156" s="21">
        <v>1872.72</v>
      </c>
      <c r="G1156" s="14">
        <v>487</v>
      </c>
      <c r="H1156" s="14">
        <v>0</v>
      </c>
      <c r="I1156" s="14">
        <v>50</v>
      </c>
      <c r="J1156" s="22">
        <v>0.54576735818729505</v>
      </c>
      <c r="K1156" s="22">
        <v>0.45423264181270501</v>
      </c>
      <c r="L1156" s="14">
        <v>0</v>
      </c>
    </row>
    <row r="1157" spans="1:12" x14ac:dyDescent="0.25">
      <c r="A1157" s="13" t="s">
        <v>6922</v>
      </c>
      <c r="B1157" s="14" t="s">
        <v>86</v>
      </c>
      <c r="C1157" s="14" t="s">
        <v>3032</v>
      </c>
      <c r="D1157" s="14" t="s">
        <v>3026</v>
      </c>
      <c r="E1157" s="14" t="s">
        <v>6923</v>
      </c>
      <c r="F1157" s="21">
        <v>1869.62</v>
      </c>
      <c r="G1157" s="14">
        <v>909</v>
      </c>
      <c r="H1157" s="14">
        <v>0</v>
      </c>
      <c r="I1157" s="14">
        <v>25</v>
      </c>
      <c r="J1157" s="22">
        <v>0.89393806357321604</v>
      </c>
      <c r="K1157" s="22">
        <v>0.10606193642678401</v>
      </c>
      <c r="L1157" s="14">
        <v>0</v>
      </c>
    </row>
    <row r="1158" spans="1:12" x14ac:dyDescent="0.25">
      <c r="A1158" s="13">
        <v>3764640</v>
      </c>
      <c r="B1158" s="14" t="s">
        <v>86</v>
      </c>
      <c r="C1158" s="14" t="s">
        <v>3032</v>
      </c>
      <c r="D1158" s="14" t="s">
        <v>3026</v>
      </c>
      <c r="E1158" s="14" t="s">
        <v>3038</v>
      </c>
      <c r="F1158" s="21">
        <v>2352.94</v>
      </c>
      <c r="G1158" s="14">
        <v>649</v>
      </c>
      <c r="H1158" s="14">
        <v>1</v>
      </c>
      <c r="I1158" s="14">
        <v>37</v>
      </c>
      <c r="J1158" s="22">
        <v>0.36317960620485201</v>
      </c>
      <c r="K1158" s="22">
        <v>0.63682039379514799</v>
      </c>
      <c r="L1158" s="14">
        <v>0</v>
      </c>
    </row>
    <row r="1159" spans="1:12" x14ac:dyDescent="0.25">
      <c r="A1159" s="13">
        <v>3678035</v>
      </c>
      <c r="B1159" s="14" t="s">
        <v>86</v>
      </c>
      <c r="C1159" s="14" t="s">
        <v>3032</v>
      </c>
      <c r="D1159" s="14" t="s">
        <v>3026</v>
      </c>
      <c r="E1159" s="14" t="s">
        <v>3040</v>
      </c>
      <c r="F1159" s="21">
        <v>2400</v>
      </c>
      <c r="G1159" s="14">
        <v>58</v>
      </c>
      <c r="H1159" s="14">
        <v>1</v>
      </c>
      <c r="I1159" s="14">
        <v>47</v>
      </c>
      <c r="J1159" s="22">
        <v>0.86449298350396397</v>
      </c>
      <c r="K1159" s="22">
        <v>0.135507016496036</v>
      </c>
      <c r="L1159" s="14">
        <v>0</v>
      </c>
    </row>
    <row r="1160" spans="1:12" x14ac:dyDescent="0.25">
      <c r="B1160" s="14" t="s">
        <v>5488</v>
      </c>
      <c r="C1160" s="14" t="s">
        <v>3032</v>
      </c>
      <c r="D1160" s="14" t="s">
        <v>3026</v>
      </c>
      <c r="E1160" s="14" t="s">
        <v>3041</v>
      </c>
      <c r="F1160" s="21">
        <v>2292.34</v>
      </c>
      <c r="G1160" s="14">
        <v>514</v>
      </c>
      <c r="H1160" s="14">
        <v>1</v>
      </c>
      <c r="I1160" s="14">
        <v>21</v>
      </c>
      <c r="J1160" s="22">
        <v>0.82457107778386796</v>
      </c>
      <c r="K1160" s="22">
        <v>0.17542892221613299</v>
      </c>
      <c r="L1160" s="14">
        <v>0</v>
      </c>
    </row>
    <row r="1161" spans="1:12" x14ac:dyDescent="0.25">
      <c r="A1161" s="13" t="s">
        <v>6924</v>
      </c>
      <c r="B1161" s="14" t="s">
        <v>5493</v>
      </c>
      <c r="C1161" s="14" t="s">
        <v>3032</v>
      </c>
      <c r="D1161" s="14" t="s">
        <v>3026</v>
      </c>
      <c r="E1161" s="14" t="s">
        <v>3043</v>
      </c>
      <c r="F1161" s="21">
        <v>2013.83</v>
      </c>
      <c r="H1161" s="14">
        <v>1</v>
      </c>
      <c r="I1161" s="14">
        <v>35</v>
      </c>
      <c r="J1161" s="22">
        <v>0.467108186310428</v>
      </c>
      <c r="K1161" s="22">
        <v>0.53289181368957195</v>
      </c>
      <c r="L1161" s="14">
        <v>0</v>
      </c>
    </row>
    <row r="1162" spans="1:12" x14ac:dyDescent="0.25">
      <c r="A1162" s="13">
        <v>3764630</v>
      </c>
      <c r="B1162" s="14" t="s">
        <v>5493</v>
      </c>
      <c r="C1162" s="14" t="s">
        <v>3032</v>
      </c>
      <c r="D1162" s="14" t="s">
        <v>3026</v>
      </c>
      <c r="E1162" s="14" t="s">
        <v>3045</v>
      </c>
      <c r="F1162" s="21">
        <v>2023.54</v>
      </c>
      <c r="G1162" s="14">
        <v>241</v>
      </c>
      <c r="H1162" s="14">
        <v>1</v>
      </c>
      <c r="I1162" s="14">
        <v>18</v>
      </c>
      <c r="J1162" s="22">
        <v>0.45562458236739301</v>
      </c>
      <c r="K1162" s="22">
        <v>0.54437541763260699</v>
      </c>
      <c r="L1162" s="14">
        <v>0</v>
      </c>
    </row>
    <row r="1163" spans="1:12" ht="39.6" x14ac:dyDescent="0.25">
      <c r="B1163" s="14" t="s">
        <v>3046</v>
      </c>
      <c r="C1163" s="14" t="s">
        <v>3047</v>
      </c>
      <c r="D1163" s="14" t="s">
        <v>3048</v>
      </c>
      <c r="E1163" s="23" t="s">
        <v>6925</v>
      </c>
      <c r="F1163" s="21">
        <v>1800</v>
      </c>
      <c r="G1163" s="14">
        <v>849</v>
      </c>
      <c r="H1163" s="14">
        <v>1</v>
      </c>
      <c r="I1163" s="14">
        <v>45</v>
      </c>
      <c r="J1163" s="22">
        <v>0.48238293591290099</v>
      </c>
      <c r="K1163" s="22">
        <v>0.51761706408709895</v>
      </c>
      <c r="L1163" s="14">
        <v>0</v>
      </c>
    </row>
    <row r="1164" spans="1:12" x14ac:dyDescent="0.25">
      <c r="A1164" s="13" t="s">
        <v>3050</v>
      </c>
      <c r="B1164" s="14" t="s">
        <v>5316</v>
      </c>
      <c r="C1164" s="14" t="s">
        <v>3051</v>
      </c>
      <c r="D1164" s="14" t="s">
        <v>3022</v>
      </c>
      <c r="E1164" s="14" t="s">
        <v>3052</v>
      </c>
      <c r="F1164" s="21">
        <v>2367.9499999999998</v>
      </c>
      <c r="G1164" s="14">
        <v>493</v>
      </c>
      <c r="H1164" s="14">
        <v>0</v>
      </c>
      <c r="I1164" s="14">
        <v>15</v>
      </c>
      <c r="J1164" s="22">
        <v>0.54272411760241501</v>
      </c>
      <c r="K1164" s="22">
        <v>0.45727588239758599</v>
      </c>
      <c r="L1164" s="14">
        <v>0</v>
      </c>
    </row>
    <row r="1165" spans="1:12" x14ac:dyDescent="0.25">
      <c r="A1165" s="13" t="s">
        <v>3053</v>
      </c>
      <c r="B1165" s="14" t="s">
        <v>22</v>
      </c>
      <c r="C1165" s="14" t="s">
        <v>3051</v>
      </c>
      <c r="D1165" s="14" t="s">
        <v>3022</v>
      </c>
      <c r="E1165" s="14" t="s">
        <v>3054</v>
      </c>
      <c r="F1165" s="21">
        <v>1321.88</v>
      </c>
      <c r="G1165" s="14">
        <v>513</v>
      </c>
      <c r="H1165" s="14">
        <v>1</v>
      </c>
      <c r="I1165" s="14">
        <v>33</v>
      </c>
      <c r="J1165" s="22">
        <v>0.87491867541647705</v>
      </c>
      <c r="K1165" s="22">
        <v>0.125081324583523</v>
      </c>
      <c r="L1165" s="14">
        <v>0</v>
      </c>
    </row>
    <row r="1166" spans="1:12" x14ac:dyDescent="0.25">
      <c r="A1166" s="13" t="s">
        <v>6926</v>
      </c>
      <c r="B1166" s="14" t="s">
        <v>17</v>
      </c>
      <c r="C1166" s="14" t="s">
        <v>3056</v>
      </c>
      <c r="D1166" s="14" t="s">
        <v>3026</v>
      </c>
      <c r="E1166" s="14" t="s">
        <v>3057</v>
      </c>
      <c r="F1166" s="21">
        <v>2471.41</v>
      </c>
      <c r="G1166" s="14">
        <v>19</v>
      </c>
      <c r="I1166" s="14">
        <v>32</v>
      </c>
      <c r="J1166" s="22">
        <v>0.31811789407137397</v>
      </c>
      <c r="K1166" s="22">
        <v>0.68188210592862597</v>
      </c>
      <c r="L1166" s="14">
        <v>0</v>
      </c>
    </row>
    <row r="1167" spans="1:12" x14ac:dyDescent="0.25">
      <c r="A1167" s="13" t="s">
        <v>6927</v>
      </c>
      <c r="B1167" s="14" t="s">
        <v>17</v>
      </c>
      <c r="C1167" s="14" t="s">
        <v>3056</v>
      </c>
      <c r="D1167" s="14" t="s">
        <v>3026</v>
      </c>
      <c r="E1167" s="14" t="s">
        <v>3059</v>
      </c>
      <c r="F1167" s="21">
        <v>2980.3560000000002</v>
      </c>
      <c r="G1167" s="14">
        <v>665</v>
      </c>
      <c r="H1167" s="14">
        <v>1</v>
      </c>
      <c r="I1167" s="14">
        <v>12</v>
      </c>
      <c r="J1167" s="22">
        <v>0.71733735711631097</v>
      </c>
      <c r="K1167" s="22">
        <v>0.28266264288368897</v>
      </c>
      <c r="L1167" s="14">
        <v>0</v>
      </c>
    </row>
    <row r="1168" spans="1:12" x14ac:dyDescent="0.25">
      <c r="A1168" s="13">
        <v>26988110</v>
      </c>
      <c r="B1168" s="14" t="s">
        <v>5439</v>
      </c>
      <c r="C1168" s="14" t="s">
        <v>3060</v>
      </c>
      <c r="D1168" s="14" t="s">
        <v>3026</v>
      </c>
      <c r="E1168" s="14" t="s">
        <v>3061</v>
      </c>
      <c r="F1168" s="21">
        <v>1920</v>
      </c>
      <c r="G1168" s="14">
        <v>877</v>
      </c>
      <c r="H1168" s="14">
        <v>0</v>
      </c>
      <c r="I1168" s="14">
        <v>19</v>
      </c>
      <c r="J1168" s="22">
        <v>0.42172280212430002</v>
      </c>
      <c r="K1168" s="22">
        <v>0.57827719787569998</v>
      </c>
      <c r="L1168" s="14">
        <v>0</v>
      </c>
    </row>
    <row r="1169" spans="1:12" x14ac:dyDescent="0.25">
      <c r="A1169" s="13">
        <v>23620542</v>
      </c>
      <c r="B1169" s="14" t="s">
        <v>3900</v>
      </c>
      <c r="C1169" s="14" t="s">
        <v>3062</v>
      </c>
      <c r="D1169" s="14" t="s">
        <v>3063</v>
      </c>
      <c r="E1169" s="14" t="s">
        <v>3064</v>
      </c>
      <c r="F1169" s="21">
        <v>1800</v>
      </c>
      <c r="G1169" s="14">
        <v>753</v>
      </c>
      <c r="I1169" s="14">
        <v>14</v>
      </c>
      <c r="J1169" s="22">
        <v>0.29305733959806002</v>
      </c>
      <c r="K1169" s="22">
        <v>0.70694266040193998</v>
      </c>
      <c r="L1169" s="14">
        <v>0</v>
      </c>
    </row>
    <row r="1170" spans="1:12" x14ac:dyDescent="0.25">
      <c r="A1170" s="13" t="s">
        <v>6113</v>
      </c>
      <c r="B1170" s="14" t="s">
        <v>5488</v>
      </c>
      <c r="C1170" s="14" t="s">
        <v>3066</v>
      </c>
      <c r="D1170" s="14" t="s">
        <v>2406</v>
      </c>
      <c r="E1170" s="14" t="s">
        <v>3067</v>
      </c>
      <c r="F1170" s="21">
        <v>2368.42</v>
      </c>
      <c r="G1170" s="14">
        <v>11</v>
      </c>
      <c r="I1170" s="14" t="s">
        <v>6314</v>
      </c>
      <c r="J1170" s="22">
        <v>0.308648224041563</v>
      </c>
      <c r="K1170" s="22">
        <v>0.691351775958437</v>
      </c>
      <c r="L1170" s="14">
        <v>0</v>
      </c>
    </row>
    <row r="1171" spans="1:12" ht="39.6" x14ac:dyDescent="0.25">
      <c r="A1171" s="13">
        <v>3708104</v>
      </c>
      <c r="B1171" s="14" t="s">
        <v>5497</v>
      </c>
      <c r="C1171" s="14" t="s">
        <v>3069</v>
      </c>
      <c r="D1171" s="14" t="s">
        <v>3070</v>
      </c>
      <c r="E1171" s="23" t="s">
        <v>6928</v>
      </c>
      <c r="F1171" s="21">
        <v>2400</v>
      </c>
      <c r="G1171" s="14">
        <v>818</v>
      </c>
      <c r="H1171" s="14">
        <v>1</v>
      </c>
      <c r="I1171" s="14">
        <v>2</v>
      </c>
      <c r="J1171" s="22">
        <v>0.240921371830428</v>
      </c>
      <c r="K1171" s="22">
        <v>0.75907862816957195</v>
      </c>
      <c r="L1171" s="14">
        <v>0</v>
      </c>
    </row>
    <row r="1172" spans="1:12" x14ac:dyDescent="0.25">
      <c r="A1172" s="13" t="s">
        <v>3072</v>
      </c>
      <c r="B1172" s="14" t="s">
        <v>17</v>
      </c>
      <c r="C1172" s="14" t="s">
        <v>3073</v>
      </c>
      <c r="D1172" s="14" t="s">
        <v>3074</v>
      </c>
      <c r="E1172" s="14" t="s">
        <v>3075</v>
      </c>
      <c r="F1172" s="21">
        <v>1939.95</v>
      </c>
      <c r="G1172" s="14">
        <v>687</v>
      </c>
      <c r="H1172" s="14">
        <v>0</v>
      </c>
      <c r="I1172" s="14">
        <v>29</v>
      </c>
      <c r="J1172" s="22">
        <v>0.451298047718308</v>
      </c>
      <c r="K1172" s="22">
        <v>0.54870195228169305</v>
      </c>
      <c r="L1172" s="14">
        <v>0</v>
      </c>
    </row>
    <row r="1173" spans="1:12" x14ac:dyDescent="0.25">
      <c r="A1173" s="13" t="s">
        <v>3076</v>
      </c>
      <c r="B1173" s="14" t="s">
        <v>17</v>
      </c>
      <c r="C1173" s="14" t="s">
        <v>3073</v>
      </c>
      <c r="D1173" s="14" t="s">
        <v>3074</v>
      </c>
      <c r="E1173" s="14" t="s">
        <v>3077</v>
      </c>
      <c r="F1173" s="21">
        <v>1939.95</v>
      </c>
      <c r="G1173" s="14">
        <v>859</v>
      </c>
      <c r="I1173" s="14">
        <v>34</v>
      </c>
      <c r="J1173" s="22">
        <v>0.25779788219753902</v>
      </c>
      <c r="K1173" s="22">
        <v>0.74220211780246104</v>
      </c>
      <c r="L1173" s="14">
        <v>0</v>
      </c>
    </row>
    <row r="1174" spans="1:12" x14ac:dyDescent="0.25">
      <c r="A1174" s="13" t="s">
        <v>3078</v>
      </c>
      <c r="B1174" s="14" t="s">
        <v>17</v>
      </c>
      <c r="C1174" s="14" t="s">
        <v>3073</v>
      </c>
      <c r="D1174" s="14" t="s">
        <v>3074</v>
      </c>
      <c r="E1174" s="14" t="s">
        <v>3079</v>
      </c>
      <c r="F1174" s="21">
        <v>1939.95</v>
      </c>
      <c r="G1174" s="14">
        <v>219</v>
      </c>
      <c r="H1174" s="14">
        <v>0</v>
      </c>
      <c r="I1174" s="14" t="s">
        <v>6314</v>
      </c>
      <c r="J1174" s="22">
        <v>0.95026081767164094</v>
      </c>
      <c r="K1174" s="22">
        <v>4.9739182328359499E-2</v>
      </c>
      <c r="L1174" s="14">
        <v>0</v>
      </c>
    </row>
    <row r="1175" spans="1:12" x14ac:dyDescent="0.25">
      <c r="A1175" s="13" t="s">
        <v>3080</v>
      </c>
      <c r="B1175" s="14" t="s">
        <v>17</v>
      </c>
      <c r="C1175" s="14" t="s">
        <v>3073</v>
      </c>
      <c r="D1175" s="14" t="s">
        <v>3074</v>
      </c>
      <c r="E1175" s="14" t="s">
        <v>3081</v>
      </c>
      <c r="F1175" s="21">
        <v>1939.95</v>
      </c>
      <c r="G1175" s="14">
        <v>499</v>
      </c>
      <c r="H1175" s="14">
        <v>1</v>
      </c>
      <c r="I1175" s="14">
        <v>40</v>
      </c>
      <c r="J1175" s="22">
        <v>0.29591771772958497</v>
      </c>
      <c r="K1175" s="22">
        <v>0.70408228227041503</v>
      </c>
      <c r="L1175" s="14">
        <v>0</v>
      </c>
    </row>
    <row r="1176" spans="1:12" x14ac:dyDescent="0.25">
      <c r="A1176" s="13" t="s">
        <v>3082</v>
      </c>
      <c r="B1176" s="14" t="s">
        <v>17</v>
      </c>
      <c r="C1176" s="14" t="s">
        <v>3073</v>
      </c>
      <c r="D1176" s="14" t="s">
        <v>3074</v>
      </c>
      <c r="E1176" s="14" t="s">
        <v>3083</v>
      </c>
      <c r="F1176" s="21">
        <v>1939.95</v>
      </c>
      <c r="G1176" s="14">
        <v>726</v>
      </c>
      <c r="H1176" s="14">
        <v>0</v>
      </c>
      <c r="I1176" s="14">
        <v>7</v>
      </c>
      <c r="J1176" s="22">
        <v>0.94285028332613297</v>
      </c>
      <c r="K1176" s="22">
        <v>5.7149716673866702E-2</v>
      </c>
      <c r="L1176" s="14">
        <v>0</v>
      </c>
    </row>
    <row r="1177" spans="1:12" x14ac:dyDescent="0.25">
      <c r="A1177" s="13" t="s">
        <v>3084</v>
      </c>
      <c r="B1177" s="14" t="s">
        <v>17</v>
      </c>
      <c r="C1177" s="14" t="s">
        <v>3073</v>
      </c>
      <c r="D1177" s="14" t="s">
        <v>3074</v>
      </c>
      <c r="E1177" s="14" t="s">
        <v>3085</v>
      </c>
      <c r="F1177" s="21">
        <v>1939.95</v>
      </c>
      <c r="H1177" s="14">
        <v>0</v>
      </c>
      <c r="I1177" s="14">
        <v>17</v>
      </c>
      <c r="J1177" s="22">
        <v>0.62510915212167795</v>
      </c>
      <c r="K1177" s="22">
        <v>0.374890847878322</v>
      </c>
      <c r="L1177" s="14">
        <v>0</v>
      </c>
    </row>
    <row r="1178" spans="1:12" x14ac:dyDescent="0.25">
      <c r="A1178" s="13" t="s">
        <v>3086</v>
      </c>
      <c r="B1178" s="14" t="s">
        <v>17</v>
      </c>
      <c r="C1178" s="14" t="s">
        <v>3073</v>
      </c>
      <c r="D1178" s="14" t="s">
        <v>3074</v>
      </c>
      <c r="E1178" s="14" t="s">
        <v>3087</v>
      </c>
      <c r="F1178" s="21">
        <v>2284.19</v>
      </c>
      <c r="G1178" s="14">
        <v>463</v>
      </c>
      <c r="H1178" s="14">
        <v>0</v>
      </c>
      <c r="I1178" s="14">
        <v>45</v>
      </c>
      <c r="J1178" s="22">
        <v>0.87857760243885297</v>
      </c>
      <c r="K1178" s="22">
        <v>0.12142239756114701</v>
      </c>
      <c r="L1178" s="14">
        <v>0</v>
      </c>
    </row>
    <row r="1179" spans="1:12" x14ac:dyDescent="0.25">
      <c r="A1179" s="13">
        <v>3698441</v>
      </c>
      <c r="B1179" s="14" t="s">
        <v>17</v>
      </c>
      <c r="C1179" s="14" t="s">
        <v>3073</v>
      </c>
      <c r="D1179" s="14" t="s">
        <v>3074</v>
      </c>
      <c r="E1179" s="14" t="s">
        <v>3089</v>
      </c>
      <c r="F1179" s="21">
        <v>2328.4299999999998</v>
      </c>
      <c r="G1179" s="14">
        <v>510</v>
      </c>
      <c r="H1179" s="14">
        <v>0</v>
      </c>
      <c r="I1179" s="14">
        <v>26</v>
      </c>
      <c r="J1179" s="22">
        <v>0.80300902269929098</v>
      </c>
      <c r="K1179" s="22">
        <v>0.196990977300709</v>
      </c>
      <c r="L1179" s="14">
        <v>0</v>
      </c>
    </row>
    <row r="1180" spans="1:12" x14ac:dyDescent="0.25">
      <c r="A1180" s="13" t="s">
        <v>6929</v>
      </c>
      <c r="B1180" s="14" t="s">
        <v>17</v>
      </c>
      <c r="C1180" s="14" t="s">
        <v>6930</v>
      </c>
      <c r="D1180" s="14" t="s">
        <v>3092</v>
      </c>
      <c r="E1180" s="14" t="s">
        <v>3093</v>
      </c>
      <c r="F1180" s="21">
        <v>2409.8000000000002</v>
      </c>
      <c r="G1180" s="14">
        <v>810</v>
      </c>
      <c r="H1180" s="14">
        <v>1</v>
      </c>
      <c r="I1180" s="14" t="s">
        <v>6314</v>
      </c>
      <c r="J1180" s="22">
        <v>0.60152779854883698</v>
      </c>
      <c r="K1180" s="22">
        <v>0.39847220145116302</v>
      </c>
      <c r="L1180" s="14">
        <v>0</v>
      </c>
    </row>
    <row r="1181" spans="1:12" x14ac:dyDescent="0.25">
      <c r="A1181" s="13" t="s">
        <v>3094</v>
      </c>
      <c r="B1181" s="14" t="s">
        <v>22</v>
      </c>
      <c r="C1181" s="14" t="s">
        <v>3095</v>
      </c>
      <c r="D1181" s="14" t="s">
        <v>3096</v>
      </c>
      <c r="E1181" s="14" t="s">
        <v>3097</v>
      </c>
      <c r="F1181" s="21">
        <v>1626.14</v>
      </c>
      <c r="G1181" s="14">
        <v>348</v>
      </c>
      <c r="H1181" s="14">
        <v>1</v>
      </c>
      <c r="I1181" s="14" t="s">
        <v>6314</v>
      </c>
      <c r="J1181" s="22">
        <v>0.39424285733222802</v>
      </c>
      <c r="K1181" s="22">
        <v>0.60575714266777203</v>
      </c>
      <c r="L1181" s="14">
        <v>0</v>
      </c>
    </row>
    <row r="1182" spans="1:12" ht="39.6" x14ac:dyDescent="0.25">
      <c r="A1182" s="20" t="s">
        <v>6931</v>
      </c>
      <c r="B1182" s="14" t="s">
        <v>17</v>
      </c>
      <c r="C1182" s="14" t="s">
        <v>3099</v>
      </c>
      <c r="D1182" s="14" t="s">
        <v>3100</v>
      </c>
      <c r="E1182" s="14" t="s">
        <v>3101</v>
      </c>
      <c r="F1182" s="21">
        <v>1528.17</v>
      </c>
      <c r="G1182" s="14">
        <v>772</v>
      </c>
      <c r="H1182" s="14">
        <v>0</v>
      </c>
      <c r="I1182" s="14">
        <v>19</v>
      </c>
      <c r="J1182" s="22">
        <v>0.87645860950043297</v>
      </c>
      <c r="K1182" s="22">
        <v>0.123541390499567</v>
      </c>
      <c r="L1182" s="14">
        <v>0</v>
      </c>
    </row>
    <row r="1183" spans="1:12" x14ac:dyDescent="0.25">
      <c r="A1183" s="13" t="s">
        <v>6932</v>
      </c>
      <c r="B1183" s="14" t="s">
        <v>5455</v>
      </c>
      <c r="C1183" s="14" t="s">
        <v>5689</v>
      </c>
      <c r="D1183" s="14" t="s">
        <v>3104</v>
      </c>
      <c r="E1183" s="14" t="s">
        <v>3105</v>
      </c>
      <c r="F1183" s="21">
        <v>2081.0700000000002</v>
      </c>
      <c r="G1183" s="14">
        <v>132</v>
      </c>
      <c r="H1183" s="14">
        <v>1</v>
      </c>
      <c r="I1183" s="14">
        <v>30</v>
      </c>
      <c r="J1183" s="22">
        <v>8.5580977514516002E-2</v>
      </c>
      <c r="K1183" s="22">
        <v>0.91441902248548401</v>
      </c>
      <c r="L1183" s="14">
        <v>0</v>
      </c>
    </row>
    <row r="1184" spans="1:12" x14ac:dyDescent="0.25">
      <c r="A1184" s="13">
        <v>3214239</v>
      </c>
      <c r="B1184" s="14" t="s">
        <v>69</v>
      </c>
      <c r="C1184" s="14" t="s">
        <v>3107</v>
      </c>
      <c r="D1184" s="14" t="s">
        <v>3108</v>
      </c>
      <c r="E1184" s="14" t="s">
        <v>3109</v>
      </c>
      <c r="F1184" s="21">
        <v>2049.7800000000002</v>
      </c>
      <c r="G1184" s="14">
        <v>1</v>
      </c>
      <c r="H1184" s="14">
        <v>0</v>
      </c>
      <c r="I1184" s="14">
        <v>43</v>
      </c>
      <c r="J1184" s="22">
        <v>0.55322788326557704</v>
      </c>
      <c r="K1184" s="22">
        <v>0.44677211673442302</v>
      </c>
      <c r="L1184" s="14">
        <v>0</v>
      </c>
    </row>
    <row r="1185" spans="1:12" ht="39.6" x14ac:dyDescent="0.25">
      <c r="A1185" s="20" t="s">
        <v>6933</v>
      </c>
      <c r="B1185" s="14" t="s">
        <v>86</v>
      </c>
      <c r="C1185" s="14" t="s">
        <v>3111</v>
      </c>
      <c r="D1185" s="14" t="s">
        <v>3112</v>
      </c>
      <c r="E1185" s="14" t="s">
        <v>3113</v>
      </c>
      <c r="F1185" s="21">
        <v>2296.94</v>
      </c>
      <c r="G1185" s="14">
        <v>710</v>
      </c>
      <c r="H1185" s="14">
        <v>0</v>
      </c>
      <c r="I1185" s="14">
        <v>19</v>
      </c>
      <c r="J1185" s="22">
        <v>0.82888521155996397</v>
      </c>
      <c r="K1185" s="22">
        <v>0.171114788440036</v>
      </c>
      <c r="L1185" s="14">
        <v>0</v>
      </c>
    </row>
    <row r="1186" spans="1:12" x14ac:dyDescent="0.25">
      <c r="B1186" s="14" t="s">
        <v>5362</v>
      </c>
      <c r="C1186" s="14" t="s">
        <v>3114</v>
      </c>
      <c r="D1186" s="14" t="s">
        <v>3115</v>
      </c>
      <c r="E1186" s="14" t="s">
        <v>3116</v>
      </c>
      <c r="F1186" s="21">
        <v>2034</v>
      </c>
      <c r="G1186" s="14">
        <v>174</v>
      </c>
      <c r="H1186" s="14">
        <v>0</v>
      </c>
      <c r="I1186" s="14">
        <v>13</v>
      </c>
      <c r="J1186" s="22">
        <v>0.64672211982161398</v>
      </c>
      <c r="K1186" s="22">
        <v>0.35327788017838602</v>
      </c>
      <c r="L1186" s="14">
        <v>0</v>
      </c>
    </row>
    <row r="1187" spans="1:12" x14ac:dyDescent="0.25">
      <c r="B1187" s="14" t="s">
        <v>5362</v>
      </c>
      <c r="C1187" s="14" t="s">
        <v>3114</v>
      </c>
      <c r="D1187" s="14" t="s">
        <v>3115</v>
      </c>
      <c r="E1187" s="14" t="s">
        <v>3117</v>
      </c>
      <c r="F1187" s="21">
        <v>2034</v>
      </c>
      <c r="G1187" s="14">
        <v>33</v>
      </c>
      <c r="H1187" s="14">
        <v>0</v>
      </c>
      <c r="I1187" s="14">
        <v>22</v>
      </c>
      <c r="J1187" s="22">
        <v>6.5806194915774302E-2</v>
      </c>
      <c r="K1187" s="22">
        <v>0.934193805084226</v>
      </c>
      <c r="L1187" s="14">
        <v>0</v>
      </c>
    </row>
    <row r="1188" spans="1:12" x14ac:dyDescent="0.25">
      <c r="B1188" s="14" t="s">
        <v>5362</v>
      </c>
      <c r="C1188" s="14" t="s">
        <v>3114</v>
      </c>
      <c r="D1188" s="14" t="s">
        <v>3115</v>
      </c>
      <c r="E1188" s="14" t="s">
        <v>6934</v>
      </c>
      <c r="F1188" s="21">
        <v>2034</v>
      </c>
      <c r="G1188" s="14">
        <v>784</v>
      </c>
      <c r="H1188" s="14">
        <v>0</v>
      </c>
      <c r="I1188" s="14">
        <v>40</v>
      </c>
      <c r="J1188" s="22">
        <v>0.32993714119544498</v>
      </c>
      <c r="K1188" s="22">
        <v>0.67006285880455496</v>
      </c>
      <c r="L1188" s="14">
        <v>0</v>
      </c>
    </row>
    <row r="1189" spans="1:12" x14ac:dyDescent="0.25">
      <c r="A1189" s="13" t="s">
        <v>3119</v>
      </c>
      <c r="B1189" s="14" t="s">
        <v>5364</v>
      </c>
      <c r="C1189" s="14" t="s">
        <v>3121</v>
      </c>
      <c r="D1189" s="14" t="s">
        <v>3122</v>
      </c>
      <c r="E1189" s="14" t="s">
        <v>3123</v>
      </c>
      <c r="F1189" s="21">
        <v>1370.63</v>
      </c>
      <c r="G1189" s="14">
        <v>291</v>
      </c>
      <c r="H1189" s="14">
        <v>0</v>
      </c>
      <c r="I1189" s="14">
        <v>49</v>
      </c>
      <c r="J1189" s="22">
        <v>0.24680947062386299</v>
      </c>
      <c r="K1189" s="22">
        <v>0.75319052937613695</v>
      </c>
      <c r="L1189" s="14">
        <v>0</v>
      </c>
    </row>
    <row r="1190" spans="1:12" x14ac:dyDescent="0.25">
      <c r="A1190" s="13" t="s">
        <v>3124</v>
      </c>
      <c r="B1190" s="14" t="s">
        <v>3125</v>
      </c>
      <c r="C1190" s="14" t="s">
        <v>3121</v>
      </c>
      <c r="D1190" s="14" t="s">
        <v>3122</v>
      </c>
      <c r="E1190" s="14" t="s">
        <v>3126</v>
      </c>
      <c r="F1190" s="21">
        <v>1430.84</v>
      </c>
      <c r="G1190" s="14">
        <v>605</v>
      </c>
      <c r="H1190" s="14">
        <v>0</v>
      </c>
      <c r="I1190" s="14">
        <v>30</v>
      </c>
      <c r="J1190" s="22">
        <v>0.450624065506747</v>
      </c>
      <c r="K1190" s="22">
        <v>0.54937593449325295</v>
      </c>
      <c r="L1190" s="14">
        <v>0</v>
      </c>
    </row>
    <row r="1191" spans="1:12" ht="39.6" x14ac:dyDescent="0.25">
      <c r="A1191" s="20" t="s">
        <v>6935</v>
      </c>
      <c r="B1191" s="14" t="s">
        <v>3125</v>
      </c>
      <c r="C1191" s="14" t="s">
        <v>3121</v>
      </c>
      <c r="D1191" s="14" t="s">
        <v>3122</v>
      </c>
      <c r="E1191" s="14" t="s">
        <v>3128</v>
      </c>
      <c r="F1191" s="21">
        <v>1663.29</v>
      </c>
      <c r="H1191" s="14">
        <v>1</v>
      </c>
      <c r="I1191" s="14">
        <v>40</v>
      </c>
      <c r="J1191" s="22">
        <v>0.89021738848929799</v>
      </c>
      <c r="K1191" s="22">
        <v>0.109782611510702</v>
      </c>
      <c r="L1191" s="14">
        <v>0</v>
      </c>
    </row>
    <row r="1192" spans="1:12" x14ac:dyDescent="0.25">
      <c r="A1192" s="13" t="s">
        <v>6936</v>
      </c>
      <c r="B1192" s="14" t="s">
        <v>3130</v>
      </c>
      <c r="C1192" s="14" t="s">
        <v>3121</v>
      </c>
      <c r="D1192" s="14" t="s">
        <v>3122</v>
      </c>
      <c r="E1192" s="14" t="s">
        <v>3131</v>
      </c>
      <c r="F1192" s="21">
        <v>1451.6</v>
      </c>
      <c r="G1192" s="14">
        <v>511</v>
      </c>
      <c r="I1192" s="14">
        <v>13</v>
      </c>
      <c r="J1192" s="22">
        <v>0.14126449798521801</v>
      </c>
      <c r="K1192" s="22">
        <v>0.85873550201478199</v>
      </c>
      <c r="L1192" s="14">
        <v>0</v>
      </c>
    </row>
    <row r="1193" spans="1:12" x14ac:dyDescent="0.25">
      <c r="A1193" s="13">
        <v>3352832</v>
      </c>
      <c r="B1193" s="14" t="s">
        <v>5417</v>
      </c>
      <c r="C1193" s="14" t="s">
        <v>3133</v>
      </c>
      <c r="D1193" s="14" t="s">
        <v>3134</v>
      </c>
      <c r="E1193" s="14" t="s">
        <v>3135</v>
      </c>
      <c r="F1193" s="21">
        <v>2040</v>
      </c>
      <c r="G1193" s="14">
        <v>876</v>
      </c>
      <c r="H1193" s="14">
        <v>1</v>
      </c>
      <c r="I1193" s="14">
        <v>44</v>
      </c>
      <c r="J1193" s="22">
        <v>0.41489975683182201</v>
      </c>
      <c r="K1193" s="22">
        <v>0.58510024316817799</v>
      </c>
      <c r="L1193" s="14">
        <v>0</v>
      </c>
    </row>
    <row r="1194" spans="1:12" x14ac:dyDescent="0.25">
      <c r="A1194" s="13" t="s">
        <v>6937</v>
      </c>
      <c r="B1194" s="14" t="s">
        <v>110</v>
      </c>
      <c r="C1194" s="14" t="s">
        <v>3133</v>
      </c>
      <c r="D1194" s="14" t="s">
        <v>3134</v>
      </c>
      <c r="E1194" s="14" t="s">
        <v>3137</v>
      </c>
      <c r="F1194" s="21">
        <v>2040</v>
      </c>
      <c r="G1194" s="14">
        <v>854</v>
      </c>
      <c r="H1194" s="14">
        <v>0</v>
      </c>
      <c r="I1194" s="14">
        <v>7</v>
      </c>
      <c r="J1194" s="22">
        <v>0.72264273871328399</v>
      </c>
      <c r="K1194" s="22">
        <v>0.27735726128671601</v>
      </c>
      <c r="L1194" s="14">
        <v>0</v>
      </c>
    </row>
    <row r="1195" spans="1:12" x14ac:dyDescent="0.25">
      <c r="A1195" s="13" t="s">
        <v>3138</v>
      </c>
      <c r="B1195" s="14" t="s">
        <v>17</v>
      </c>
      <c r="C1195" s="14" t="s">
        <v>3139</v>
      </c>
      <c r="D1195" s="14" t="s">
        <v>3140</v>
      </c>
      <c r="E1195" s="14" t="s">
        <v>3141</v>
      </c>
      <c r="F1195" s="21">
        <v>2404.27</v>
      </c>
      <c r="H1195" s="14">
        <v>0</v>
      </c>
      <c r="I1195" s="14">
        <v>7</v>
      </c>
      <c r="J1195" s="22">
        <v>0.23754631826289899</v>
      </c>
      <c r="K1195" s="22">
        <v>0.76245368173710104</v>
      </c>
      <c r="L1195" s="14">
        <v>0</v>
      </c>
    </row>
    <row r="1196" spans="1:12" x14ac:dyDescent="0.25">
      <c r="A1196" s="13" t="s">
        <v>3142</v>
      </c>
      <c r="B1196" s="14" t="s">
        <v>5473</v>
      </c>
      <c r="C1196" s="14" t="s">
        <v>2238</v>
      </c>
      <c r="D1196" s="14" t="s">
        <v>3143</v>
      </c>
      <c r="E1196" s="14" t="s">
        <v>3144</v>
      </c>
      <c r="F1196" s="21">
        <v>1260</v>
      </c>
      <c r="G1196" s="14">
        <v>266</v>
      </c>
      <c r="H1196" s="14">
        <v>1</v>
      </c>
      <c r="I1196" s="14" t="s">
        <v>6314</v>
      </c>
      <c r="J1196" s="22">
        <v>0.58993614100804603</v>
      </c>
      <c r="K1196" s="22">
        <v>0.41006385899195402</v>
      </c>
      <c r="L1196" s="14">
        <v>0</v>
      </c>
    </row>
    <row r="1197" spans="1:12" x14ac:dyDescent="0.25">
      <c r="A1197" s="13">
        <v>3730703</v>
      </c>
      <c r="B1197" s="14" t="s">
        <v>5473</v>
      </c>
      <c r="C1197" s="14" t="s">
        <v>2238</v>
      </c>
      <c r="D1197" s="14" t="s">
        <v>3143</v>
      </c>
      <c r="E1197" s="14" t="s">
        <v>3146</v>
      </c>
      <c r="F1197" s="21">
        <v>1260</v>
      </c>
      <c r="G1197" s="14">
        <v>936</v>
      </c>
      <c r="H1197" s="14">
        <v>0</v>
      </c>
      <c r="I1197" s="14">
        <v>22</v>
      </c>
      <c r="J1197" s="22">
        <v>9.7247037906322796E-3</v>
      </c>
      <c r="K1197" s="22">
        <v>0.99027529620936805</v>
      </c>
      <c r="L1197" s="14">
        <v>0</v>
      </c>
    </row>
    <row r="1198" spans="1:12" ht="52.8" x14ac:dyDescent="0.25">
      <c r="A1198" s="20" t="s">
        <v>6938</v>
      </c>
      <c r="B1198" s="14" t="s">
        <v>5473</v>
      </c>
      <c r="C1198" s="14" t="s">
        <v>2238</v>
      </c>
      <c r="D1198" s="14" t="s">
        <v>3143</v>
      </c>
      <c r="E1198" s="14" t="s">
        <v>3148</v>
      </c>
      <c r="F1198" s="21">
        <v>1680</v>
      </c>
      <c r="G1198" s="14">
        <v>946</v>
      </c>
      <c r="H1198" s="14">
        <v>0</v>
      </c>
      <c r="I1198" s="14">
        <v>32</v>
      </c>
      <c r="J1198" s="22">
        <v>0.242093263656568</v>
      </c>
      <c r="K1198" s="22">
        <v>0.75790673634343197</v>
      </c>
      <c r="L1198" s="14">
        <v>0</v>
      </c>
    </row>
    <row r="1199" spans="1:12" x14ac:dyDescent="0.25">
      <c r="A1199" s="13" t="s">
        <v>6120</v>
      </c>
      <c r="B1199" s="14" t="s">
        <v>5473</v>
      </c>
      <c r="C1199" s="14" t="s">
        <v>2238</v>
      </c>
      <c r="D1199" s="14" t="s">
        <v>3143</v>
      </c>
      <c r="E1199" s="14" t="s">
        <v>3149</v>
      </c>
      <c r="F1199" s="21">
        <v>1680</v>
      </c>
      <c r="G1199" s="14">
        <v>835</v>
      </c>
      <c r="H1199" s="14">
        <v>1</v>
      </c>
      <c r="I1199" s="14">
        <v>7</v>
      </c>
      <c r="J1199" s="22">
        <v>0.90290504469396604</v>
      </c>
      <c r="K1199" s="22">
        <v>9.7094955306034E-2</v>
      </c>
      <c r="L1199" s="14">
        <v>0</v>
      </c>
    </row>
    <row r="1200" spans="1:12" x14ac:dyDescent="0.25">
      <c r="B1200" s="14" t="s">
        <v>5473</v>
      </c>
      <c r="C1200" s="14" t="s">
        <v>2238</v>
      </c>
      <c r="D1200" s="14" t="s">
        <v>3143</v>
      </c>
      <c r="E1200" s="14" t="s">
        <v>3150</v>
      </c>
      <c r="F1200" s="21">
        <v>1680</v>
      </c>
      <c r="G1200" s="14">
        <v>582</v>
      </c>
      <c r="H1200" s="14">
        <v>0</v>
      </c>
      <c r="I1200" s="14">
        <v>32</v>
      </c>
      <c r="J1200" s="22">
        <v>0.64025199595835303</v>
      </c>
      <c r="K1200" s="22">
        <v>0.35974800404164697</v>
      </c>
      <c r="L1200" s="14">
        <v>0</v>
      </c>
    </row>
    <row r="1201" spans="1:12" x14ac:dyDescent="0.25">
      <c r="A1201" s="13">
        <v>23782536</v>
      </c>
      <c r="B1201" s="14" t="s">
        <v>552</v>
      </c>
      <c r="C1201" s="14" t="s">
        <v>2238</v>
      </c>
      <c r="D1201" s="14" t="s">
        <v>3143</v>
      </c>
      <c r="E1201" s="14" t="s">
        <v>3151</v>
      </c>
      <c r="F1201" s="21">
        <v>2057.7800000000002</v>
      </c>
      <c r="G1201" s="14">
        <v>134</v>
      </c>
      <c r="H1201" s="14">
        <v>1</v>
      </c>
      <c r="I1201" s="14">
        <v>31</v>
      </c>
      <c r="J1201" s="22">
        <v>0.78040941944303699</v>
      </c>
      <c r="K1201" s="22">
        <v>0.21959058055696301</v>
      </c>
      <c r="L1201" s="14">
        <v>0</v>
      </c>
    </row>
    <row r="1202" spans="1:12" x14ac:dyDescent="0.25">
      <c r="A1202" s="13" t="s">
        <v>3152</v>
      </c>
      <c r="B1202" s="14" t="s">
        <v>5441</v>
      </c>
      <c r="C1202" s="14" t="s">
        <v>3153</v>
      </c>
      <c r="D1202" s="14" t="s">
        <v>3154</v>
      </c>
      <c r="E1202" s="14" t="s">
        <v>3155</v>
      </c>
      <c r="F1202" s="21">
        <v>420</v>
      </c>
      <c r="G1202" s="14">
        <v>913</v>
      </c>
      <c r="H1202" s="14">
        <v>0</v>
      </c>
      <c r="I1202" s="14">
        <v>50</v>
      </c>
      <c r="J1202" s="22">
        <v>0.19909155894942401</v>
      </c>
      <c r="K1202" s="22">
        <v>0.80090844105057601</v>
      </c>
      <c r="L1202" s="14">
        <v>0</v>
      </c>
    </row>
    <row r="1203" spans="1:12" x14ac:dyDescent="0.25">
      <c r="A1203" s="13" t="s">
        <v>3156</v>
      </c>
      <c r="B1203" s="14" t="s">
        <v>5441</v>
      </c>
      <c r="C1203" s="14" t="s">
        <v>3153</v>
      </c>
      <c r="D1203" s="14" t="s">
        <v>3154</v>
      </c>
      <c r="E1203" s="14" t="s">
        <v>3157</v>
      </c>
      <c r="F1203" s="21">
        <v>1500</v>
      </c>
      <c r="H1203" s="14">
        <v>1</v>
      </c>
      <c r="I1203" s="14">
        <v>5</v>
      </c>
      <c r="J1203" s="22">
        <v>0.92563391875301904</v>
      </c>
      <c r="K1203" s="22">
        <v>7.4366081246980895E-2</v>
      </c>
      <c r="L1203" s="14">
        <v>0</v>
      </c>
    </row>
    <row r="1204" spans="1:12" ht="26.4" x14ac:dyDescent="0.25">
      <c r="A1204" s="20" t="s">
        <v>6939</v>
      </c>
      <c r="B1204" s="14" t="s">
        <v>5473</v>
      </c>
      <c r="C1204" s="14" t="s">
        <v>5692</v>
      </c>
      <c r="D1204" s="14" t="s">
        <v>3143</v>
      </c>
      <c r="E1204" s="14" t="s">
        <v>3159</v>
      </c>
      <c r="F1204" s="21">
        <v>1260</v>
      </c>
      <c r="G1204" s="14">
        <v>730</v>
      </c>
      <c r="H1204" s="14">
        <v>0</v>
      </c>
      <c r="I1204" s="14" t="s">
        <v>6314</v>
      </c>
      <c r="J1204" s="22">
        <v>0.71823534011456402</v>
      </c>
      <c r="K1204" s="22">
        <v>0.28176465988543598</v>
      </c>
      <c r="L1204" s="14">
        <v>0</v>
      </c>
    </row>
    <row r="1205" spans="1:12" x14ac:dyDescent="0.25">
      <c r="A1205" s="13" t="s">
        <v>6940</v>
      </c>
      <c r="B1205" s="14" t="s">
        <v>86</v>
      </c>
      <c r="C1205" s="14" t="s">
        <v>3161</v>
      </c>
      <c r="D1205" s="14" t="s">
        <v>3162</v>
      </c>
      <c r="E1205" s="14" t="s">
        <v>3163</v>
      </c>
      <c r="F1205" s="21">
        <v>2363.7600000000002</v>
      </c>
      <c r="G1205" s="14">
        <v>758</v>
      </c>
      <c r="H1205" s="14">
        <v>1</v>
      </c>
      <c r="I1205" s="14">
        <v>45</v>
      </c>
      <c r="J1205" s="22">
        <v>0.13085637262465699</v>
      </c>
      <c r="K1205" s="22">
        <v>0.86914362737534301</v>
      </c>
      <c r="L1205" s="14">
        <v>0</v>
      </c>
    </row>
    <row r="1206" spans="1:12" x14ac:dyDescent="0.25">
      <c r="A1206" s="13" t="s">
        <v>5830</v>
      </c>
      <c r="B1206" s="14" t="s">
        <v>17</v>
      </c>
      <c r="C1206" s="14" t="s">
        <v>3164</v>
      </c>
      <c r="D1206" s="14" t="s">
        <v>3165</v>
      </c>
      <c r="E1206" s="14" t="s">
        <v>3166</v>
      </c>
      <c r="F1206" s="21">
        <v>1188.83</v>
      </c>
      <c r="G1206" s="14">
        <v>430</v>
      </c>
      <c r="H1206" s="14">
        <v>0</v>
      </c>
      <c r="I1206" s="14">
        <v>28</v>
      </c>
      <c r="J1206" s="22">
        <v>0.86250516597026805</v>
      </c>
      <c r="K1206" s="22">
        <v>0.137494834029732</v>
      </c>
      <c r="L1206" s="14">
        <v>0</v>
      </c>
    </row>
    <row r="1207" spans="1:12" x14ac:dyDescent="0.25">
      <c r="A1207" s="13" t="s">
        <v>5830</v>
      </c>
      <c r="B1207" s="14" t="s">
        <v>5493</v>
      </c>
      <c r="C1207" s="14" t="s">
        <v>3167</v>
      </c>
      <c r="D1207" s="14" t="s">
        <v>3168</v>
      </c>
      <c r="E1207" s="14" t="s">
        <v>3169</v>
      </c>
      <c r="F1207" s="21">
        <v>2350.4899999999998</v>
      </c>
      <c r="G1207" s="14">
        <v>736</v>
      </c>
      <c r="H1207" s="14">
        <v>1</v>
      </c>
      <c r="I1207" s="14">
        <v>45</v>
      </c>
      <c r="J1207" s="22">
        <v>0.89357575448755699</v>
      </c>
      <c r="K1207" s="22">
        <v>0.10642424551244301</v>
      </c>
      <c r="L1207" s="14">
        <v>0</v>
      </c>
    </row>
    <row r="1208" spans="1:12" x14ac:dyDescent="0.25">
      <c r="A1208" s="13" t="s">
        <v>6941</v>
      </c>
      <c r="B1208" s="14" t="s">
        <v>5335</v>
      </c>
      <c r="C1208" s="14" t="s">
        <v>5693</v>
      </c>
      <c r="E1208" s="14" t="s">
        <v>3172</v>
      </c>
      <c r="F1208" s="21">
        <v>1604.82</v>
      </c>
      <c r="G1208" s="14">
        <v>800</v>
      </c>
      <c r="H1208" s="14">
        <v>0</v>
      </c>
      <c r="I1208" s="14">
        <v>12</v>
      </c>
      <c r="J1208" s="22">
        <v>0.51757577287034195</v>
      </c>
      <c r="K1208" s="22">
        <v>0.48242422712965799</v>
      </c>
      <c r="L1208" s="14">
        <v>0</v>
      </c>
    </row>
    <row r="1209" spans="1:12" x14ac:dyDescent="0.25">
      <c r="A1209" s="13" t="s">
        <v>3173</v>
      </c>
      <c r="B1209" s="14" t="s">
        <v>17</v>
      </c>
      <c r="C1209" s="14" t="s">
        <v>3174</v>
      </c>
      <c r="D1209" s="14" t="s">
        <v>3175</v>
      </c>
      <c r="E1209" s="14" t="s">
        <v>3176</v>
      </c>
      <c r="F1209" s="21">
        <v>2165.92</v>
      </c>
      <c r="G1209" s="14">
        <v>97</v>
      </c>
      <c r="H1209" s="14">
        <v>1</v>
      </c>
      <c r="I1209" s="14" t="s">
        <v>6314</v>
      </c>
      <c r="J1209" s="22">
        <v>0.34733413587339101</v>
      </c>
      <c r="K1209" s="22">
        <v>0.65266586412660899</v>
      </c>
      <c r="L1209" s="14">
        <v>0</v>
      </c>
    </row>
    <row r="1210" spans="1:12" x14ac:dyDescent="0.25">
      <c r="B1210" s="14" t="s">
        <v>333</v>
      </c>
      <c r="C1210" s="14" t="s">
        <v>3171</v>
      </c>
      <c r="D1210" s="14" t="s">
        <v>3177</v>
      </c>
      <c r="E1210" s="14" t="s">
        <v>3178</v>
      </c>
      <c r="F1210" s="21">
        <v>1312.59</v>
      </c>
      <c r="G1210" s="14">
        <v>545</v>
      </c>
      <c r="H1210" s="14">
        <v>0</v>
      </c>
      <c r="I1210" s="14">
        <v>14</v>
      </c>
      <c r="J1210" s="22">
        <v>0.409360997284475</v>
      </c>
      <c r="K1210" s="22">
        <v>0.59063900271552505</v>
      </c>
      <c r="L1210" s="14">
        <v>0</v>
      </c>
    </row>
    <row r="1211" spans="1:12" x14ac:dyDescent="0.25">
      <c r="A1211" s="13" t="s">
        <v>6942</v>
      </c>
      <c r="B1211" s="14" t="s">
        <v>333</v>
      </c>
      <c r="C1211" s="14" t="s">
        <v>3171</v>
      </c>
      <c r="D1211" s="14" t="s">
        <v>3177</v>
      </c>
      <c r="E1211" s="14" t="s">
        <v>3180</v>
      </c>
      <c r="F1211" s="21">
        <v>1549.44</v>
      </c>
      <c r="G1211" s="14">
        <v>527</v>
      </c>
      <c r="H1211" s="14">
        <v>0</v>
      </c>
      <c r="I1211" s="14" t="s">
        <v>6314</v>
      </c>
      <c r="J1211" s="22">
        <v>0.91625772802953498</v>
      </c>
      <c r="K1211" s="22">
        <v>8.3742271970464799E-2</v>
      </c>
      <c r="L1211" s="14">
        <v>0</v>
      </c>
    </row>
    <row r="1212" spans="1:12" ht="39.6" x14ac:dyDescent="0.25">
      <c r="A1212" s="20" t="s">
        <v>6943</v>
      </c>
      <c r="B1212" s="14" t="s">
        <v>333</v>
      </c>
      <c r="C1212" s="14" t="s">
        <v>3171</v>
      </c>
      <c r="D1212" s="14" t="s">
        <v>3177</v>
      </c>
      <c r="E1212" s="14" t="s">
        <v>3182</v>
      </c>
      <c r="F1212" s="21">
        <v>1585.64</v>
      </c>
      <c r="G1212" s="14">
        <v>977</v>
      </c>
      <c r="H1212" s="14">
        <v>1</v>
      </c>
      <c r="I1212" s="14">
        <v>19</v>
      </c>
      <c r="J1212" s="22">
        <v>0.44920794116222801</v>
      </c>
      <c r="K1212" s="22">
        <v>0.55079205883777205</v>
      </c>
      <c r="L1212" s="14">
        <v>0</v>
      </c>
    </row>
    <row r="1213" spans="1:12" x14ac:dyDescent="0.25">
      <c r="A1213" s="13" t="s">
        <v>6944</v>
      </c>
      <c r="B1213" s="14" t="s">
        <v>5332</v>
      </c>
      <c r="C1213" s="14" t="s">
        <v>3171</v>
      </c>
      <c r="D1213" s="14" t="s">
        <v>3177</v>
      </c>
      <c r="E1213" s="14" t="s">
        <v>3184</v>
      </c>
      <c r="F1213" s="21">
        <v>1247.4100000000001</v>
      </c>
      <c r="G1213" s="14">
        <v>99</v>
      </c>
      <c r="H1213" s="14">
        <v>1</v>
      </c>
      <c r="I1213" s="14">
        <v>24</v>
      </c>
      <c r="J1213" s="22">
        <v>0.78180476156564205</v>
      </c>
      <c r="K1213" s="22">
        <v>0.21819523843435801</v>
      </c>
      <c r="L1213" s="14">
        <v>0</v>
      </c>
    </row>
    <row r="1214" spans="1:12" x14ac:dyDescent="0.25">
      <c r="A1214" s="13" t="s">
        <v>3185</v>
      </c>
      <c r="B1214" s="14" t="s">
        <v>5332</v>
      </c>
      <c r="C1214" s="14" t="s">
        <v>3171</v>
      </c>
      <c r="D1214" s="14" t="s">
        <v>3177</v>
      </c>
      <c r="E1214" s="14" t="s">
        <v>3186</v>
      </c>
      <c r="F1214" s="21">
        <v>2019.89</v>
      </c>
      <c r="G1214" s="14">
        <v>121</v>
      </c>
      <c r="H1214" s="14">
        <v>0</v>
      </c>
      <c r="I1214" s="14">
        <v>32</v>
      </c>
      <c r="J1214" s="22">
        <v>0.38161478915589703</v>
      </c>
      <c r="K1214" s="22">
        <v>0.61838521084410303</v>
      </c>
      <c r="L1214" s="14">
        <v>0</v>
      </c>
    </row>
    <row r="1215" spans="1:12" x14ac:dyDescent="0.25">
      <c r="A1215" s="13" t="s">
        <v>3187</v>
      </c>
      <c r="B1215" s="14" t="s">
        <v>5333</v>
      </c>
      <c r="C1215" s="14" t="s">
        <v>3171</v>
      </c>
      <c r="D1215" s="14" t="s">
        <v>3177</v>
      </c>
      <c r="E1215" s="14" t="s">
        <v>3188</v>
      </c>
      <c r="F1215" s="21">
        <v>1901.79</v>
      </c>
      <c r="G1215" s="14">
        <v>292</v>
      </c>
      <c r="H1215" s="14">
        <v>0</v>
      </c>
      <c r="I1215" s="14">
        <v>24</v>
      </c>
      <c r="J1215" s="22">
        <v>0.60597403835553498</v>
      </c>
      <c r="K1215" s="22">
        <v>0.39402596164446502</v>
      </c>
      <c r="L1215" s="14">
        <v>0</v>
      </c>
    </row>
    <row r="1216" spans="1:12" x14ac:dyDescent="0.25">
      <c r="A1216" s="13" t="s">
        <v>6945</v>
      </c>
      <c r="B1216" s="14" t="s">
        <v>17</v>
      </c>
      <c r="C1216" s="14" t="s">
        <v>3171</v>
      </c>
      <c r="D1216" s="14" t="s">
        <v>3177</v>
      </c>
      <c r="E1216" s="14" t="s">
        <v>3190</v>
      </c>
      <c r="F1216" s="21">
        <v>1577.9</v>
      </c>
      <c r="H1216" s="14">
        <v>1</v>
      </c>
      <c r="I1216" s="14">
        <v>42</v>
      </c>
      <c r="J1216" s="22">
        <v>1.4919451948901E-2</v>
      </c>
      <c r="K1216" s="22">
        <v>0.98508054805109901</v>
      </c>
      <c r="L1216" s="14">
        <v>0</v>
      </c>
    </row>
    <row r="1217" spans="1:12" x14ac:dyDescent="0.25">
      <c r="A1217" s="13" t="s">
        <v>6946</v>
      </c>
      <c r="B1217" s="14" t="s">
        <v>17</v>
      </c>
      <c r="C1217" s="14" t="s">
        <v>3171</v>
      </c>
      <c r="D1217" s="14" t="s">
        <v>3177</v>
      </c>
      <c r="E1217" s="14" t="s">
        <v>3192</v>
      </c>
      <c r="F1217" s="21">
        <v>1577.91</v>
      </c>
      <c r="G1217" s="14">
        <v>235</v>
      </c>
      <c r="H1217" s="14">
        <v>1</v>
      </c>
      <c r="I1217" s="14">
        <v>42</v>
      </c>
      <c r="J1217" s="22">
        <v>0.77367584762410901</v>
      </c>
      <c r="K1217" s="22">
        <v>0.22632415237589101</v>
      </c>
      <c r="L1217" s="14">
        <v>0</v>
      </c>
    </row>
    <row r="1218" spans="1:12" ht="39.6" x14ac:dyDescent="0.25">
      <c r="A1218" s="20" t="s">
        <v>6947</v>
      </c>
      <c r="B1218" s="23" t="s">
        <v>6948</v>
      </c>
      <c r="C1218" s="23" t="s">
        <v>6949</v>
      </c>
      <c r="D1218" s="14" t="s">
        <v>3177</v>
      </c>
      <c r="E1218" s="23" t="s">
        <v>6950</v>
      </c>
      <c r="F1218" s="21">
        <v>1871.85</v>
      </c>
      <c r="G1218" s="14">
        <v>672</v>
      </c>
      <c r="H1218" s="14">
        <v>1</v>
      </c>
      <c r="I1218" s="14">
        <v>36</v>
      </c>
      <c r="J1218" s="22">
        <v>3.7312805086896499E-3</v>
      </c>
      <c r="K1218" s="22">
        <v>0.99626871949131002</v>
      </c>
      <c r="L1218" s="14">
        <v>1153</v>
      </c>
    </row>
    <row r="1219" spans="1:12" x14ac:dyDescent="0.25">
      <c r="A1219" s="13" t="s">
        <v>6951</v>
      </c>
      <c r="B1219" s="14" t="s">
        <v>5338</v>
      </c>
      <c r="C1219" s="14" t="s">
        <v>3197</v>
      </c>
      <c r="D1219" s="14" t="s">
        <v>3177</v>
      </c>
      <c r="E1219" s="14" t="s">
        <v>3198</v>
      </c>
      <c r="F1219" s="21">
        <v>1157.8800000000001</v>
      </c>
      <c r="G1219" s="14">
        <v>82</v>
      </c>
      <c r="H1219" s="14">
        <v>1</v>
      </c>
      <c r="I1219" s="14">
        <v>35</v>
      </c>
      <c r="J1219" s="22">
        <v>0.91013091438032501</v>
      </c>
      <c r="K1219" s="22">
        <v>8.9869085619674702E-2</v>
      </c>
      <c r="L1219" s="14">
        <v>0</v>
      </c>
    </row>
    <row r="1220" spans="1:12" x14ac:dyDescent="0.25">
      <c r="A1220" s="13" t="s">
        <v>6952</v>
      </c>
      <c r="B1220" s="14" t="s">
        <v>5396</v>
      </c>
      <c r="C1220" s="14" t="s">
        <v>5694</v>
      </c>
      <c r="D1220" s="14" t="s">
        <v>3201</v>
      </c>
      <c r="E1220" s="14" t="s">
        <v>3202</v>
      </c>
      <c r="F1220" s="21">
        <v>517.5</v>
      </c>
      <c r="G1220" s="14">
        <v>216</v>
      </c>
      <c r="H1220" s="14">
        <v>1</v>
      </c>
      <c r="I1220" s="14">
        <v>13</v>
      </c>
      <c r="J1220" s="22">
        <v>0.22294260512522601</v>
      </c>
      <c r="K1220" s="22">
        <v>0.77705739487477399</v>
      </c>
      <c r="L1220" s="14">
        <v>0</v>
      </c>
    </row>
    <row r="1221" spans="1:12" x14ac:dyDescent="0.25">
      <c r="B1221" s="14" t="s">
        <v>3200</v>
      </c>
      <c r="C1221" s="14" t="s">
        <v>3200</v>
      </c>
      <c r="D1221" s="14" t="s">
        <v>3201</v>
      </c>
      <c r="E1221" s="14" t="s">
        <v>3203</v>
      </c>
      <c r="F1221" s="21">
        <v>3238.25</v>
      </c>
      <c r="G1221" s="14">
        <v>503</v>
      </c>
      <c r="H1221" s="14">
        <v>1</v>
      </c>
      <c r="I1221" s="14">
        <v>3</v>
      </c>
      <c r="J1221" s="22">
        <v>3.1319057477174797E-2</v>
      </c>
      <c r="K1221" s="22">
        <v>0.96868094252282499</v>
      </c>
      <c r="L1221" s="14">
        <v>0</v>
      </c>
    </row>
    <row r="1222" spans="1:12" x14ac:dyDescent="0.25">
      <c r="B1222" s="14" t="s">
        <v>5395</v>
      </c>
      <c r="C1222" s="14" t="s">
        <v>3200</v>
      </c>
      <c r="D1222" s="14" t="s">
        <v>3201</v>
      </c>
      <c r="E1222" s="14" t="s">
        <v>6953</v>
      </c>
      <c r="F1222" s="21">
        <v>2693.21</v>
      </c>
      <c r="G1222" s="14">
        <v>210</v>
      </c>
      <c r="H1222" s="14">
        <v>1</v>
      </c>
      <c r="I1222" s="14">
        <v>28</v>
      </c>
      <c r="J1222" s="22">
        <v>0.81027307509771895</v>
      </c>
      <c r="K1222" s="22">
        <v>0.18972692490228199</v>
      </c>
      <c r="L1222" s="14">
        <v>0</v>
      </c>
    </row>
    <row r="1223" spans="1:12" x14ac:dyDescent="0.25">
      <c r="B1223" s="14" t="s">
        <v>5396</v>
      </c>
      <c r="C1223" s="14" t="s">
        <v>3200</v>
      </c>
      <c r="D1223" s="14" t="s">
        <v>3201</v>
      </c>
      <c r="E1223" s="14" t="s">
        <v>3205</v>
      </c>
      <c r="F1223" s="21">
        <v>3284.88</v>
      </c>
      <c r="G1223" s="14">
        <v>966</v>
      </c>
      <c r="H1223" s="14">
        <v>1</v>
      </c>
      <c r="I1223" s="14">
        <v>21</v>
      </c>
      <c r="J1223" s="22">
        <v>0.55505396879369795</v>
      </c>
      <c r="K1223" s="22">
        <v>0.44494603120630299</v>
      </c>
      <c r="L1223" s="14">
        <v>0</v>
      </c>
    </row>
    <row r="1224" spans="1:12" ht="39.6" x14ac:dyDescent="0.25">
      <c r="A1224" s="20" t="s">
        <v>6954</v>
      </c>
      <c r="B1224" s="14" t="s">
        <v>5398</v>
      </c>
      <c r="C1224" s="14" t="s">
        <v>3200</v>
      </c>
      <c r="D1224" s="14" t="s">
        <v>3201</v>
      </c>
      <c r="E1224" s="14" t="s">
        <v>3207</v>
      </c>
      <c r="F1224" s="21">
        <v>2671.48</v>
      </c>
      <c r="G1224" s="14">
        <v>683</v>
      </c>
      <c r="H1224" s="14">
        <v>1</v>
      </c>
      <c r="I1224" s="14">
        <v>18</v>
      </c>
      <c r="J1224" s="22">
        <v>0.164657120853268</v>
      </c>
      <c r="K1224" s="22">
        <v>0.835342879146732</v>
      </c>
      <c r="L1224" s="14">
        <v>0</v>
      </c>
    </row>
    <row r="1225" spans="1:12" x14ac:dyDescent="0.25">
      <c r="A1225" s="13" t="s">
        <v>6126</v>
      </c>
      <c r="B1225" s="14" t="s">
        <v>5398</v>
      </c>
      <c r="C1225" s="14" t="s">
        <v>6955</v>
      </c>
      <c r="D1225" s="14" t="s">
        <v>3201</v>
      </c>
      <c r="E1225" s="14" t="s">
        <v>3208</v>
      </c>
      <c r="F1225" s="21">
        <v>2711.19</v>
      </c>
      <c r="G1225" s="14">
        <v>607</v>
      </c>
      <c r="H1225" s="14">
        <v>0</v>
      </c>
      <c r="I1225" s="14">
        <v>13</v>
      </c>
      <c r="J1225" s="22">
        <v>0.33498218053390999</v>
      </c>
      <c r="K1225" s="22">
        <v>0.66501781946608995</v>
      </c>
      <c r="L1225" s="14">
        <v>0</v>
      </c>
    </row>
    <row r="1226" spans="1:12" x14ac:dyDescent="0.25">
      <c r="B1226" s="14" t="s">
        <v>5397</v>
      </c>
      <c r="C1226" s="14" t="s">
        <v>5695</v>
      </c>
      <c r="D1226" s="14" t="s">
        <v>3209</v>
      </c>
      <c r="E1226" s="14" t="s">
        <v>3210</v>
      </c>
      <c r="F1226" s="21">
        <v>2713.14</v>
      </c>
      <c r="G1226" s="14">
        <v>820</v>
      </c>
      <c r="H1226" s="14">
        <v>0</v>
      </c>
      <c r="I1226" s="14">
        <v>2</v>
      </c>
      <c r="J1226" s="22">
        <v>0.29576927859777302</v>
      </c>
      <c r="K1226" s="22">
        <v>0.70423072140222698</v>
      </c>
      <c r="L1226" s="14">
        <v>0</v>
      </c>
    </row>
    <row r="1227" spans="1:12" x14ac:dyDescent="0.25">
      <c r="A1227" s="13" t="s">
        <v>6956</v>
      </c>
      <c r="B1227" s="14" t="s">
        <v>607</v>
      </c>
      <c r="C1227" s="14" t="s">
        <v>3212</v>
      </c>
      <c r="D1227" s="14" t="s">
        <v>3213</v>
      </c>
      <c r="E1227" s="14" t="s">
        <v>3214</v>
      </c>
      <c r="F1227" s="21">
        <v>2400</v>
      </c>
      <c r="G1227" s="14">
        <v>175</v>
      </c>
      <c r="H1227" s="14">
        <v>1</v>
      </c>
      <c r="I1227" s="14">
        <v>27</v>
      </c>
      <c r="J1227" s="22">
        <v>0.46940055460521102</v>
      </c>
      <c r="K1227" s="22">
        <v>0.53059944539478898</v>
      </c>
      <c r="L1227" s="14">
        <v>0</v>
      </c>
    </row>
    <row r="1228" spans="1:12" x14ac:dyDescent="0.25">
      <c r="A1228" s="13" t="s">
        <v>3215</v>
      </c>
      <c r="B1228" s="14" t="s">
        <v>5414</v>
      </c>
      <c r="C1228" s="14" t="s">
        <v>3212</v>
      </c>
      <c r="D1228" s="14" t="s">
        <v>3213</v>
      </c>
      <c r="E1228" s="14" t="s">
        <v>3216</v>
      </c>
      <c r="F1228" s="21">
        <v>2400</v>
      </c>
      <c r="G1228" s="14">
        <v>301</v>
      </c>
      <c r="H1228" s="14">
        <v>0</v>
      </c>
      <c r="I1228" s="14">
        <v>14</v>
      </c>
      <c r="J1228" s="22">
        <v>0.57608171395584395</v>
      </c>
      <c r="K1228" s="22">
        <v>0.42391828604415599</v>
      </c>
      <c r="L1228" s="14">
        <v>0</v>
      </c>
    </row>
    <row r="1229" spans="1:12" x14ac:dyDescent="0.25">
      <c r="B1229" s="14" t="s">
        <v>17</v>
      </c>
      <c r="C1229" s="14" t="s">
        <v>3217</v>
      </c>
      <c r="D1229" s="14" t="s">
        <v>3218</v>
      </c>
      <c r="E1229" s="14" t="s">
        <v>3219</v>
      </c>
      <c r="F1229" s="21">
        <v>4800</v>
      </c>
      <c r="G1229" s="14">
        <v>861</v>
      </c>
      <c r="H1229" s="14">
        <v>0</v>
      </c>
      <c r="I1229" s="14" t="s">
        <v>6314</v>
      </c>
      <c r="J1229" s="22">
        <v>0.892030480741559</v>
      </c>
      <c r="K1229" s="22">
        <v>0.107969519258441</v>
      </c>
      <c r="L1229" s="14">
        <v>0</v>
      </c>
    </row>
    <row r="1230" spans="1:12" x14ac:dyDescent="0.25">
      <c r="A1230" s="13">
        <v>3507620</v>
      </c>
      <c r="B1230" s="14" t="s">
        <v>6355</v>
      </c>
      <c r="C1230" s="14" t="s">
        <v>6957</v>
      </c>
      <c r="D1230" s="14" t="s">
        <v>3218</v>
      </c>
      <c r="E1230" s="14" t="s">
        <v>6958</v>
      </c>
      <c r="F1230" s="21">
        <v>838.35</v>
      </c>
      <c r="G1230" s="14">
        <v>655</v>
      </c>
      <c r="H1230" s="14">
        <v>1</v>
      </c>
      <c r="I1230" s="14">
        <v>36</v>
      </c>
      <c r="J1230" s="22">
        <v>0.35320610631507898</v>
      </c>
      <c r="K1230" s="22">
        <v>0.64679389368492102</v>
      </c>
      <c r="L1230" s="14">
        <v>0</v>
      </c>
    </row>
    <row r="1231" spans="1:12" x14ac:dyDescent="0.25">
      <c r="A1231" s="13" t="s">
        <v>6959</v>
      </c>
      <c r="B1231" s="14" t="s">
        <v>17</v>
      </c>
      <c r="C1231" s="14" t="s">
        <v>3222</v>
      </c>
      <c r="D1231" s="14" t="s">
        <v>3223</v>
      </c>
      <c r="E1231" s="14" t="s">
        <v>3224</v>
      </c>
      <c r="F1231" s="21">
        <v>3678.78</v>
      </c>
      <c r="G1231" s="14">
        <v>328</v>
      </c>
      <c r="H1231" s="14">
        <v>1</v>
      </c>
      <c r="I1231" s="14" t="s">
        <v>6314</v>
      </c>
      <c r="J1231" s="22">
        <v>0.57564530597021002</v>
      </c>
      <c r="K1231" s="22">
        <v>0.42435469402978998</v>
      </c>
      <c r="L1231" s="14">
        <v>0</v>
      </c>
    </row>
    <row r="1232" spans="1:12" x14ac:dyDescent="0.25">
      <c r="A1232" s="13">
        <v>3771416</v>
      </c>
      <c r="B1232" s="14" t="s">
        <v>6355</v>
      </c>
      <c r="C1232" s="14" t="s">
        <v>5697</v>
      </c>
      <c r="D1232" s="14" t="s">
        <v>3227</v>
      </c>
      <c r="E1232" s="14" t="s">
        <v>3228</v>
      </c>
      <c r="F1232" s="21">
        <v>3600</v>
      </c>
      <c r="G1232" s="14">
        <v>34</v>
      </c>
      <c r="H1232" s="14">
        <v>0</v>
      </c>
      <c r="I1232" s="14">
        <v>20</v>
      </c>
      <c r="J1232" s="22">
        <v>0.72570586313011898</v>
      </c>
      <c r="K1232" s="22">
        <v>0.27429413686988102</v>
      </c>
      <c r="L1232" s="14">
        <v>0</v>
      </c>
    </row>
    <row r="1233" spans="1:12" x14ac:dyDescent="0.25">
      <c r="A1233" s="13" t="s">
        <v>3229</v>
      </c>
      <c r="B1233" s="14" t="s">
        <v>17</v>
      </c>
      <c r="C1233" s="14" t="s">
        <v>3230</v>
      </c>
      <c r="D1233" s="14" t="s">
        <v>3231</v>
      </c>
      <c r="E1233" s="14" t="s">
        <v>6960</v>
      </c>
      <c r="F1233" s="21">
        <v>2302.9299999999998</v>
      </c>
      <c r="G1233" s="14">
        <v>407</v>
      </c>
      <c r="H1233" s="14">
        <v>1</v>
      </c>
      <c r="I1233" s="14">
        <v>18</v>
      </c>
      <c r="J1233" s="22">
        <v>0.39024813306938</v>
      </c>
      <c r="K1233" s="22">
        <v>0.60975186693062</v>
      </c>
      <c r="L1233" s="14">
        <v>0</v>
      </c>
    </row>
    <row r="1234" spans="1:12" x14ac:dyDescent="0.25">
      <c r="A1234" s="13">
        <v>3533127</v>
      </c>
      <c r="B1234" s="14" t="s">
        <v>5366</v>
      </c>
      <c r="C1234" s="14" t="s">
        <v>3234</v>
      </c>
      <c r="D1234" s="14" t="s">
        <v>3235</v>
      </c>
      <c r="E1234" s="14" t="s">
        <v>3236</v>
      </c>
      <c r="F1234" s="21">
        <v>1519.71</v>
      </c>
      <c r="H1234" s="14">
        <v>0</v>
      </c>
      <c r="I1234" s="14">
        <v>45</v>
      </c>
      <c r="J1234" s="22">
        <v>0.65356654605676601</v>
      </c>
      <c r="K1234" s="22">
        <v>0.34643345394323399</v>
      </c>
      <c r="L1234" s="14">
        <v>0</v>
      </c>
    </row>
    <row r="1235" spans="1:12" ht="39.6" x14ac:dyDescent="0.25">
      <c r="A1235" s="20" t="s">
        <v>6961</v>
      </c>
      <c r="B1235" s="14" t="s">
        <v>5369</v>
      </c>
      <c r="C1235" s="14" t="s">
        <v>3234</v>
      </c>
      <c r="D1235" s="14" t="s">
        <v>3235</v>
      </c>
      <c r="E1235" s="14" t="s">
        <v>3238</v>
      </c>
      <c r="F1235" s="21">
        <v>1314.81</v>
      </c>
      <c r="H1235" s="14">
        <v>1</v>
      </c>
      <c r="I1235" s="14">
        <v>16</v>
      </c>
      <c r="J1235" s="22">
        <v>0.288174142519531</v>
      </c>
      <c r="K1235" s="22">
        <v>0.711825857480469</v>
      </c>
      <c r="L1235" s="14">
        <v>0</v>
      </c>
    </row>
    <row r="1236" spans="1:12" x14ac:dyDescent="0.25">
      <c r="A1236" s="13" t="s">
        <v>3239</v>
      </c>
      <c r="B1236" s="14" t="s">
        <v>5413</v>
      </c>
      <c r="C1236" s="14" t="s">
        <v>3240</v>
      </c>
      <c r="D1236" s="14" t="s">
        <v>3241</v>
      </c>
      <c r="E1236" s="14" t="s">
        <v>3242</v>
      </c>
      <c r="F1236" s="21">
        <v>3000</v>
      </c>
      <c r="G1236" s="14">
        <v>896</v>
      </c>
      <c r="H1236" s="14">
        <v>1</v>
      </c>
      <c r="I1236" s="14">
        <v>32</v>
      </c>
      <c r="J1236" s="22">
        <v>0.102556562174586</v>
      </c>
      <c r="K1236" s="22">
        <v>0.89744343782541403</v>
      </c>
      <c r="L1236" s="14">
        <v>0</v>
      </c>
    </row>
    <row r="1237" spans="1:12" x14ac:dyDescent="0.25">
      <c r="A1237" s="13" t="s">
        <v>6962</v>
      </c>
      <c r="B1237" s="14" t="s">
        <v>607</v>
      </c>
      <c r="C1237" s="14" t="s">
        <v>3240</v>
      </c>
      <c r="D1237" s="14" t="s">
        <v>3241</v>
      </c>
      <c r="E1237" s="14" t="s">
        <v>3244</v>
      </c>
      <c r="F1237" s="21">
        <v>3480</v>
      </c>
      <c r="G1237" s="14">
        <v>115</v>
      </c>
      <c r="H1237" s="14">
        <v>0</v>
      </c>
      <c r="I1237" s="14">
        <v>29</v>
      </c>
      <c r="J1237" s="22">
        <v>0.144714800712126</v>
      </c>
      <c r="K1237" s="22">
        <v>0.85528519928787405</v>
      </c>
      <c r="L1237" s="14">
        <v>0</v>
      </c>
    </row>
    <row r="1238" spans="1:12" ht="26.4" x14ac:dyDescent="0.25">
      <c r="A1238" s="20" t="s">
        <v>6963</v>
      </c>
      <c r="B1238" s="14" t="s">
        <v>148</v>
      </c>
      <c r="C1238" s="14" t="s">
        <v>3246</v>
      </c>
      <c r="D1238" s="14" t="s">
        <v>3247</v>
      </c>
      <c r="E1238" s="14" t="s">
        <v>3248</v>
      </c>
      <c r="F1238" s="21">
        <v>1156.5</v>
      </c>
      <c r="G1238" s="14">
        <v>394</v>
      </c>
      <c r="H1238" s="14">
        <v>1</v>
      </c>
      <c r="I1238" s="14">
        <v>49</v>
      </c>
      <c r="J1238" s="22">
        <v>0.73365978749849903</v>
      </c>
      <c r="K1238" s="22">
        <v>0.26634021250150097</v>
      </c>
      <c r="L1238" s="14">
        <v>0</v>
      </c>
    </row>
    <row r="1239" spans="1:12" x14ac:dyDescent="0.25">
      <c r="A1239" s="13" t="s">
        <v>3249</v>
      </c>
      <c r="B1239" s="14" t="s">
        <v>86</v>
      </c>
      <c r="C1239" s="14" t="s">
        <v>3250</v>
      </c>
      <c r="D1239" s="14" t="s">
        <v>3251</v>
      </c>
      <c r="E1239" s="14" t="s">
        <v>3252</v>
      </c>
      <c r="F1239" s="21">
        <v>2374.5100000000002</v>
      </c>
      <c r="H1239" s="14">
        <v>1</v>
      </c>
      <c r="I1239" s="14">
        <v>48</v>
      </c>
      <c r="J1239" s="22">
        <v>0.37275281296297502</v>
      </c>
      <c r="K1239" s="22">
        <v>0.62724718703702498</v>
      </c>
      <c r="L1239" s="14">
        <v>0</v>
      </c>
    </row>
    <row r="1240" spans="1:12" x14ac:dyDescent="0.25">
      <c r="A1240" s="13" t="s">
        <v>5895</v>
      </c>
      <c r="B1240" s="14" t="s">
        <v>86</v>
      </c>
      <c r="C1240" s="14" t="s">
        <v>6964</v>
      </c>
      <c r="D1240" s="14" t="s">
        <v>3251</v>
      </c>
      <c r="E1240" s="14" t="s">
        <v>3253</v>
      </c>
      <c r="F1240" s="21">
        <v>2010.24</v>
      </c>
      <c r="G1240" s="14">
        <v>395</v>
      </c>
      <c r="H1240" s="14">
        <v>1</v>
      </c>
      <c r="I1240" s="14">
        <v>15</v>
      </c>
      <c r="J1240" s="22">
        <v>0.40606295101916701</v>
      </c>
      <c r="K1240" s="22">
        <v>0.59393704898083299</v>
      </c>
      <c r="L1240" s="14">
        <v>0</v>
      </c>
    </row>
    <row r="1241" spans="1:12" x14ac:dyDescent="0.25">
      <c r="A1241" s="13" t="s">
        <v>3254</v>
      </c>
      <c r="B1241" s="14" t="s">
        <v>148</v>
      </c>
      <c r="C1241" s="14" t="s">
        <v>3255</v>
      </c>
      <c r="D1241" s="14" t="s">
        <v>3256</v>
      </c>
      <c r="E1241" s="14" t="s">
        <v>3257</v>
      </c>
      <c r="F1241" s="21">
        <v>1268.7</v>
      </c>
      <c r="G1241" s="14">
        <v>336</v>
      </c>
      <c r="H1241" s="14">
        <v>0</v>
      </c>
      <c r="I1241" s="14">
        <v>14</v>
      </c>
      <c r="J1241" s="22">
        <v>0.80745656519822595</v>
      </c>
      <c r="K1241" s="22">
        <v>0.19254343480177399</v>
      </c>
      <c r="L1241" s="14">
        <v>0</v>
      </c>
    </row>
    <row r="1242" spans="1:12" x14ac:dyDescent="0.25">
      <c r="A1242" s="13" t="s">
        <v>6965</v>
      </c>
      <c r="B1242" s="14" t="s">
        <v>148</v>
      </c>
      <c r="C1242" s="14" t="s">
        <v>3255</v>
      </c>
      <c r="D1242" s="14" t="s">
        <v>3256</v>
      </c>
      <c r="E1242" s="14" t="s">
        <v>3259</v>
      </c>
      <c r="F1242" s="21">
        <v>1309.5</v>
      </c>
      <c r="G1242" s="14">
        <v>229</v>
      </c>
      <c r="H1242" s="14">
        <v>1</v>
      </c>
      <c r="I1242" s="14">
        <v>9</v>
      </c>
      <c r="J1242" s="22">
        <v>7.9737133165506402E-2</v>
      </c>
      <c r="K1242" s="22">
        <v>0.92026286683449399</v>
      </c>
      <c r="L1242" s="14">
        <v>0</v>
      </c>
    </row>
    <row r="1243" spans="1:12" x14ac:dyDescent="0.25">
      <c r="A1243" s="13" t="s">
        <v>6966</v>
      </c>
      <c r="B1243" s="14" t="s">
        <v>5341</v>
      </c>
      <c r="C1243" s="14" t="s">
        <v>3255</v>
      </c>
      <c r="D1243" s="14" t="s">
        <v>3256</v>
      </c>
      <c r="E1243" s="14" t="s">
        <v>3261</v>
      </c>
      <c r="F1243" s="21">
        <v>1632</v>
      </c>
      <c r="G1243" s="14">
        <v>784</v>
      </c>
      <c r="H1243" s="14">
        <v>0</v>
      </c>
      <c r="I1243" s="14">
        <v>16</v>
      </c>
      <c r="J1243" s="22">
        <v>0.92346306930834199</v>
      </c>
      <c r="K1243" s="22">
        <v>7.6536930691657595E-2</v>
      </c>
      <c r="L1243" s="14">
        <v>0</v>
      </c>
    </row>
    <row r="1244" spans="1:12" x14ac:dyDescent="0.25">
      <c r="A1244" s="13" t="s">
        <v>3262</v>
      </c>
      <c r="B1244" s="14" t="s">
        <v>5345</v>
      </c>
      <c r="C1244" s="14" t="s">
        <v>3255</v>
      </c>
      <c r="D1244" s="14" t="s">
        <v>3256</v>
      </c>
      <c r="E1244" s="14" t="s">
        <v>3263</v>
      </c>
      <c r="F1244" s="21">
        <v>1113.5</v>
      </c>
      <c r="H1244" s="14">
        <v>0</v>
      </c>
      <c r="I1244" s="14">
        <v>44</v>
      </c>
      <c r="J1244" s="22">
        <v>0.56113873875779796</v>
      </c>
      <c r="K1244" s="22">
        <v>0.43886126124220198</v>
      </c>
      <c r="L1244" s="14">
        <v>0</v>
      </c>
    </row>
    <row r="1245" spans="1:12" ht="26.4" x14ac:dyDescent="0.25">
      <c r="A1245" s="20" t="s">
        <v>6967</v>
      </c>
      <c r="B1245" s="14" t="s">
        <v>5345</v>
      </c>
      <c r="C1245" s="14" t="s">
        <v>3255</v>
      </c>
      <c r="D1245" s="14" t="s">
        <v>3256</v>
      </c>
      <c r="E1245" s="14" t="s">
        <v>3265</v>
      </c>
      <c r="F1245" s="21">
        <v>1236</v>
      </c>
      <c r="G1245" s="14">
        <v>726</v>
      </c>
      <c r="H1245" s="14">
        <v>0</v>
      </c>
      <c r="I1245" s="14">
        <v>33</v>
      </c>
      <c r="J1245" s="22">
        <v>0.73235653658126598</v>
      </c>
      <c r="K1245" s="22">
        <v>0.26764346341873402</v>
      </c>
      <c r="L1245" s="14">
        <v>0</v>
      </c>
    </row>
    <row r="1246" spans="1:12" x14ac:dyDescent="0.25">
      <c r="A1246" s="13" t="s">
        <v>3266</v>
      </c>
      <c r="B1246" s="14" t="s">
        <v>5345</v>
      </c>
      <c r="C1246" s="14" t="s">
        <v>3255</v>
      </c>
      <c r="D1246" s="14" t="s">
        <v>3256</v>
      </c>
      <c r="E1246" s="14" t="s">
        <v>3267</v>
      </c>
      <c r="F1246" s="21">
        <v>1268.7</v>
      </c>
      <c r="G1246" s="14">
        <v>462</v>
      </c>
      <c r="H1246" s="14">
        <v>0</v>
      </c>
      <c r="I1246" s="14">
        <v>18</v>
      </c>
      <c r="J1246" s="22">
        <v>0.87416903723332495</v>
      </c>
      <c r="K1246" s="22">
        <v>0.12583096276667499</v>
      </c>
      <c r="L1246" s="14">
        <v>0</v>
      </c>
    </row>
    <row r="1247" spans="1:12" x14ac:dyDescent="0.25">
      <c r="A1247" s="13" t="s">
        <v>3268</v>
      </c>
      <c r="B1247" s="14" t="s">
        <v>5345</v>
      </c>
      <c r="C1247" s="14" t="s">
        <v>3255</v>
      </c>
      <c r="D1247" s="14" t="s">
        <v>3256</v>
      </c>
      <c r="E1247" s="14" t="s">
        <v>3269</v>
      </c>
      <c r="F1247" s="21">
        <v>1396.2</v>
      </c>
      <c r="G1247" s="14">
        <v>819</v>
      </c>
      <c r="H1247" s="14">
        <v>0</v>
      </c>
      <c r="I1247" s="14">
        <v>30</v>
      </c>
      <c r="J1247" s="22">
        <v>0.82094134046888201</v>
      </c>
      <c r="K1247" s="22">
        <v>0.17905865953111799</v>
      </c>
      <c r="L1247" s="14">
        <v>0</v>
      </c>
    </row>
    <row r="1248" spans="1:12" x14ac:dyDescent="0.25">
      <c r="A1248" s="13" t="s">
        <v>6968</v>
      </c>
      <c r="B1248" s="14" t="s">
        <v>3271</v>
      </c>
      <c r="C1248" s="14" t="s">
        <v>3255</v>
      </c>
      <c r="D1248" s="14" t="s">
        <v>3256</v>
      </c>
      <c r="E1248" s="14" t="s">
        <v>3272</v>
      </c>
      <c r="F1248" s="21">
        <v>1530</v>
      </c>
      <c r="G1248" s="14">
        <v>191</v>
      </c>
      <c r="H1248" s="14">
        <v>0</v>
      </c>
      <c r="I1248" s="14">
        <v>39</v>
      </c>
      <c r="J1248" s="22">
        <v>0.64420941380602403</v>
      </c>
      <c r="K1248" s="22">
        <v>0.35579058619397602</v>
      </c>
      <c r="L1248" s="14">
        <v>0</v>
      </c>
    </row>
    <row r="1249" spans="1:12" x14ac:dyDescent="0.25">
      <c r="A1249" s="13">
        <v>3544599</v>
      </c>
      <c r="B1249" s="14" t="s">
        <v>6445</v>
      </c>
      <c r="C1249" s="14" t="s">
        <v>6969</v>
      </c>
      <c r="D1249" s="14" t="s">
        <v>3256</v>
      </c>
      <c r="E1249" s="14" t="s">
        <v>3274</v>
      </c>
      <c r="F1249" s="21">
        <v>1235</v>
      </c>
      <c r="G1249" s="14">
        <v>958</v>
      </c>
      <c r="H1249" s="14">
        <v>0</v>
      </c>
      <c r="I1249" s="14">
        <v>48</v>
      </c>
      <c r="J1249" s="22">
        <v>0.95030881081238805</v>
      </c>
      <c r="K1249" s="22">
        <v>4.9691189187612103E-2</v>
      </c>
      <c r="L1249" s="14">
        <v>0</v>
      </c>
    </row>
    <row r="1250" spans="1:12" x14ac:dyDescent="0.25">
      <c r="A1250" s="13">
        <v>3614520</v>
      </c>
      <c r="B1250" s="14" t="s">
        <v>6445</v>
      </c>
      <c r="C1250" s="14" t="s">
        <v>6969</v>
      </c>
      <c r="D1250" s="14" t="s">
        <v>3256</v>
      </c>
      <c r="E1250" s="14" t="s">
        <v>3276</v>
      </c>
      <c r="F1250" s="21">
        <v>1235</v>
      </c>
      <c r="G1250" s="14">
        <v>341</v>
      </c>
      <c r="H1250" s="14">
        <v>0</v>
      </c>
      <c r="I1250" s="14">
        <v>42</v>
      </c>
      <c r="J1250" s="22">
        <v>0.77261739501186999</v>
      </c>
      <c r="K1250" s="22">
        <v>0.22738260498813101</v>
      </c>
      <c r="L1250" s="14">
        <v>0</v>
      </c>
    </row>
    <row r="1251" spans="1:12" x14ac:dyDescent="0.25">
      <c r="A1251" s="13" t="s">
        <v>3277</v>
      </c>
      <c r="B1251" s="14" t="s">
        <v>69</v>
      </c>
      <c r="C1251" s="14" t="s">
        <v>3278</v>
      </c>
      <c r="D1251" s="14" t="s">
        <v>3279</v>
      </c>
      <c r="E1251" s="14" t="s">
        <v>3280</v>
      </c>
      <c r="F1251" s="21">
        <v>2295.13</v>
      </c>
      <c r="G1251" s="14">
        <v>496</v>
      </c>
      <c r="H1251" s="14">
        <v>0</v>
      </c>
      <c r="I1251" s="14">
        <v>37</v>
      </c>
      <c r="J1251" s="22">
        <v>0.41226052374472</v>
      </c>
      <c r="K1251" s="22">
        <v>0.58773947625528</v>
      </c>
      <c r="L1251" s="14">
        <v>0</v>
      </c>
    </row>
    <row r="1252" spans="1:12" x14ac:dyDescent="0.25">
      <c r="A1252" s="13" t="s">
        <v>6970</v>
      </c>
      <c r="B1252" s="14" t="s">
        <v>6550</v>
      </c>
      <c r="C1252" s="14" t="s">
        <v>5699</v>
      </c>
      <c r="D1252" s="14" t="s">
        <v>3283</v>
      </c>
      <c r="E1252" s="14" t="s">
        <v>6971</v>
      </c>
      <c r="F1252" s="21">
        <v>1863</v>
      </c>
      <c r="G1252" s="14">
        <v>988</v>
      </c>
      <c r="H1252" s="14">
        <v>0</v>
      </c>
      <c r="I1252" s="14">
        <v>8</v>
      </c>
      <c r="J1252" s="22">
        <v>0.37568235210091999</v>
      </c>
      <c r="K1252" s="22">
        <v>0.62431764789908095</v>
      </c>
      <c r="L1252" s="14">
        <v>0</v>
      </c>
    </row>
    <row r="1253" spans="1:12" x14ac:dyDescent="0.25">
      <c r="A1253" s="13">
        <v>23819872</v>
      </c>
      <c r="B1253" s="14" t="s">
        <v>5485</v>
      </c>
      <c r="C1253" s="14" t="s">
        <v>3282</v>
      </c>
      <c r="D1253" s="14" t="s">
        <v>3285</v>
      </c>
      <c r="E1253" s="14" t="s">
        <v>3286</v>
      </c>
      <c r="F1253" s="21">
        <v>1800</v>
      </c>
      <c r="G1253" s="14">
        <v>732</v>
      </c>
      <c r="H1253" s="14">
        <v>0</v>
      </c>
      <c r="I1253" s="14">
        <v>50</v>
      </c>
      <c r="J1253" s="22">
        <v>0.118841846479889</v>
      </c>
      <c r="K1253" s="22">
        <v>0.88115815352011195</v>
      </c>
      <c r="L1253" s="14">
        <v>0</v>
      </c>
    </row>
    <row r="1254" spans="1:12" x14ac:dyDescent="0.25">
      <c r="A1254" s="13">
        <v>3724053</v>
      </c>
      <c r="B1254" s="14" t="s">
        <v>6355</v>
      </c>
      <c r="C1254" s="14" t="s">
        <v>5700</v>
      </c>
      <c r="D1254" s="14" t="s">
        <v>3289</v>
      </c>
      <c r="E1254" s="14" t="s">
        <v>3290</v>
      </c>
      <c r="F1254" s="21">
        <v>1834.77</v>
      </c>
      <c r="G1254" s="14">
        <v>388</v>
      </c>
      <c r="H1254" s="14">
        <v>1</v>
      </c>
      <c r="I1254" s="14">
        <v>35</v>
      </c>
      <c r="J1254" s="22">
        <v>0.157976254384873</v>
      </c>
      <c r="K1254" s="22">
        <v>0.84202374561512705</v>
      </c>
      <c r="L1254" s="14">
        <v>0</v>
      </c>
    </row>
    <row r="1255" spans="1:12" x14ac:dyDescent="0.25">
      <c r="A1255" s="13" t="s">
        <v>6972</v>
      </c>
      <c r="B1255" s="14" t="s">
        <v>17</v>
      </c>
      <c r="C1255" s="14" t="s">
        <v>3292</v>
      </c>
      <c r="D1255" s="14" t="s">
        <v>3289</v>
      </c>
      <c r="E1255" s="14" t="s">
        <v>3293</v>
      </c>
      <c r="F1255" s="21">
        <v>2272.0100000000002</v>
      </c>
      <c r="G1255" s="14">
        <v>624</v>
      </c>
      <c r="H1255" s="14">
        <v>1</v>
      </c>
      <c r="I1255" s="14">
        <v>22</v>
      </c>
      <c r="J1255" s="22">
        <v>0.96606485369975104</v>
      </c>
      <c r="K1255" s="22">
        <v>3.3935146300249498E-2</v>
      </c>
      <c r="L1255" s="14">
        <v>0</v>
      </c>
    </row>
    <row r="1256" spans="1:12" x14ac:dyDescent="0.25">
      <c r="A1256" s="13" t="s">
        <v>6973</v>
      </c>
      <c r="B1256" s="14" t="s">
        <v>17</v>
      </c>
      <c r="C1256" s="14" t="s">
        <v>3292</v>
      </c>
      <c r="D1256" s="14" t="s">
        <v>3289</v>
      </c>
      <c r="E1256" s="14" t="s">
        <v>3295</v>
      </c>
      <c r="F1256" s="21">
        <v>2272.0100000000002</v>
      </c>
      <c r="G1256" s="14">
        <v>460</v>
      </c>
      <c r="H1256" s="14">
        <v>0</v>
      </c>
      <c r="I1256" s="14" t="s">
        <v>6314</v>
      </c>
      <c r="J1256" s="22">
        <v>0.61574569532510504</v>
      </c>
      <c r="K1256" s="22">
        <v>0.38425430467489502</v>
      </c>
      <c r="L1256" s="14">
        <v>0</v>
      </c>
    </row>
    <row r="1257" spans="1:12" x14ac:dyDescent="0.25">
      <c r="B1257" s="14" t="s">
        <v>17</v>
      </c>
      <c r="C1257" s="14" t="s">
        <v>3292</v>
      </c>
      <c r="D1257" s="14" t="s">
        <v>3289</v>
      </c>
      <c r="E1257" s="14" t="s">
        <v>3296</v>
      </c>
      <c r="F1257" s="21">
        <v>2272.0100000000002</v>
      </c>
      <c r="G1257" s="14">
        <v>601</v>
      </c>
      <c r="H1257" s="14">
        <v>0</v>
      </c>
      <c r="I1257" s="14">
        <v>23</v>
      </c>
      <c r="J1257" s="22">
        <v>0.72988594541858098</v>
      </c>
      <c r="K1257" s="22">
        <v>0.27011405458141902</v>
      </c>
      <c r="L1257" s="14">
        <v>0</v>
      </c>
    </row>
    <row r="1258" spans="1:12" x14ac:dyDescent="0.25">
      <c r="B1258" s="14" t="s">
        <v>17</v>
      </c>
      <c r="C1258" s="14" t="s">
        <v>3297</v>
      </c>
      <c r="D1258" s="14" t="s">
        <v>3298</v>
      </c>
      <c r="E1258" s="14" t="s">
        <v>3299</v>
      </c>
      <c r="F1258" s="21">
        <v>2320.35</v>
      </c>
      <c r="H1258" s="14">
        <v>0</v>
      </c>
      <c r="I1258" s="14">
        <v>23</v>
      </c>
      <c r="J1258" s="22">
        <v>0.83260175012793103</v>
      </c>
      <c r="K1258" s="22">
        <v>0.167398249872069</v>
      </c>
      <c r="L1258" s="14">
        <v>0</v>
      </c>
    </row>
    <row r="1259" spans="1:12" ht="52.8" x14ac:dyDescent="0.25">
      <c r="A1259" s="20" t="s">
        <v>6974</v>
      </c>
      <c r="B1259" s="14" t="s">
        <v>333</v>
      </c>
      <c r="C1259" s="14" t="s">
        <v>5701</v>
      </c>
      <c r="D1259" s="14" t="s">
        <v>3302</v>
      </c>
      <c r="E1259" s="14" t="s">
        <v>3303</v>
      </c>
      <c r="F1259" s="21">
        <v>1586.75</v>
      </c>
      <c r="G1259" s="14">
        <v>18</v>
      </c>
      <c r="H1259" s="14">
        <v>0</v>
      </c>
      <c r="I1259" s="14">
        <v>19</v>
      </c>
      <c r="J1259" s="22">
        <v>0.16501531685523099</v>
      </c>
      <c r="K1259" s="22">
        <v>0.83498468314476904</v>
      </c>
      <c r="L1259" s="14">
        <v>0</v>
      </c>
    </row>
    <row r="1260" spans="1:12" x14ac:dyDescent="0.25">
      <c r="A1260" s="13" t="s">
        <v>6975</v>
      </c>
      <c r="B1260" s="14" t="s">
        <v>328</v>
      </c>
      <c r="C1260" s="14" t="s">
        <v>3301</v>
      </c>
      <c r="D1260" s="14" t="s">
        <v>3302</v>
      </c>
      <c r="E1260" s="14" t="s">
        <v>3305</v>
      </c>
      <c r="F1260" s="21">
        <v>1355.13</v>
      </c>
      <c r="G1260" s="14">
        <v>125</v>
      </c>
      <c r="H1260" s="14">
        <v>1</v>
      </c>
      <c r="I1260" s="14">
        <v>4</v>
      </c>
      <c r="J1260" s="22">
        <v>0.41919595204445098</v>
      </c>
      <c r="K1260" s="22">
        <v>0.58080404795554896</v>
      </c>
      <c r="L1260" s="14">
        <v>0</v>
      </c>
    </row>
    <row r="1261" spans="1:12" x14ac:dyDescent="0.25">
      <c r="A1261" s="13" t="s">
        <v>6976</v>
      </c>
      <c r="B1261" s="14" t="s">
        <v>5325</v>
      </c>
      <c r="C1261" s="14" t="s">
        <v>5706</v>
      </c>
      <c r="D1261" s="14" t="s">
        <v>3308</v>
      </c>
      <c r="E1261" s="14" t="s">
        <v>3309</v>
      </c>
      <c r="F1261" s="21">
        <v>1294.01</v>
      </c>
      <c r="G1261" s="14">
        <v>151</v>
      </c>
      <c r="I1261" s="14">
        <v>22</v>
      </c>
      <c r="J1261" s="22">
        <v>0.71219786951024799</v>
      </c>
      <c r="K1261" s="22">
        <v>0.28780213048975201</v>
      </c>
      <c r="L1261" s="14">
        <v>0</v>
      </c>
    </row>
    <row r="1262" spans="1:12" x14ac:dyDescent="0.25">
      <c r="A1262" s="13" t="s">
        <v>3310</v>
      </c>
      <c r="B1262" s="14" t="s">
        <v>17</v>
      </c>
      <c r="C1262" s="14" t="s">
        <v>6977</v>
      </c>
      <c r="D1262" s="14" t="s">
        <v>3311</v>
      </c>
      <c r="E1262" s="14" t="s">
        <v>3312</v>
      </c>
      <c r="F1262" s="21">
        <v>1758.59</v>
      </c>
      <c r="G1262" s="14">
        <v>569</v>
      </c>
      <c r="H1262" s="14">
        <v>1</v>
      </c>
      <c r="I1262" s="14">
        <v>38</v>
      </c>
      <c r="J1262" s="22">
        <v>0.817222064393204</v>
      </c>
      <c r="K1262" s="22">
        <v>0.182777935606796</v>
      </c>
      <c r="L1262" s="14">
        <v>0</v>
      </c>
    </row>
    <row r="1263" spans="1:12" x14ac:dyDescent="0.25">
      <c r="A1263" s="13" t="s">
        <v>3313</v>
      </c>
      <c r="B1263" s="14" t="s">
        <v>17</v>
      </c>
      <c r="C1263" s="14" t="s">
        <v>6977</v>
      </c>
      <c r="D1263" s="14" t="s">
        <v>3311</v>
      </c>
      <c r="E1263" s="14" t="s">
        <v>3314</v>
      </c>
      <c r="F1263" s="21">
        <v>1769.78</v>
      </c>
      <c r="G1263" s="14">
        <v>527</v>
      </c>
      <c r="H1263" s="14">
        <v>1</v>
      </c>
      <c r="I1263" s="14">
        <v>3</v>
      </c>
      <c r="J1263" s="22">
        <v>5.3188968206601898E-2</v>
      </c>
      <c r="K1263" s="22">
        <v>0.94681103179339798</v>
      </c>
      <c r="L1263" s="14">
        <v>0</v>
      </c>
    </row>
    <row r="1264" spans="1:12" x14ac:dyDescent="0.25">
      <c r="A1264" s="13" t="s">
        <v>5806</v>
      </c>
      <c r="B1264" s="14" t="s">
        <v>5460</v>
      </c>
      <c r="C1264" s="14" t="s">
        <v>3315</v>
      </c>
      <c r="D1264" s="14" t="s">
        <v>3316</v>
      </c>
      <c r="E1264" s="14" t="s">
        <v>3317</v>
      </c>
      <c r="F1264" s="21">
        <v>2145.6</v>
      </c>
      <c r="G1264" s="14">
        <v>828</v>
      </c>
      <c r="H1264" s="14">
        <v>1</v>
      </c>
      <c r="I1264" s="14" t="s">
        <v>6314</v>
      </c>
      <c r="J1264" s="22">
        <v>0.21210168706320601</v>
      </c>
      <c r="K1264" s="22">
        <v>0.78789831293679402</v>
      </c>
      <c r="L1264" s="14">
        <v>0</v>
      </c>
    </row>
    <row r="1265" spans="1:12" x14ac:dyDescent="0.25">
      <c r="A1265" s="13" t="s">
        <v>6978</v>
      </c>
      <c r="B1265" s="14" t="s">
        <v>5361</v>
      </c>
      <c r="C1265" s="14" t="s">
        <v>3318</v>
      </c>
      <c r="D1265" s="14" t="s">
        <v>3319</v>
      </c>
      <c r="E1265" s="14" t="s">
        <v>3320</v>
      </c>
      <c r="F1265" s="21">
        <v>1020</v>
      </c>
      <c r="G1265" s="14">
        <v>813</v>
      </c>
      <c r="H1265" s="14">
        <v>1</v>
      </c>
      <c r="I1265" s="14">
        <v>45</v>
      </c>
      <c r="J1265" s="22">
        <v>0.89670955852388601</v>
      </c>
      <c r="K1265" s="22">
        <v>0.10329044147611401</v>
      </c>
      <c r="L1265" s="14">
        <v>0</v>
      </c>
    </row>
    <row r="1266" spans="1:12" x14ac:dyDescent="0.25">
      <c r="A1266" s="13" t="s">
        <v>6979</v>
      </c>
      <c r="B1266" s="14" t="s">
        <v>5361</v>
      </c>
      <c r="C1266" s="14" t="s">
        <v>3318</v>
      </c>
      <c r="D1266" s="14" t="s">
        <v>3319</v>
      </c>
      <c r="E1266" s="14" t="s">
        <v>3321</v>
      </c>
      <c r="F1266" s="21">
        <v>1020</v>
      </c>
      <c r="G1266" s="14">
        <v>274</v>
      </c>
      <c r="H1266" s="14">
        <v>1</v>
      </c>
      <c r="I1266" s="14" t="s">
        <v>6314</v>
      </c>
      <c r="J1266" s="22">
        <v>0.19380939822647</v>
      </c>
      <c r="K1266" s="22">
        <v>0.80619060177352997</v>
      </c>
      <c r="L1266" s="14">
        <v>0</v>
      </c>
    </row>
    <row r="1267" spans="1:12" x14ac:dyDescent="0.25">
      <c r="A1267" s="13" t="s">
        <v>6980</v>
      </c>
      <c r="B1267" s="14" t="s">
        <v>5361</v>
      </c>
      <c r="C1267" s="14" t="s">
        <v>3318</v>
      </c>
      <c r="D1267" s="14" t="s">
        <v>3319</v>
      </c>
      <c r="E1267" s="14" t="s">
        <v>3322</v>
      </c>
      <c r="F1267" s="21">
        <v>2034</v>
      </c>
      <c r="G1267" s="14">
        <v>159</v>
      </c>
      <c r="H1267" s="14">
        <v>0</v>
      </c>
      <c r="I1267" s="14">
        <v>46</v>
      </c>
      <c r="J1267" s="22">
        <v>0.44084112150647298</v>
      </c>
      <c r="K1267" s="22">
        <v>0.55915887849352697</v>
      </c>
      <c r="L1267" s="14">
        <v>0</v>
      </c>
    </row>
    <row r="1268" spans="1:12" ht="39.6" x14ac:dyDescent="0.25">
      <c r="A1268" s="20" t="s">
        <v>6981</v>
      </c>
      <c r="B1268" s="14" t="s">
        <v>113</v>
      </c>
      <c r="C1268" s="14" t="s">
        <v>3318</v>
      </c>
      <c r="D1268" s="14" t="s">
        <v>3319</v>
      </c>
      <c r="E1268" s="14" t="s">
        <v>3324</v>
      </c>
      <c r="F1268" s="21">
        <v>510</v>
      </c>
      <c r="G1268" s="14">
        <v>119</v>
      </c>
      <c r="H1268" s="14">
        <v>1</v>
      </c>
      <c r="I1268" s="14">
        <v>36</v>
      </c>
      <c r="J1268" s="22">
        <v>8.7830810515879904E-2</v>
      </c>
      <c r="K1268" s="22">
        <v>0.91216918948411996</v>
      </c>
      <c r="L1268" s="14">
        <v>0</v>
      </c>
    </row>
    <row r="1269" spans="1:12" x14ac:dyDescent="0.25">
      <c r="A1269" s="13">
        <v>3566749</v>
      </c>
      <c r="B1269" s="14" t="s">
        <v>113</v>
      </c>
      <c r="C1269" s="14" t="s">
        <v>3318</v>
      </c>
      <c r="D1269" s="14" t="s">
        <v>3319</v>
      </c>
      <c r="E1269" s="14" t="s">
        <v>3326</v>
      </c>
      <c r="F1269" s="21">
        <v>510</v>
      </c>
      <c r="G1269" s="14">
        <v>726</v>
      </c>
      <c r="H1269" s="14">
        <v>1</v>
      </c>
      <c r="I1269" s="14">
        <v>25</v>
      </c>
      <c r="J1269" s="22">
        <v>0.75612501218038797</v>
      </c>
      <c r="K1269" s="22">
        <v>0.243874987819612</v>
      </c>
      <c r="L1269" s="14">
        <v>0</v>
      </c>
    </row>
    <row r="1270" spans="1:12" x14ac:dyDescent="0.25">
      <c r="B1270" s="14" t="s">
        <v>5348</v>
      </c>
      <c r="C1270" s="14" t="s">
        <v>3327</v>
      </c>
      <c r="D1270" s="14" t="s">
        <v>3319</v>
      </c>
      <c r="E1270" s="14" t="s">
        <v>3328</v>
      </c>
      <c r="F1270" s="21">
        <v>2340</v>
      </c>
      <c r="G1270" s="14">
        <v>993</v>
      </c>
      <c r="H1270" s="14">
        <v>0</v>
      </c>
      <c r="I1270" s="14">
        <v>41</v>
      </c>
      <c r="J1270" s="22">
        <v>0.79638163069599599</v>
      </c>
      <c r="K1270" s="22">
        <v>0.20361836930400401</v>
      </c>
      <c r="L1270" s="14">
        <v>0</v>
      </c>
    </row>
    <row r="1271" spans="1:12" x14ac:dyDescent="0.25">
      <c r="A1271" s="13" t="s">
        <v>3329</v>
      </c>
      <c r="B1271" s="14" t="s">
        <v>110</v>
      </c>
      <c r="C1271" s="14" t="s">
        <v>3330</v>
      </c>
      <c r="D1271" s="14" t="s">
        <v>3331</v>
      </c>
      <c r="E1271" s="14" t="s">
        <v>6982</v>
      </c>
      <c r="F1271" s="21">
        <v>2100</v>
      </c>
      <c r="H1271" s="14">
        <v>0</v>
      </c>
      <c r="I1271" s="14">
        <v>14</v>
      </c>
      <c r="J1271" s="22">
        <v>0.74811245568666396</v>
      </c>
      <c r="K1271" s="22">
        <v>0.25188754431333599</v>
      </c>
      <c r="L1271" s="14">
        <v>0</v>
      </c>
    </row>
    <row r="1272" spans="1:12" x14ac:dyDescent="0.25">
      <c r="A1272" s="13" t="s">
        <v>3333</v>
      </c>
      <c r="B1272" s="14" t="s">
        <v>5422</v>
      </c>
      <c r="C1272" s="14" t="s">
        <v>3330</v>
      </c>
      <c r="D1272" s="14" t="s">
        <v>3331</v>
      </c>
      <c r="E1272" s="14" t="s">
        <v>3334</v>
      </c>
      <c r="F1272" s="21">
        <v>2040</v>
      </c>
      <c r="G1272" s="14">
        <v>87</v>
      </c>
      <c r="H1272" s="14">
        <v>0</v>
      </c>
      <c r="I1272" s="14">
        <v>19</v>
      </c>
      <c r="J1272" s="22">
        <v>0.52402023227622696</v>
      </c>
      <c r="K1272" s="22">
        <v>0.47597976772377298</v>
      </c>
      <c r="L1272" s="14">
        <v>0</v>
      </c>
    </row>
    <row r="1273" spans="1:12" x14ac:dyDescent="0.25">
      <c r="A1273" s="13" t="s">
        <v>3335</v>
      </c>
      <c r="B1273" s="14" t="s">
        <v>69</v>
      </c>
      <c r="C1273" s="14" t="s">
        <v>3336</v>
      </c>
      <c r="D1273" s="14" t="s">
        <v>3337</v>
      </c>
      <c r="E1273" s="14" t="s">
        <v>3338</v>
      </c>
      <c r="F1273" s="21">
        <v>1916.98</v>
      </c>
      <c r="G1273" s="14">
        <v>47</v>
      </c>
      <c r="H1273" s="14">
        <v>0</v>
      </c>
      <c r="I1273" s="14">
        <v>10</v>
      </c>
      <c r="J1273" s="22">
        <v>0.41933632001691501</v>
      </c>
      <c r="K1273" s="22">
        <v>0.58066367998308499</v>
      </c>
      <c r="L1273" s="14">
        <v>0</v>
      </c>
    </row>
    <row r="1274" spans="1:12" x14ac:dyDescent="0.25">
      <c r="A1274" s="13" t="s">
        <v>6983</v>
      </c>
      <c r="B1274" s="14" t="s">
        <v>5451</v>
      </c>
      <c r="C1274" s="14" t="s">
        <v>3339</v>
      </c>
      <c r="D1274" s="14" t="s">
        <v>3340</v>
      </c>
      <c r="E1274" s="14" t="s">
        <v>3341</v>
      </c>
      <c r="F1274" s="21">
        <v>2230.5</v>
      </c>
      <c r="G1274" s="14">
        <v>802</v>
      </c>
      <c r="H1274" s="14">
        <v>0</v>
      </c>
      <c r="I1274" s="14">
        <v>42</v>
      </c>
      <c r="J1274" s="22">
        <v>0.68416833748487305</v>
      </c>
      <c r="K1274" s="22">
        <v>0.31583166251512701</v>
      </c>
      <c r="L1274" s="14">
        <v>1810</v>
      </c>
    </row>
    <row r="1275" spans="1:12" x14ac:dyDescent="0.25">
      <c r="A1275" s="13" t="s">
        <v>6984</v>
      </c>
      <c r="B1275" s="14" t="s">
        <v>17</v>
      </c>
      <c r="C1275" s="14" t="s">
        <v>3343</v>
      </c>
      <c r="D1275" s="14" t="s">
        <v>3344</v>
      </c>
      <c r="E1275" s="14" t="s">
        <v>6985</v>
      </c>
      <c r="F1275" s="21">
        <v>2863.73</v>
      </c>
      <c r="G1275" s="14">
        <v>436</v>
      </c>
      <c r="H1275" s="14">
        <v>0</v>
      </c>
      <c r="I1275" s="14">
        <v>33</v>
      </c>
      <c r="J1275" s="22">
        <v>0.73636680339181904</v>
      </c>
      <c r="K1275" s="22">
        <v>0.26363319660818102</v>
      </c>
      <c r="L1275" s="14">
        <v>0</v>
      </c>
    </row>
    <row r="1276" spans="1:12" x14ac:dyDescent="0.25">
      <c r="A1276" s="13" t="s">
        <v>3346</v>
      </c>
      <c r="B1276" s="14" t="s">
        <v>17</v>
      </c>
      <c r="C1276" s="14" t="s">
        <v>5703</v>
      </c>
      <c r="E1276" s="14" t="s">
        <v>3347</v>
      </c>
      <c r="F1276" s="21">
        <v>2283</v>
      </c>
      <c r="G1276" s="14">
        <v>507</v>
      </c>
      <c r="H1276" s="14">
        <v>0</v>
      </c>
      <c r="I1276" s="14">
        <v>1</v>
      </c>
      <c r="J1276" s="22">
        <v>0.92710615461815404</v>
      </c>
      <c r="K1276" s="22">
        <v>7.28938453818464E-2</v>
      </c>
      <c r="L1276" s="14">
        <v>0</v>
      </c>
    </row>
    <row r="1277" spans="1:12" x14ac:dyDescent="0.25">
      <c r="A1277" s="13" t="s">
        <v>6986</v>
      </c>
      <c r="B1277" s="14" t="s">
        <v>2772</v>
      </c>
      <c r="C1277" s="14" t="s">
        <v>3349</v>
      </c>
      <c r="D1277" s="14" t="s">
        <v>3350</v>
      </c>
      <c r="E1277" s="14" t="s">
        <v>3351</v>
      </c>
      <c r="F1277" s="21">
        <v>2100</v>
      </c>
      <c r="G1277" s="14">
        <v>79</v>
      </c>
      <c r="H1277" s="14">
        <v>0</v>
      </c>
      <c r="I1277" s="14">
        <v>39</v>
      </c>
      <c r="J1277" s="22">
        <v>0.762708972105545</v>
      </c>
      <c r="K1277" s="22">
        <v>0.237291027894455</v>
      </c>
      <c r="L1277" s="14">
        <v>0</v>
      </c>
    </row>
    <row r="1278" spans="1:12" ht="26.4" x14ac:dyDescent="0.25">
      <c r="A1278" s="20" t="s">
        <v>6987</v>
      </c>
      <c r="B1278" s="14" t="s">
        <v>2772</v>
      </c>
      <c r="C1278" s="14" t="s">
        <v>3349</v>
      </c>
      <c r="D1278" s="14" t="s">
        <v>3350</v>
      </c>
      <c r="E1278" s="14" t="s">
        <v>3353</v>
      </c>
      <c r="F1278" s="21">
        <v>2100</v>
      </c>
      <c r="G1278" s="14">
        <v>37</v>
      </c>
      <c r="H1278" s="14">
        <v>0</v>
      </c>
      <c r="I1278" s="14">
        <v>35</v>
      </c>
      <c r="J1278" s="22">
        <v>0.48496045215522698</v>
      </c>
      <c r="K1278" s="22">
        <v>0.51503954784477401</v>
      </c>
      <c r="L1278" s="14">
        <v>0</v>
      </c>
    </row>
    <row r="1279" spans="1:12" ht="26.4" x14ac:dyDescent="0.25">
      <c r="A1279" s="20" t="s">
        <v>6988</v>
      </c>
      <c r="B1279" s="14" t="s">
        <v>5446</v>
      </c>
      <c r="C1279" s="14" t="s">
        <v>3349</v>
      </c>
      <c r="D1279" s="14" t="s">
        <v>3350</v>
      </c>
      <c r="E1279" s="14" t="s">
        <v>3355</v>
      </c>
      <c r="F1279" s="21">
        <v>1750</v>
      </c>
      <c r="I1279" s="14">
        <v>30</v>
      </c>
      <c r="J1279" s="22">
        <v>0.73960095677644799</v>
      </c>
      <c r="K1279" s="22">
        <v>0.26039904322355201</v>
      </c>
      <c r="L1279" s="14">
        <v>0</v>
      </c>
    </row>
    <row r="1280" spans="1:12" x14ac:dyDescent="0.25">
      <c r="A1280" s="13">
        <v>22906508</v>
      </c>
      <c r="B1280" s="14" t="s">
        <v>17</v>
      </c>
      <c r="C1280" s="14" t="s">
        <v>5708</v>
      </c>
      <c r="D1280" s="14" t="s">
        <v>3357</v>
      </c>
      <c r="E1280" s="14" t="s">
        <v>3358</v>
      </c>
      <c r="F1280" s="21">
        <v>2215</v>
      </c>
      <c r="H1280" s="14">
        <v>0</v>
      </c>
      <c r="I1280" s="14" t="s">
        <v>6314</v>
      </c>
      <c r="J1280" s="22">
        <v>0.46709265262639899</v>
      </c>
      <c r="K1280" s="22">
        <v>0.53290734737360101</v>
      </c>
      <c r="L1280" s="14">
        <v>0</v>
      </c>
    </row>
    <row r="1281" spans="1:12" x14ac:dyDescent="0.25">
      <c r="A1281" s="13">
        <v>22735079</v>
      </c>
      <c r="B1281" s="14" t="s">
        <v>110</v>
      </c>
      <c r="C1281" s="14" t="s">
        <v>5710</v>
      </c>
      <c r="D1281" s="14" t="s">
        <v>3360</v>
      </c>
      <c r="E1281" s="14" t="s">
        <v>3361</v>
      </c>
      <c r="F1281" s="21">
        <v>2040</v>
      </c>
      <c r="G1281" s="14">
        <v>805</v>
      </c>
      <c r="H1281" s="14">
        <v>1</v>
      </c>
      <c r="I1281" s="14">
        <v>50</v>
      </c>
      <c r="J1281" s="22">
        <v>0.80566692977458298</v>
      </c>
      <c r="K1281" s="22">
        <v>0.19433307022541699</v>
      </c>
      <c r="L1281" s="14">
        <v>0</v>
      </c>
    </row>
    <row r="1282" spans="1:12" x14ac:dyDescent="0.25">
      <c r="A1282" s="13" t="s">
        <v>6989</v>
      </c>
      <c r="B1282" s="14" t="s">
        <v>5316</v>
      </c>
      <c r="C1282" s="14" t="s">
        <v>5712</v>
      </c>
      <c r="D1282" s="14" t="s">
        <v>3364</v>
      </c>
      <c r="E1282" s="14" t="s">
        <v>3365</v>
      </c>
      <c r="F1282" s="21">
        <v>649.33000000000004</v>
      </c>
      <c r="G1282" s="14">
        <v>480</v>
      </c>
      <c r="H1282" s="14">
        <v>0</v>
      </c>
      <c r="I1282" s="14">
        <v>43</v>
      </c>
      <c r="J1282" s="22">
        <v>0.96435670195027201</v>
      </c>
      <c r="K1282" s="22">
        <v>3.5643298049728503E-2</v>
      </c>
      <c r="L1282" s="14">
        <v>0</v>
      </c>
    </row>
    <row r="1283" spans="1:12" x14ac:dyDescent="0.25">
      <c r="A1283" s="13" t="s">
        <v>6990</v>
      </c>
      <c r="B1283" s="14" t="s">
        <v>17</v>
      </c>
      <c r="C1283" s="14" t="s">
        <v>5705</v>
      </c>
      <c r="D1283" s="14" t="s">
        <v>3368</v>
      </c>
      <c r="E1283" s="14" t="s">
        <v>6991</v>
      </c>
      <c r="F1283" s="21">
        <v>2288.9699999999998</v>
      </c>
      <c r="G1283" s="14">
        <v>718</v>
      </c>
      <c r="H1283" s="14">
        <v>1</v>
      </c>
      <c r="I1283" s="14" t="s">
        <v>6314</v>
      </c>
      <c r="J1283" s="22">
        <v>0.33536632289181301</v>
      </c>
      <c r="K1283" s="22">
        <v>0.66463367710818699</v>
      </c>
      <c r="L1283" s="14">
        <v>0</v>
      </c>
    </row>
    <row r="1284" spans="1:12" x14ac:dyDescent="0.25">
      <c r="A1284" s="13" t="s">
        <v>3370</v>
      </c>
      <c r="B1284" s="14" t="s">
        <v>17</v>
      </c>
      <c r="C1284" s="14" t="s">
        <v>5704</v>
      </c>
      <c r="D1284" s="14" t="s">
        <v>3372</v>
      </c>
      <c r="E1284" s="14" t="s">
        <v>3373</v>
      </c>
      <c r="F1284" s="21">
        <v>1737.96</v>
      </c>
      <c r="G1284" s="14">
        <v>732</v>
      </c>
      <c r="H1284" s="14">
        <v>0</v>
      </c>
      <c r="I1284" s="14">
        <v>43</v>
      </c>
      <c r="J1284" s="22">
        <v>0.82618436358609404</v>
      </c>
      <c r="K1284" s="22">
        <v>0.17381563641390599</v>
      </c>
      <c r="L1284" s="14">
        <v>0</v>
      </c>
    </row>
    <row r="1285" spans="1:12" x14ac:dyDescent="0.25">
      <c r="A1285" s="13" t="s">
        <v>3374</v>
      </c>
      <c r="B1285" s="14" t="s">
        <v>17</v>
      </c>
      <c r="C1285" s="14" t="s">
        <v>5704</v>
      </c>
      <c r="D1285" s="14" t="s">
        <v>3372</v>
      </c>
      <c r="E1285" s="14" t="s">
        <v>6992</v>
      </c>
      <c r="F1285" s="21">
        <v>2233.2600000000002</v>
      </c>
      <c r="H1285" s="14">
        <v>0</v>
      </c>
      <c r="I1285" s="14">
        <v>30</v>
      </c>
      <c r="J1285" s="22">
        <v>0.53045124635962404</v>
      </c>
      <c r="K1285" s="22">
        <v>0.46954875364037602</v>
      </c>
      <c r="L1285" s="14">
        <v>0</v>
      </c>
    </row>
    <row r="1286" spans="1:12" x14ac:dyDescent="0.25">
      <c r="A1286" s="13" t="s">
        <v>3376</v>
      </c>
      <c r="B1286" s="14" t="s">
        <v>5330</v>
      </c>
      <c r="C1286" s="14" t="s">
        <v>5707</v>
      </c>
      <c r="D1286" s="14" t="s">
        <v>3377</v>
      </c>
      <c r="E1286" s="14" t="s">
        <v>3378</v>
      </c>
      <c r="F1286" s="21">
        <v>951.76</v>
      </c>
      <c r="G1286" s="14">
        <v>610</v>
      </c>
      <c r="H1286" s="14">
        <v>0</v>
      </c>
      <c r="I1286" s="14">
        <v>17</v>
      </c>
      <c r="J1286" s="22">
        <v>0.72253703909739297</v>
      </c>
      <c r="K1286" s="22">
        <v>0.27746296090260703</v>
      </c>
      <c r="L1286" s="14">
        <v>0</v>
      </c>
    </row>
    <row r="1287" spans="1:12" ht="39.6" x14ac:dyDescent="0.25">
      <c r="A1287" s="20" t="s">
        <v>6993</v>
      </c>
      <c r="B1287" s="14" t="s">
        <v>69</v>
      </c>
      <c r="C1287" s="14" t="s">
        <v>3380</v>
      </c>
      <c r="D1287" s="14" t="s">
        <v>3381</v>
      </c>
      <c r="E1287" s="14" t="s">
        <v>3382</v>
      </c>
      <c r="F1287" s="21">
        <v>1860.37</v>
      </c>
      <c r="G1287" s="14">
        <v>357</v>
      </c>
      <c r="H1287" s="14">
        <v>1</v>
      </c>
      <c r="I1287" s="14" t="s">
        <v>6314</v>
      </c>
      <c r="J1287" s="22">
        <v>0.81494747203516005</v>
      </c>
      <c r="K1287" s="22">
        <v>0.18505252796484001</v>
      </c>
      <c r="L1287" s="14">
        <v>0</v>
      </c>
    </row>
    <row r="1288" spans="1:12" x14ac:dyDescent="0.25">
      <c r="A1288" s="13" t="s">
        <v>6994</v>
      </c>
      <c r="B1288" s="14" t="s">
        <v>333</v>
      </c>
      <c r="C1288" s="14" t="s">
        <v>3384</v>
      </c>
      <c r="D1288" s="14" t="s">
        <v>3381</v>
      </c>
      <c r="E1288" s="14" t="s">
        <v>3385</v>
      </c>
      <c r="F1288" s="21">
        <v>2363.4499999999998</v>
      </c>
      <c r="G1288" s="14">
        <v>350</v>
      </c>
      <c r="H1288" s="14">
        <v>0</v>
      </c>
      <c r="I1288" s="14">
        <v>25</v>
      </c>
      <c r="J1288" s="22">
        <v>0.81394984765262002</v>
      </c>
      <c r="K1288" s="22">
        <v>0.18605015234738001</v>
      </c>
      <c r="L1288" s="14">
        <v>0</v>
      </c>
    </row>
    <row r="1289" spans="1:12" x14ac:dyDescent="0.25">
      <c r="A1289" s="13" t="s">
        <v>6995</v>
      </c>
      <c r="B1289" s="14" t="s">
        <v>17</v>
      </c>
      <c r="C1289" s="14" t="s">
        <v>3367</v>
      </c>
      <c r="D1289" s="14" t="s">
        <v>3368</v>
      </c>
      <c r="E1289" s="14" t="s">
        <v>3387</v>
      </c>
      <c r="F1289" s="21">
        <v>1750.81</v>
      </c>
      <c r="G1289" s="14">
        <v>645</v>
      </c>
      <c r="H1289" s="14">
        <v>0</v>
      </c>
      <c r="I1289" s="14">
        <v>45</v>
      </c>
      <c r="J1289" s="22">
        <v>0.18620176530896301</v>
      </c>
      <c r="K1289" s="22">
        <v>0.81379823469103696</v>
      </c>
      <c r="L1289" s="14">
        <v>0</v>
      </c>
    </row>
    <row r="1290" spans="1:12" x14ac:dyDescent="0.25">
      <c r="A1290" s="13" t="s">
        <v>3388</v>
      </c>
      <c r="B1290" s="14" t="s">
        <v>17</v>
      </c>
      <c r="C1290" s="14" t="s">
        <v>3367</v>
      </c>
      <c r="D1290" s="14" t="s">
        <v>3368</v>
      </c>
      <c r="E1290" s="14" t="s">
        <v>3389</v>
      </c>
      <c r="F1290" s="21">
        <v>2253.66</v>
      </c>
      <c r="G1290" s="14">
        <v>881</v>
      </c>
      <c r="H1290" s="14">
        <v>1</v>
      </c>
      <c r="I1290" s="14">
        <v>29</v>
      </c>
      <c r="J1290" s="22">
        <v>0.91653871910904805</v>
      </c>
      <c r="K1290" s="22">
        <v>8.3461280890952505E-2</v>
      </c>
      <c r="L1290" s="14">
        <v>0</v>
      </c>
    </row>
    <row r="1291" spans="1:12" x14ac:dyDescent="0.25">
      <c r="A1291" s="13" t="s">
        <v>3390</v>
      </c>
      <c r="B1291" s="14" t="s">
        <v>17</v>
      </c>
      <c r="C1291" s="14" t="s">
        <v>3367</v>
      </c>
      <c r="D1291" s="14" t="s">
        <v>3368</v>
      </c>
      <c r="E1291" s="14" t="s">
        <v>6996</v>
      </c>
      <c r="F1291" s="21">
        <v>2433.48</v>
      </c>
      <c r="G1291" s="14">
        <v>721</v>
      </c>
      <c r="H1291" s="14">
        <v>0</v>
      </c>
      <c r="I1291" s="14">
        <v>49</v>
      </c>
      <c r="J1291" s="22">
        <v>0.31583701602974301</v>
      </c>
      <c r="K1291" s="22">
        <v>0.68416298397025699</v>
      </c>
      <c r="L1291" s="14">
        <v>0</v>
      </c>
    </row>
    <row r="1292" spans="1:12" x14ac:dyDescent="0.25">
      <c r="A1292" s="13" t="s">
        <v>3392</v>
      </c>
      <c r="B1292" s="14" t="s">
        <v>5325</v>
      </c>
      <c r="C1292" s="14" t="s">
        <v>3307</v>
      </c>
      <c r="D1292" s="14" t="s">
        <v>3377</v>
      </c>
      <c r="E1292" s="14" t="s">
        <v>3393</v>
      </c>
      <c r="F1292" s="21">
        <v>1545.7</v>
      </c>
      <c r="G1292" s="14">
        <v>480</v>
      </c>
      <c r="H1292" s="14">
        <v>1</v>
      </c>
      <c r="I1292" s="14">
        <v>47</v>
      </c>
      <c r="J1292" s="22">
        <v>0.72532194749125201</v>
      </c>
      <c r="K1292" s="22">
        <v>0.27467805250874799</v>
      </c>
      <c r="L1292" s="14">
        <v>0</v>
      </c>
    </row>
    <row r="1293" spans="1:12" x14ac:dyDescent="0.25">
      <c r="A1293" s="13" t="s">
        <v>6997</v>
      </c>
      <c r="B1293" s="14" t="s">
        <v>5375</v>
      </c>
      <c r="C1293" s="14" t="s">
        <v>5709</v>
      </c>
      <c r="E1293" s="14" t="s">
        <v>6998</v>
      </c>
      <c r="F1293" s="21">
        <v>2331.54</v>
      </c>
      <c r="G1293" s="14">
        <v>986</v>
      </c>
      <c r="H1293" s="14">
        <v>0</v>
      </c>
      <c r="I1293" s="14">
        <v>15</v>
      </c>
      <c r="J1293" s="22">
        <v>0.56280620575735896</v>
      </c>
      <c r="K1293" s="22">
        <v>0.43719379424264099</v>
      </c>
      <c r="L1293" s="14">
        <v>0</v>
      </c>
    </row>
    <row r="1294" spans="1:12" x14ac:dyDescent="0.25">
      <c r="A1294" s="13" t="s">
        <v>3396</v>
      </c>
      <c r="B1294" s="14" t="s">
        <v>5493</v>
      </c>
      <c r="C1294" s="14" t="s">
        <v>3356</v>
      </c>
      <c r="E1294" s="14" t="s">
        <v>3397</v>
      </c>
      <c r="F1294" s="21">
        <v>2293.56</v>
      </c>
      <c r="G1294" s="14">
        <v>185</v>
      </c>
      <c r="H1294" s="14">
        <v>1</v>
      </c>
      <c r="I1294" s="14">
        <v>11</v>
      </c>
      <c r="J1294" s="22">
        <v>0.53607339903196105</v>
      </c>
      <c r="K1294" s="22">
        <v>0.463926600968039</v>
      </c>
      <c r="L1294" s="14">
        <v>0</v>
      </c>
    </row>
    <row r="1295" spans="1:12" x14ac:dyDescent="0.25">
      <c r="A1295" s="13">
        <v>22735079</v>
      </c>
      <c r="B1295" s="14" t="s">
        <v>3900</v>
      </c>
      <c r="C1295" s="14" t="s">
        <v>3359</v>
      </c>
      <c r="D1295" s="14" t="s">
        <v>3360</v>
      </c>
      <c r="E1295" s="14" t="s">
        <v>3398</v>
      </c>
      <c r="F1295" s="21">
        <v>920</v>
      </c>
      <c r="H1295" s="14">
        <v>0</v>
      </c>
      <c r="I1295" s="14">
        <v>39</v>
      </c>
      <c r="J1295" s="22">
        <v>0.42639886794432103</v>
      </c>
      <c r="K1295" s="22">
        <v>0.57360113205567897</v>
      </c>
      <c r="L1295" s="14">
        <v>0</v>
      </c>
    </row>
    <row r="1296" spans="1:12" x14ac:dyDescent="0.25">
      <c r="A1296" s="13" t="s">
        <v>3399</v>
      </c>
      <c r="B1296" s="14" t="s">
        <v>6559</v>
      </c>
      <c r="C1296" s="14" t="s">
        <v>3359</v>
      </c>
      <c r="D1296" s="14" t="s">
        <v>3360</v>
      </c>
      <c r="E1296" s="14" t="s">
        <v>3400</v>
      </c>
      <c r="F1296" s="21">
        <v>1450</v>
      </c>
      <c r="G1296" s="14">
        <v>806</v>
      </c>
      <c r="H1296" s="14">
        <v>1</v>
      </c>
      <c r="I1296" s="14">
        <v>42</v>
      </c>
      <c r="J1296" s="22">
        <v>0.85259057001452099</v>
      </c>
      <c r="K1296" s="22">
        <v>0.14740942998547901</v>
      </c>
      <c r="L1296" s="14">
        <v>0</v>
      </c>
    </row>
    <row r="1297" spans="1:12" x14ac:dyDescent="0.25">
      <c r="A1297" s="13" t="s">
        <v>3401</v>
      </c>
      <c r="B1297" s="14" t="s">
        <v>148</v>
      </c>
      <c r="C1297" s="14" t="s">
        <v>3402</v>
      </c>
      <c r="D1297" s="14" t="s">
        <v>3357</v>
      </c>
      <c r="E1297" s="14" t="s">
        <v>3403</v>
      </c>
      <c r="F1297" s="21">
        <v>1162.8</v>
      </c>
      <c r="G1297" s="14">
        <v>595</v>
      </c>
      <c r="H1297" s="14">
        <v>0</v>
      </c>
      <c r="I1297" s="14">
        <v>11</v>
      </c>
      <c r="J1297" s="22">
        <v>0.65092344398018798</v>
      </c>
      <c r="K1297" s="22">
        <v>0.34907655601981202</v>
      </c>
      <c r="L1297" s="14">
        <v>0</v>
      </c>
    </row>
    <row r="1298" spans="1:12" x14ac:dyDescent="0.25">
      <c r="A1298" s="13">
        <v>3723448</v>
      </c>
      <c r="B1298" s="14" t="s">
        <v>148</v>
      </c>
      <c r="C1298" s="14" t="s">
        <v>3402</v>
      </c>
      <c r="D1298" s="14" t="s">
        <v>3357</v>
      </c>
      <c r="E1298" s="14" t="s">
        <v>3405</v>
      </c>
      <c r="F1298" s="21">
        <v>1428</v>
      </c>
      <c r="G1298" s="14">
        <v>519</v>
      </c>
      <c r="H1298" s="14">
        <v>1</v>
      </c>
      <c r="I1298" s="14" t="s">
        <v>6314</v>
      </c>
      <c r="J1298" s="22">
        <v>0.61968365085875998</v>
      </c>
      <c r="K1298" s="22">
        <v>0.38031634914124002</v>
      </c>
      <c r="L1298" s="14">
        <v>0</v>
      </c>
    </row>
    <row r="1299" spans="1:12" x14ac:dyDescent="0.25">
      <c r="A1299" s="13">
        <v>23769672</v>
      </c>
      <c r="B1299" s="14" t="s">
        <v>5425</v>
      </c>
      <c r="C1299" s="14" t="s">
        <v>3406</v>
      </c>
      <c r="E1299" s="14" t="s">
        <v>3407</v>
      </c>
      <c r="F1299" s="21">
        <v>3906.43</v>
      </c>
      <c r="G1299" s="14">
        <v>794</v>
      </c>
      <c r="H1299" s="14">
        <v>0</v>
      </c>
      <c r="I1299" s="14">
        <v>3</v>
      </c>
      <c r="J1299" s="22">
        <v>0.39075766455538002</v>
      </c>
      <c r="K1299" s="22">
        <v>0.60924233544462003</v>
      </c>
      <c r="L1299" s="14">
        <v>0</v>
      </c>
    </row>
    <row r="1300" spans="1:12" x14ac:dyDescent="0.25">
      <c r="A1300" s="13" t="s">
        <v>6999</v>
      </c>
      <c r="B1300" s="14" t="s">
        <v>17</v>
      </c>
      <c r="C1300" s="14" t="s">
        <v>3406</v>
      </c>
      <c r="E1300" s="14" t="s">
        <v>3409</v>
      </c>
      <c r="F1300" s="21">
        <v>3722.39</v>
      </c>
      <c r="G1300" s="14">
        <v>288</v>
      </c>
      <c r="H1300" s="14">
        <v>0</v>
      </c>
      <c r="I1300" s="14" t="s">
        <v>6314</v>
      </c>
      <c r="J1300" s="22">
        <v>0.22933802517525101</v>
      </c>
      <c r="K1300" s="22">
        <v>0.77066197482474896</v>
      </c>
      <c r="L1300" s="14">
        <v>0</v>
      </c>
    </row>
    <row r="1301" spans="1:12" x14ac:dyDescent="0.25">
      <c r="A1301" s="13" t="s">
        <v>3410</v>
      </c>
      <c r="B1301" s="14" t="s">
        <v>17</v>
      </c>
      <c r="C1301" s="14" t="s">
        <v>3406</v>
      </c>
      <c r="E1301" s="14" t="s">
        <v>3411</v>
      </c>
      <c r="F1301" s="21">
        <v>3883.86</v>
      </c>
      <c r="G1301" s="14">
        <v>558</v>
      </c>
      <c r="H1301" s="14">
        <v>1</v>
      </c>
      <c r="I1301" s="14">
        <v>40</v>
      </c>
      <c r="J1301" s="22">
        <v>0.74474868910595204</v>
      </c>
      <c r="K1301" s="22">
        <v>0.25525131089404801</v>
      </c>
      <c r="L1301" s="14">
        <v>0</v>
      </c>
    </row>
    <row r="1302" spans="1:12" x14ac:dyDescent="0.25">
      <c r="A1302" s="13" t="s">
        <v>7000</v>
      </c>
      <c r="B1302" s="14" t="s">
        <v>17</v>
      </c>
      <c r="C1302" s="14" t="s">
        <v>3406</v>
      </c>
      <c r="E1302" s="14" t="s">
        <v>3413</v>
      </c>
      <c r="F1302" s="21">
        <v>4069.18</v>
      </c>
      <c r="G1302" s="14">
        <v>907</v>
      </c>
      <c r="H1302" s="14">
        <v>1</v>
      </c>
      <c r="I1302" s="14">
        <v>31</v>
      </c>
      <c r="J1302" s="22">
        <v>0.41217912281202002</v>
      </c>
      <c r="K1302" s="22">
        <v>0.58782087718798004</v>
      </c>
      <c r="L1302" s="14">
        <v>0</v>
      </c>
    </row>
    <row r="1303" spans="1:12" x14ac:dyDescent="0.25">
      <c r="A1303" s="13" t="s">
        <v>7001</v>
      </c>
      <c r="B1303" s="14" t="s">
        <v>17</v>
      </c>
      <c r="C1303" s="14" t="s">
        <v>3406</v>
      </c>
      <c r="E1303" s="14" t="s">
        <v>3415</v>
      </c>
      <c r="F1303" s="21">
        <v>4148.3900000000003</v>
      </c>
      <c r="G1303" s="14">
        <v>613</v>
      </c>
      <c r="H1303" s="14">
        <v>0</v>
      </c>
      <c r="I1303" s="14">
        <v>10</v>
      </c>
      <c r="J1303" s="22">
        <v>0.27122881181088199</v>
      </c>
      <c r="K1303" s="22">
        <v>0.72877118818911801</v>
      </c>
      <c r="L1303" s="14">
        <v>0</v>
      </c>
    </row>
    <row r="1304" spans="1:12" x14ac:dyDescent="0.25">
      <c r="A1304" s="13">
        <v>3507519</v>
      </c>
      <c r="B1304" s="14" t="s">
        <v>5469</v>
      </c>
      <c r="C1304" s="14" t="s">
        <v>3417</v>
      </c>
      <c r="D1304" s="14" t="s">
        <v>3418</v>
      </c>
      <c r="E1304" s="14" t="s">
        <v>3419</v>
      </c>
      <c r="F1304" s="21">
        <v>2380.73</v>
      </c>
      <c r="G1304" s="14">
        <v>333</v>
      </c>
      <c r="H1304" s="14">
        <v>0</v>
      </c>
      <c r="I1304" s="14">
        <v>30</v>
      </c>
      <c r="J1304" s="22">
        <v>0.92273024886349497</v>
      </c>
      <c r="K1304" s="22">
        <v>7.7269751136504694E-2</v>
      </c>
      <c r="L1304" s="14">
        <v>0</v>
      </c>
    </row>
    <row r="1305" spans="1:12" x14ac:dyDescent="0.25">
      <c r="A1305" s="13">
        <v>23686113</v>
      </c>
      <c r="B1305" s="14" t="s">
        <v>5444</v>
      </c>
      <c r="C1305" s="14" t="s">
        <v>3417</v>
      </c>
      <c r="D1305" s="14" t="s">
        <v>3418</v>
      </c>
      <c r="E1305" s="14" t="s">
        <v>3420</v>
      </c>
      <c r="F1305" s="21">
        <v>1999.08</v>
      </c>
      <c r="G1305" s="14">
        <v>101</v>
      </c>
      <c r="H1305" s="14">
        <v>1</v>
      </c>
      <c r="I1305" s="14">
        <v>31</v>
      </c>
      <c r="J1305" s="22">
        <v>7.4473426907065293E-2</v>
      </c>
      <c r="K1305" s="22">
        <v>0.92552657309293496</v>
      </c>
      <c r="L1305" s="14">
        <v>0</v>
      </c>
    </row>
    <row r="1306" spans="1:12" x14ac:dyDescent="0.25">
      <c r="B1306" s="14" t="s">
        <v>6348</v>
      </c>
      <c r="C1306" s="14" t="s">
        <v>5711</v>
      </c>
      <c r="D1306" s="14" t="s">
        <v>3422</v>
      </c>
      <c r="E1306" s="14" t="s">
        <v>3423</v>
      </c>
      <c r="F1306" s="21">
        <v>780</v>
      </c>
      <c r="G1306" s="14">
        <v>123</v>
      </c>
      <c r="H1306" s="14">
        <v>0</v>
      </c>
      <c r="I1306" s="14">
        <v>15</v>
      </c>
      <c r="J1306" s="22">
        <v>0.58412332337360096</v>
      </c>
      <c r="K1306" s="22">
        <v>0.41587667662639899</v>
      </c>
      <c r="L1306" s="14">
        <v>0</v>
      </c>
    </row>
    <row r="1307" spans="1:12" x14ac:dyDescent="0.25">
      <c r="A1307" s="13" t="s">
        <v>7002</v>
      </c>
      <c r="B1307" s="14" t="s">
        <v>17</v>
      </c>
      <c r="C1307" s="14" t="s">
        <v>3425</v>
      </c>
      <c r="D1307" s="14" t="s">
        <v>3426</v>
      </c>
      <c r="E1307" s="14" t="s">
        <v>3427</v>
      </c>
      <c r="F1307" s="21">
        <v>1766.37</v>
      </c>
      <c r="G1307" s="14">
        <v>455</v>
      </c>
      <c r="H1307" s="14">
        <v>0</v>
      </c>
      <c r="I1307" s="14">
        <v>34</v>
      </c>
      <c r="J1307" s="22">
        <v>0.73981436399537603</v>
      </c>
      <c r="K1307" s="22">
        <v>0.26018563600462402</v>
      </c>
      <c r="L1307" s="14">
        <v>0</v>
      </c>
    </row>
    <row r="1308" spans="1:12" x14ac:dyDescent="0.25">
      <c r="A1308" s="13" t="s">
        <v>7003</v>
      </c>
      <c r="B1308" s="14" t="s">
        <v>17</v>
      </c>
      <c r="C1308" s="14" t="s">
        <v>3428</v>
      </c>
      <c r="D1308" s="14" t="s">
        <v>3429</v>
      </c>
      <c r="E1308" s="14" t="s">
        <v>3430</v>
      </c>
      <c r="F1308" s="21">
        <v>2282.7600000000002</v>
      </c>
      <c r="G1308" s="14">
        <v>758</v>
      </c>
      <c r="H1308" s="14">
        <v>1</v>
      </c>
      <c r="I1308" s="14">
        <v>49</v>
      </c>
      <c r="J1308" s="22">
        <v>0.51877242559048098</v>
      </c>
      <c r="K1308" s="22">
        <v>0.48122757440951902</v>
      </c>
      <c r="L1308" s="14">
        <v>0</v>
      </c>
    </row>
    <row r="1309" spans="1:12" x14ac:dyDescent="0.25">
      <c r="A1309" s="13" t="s">
        <v>7004</v>
      </c>
      <c r="B1309" s="14" t="s">
        <v>17</v>
      </c>
      <c r="C1309" s="14" t="s">
        <v>3428</v>
      </c>
      <c r="D1309" s="14" t="s">
        <v>3429</v>
      </c>
      <c r="E1309" s="14" t="s">
        <v>3431</v>
      </c>
      <c r="F1309" s="21">
        <v>2302.13</v>
      </c>
      <c r="G1309" s="14">
        <v>140</v>
      </c>
      <c r="H1309" s="14">
        <v>0</v>
      </c>
      <c r="I1309" s="14" t="s">
        <v>6314</v>
      </c>
      <c r="J1309" s="22">
        <v>0.85343566652480296</v>
      </c>
      <c r="K1309" s="22">
        <v>0.14656433347519701</v>
      </c>
      <c r="L1309" s="14">
        <v>0</v>
      </c>
    </row>
    <row r="1310" spans="1:12" x14ac:dyDescent="0.25">
      <c r="A1310" s="13" t="s">
        <v>7005</v>
      </c>
      <c r="B1310" s="14" t="s">
        <v>17</v>
      </c>
      <c r="C1310" s="14" t="s">
        <v>3428</v>
      </c>
      <c r="D1310" s="14" t="s">
        <v>3429</v>
      </c>
      <c r="E1310" s="14" t="s">
        <v>3433</v>
      </c>
      <c r="F1310" s="21">
        <v>2307.23</v>
      </c>
      <c r="G1310" s="14">
        <v>491</v>
      </c>
      <c r="H1310" s="14">
        <v>0</v>
      </c>
      <c r="I1310" s="14">
        <v>47</v>
      </c>
      <c r="J1310" s="22">
        <v>0.90924587765585696</v>
      </c>
      <c r="K1310" s="22">
        <v>9.0754122344143207E-2</v>
      </c>
      <c r="L1310" s="14">
        <v>0</v>
      </c>
    </row>
    <row r="1311" spans="1:12" x14ac:dyDescent="0.25">
      <c r="A1311" s="13" t="s">
        <v>7006</v>
      </c>
      <c r="B1311" s="14" t="s">
        <v>1714</v>
      </c>
      <c r="C1311" s="14" t="s">
        <v>3435</v>
      </c>
      <c r="D1311" s="14" t="s">
        <v>3357</v>
      </c>
      <c r="E1311" s="14" t="s">
        <v>3436</v>
      </c>
      <c r="F1311" s="21">
        <v>2907.42</v>
      </c>
      <c r="G1311" s="14">
        <v>76</v>
      </c>
      <c r="H1311" s="14">
        <v>1</v>
      </c>
      <c r="I1311" s="14" t="s">
        <v>6314</v>
      </c>
      <c r="J1311" s="22">
        <v>0.45995213146158798</v>
      </c>
      <c r="K1311" s="22">
        <v>0.54004786853841202</v>
      </c>
      <c r="L1311" s="14">
        <v>0</v>
      </c>
    </row>
    <row r="1312" spans="1:12" x14ac:dyDescent="0.25">
      <c r="A1312" s="13">
        <v>23710762</v>
      </c>
      <c r="B1312" s="14" t="s">
        <v>5481</v>
      </c>
      <c r="C1312" s="14" t="s">
        <v>3437</v>
      </c>
      <c r="D1312" s="14" t="s">
        <v>3438</v>
      </c>
      <c r="E1312" s="14" t="s">
        <v>7007</v>
      </c>
      <c r="F1312" s="21">
        <v>2457.8000000000002</v>
      </c>
      <c r="G1312" s="14">
        <v>953</v>
      </c>
      <c r="H1312" s="14">
        <v>1</v>
      </c>
      <c r="I1312" s="14">
        <v>26</v>
      </c>
      <c r="J1312" s="22">
        <v>0.34847787979496198</v>
      </c>
      <c r="K1312" s="22">
        <v>0.65152212020503797</v>
      </c>
      <c r="L1312" s="14">
        <v>0</v>
      </c>
    </row>
    <row r="1313" spans="1:12" x14ac:dyDescent="0.25">
      <c r="B1313" s="14" t="s">
        <v>86</v>
      </c>
      <c r="C1313" s="14" t="s">
        <v>3437</v>
      </c>
      <c r="D1313" s="14" t="s">
        <v>3438</v>
      </c>
      <c r="E1313" s="14" t="s">
        <v>3440</v>
      </c>
      <c r="F1313" s="21">
        <v>1913.51</v>
      </c>
      <c r="G1313" s="14">
        <v>357</v>
      </c>
      <c r="H1313" s="14">
        <v>0</v>
      </c>
      <c r="I1313" s="14">
        <v>7</v>
      </c>
      <c r="J1313" s="22">
        <v>0.11457026843423</v>
      </c>
      <c r="K1313" s="22">
        <v>0.88542973156576998</v>
      </c>
      <c r="L1313" s="14">
        <v>0</v>
      </c>
    </row>
    <row r="1314" spans="1:12" x14ac:dyDescent="0.25">
      <c r="A1314" s="13" t="s">
        <v>7008</v>
      </c>
      <c r="B1314" s="14" t="s">
        <v>86</v>
      </c>
      <c r="C1314" s="14" t="s">
        <v>3437</v>
      </c>
      <c r="D1314" s="14" t="s">
        <v>3438</v>
      </c>
      <c r="E1314" s="14" t="s">
        <v>3441</v>
      </c>
      <c r="F1314" s="21">
        <v>2347.4</v>
      </c>
      <c r="G1314" s="14">
        <v>98</v>
      </c>
      <c r="H1314" s="14">
        <v>1</v>
      </c>
      <c r="I1314" s="14">
        <v>45</v>
      </c>
      <c r="J1314" s="22">
        <v>0.55878019862607398</v>
      </c>
      <c r="K1314" s="22">
        <v>0.44121980137392602</v>
      </c>
      <c r="L1314" s="14">
        <v>0</v>
      </c>
    </row>
    <row r="1315" spans="1:12" x14ac:dyDescent="0.25">
      <c r="A1315" s="13" t="s">
        <v>3442</v>
      </c>
      <c r="B1315" s="14" t="s">
        <v>6348</v>
      </c>
      <c r="C1315" s="14" t="s">
        <v>3437</v>
      </c>
      <c r="D1315" s="14" t="s">
        <v>3438</v>
      </c>
      <c r="E1315" s="14" t="s">
        <v>3443</v>
      </c>
      <c r="F1315" s="21">
        <v>1977.98</v>
      </c>
      <c r="G1315" s="14">
        <v>211</v>
      </c>
      <c r="H1315" s="14">
        <v>0</v>
      </c>
      <c r="I1315" s="14">
        <v>13</v>
      </c>
      <c r="J1315" s="22">
        <v>0.12535788117973701</v>
      </c>
      <c r="K1315" s="22">
        <v>0.87464211882026299</v>
      </c>
      <c r="L1315" s="14">
        <v>0</v>
      </c>
    </row>
    <row r="1316" spans="1:12" x14ac:dyDescent="0.25">
      <c r="A1316" s="13" t="s">
        <v>7009</v>
      </c>
      <c r="B1316" s="14" t="s">
        <v>5493</v>
      </c>
      <c r="C1316" s="14" t="s">
        <v>3437</v>
      </c>
      <c r="D1316" s="14" t="s">
        <v>3438</v>
      </c>
      <c r="E1316" s="14" t="s">
        <v>3444</v>
      </c>
      <c r="F1316" s="21">
        <v>1896.64</v>
      </c>
      <c r="G1316" s="14">
        <v>281</v>
      </c>
      <c r="H1316" s="14">
        <v>0</v>
      </c>
      <c r="I1316" s="14">
        <v>12</v>
      </c>
      <c r="J1316" s="22">
        <v>3.5055020037393601E-2</v>
      </c>
      <c r="K1316" s="22">
        <v>0.96494497996260598</v>
      </c>
      <c r="L1316" s="14">
        <v>0</v>
      </c>
    </row>
    <row r="1317" spans="1:12" x14ac:dyDescent="0.25">
      <c r="A1317" s="13" t="s">
        <v>7010</v>
      </c>
      <c r="B1317" s="14" t="s">
        <v>5493</v>
      </c>
      <c r="C1317" s="14" t="s">
        <v>3437</v>
      </c>
      <c r="D1317" s="14" t="s">
        <v>3438</v>
      </c>
      <c r="E1317" s="14" t="s">
        <v>7011</v>
      </c>
      <c r="F1317" s="21">
        <v>1994.65</v>
      </c>
      <c r="G1317" s="14">
        <v>92</v>
      </c>
      <c r="H1317" s="14">
        <v>1</v>
      </c>
      <c r="I1317" s="14">
        <v>49</v>
      </c>
      <c r="J1317" s="22">
        <v>0.16533230592251899</v>
      </c>
      <c r="K1317" s="22">
        <v>0.83466769407748098</v>
      </c>
      <c r="L1317" s="14">
        <v>0</v>
      </c>
    </row>
    <row r="1318" spans="1:12" x14ac:dyDescent="0.25">
      <c r="A1318" s="13" t="s">
        <v>7012</v>
      </c>
      <c r="B1318" s="14" t="s">
        <v>5493</v>
      </c>
      <c r="C1318" s="14" t="s">
        <v>3437</v>
      </c>
      <c r="D1318" s="14" t="s">
        <v>3438</v>
      </c>
      <c r="E1318" s="14" t="s">
        <v>3446</v>
      </c>
      <c r="F1318" s="21">
        <v>2006.64</v>
      </c>
      <c r="G1318" s="14">
        <v>488</v>
      </c>
      <c r="H1318" s="14">
        <v>1</v>
      </c>
      <c r="I1318" s="14">
        <v>38</v>
      </c>
      <c r="J1318" s="22">
        <v>0.28102455941015397</v>
      </c>
      <c r="K1318" s="22">
        <v>0.71897544058984597</v>
      </c>
      <c r="L1318" s="14">
        <v>0</v>
      </c>
    </row>
    <row r="1319" spans="1:12" x14ac:dyDescent="0.25">
      <c r="A1319" s="13">
        <v>3575693</v>
      </c>
      <c r="B1319" s="14" t="s">
        <v>5493</v>
      </c>
      <c r="C1319" s="14" t="s">
        <v>3437</v>
      </c>
      <c r="D1319" s="14" t="s">
        <v>3438</v>
      </c>
      <c r="E1319" s="14" t="s">
        <v>3448</v>
      </c>
      <c r="F1319" s="21">
        <v>2236.02</v>
      </c>
      <c r="G1319" s="14">
        <v>312</v>
      </c>
      <c r="H1319" s="14">
        <v>0</v>
      </c>
      <c r="I1319" s="14">
        <v>37</v>
      </c>
      <c r="J1319" s="22">
        <v>0.51961155013752003</v>
      </c>
      <c r="K1319" s="22">
        <v>0.48038844986248003</v>
      </c>
      <c r="L1319" s="14">
        <v>0</v>
      </c>
    </row>
    <row r="1320" spans="1:12" x14ac:dyDescent="0.25">
      <c r="A1320" s="13">
        <v>3545919</v>
      </c>
      <c r="B1320" s="14" t="s">
        <v>148</v>
      </c>
      <c r="C1320" s="14" t="s">
        <v>3450</v>
      </c>
      <c r="E1320" s="14" t="s">
        <v>3451</v>
      </c>
      <c r="F1320" s="21">
        <v>1830</v>
      </c>
      <c r="G1320" s="14">
        <v>911</v>
      </c>
      <c r="H1320" s="14">
        <v>0</v>
      </c>
      <c r="I1320" s="14">
        <v>2</v>
      </c>
      <c r="J1320" s="22">
        <v>9.7186488734708504E-2</v>
      </c>
      <c r="K1320" s="22">
        <v>0.90281351126529197</v>
      </c>
      <c r="L1320" s="14">
        <v>0</v>
      </c>
    </row>
    <row r="1321" spans="1:12" x14ac:dyDescent="0.25">
      <c r="A1321" s="13" t="s">
        <v>7013</v>
      </c>
      <c r="B1321" s="14" t="s">
        <v>17</v>
      </c>
      <c r="C1321" s="14" t="s">
        <v>3453</v>
      </c>
      <c r="D1321" s="14" t="s">
        <v>3454</v>
      </c>
      <c r="E1321" s="14" t="s">
        <v>3455</v>
      </c>
      <c r="F1321" s="21">
        <v>2424.0300000000002</v>
      </c>
      <c r="I1321" s="14">
        <v>1</v>
      </c>
      <c r="J1321" s="22">
        <v>5.8309837964592597E-2</v>
      </c>
      <c r="K1321" s="22">
        <v>0.94169016203540801</v>
      </c>
      <c r="L1321" s="14">
        <v>0</v>
      </c>
    </row>
    <row r="1322" spans="1:12" x14ac:dyDescent="0.25">
      <c r="A1322" s="13" t="s">
        <v>7014</v>
      </c>
      <c r="B1322" s="14" t="s">
        <v>86</v>
      </c>
      <c r="C1322" s="14" t="s">
        <v>3457</v>
      </c>
      <c r="D1322" s="14" t="s">
        <v>3458</v>
      </c>
      <c r="E1322" s="14" t="s">
        <v>7015</v>
      </c>
      <c r="F1322" s="21">
        <v>1005</v>
      </c>
      <c r="G1322" s="14">
        <v>156</v>
      </c>
      <c r="H1322" s="14">
        <v>0</v>
      </c>
      <c r="I1322" s="14">
        <v>13</v>
      </c>
      <c r="J1322" s="22">
        <v>0.97362925509918596</v>
      </c>
      <c r="K1322" s="22">
        <v>2.63707449008138E-2</v>
      </c>
      <c r="L1322" s="14">
        <v>0</v>
      </c>
    </row>
    <row r="1323" spans="1:12" x14ac:dyDescent="0.25">
      <c r="A1323" s="13" t="s">
        <v>3460</v>
      </c>
      <c r="B1323" s="14" t="s">
        <v>86</v>
      </c>
      <c r="C1323" s="14" t="s">
        <v>3457</v>
      </c>
      <c r="D1323" s="14" t="s">
        <v>3458</v>
      </c>
      <c r="E1323" s="14" t="s">
        <v>3461</v>
      </c>
      <c r="F1323" s="21">
        <v>1500</v>
      </c>
      <c r="G1323" s="14">
        <v>556</v>
      </c>
      <c r="H1323" s="14">
        <v>1</v>
      </c>
      <c r="I1323" s="14" t="s">
        <v>6314</v>
      </c>
      <c r="J1323" s="22">
        <v>0.56205491227945503</v>
      </c>
      <c r="K1323" s="22">
        <v>0.43794508772054502</v>
      </c>
      <c r="L1323" s="14">
        <v>0</v>
      </c>
    </row>
    <row r="1324" spans="1:12" ht="39.6" x14ac:dyDescent="0.25">
      <c r="A1324" s="20" t="s">
        <v>7016</v>
      </c>
      <c r="B1324" s="14" t="s">
        <v>86</v>
      </c>
      <c r="C1324" s="14" t="s">
        <v>3457</v>
      </c>
      <c r="D1324" s="14" t="s">
        <v>3458</v>
      </c>
      <c r="E1324" s="14" t="s">
        <v>7017</v>
      </c>
      <c r="F1324" s="21">
        <v>2010.24</v>
      </c>
      <c r="G1324" s="14">
        <v>568</v>
      </c>
      <c r="H1324" s="14">
        <v>1</v>
      </c>
      <c r="I1324" s="14">
        <v>31</v>
      </c>
      <c r="J1324" s="22">
        <v>0.74974227211644995</v>
      </c>
      <c r="K1324" s="22">
        <v>0.25025772788355</v>
      </c>
      <c r="L1324" s="14">
        <v>0</v>
      </c>
    </row>
    <row r="1325" spans="1:12" ht="39.6" x14ac:dyDescent="0.25">
      <c r="A1325" s="20" t="s">
        <v>7018</v>
      </c>
      <c r="B1325" s="14" t="s">
        <v>86</v>
      </c>
      <c r="C1325" s="14" t="s">
        <v>3457</v>
      </c>
      <c r="D1325" s="14" t="s">
        <v>3458</v>
      </c>
      <c r="E1325" s="14" t="s">
        <v>3465</v>
      </c>
      <c r="F1325" s="21">
        <v>2010.24</v>
      </c>
      <c r="G1325" s="14">
        <v>509</v>
      </c>
      <c r="H1325" s="14">
        <v>1</v>
      </c>
      <c r="I1325" s="14">
        <v>4</v>
      </c>
      <c r="J1325" s="22">
        <v>0.30174754594613901</v>
      </c>
      <c r="K1325" s="22">
        <v>0.69825245405386105</v>
      </c>
      <c r="L1325" s="14">
        <v>0</v>
      </c>
    </row>
    <row r="1326" spans="1:12" ht="39.6" x14ac:dyDescent="0.25">
      <c r="A1326" s="20" t="s">
        <v>7019</v>
      </c>
      <c r="B1326" s="14" t="s">
        <v>86</v>
      </c>
      <c r="C1326" s="14" t="s">
        <v>3457</v>
      </c>
      <c r="D1326" s="14" t="s">
        <v>3458</v>
      </c>
      <c r="E1326" s="14" t="s">
        <v>3467</v>
      </c>
      <c r="F1326" s="21">
        <v>2010.24</v>
      </c>
      <c r="G1326" s="14">
        <v>506</v>
      </c>
      <c r="H1326" s="14">
        <v>1</v>
      </c>
      <c r="I1326" s="14">
        <v>41</v>
      </c>
      <c r="J1326" s="22">
        <v>0.209727929815997</v>
      </c>
      <c r="K1326" s="22">
        <v>0.79027207018400303</v>
      </c>
      <c r="L1326" s="14">
        <v>0</v>
      </c>
    </row>
    <row r="1327" spans="1:12" ht="39.6" x14ac:dyDescent="0.25">
      <c r="A1327" s="20" t="s">
        <v>7020</v>
      </c>
      <c r="B1327" s="14" t="s">
        <v>86</v>
      </c>
      <c r="C1327" s="14" t="s">
        <v>3457</v>
      </c>
      <c r="D1327" s="14" t="s">
        <v>3458</v>
      </c>
      <c r="E1327" s="14" t="s">
        <v>3469</v>
      </c>
      <c r="F1327" s="21">
        <v>2010.24</v>
      </c>
      <c r="H1327" s="14">
        <v>1</v>
      </c>
      <c r="I1327" s="14">
        <v>25</v>
      </c>
      <c r="J1327" s="22">
        <v>0.74570083846992496</v>
      </c>
      <c r="K1327" s="22">
        <v>0.25429916153007498</v>
      </c>
      <c r="L1327" s="14">
        <v>0</v>
      </c>
    </row>
    <row r="1328" spans="1:12" ht="39.6" x14ac:dyDescent="0.25">
      <c r="A1328" s="20" t="s">
        <v>7021</v>
      </c>
      <c r="B1328" s="14" t="s">
        <v>86</v>
      </c>
      <c r="C1328" s="14" t="s">
        <v>3457</v>
      </c>
      <c r="D1328" s="14" t="s">
        <v>3458</v>
      </c>
      <c r="E1328" s="14" t="s">
        <v>7022</v>
      </c>
      <c r="F1328" s="21">
        <v>2010.24</v>
      </c>
      <c r="G1328" s="14">
        <v>455</v>
      </c>
      <c r="H1328" s="14">
        <v>1</v>
      </c>
      <c r="I1328" s="14">
        <v>35</v>
      </c>
      <c r="J1328" s="22">
        <v>0.72360050468622905</v>
      </c>
      <c r="K1328" s="22">
        <v>0.276399495313771</v>
      </c>
      <c r="L1328" s="14">
        <v>0</v>
      </c>
    </row>
    <row r="1329" spans="1:12" ht="39.6" x14ac:dyDescent="0.25">
      <c r="A1329" s="20" t="s">
        <v>7023</v>
      </c>
      <c r="B1329" s="14" t="s">
        <v>86</v>
      </c>
      <c r="C1329" s="14" t="s">
        <v>3457</v>
      </c>
      <c r="D1329" s="14" t="s">
        <v>3458</v>
      </c>
      <c r="E1329" s="14" t="s">
        <v>3473</v>
      </c>
      <c r="F1329" s="21">
        <v>2010.24</v>
      </c>
      <c r="G1329" s="14">
        <v>832</v>
      </c>
      <c r="H1329" s="14">
        <v>0</v>
      </c>
      <c r="I1329" s="14">
        <v>21</v>
      </c>
      <c r="J1329" s="22">
        <v>0.16675337102959401</v>
      </c>
      <c r="K1329" s="22">
        <v>0.83324662897040602</v>
      </c>
      <c r="L1329" s="14">
        <v>1814</v>
      </c>
    </row>
    <row r="1330" spans="1:12" ht="39.6" x14ac:dyDescent="0.25">
      <c r="A1330" s="20" t="s">
        <v>7024</v>
      </c>
      <c r="B1330" s="14" t="s">
        <v>86</v>
      </c>
      <c r="C1330" s="14" t="s">
        <v>3457</v>
      </c>
      <c r="D1330" s="14" t="s">
        <v>3458</v>
      </c>
      <c r="E1330" s="14" t="s">
        <v>3475</v>
      </c>
      <c r="F1330" s="21">
        <v>2010.24</v>
      </c>
      <c r="G1330" s="14">
        <v>917</v>
      </c>
      <c r="H1330" s="14">
        <v>1</v>
      </c>
      <c r="I1330" s="14" t="s">
        <v>6314</v>
      </c>
      <c r="J1330" s="22">
        <v>0.53453702307791995</v>
      </c>
      <c r="K1330" s="22">
        <v>0.46546297692208</v>
      </c>
      <c r="L1330" s="14">
        <v>0</v>
      </c>
    </row>
    <row r="1331" spans="1:12" ht="39.6" x14ac:dyDescent="0.25">
      <c r="A1331" s="20" t="s">
        <v>7025</v>
      </c>
      <c r="B1331" s="14" t="s">
        <v>86</v>
      </c>
      <c r="C1331" s="14" t="s">
        <v>3457</v>
      </c>
      <c r="D1331" s="14" t="s">
        <v>3458</v>
      </c>
      <c r="E1331" s="14" t="s">
        <v>3477</v>
      </c>
      <c r="F1331" s="21">
        <v>2010.24</v>
      </c>
      <c r="G1331" s="14">
        <v>754</v>
      </c>
      <c r="H1331" s="14">
        <v>0</v>
      </c>
      <c r="I1331" s="14">
        <v>15</v>
      </c>
      <c r="J1331" s="22">
        <v>0.28845443503697499</v>
      </c>
      <c r="K1331" s="22">
        <v>0.71154556496302501</v>
      </c>
      <c r="L1331" s="14">
        <v>0</v>
      </c>
    </row>
    <row r="1332" spans="1:12" x14ac:dyDescent="0.25">
      <c r="A1332" s="13" t="s">
        <v>3478</v>
      </c>
      <c r="B1332" s="14" t="s">
        <v>86</v>
      </c>
      <c r="C1332" s="14" t="s">
        <v>3457</v>
      </c>
      <c r="D1332" s="14" t="s">
        <v>3458</v>
      </c>
      <c r="E1332" s="14" t="s">
        <v>3479</v>
      </c>
      <c r="F1332" s="21">
        <v>2275.58</v>
      </c>
      <c r="G1332" s="14">
        <v>755</v>
      </c>
      <c r="H1332" s="14">
        <v>0</v>
      </c>
      <c r="I1332" s="14">
        <v>12</v>
      </c>
      <c r="J1332" s="22">
        <v>0.33364219846786303</v>
      </c>
      <c r="K1332" s="22">
        <v>0.66635780153213797</v>
      </c>
      <c r="L1332" s="14">
        <v>0</v>
      </c>
    </row>
    <row r="1333" spans="1:12" x14ac:dyDescent="0.25">
      <c r="B1333" s="14" t="s">
        <v>86</v>
      </c>
      <c r="C1333" s="14" t="s">
        <v>3457</v>
      </c>
      <c r="D1333" s="14" t="s">
        <v>3458</v>
      </c>
      <c r="E1333" s="14" t="s">
        <v>3480</v>
      </c>
      <c r="F1333" s="21">
        <v>2379.69</v>
      </c>
      <c r="G1333" s="14">
        <v>731</v>
      </c>
      <c r="H1333" s="14">
        <v>0</v>
      </c>
      <c r="I1333" s="14">
        <v>24</v>
      </c>
      <c r="J1333" s="22">
        <v>0.36407354104624501</v>
      </c>
      <c r="K1333" s="22">
        <v>0.63592645895375499</v>
      </c>
      <c r="L1333" s="14">
        <v>0</v>
      </c>
    </row>
    <row r="1334" spans="1:12" x14ac:dyDescent="0.25">
      <c r="B1334" s="14" t="s">
        <v>86</v>
      </c>
      <c r="C1334" s="14" t="s">
        <v>3457</v>
      </c>
      <c r="D1334" s="14" t="s">
        <v>3458</v>
      </c>
      <c r="E1334" s="14" t="s">
        <v>3481</v>
      </c>
      <c r="F1334" s="21">
        <v>2395.87</v>
      </c>
      <c r="G1334" s="14">
        <v>952</v>
      </c>
      <c r="H1334" s="14">
        <v>1</v>
      </c>
      <c r="I1334" s="14">
        <v>16</v>
      </c>
      <c r="J1334" s="22">
        <v>0.27959241156522302</v>
      </c>
      <c r="K1334" s="22">
        <v>0.72040758843477704</v>
      </c>
      <c r="L1334" s="14">
        <v>0</v>
      </c>
    </row>
    <row r="1335" spans="1:12" x14ac:dyDescent="0.25">
      <c r="A1335" s="13" t="s">
        <v>7026</v>
      </c>
      <c r="B1335" s="14" t="s">
        <v>86</v>
      </c>
      <c r="C1335" s="14" t="s">
        <v>7027</v>
      </c>
      <c r="D1335" s="14" t="s">
        <v>3458</v>
      </c>
      <c r="E1335" s="14" t="s">
        <v>3483</v>
      </c>
      <c r="F1335" s="21">
        <v>1500</v>
      </c>
      <c r="G1335" s="14">
        <v>815</v>
      </c>
      <c r="H1335" s="14">
        <v>1</v>
      </c>
      <c r="I1335" s="14">
        <v>11</v>
      </c>
      <c r="J1335" s="22">
        <v>0.51622727217271402</v>
      </c>
      <c r="K1335" s="22">
        <v>0.48377272782728598</v>
      </c>
      <c r="L1335" s="14">
        <v>0</v>
      </c>
    </row>
    <row r="1336" spans="1:12" x14ac:dyDescent="0.25">
      <c r="A1336" s="13" t="s">
        <v>6148</v>
      </c>
      <c r="B1336" s="14" t="s">
        <v>86</v>
      </c>
      <c r="C1336" s="14" t="s">
        <v>7027</v>
      </c>
      <c r="D1336" s="14" t="s">
        <v>3458</v>
      </c>
      <c r="E1336" s="14" t="s">
        <v>3484</v>
      </c>
      <c r="F1336" s="21">
        <v>1500</v>
      </c>
      <c r="G1336" s="14">
        <v>347</v>
      </c>
      <c r="H1336" s="14">
        <v>0</v>
      </c>
      <c r="I1336" s="14" t="s">
        <v>6314</v>
      </c>
      <c r="J1336" s="22">
        <v>0.88597309251358602</v>
      </c>
      <c r="K1336" s="22">
        <v>0.114026907486414</v>
      </c>
      <c r="L1336" s="14">
        <v>0</v>
      </c>
    </row>
    <row r="1337" spans="1:12" x14ac:dyDescent="0.25">
      <c r="A1337" s="13" t="s">
        <v>3485</v>
      </c>
      <c r="B1337" s="14" t="s">
        <v>5411</v>
      </c>
      <c r="C1337" s="14" t="s">
        <v>3486</v>
      </c>
      <c r="D1337" s="14" t="s">
        <v>3487</v>
      </c>
      <c r="E1337" s="14" t="s">
        <v>3488</v>
      </c>
      <c r="F1337" s="21">
        <v>2940</v>
      </c>
      <c r="H1337" s="14">
        <v>1</v>
      </c>
      <c r="I1337" s="14">
        <v>17</v>
      </c>
      <c r="J1337" s="22">
        <v>0.25440461919414697</v>
      </c>
      <c r="K1337" s="22">
        <v>0.74559538080585297</v>
      </c>
      <c r="L1337" s="14">
        <v>0</v>
      </c>
    </row>
    <row r="1338" spans="1:12" x14ac:dyDescent="0.25">
      <c r="A1338" s="13" t="s">
        <v>7028</v>
      </c>
      <c r="B1338" s="14" t="s">
        <v>607</v>
      </c>
      <c r="C1338" s="14" t="s">
        <v>3486</v>
      </c>
      <c r="D1338" s="14" t="s">
        <v>3487</v>
      </c>
      <c r="E1338" s="14" t="s">
        <v>3490</v>
      </c>
      <c r="F1338" s="21">
        <v>3000</v>
      </c>
      <c r="G1338" s="14">
        <v>133</v>
      </c>
      <c r="H1338" s="14">
        <v>0</v>
      </c>
      <c r="I1338" s="14">
        <v>31</v>
      </c>
      <c r="J1338" s="22">
        <v>0.37313211814476099</v>
      </c>
      <c r="K1338" s="22">
        <v>0.62686788185523901</v>
      </c>
      <c r="L1338" s="14">
        <v>0</v>
      </c>
    </row>
    <row r="1339" spans="1:12" ht="39.6" x14ac:dyDescent="0.25">
      <c r="A1339" s="20" t="s">
        <v>7029</v>
      </c>
      <c r="B1339" s="14" t="s">
        <v>7030</v>
      </c>
      <c r="C1339" s="14" t="s">
        <v>3486</v>
      </c>
      <c r="D1339" s="14" t="s">
        <v>3487</v>
      </c>
      <c r="E1339" s="14" t="s">
        <v>3492</v>
      </c>
      <c r="F1339" s="21">
        <v>3000</v>
      </c>
      <c r="H1339" s="14">
        <v>0</v>
      </c>
      <c r="I1339" s="14" t="s">
        <v>6314</v>
      </c>
      <c r="J1339" s="22">
        <v>0.80910072981688497</v>
      </c>
      <c r="K1339" s="22">
        <v>0.19089927018311501</v>
      </c>
      <c r="L1339" s="14">
        <v>0</v>
      </c>
    </row>
    <row r="1340" spans="1:12" ht="26.4" x14ac:dyDescent="0.25">
      <c r="A1340" s="20" t="s">
        <v>7031</v>
      </c>
      <c r="B1340" s="14" t="s">
        <v>7030</v>
      </c>
      <c r="C1340" s="14" t="s">
        <v>3486</v>
      </c>
      <c r="D1340" s="14" t="s">
        <v>3487</v>
      </c>
      <c r="E1340" s="14" t="s">
        <v>3494</v>
      </c>
      <c r="F1340" s="21">
        <v>3000</v>
      </c>
      <c r="G1340" s="14">
        <v>109</v>
      </c>
      <c r="H1340" s="14">
        <v>0</v>
      </c>
      <c r="I1340" s="14">
        <v>46</v>
      </c>
      <c r="J1340" s="22">
        <v>0.85043472572648404</v>
      </c>
      <c r="K1340" s="22">
        <v>0.14956527427351601</v>
      </c>
      <c r="L1340" s="14">
        <v>0</v>
      </c>
    </row>
    <row r="1341" spans="1:12" x14ac:dyDescent="0.25">
      <c r="B1341" s="14" t="s">
        <v>86</v>
      </c>
      <c r="C1341" s="14" t="s">
        <v>3495</v>
      </c>
      <c r="D1341" s="14" t="s">
        <v>3496</v>
      </c>
      <c r="E1341" s="14" t="s">
        <v>7032</v>
      </c>
      <c r="F1341" s="21">
        <v>2371.54</v>
      </c>
      <c r="G1341" s="14">
        <v>391</v>
      </c>
      <c r="H1341" s="14">
        <v>0</v>
      </c>
      <c r="I1341" s="14">
        <v>3</v>
      </c>
      <c r="J1341" s="22">
        <v>0.39960063772230098</v>
      </c>
      <c r="K1341" s="22">
        <v>0.60039936227769897</v>
      </c>
      <c r="L1341" s="14">
        <v>0</v>
      </c>
    </row>
    <row r="1342" spans="1:12" ht="39.6" x14ac:dyDescent="0.25">
      <c r="A1342" s="13" t="s">
        <v>3498</v>
      </c>
      <c r="B1342" s="14" t="s">
        <v>17</v>
      </c>
      <c r="C1342" s="14" t="s">
        <v>5720</v>
      </c>
      <c r="D1342" s="14" t="s">
        <v>7033</v>
      </c>
      <c r="E1342" s="23" t="s">
        <v>7034</v>
      </c>
      <c r="F1342" s="21">
        <v>2030.16</v>
      </c>
      <c r="G1342" s="14">
        <v>470</v>
      </c>
      <c r="H1342" s="14">
        <v>0</v>
      </c>
      <c r="I1342" s="14">
        <v>4</v>
      </c>
      <c r="J1342" s="22">
        <v>0.92497633472042895</v>
      </c>
      <c r="K1342" s="22">
        <v>7.50236652795713E-2</v>
      </c>
      <c r="L1342" s="14">
        <v>0</v>
      </c>
    </row>
    <row r="1343" spans="1:12" x14ac:dyDescent="0.25">
      <c r="B1343" s="14" t="s">
        <v>5423</v>
      </c>
      <c r="C1343" s="14" t="s">
        <v>7035</v>
      </c>
      <c r="E1343" s="14" t="s">
        <v>3502</v>
      </c>
      <c r="F1343" s="21">
        <v>13200</v>
      </c>
      <c r="G1343" s="14">
        <v>826</v>
      </c>
      <c r="H1343" s="14">
        <v>1</v>
      </c>
      <c r="I1343" s="14">
        <v>31</v>
      </c>
      <c r="J1343" s="22">
        <v>0.39306321939509598</v>
      </c>
      <c r="K1343" s="22">
        <v>0.60693678060490397</v>
      </c>
      <c r="L1343" s="14">
        <v>0</v>
      </c>
    </row>
    <row r="1344" spans="1:12" x14ac:dyDescent="0.25">
      <c r="A1344" s="13">
        <v>23154792</v>
      </c>
      <c r="B1344" s="14" t="s">
        <v>5393</v>
      </c>
      <c r="C1344" s="14" t="s">
        <v>3505</v>
      </c>
      <c r="D1344" s="14" t="s">
        <v>3506</v>
      </c>
      <c r="E1344" s="14" t="s">
        <v>3507</v>
      </c>
      <c r="F1344" s="21">
        <v>2040</v>
      </c>
      <c r="G1344" s="14">
        <v>341</v>
      </c>
      <c r="H1344" s="14">
        <v>0</v>
      </c>
      <c r="I1344" s="14">
        <v>41</v>
      </c>
      <c r="J1344" s="22">
        <v>0.55243356292304902</v>
      </c>
      <c r="K1344" s="22">
        <v>0.44756643707695098</v>
      </c>
      <c r="L1344" s="14">
        <v>0</v>
      </c>
    </row>
    <row r="1345" spans="1:12" x14ac:dyDescent="0.25">
      <c r="A1345" s="13">
        <v>23220929</v>
      </c>
      <c r="B1345" s="14" t="s">
        <v>5393</v>
      </c>
      <c r="C1345" s="14" t="s">
        <v>3505</v>
      </c>
      <c r="D1345" s="14" t="s">
        <v>3506</v>
      </c>
      <c r="E1345" s="14" t="s">
        <v>3508</v>
      </c>
      <c r="F1345" s="21">
        <v>2040</v>
      </c>
      <c r="G1345" s="14">
        <v>533</v>
      </c>
      <c r="H1345" s="14">
        <v>0</v>
      </c>
      <c r="I1345" s="14">
        <v>38</v>
      </c>
      <c r="J1345" s="22">
        <v>0.88194437925485303</v>
      </c>
      <c r="K1345" s="22">
        <v>0.118055620745148</v>
      </c>
      <c r="L1345" s="14">
        <v>0</v>
      </c>
    </row>
    <row r="1346" spans="1:12" x14ac:dyDescent="0.25">
      <c r="A1346" s="13" t="s">
        <v>7036</v>
      </c>
      <c r="B1346" s="14" t="s">
        <v>5405</v>
      </c>
      <c r="C1346" s="14" t="s">
        <v>3510</v>
      </c>
      <c r="D1346" s="14" t="s">
        <v>3511</v>
      </c>
      <c r="E1346" s="14" t="s">
        <v>3512</v>
      </c>
      <c r="F1346" s="21">
        <v>1052.99</v>
      </c>
      <c r="H1346" s="14">
        <v>1</v>
      </c>
      <c r="I1346" s="14">
        <v>16</v>
      </c>
      <c r="J1346" s="22">
        <v>0.74918022220512603</v>
      </c>
      <c r="K1346" s="22">
        <v>0.25081977779487402</v>
      </c>
      <c r="L1346" s="14">
        <v>0</v>
      </c>
    </row>
    <row r="1347" spans="1:12" x14ac:dyDescent="0.25">
      <c r="A1347" s="13" t="s">
        <v>7037</v>
      </c>
      <c r="B1347" s="14" t="s">
        <v>4615</v>
      </c>
      <c r="C1347" s="14" t="s">
        <v>3510</v>
      </c>
      <c r="D1347" s="14" t="s">
        <v>3511</v>
      </c>
      <c r="E1347" s="14" t="s">
        <v>3514</v>
      </c>
      <c r="F1347" s="21">
        <v>1459.12</v>
      </c>
      <c r="G1347" s="14">
        <v>866</v>
      </c>
      <c r="H1347" s="14">
        <v>0</v>
      </c>
      <c r="I1347" s="14">
        <v>45</v>
      </c>
      <c r="J1347" s="22">
        <v>1.3780473601591899E-2</v>
      </c>
      <c r="K1347" s="22">
        <v>0.98621952639840804</v>
      </c>
      <c r="L1347" s="14">
        <v>0</v>
      </c>
    </row>
    <row r="1348" spans="1:12" x14ac:dyDescent="0.25">
      <c r="A1348" s="13" t="s">
        <v>3515</v>
      </c>
      <c r="B1348" s="14" t="s">
        <v>5410</v>
      </c>
      <c r="C1348" s="14" t="s">
        <v>3510</v>
      </c>
      <c r="D1348" s="14" t="s">
        <v>3511</v>
      </c>
      <c r="E1348" s="14" t="s">
        <v>3516</v>
      </c>
      <c r="F1348" s="21">
        <v>2418.25</v>
      </c>
      <c r="G1348" s="14">
        <v>326</v>
      </c>
      <c r="H1348" s="14">
        <v>0</v>
      </c>
      <c r="I1348" s="14">
        <v>25</v>
      </c>
      <c r="J1348" s="22">
        <v>6.0804680561159299E-2</v>
      </c>
      <c r="K1348" s="22">
        <v>0.93919531943884105</v>
      </c>
      <c r="L1348" s="14">
        <v>0</v>
      </c>
    </row>
    <row r="1349" spans="1:12" ht="26.4" x14ac:dyDescent="0.25">
      <c r="A1349" s="20" t="s">
        <v>7038</v>
      </c>
      <c r="B1349" s="14" t="s">
        <v>5411</v>
      </c>
      <c r="C1349" s="14" t="s">
        <v>5713</v>
      </c>
      <c r="D1349" s="14" t="s">
        <v>3519</v>
      </c>
      <c r="E1349" s="14" t="s">
        <v>3520</v>
      </c>
      <c r="F1349" s="21">
        <v>910.8</v>
      </c>
      <c r="G1349" s="14">
        <v>952</v>
      </c>
      <c r="H1349" s="14">
        <v>0</v>
      </c>
      <c r="I1349" s="14">
        <v>46</v>
      </c>
      <c r="J1349" s="22">
        <v>0.204203099332467</v>
      </c>
      <c r="K1349" s="22">
        <v>0.79579690066753295</v>
      </c>
      <c r="L1349" s="14">
        <v>0</v>
      </c>
    </row>
    <row r="1350" spans="1:12" x14ac:dyDescent="0.25">
      <c r="A1350" s="13" t="s">
        <v>7039</v>
      </c>
      <c r="B1350" s="14" t="s">
        <v>5411</v>
      </c>
      <c r="C1350" s="14" t="s">
        <v>3518</v>
      </c>
      <c r="D1350" s="14" t="s">
        <v>3519</v>
      </c>
      <c r="E1350" s="14" t="s">
        <v>3522</v>
      </c>
      <c r="F1350" s="21">
        <v>1890</v>
      </c>
      <c r="G1350" s="14">
        <v>457</v>
      </c>
      <c r="H1350" s="14">
        <v>0</v>
      </c>
      <c r="I1350" s="14">
        <v>16</v>
      </c>
      <c r="J1350" s="22">
        <v>0.84429207293043196</v>
      </c>
      <c r="K1350" s="22">
        <v>0.15570792706956799</v>
      </c>
      <c r="L1350" s="14">
        <v>0</v>
      </c>
    </row>
    <row r="1351" spans="1:12" ht="39.6" x14ac:dyDescent="0.25">
      <c r="A1351" s="20" t="s">
        <v>7040</v>
      </c>
      <c r="B1351" s="14" t="s">
        <v>5411</v>
      </c>
      <c r="C1351" s="14" t="s">
        <v>3518</v>
      </c>
      <c r="D1351" s="14" t="s">
        <v>3519</v>
      </c>
      <c r="E1351" s="14" t="s">
        <v>3524</v>
      </c>
      <c r="F1351" s="21">
        <v>2562</v>
      </c>
      <c r="G1351" s="14">
        <v>944</v>
      </c>
      <c r="H1351" s="14">
        <v>0</v>
      </c>
      <c r="I1351" s="14" t="s">
        <v>6314</v>
      </c>
      <c r="J1351" s="22">
        <v>0.73592457753875595</v>
      </c>
      <c r="K1351" s="22">
        <v>0.26407542246124399</v>
      </c>
      <c r="L1351" s="14">
        <v>0</v>
      </c>
    </row>
    <row r="1352" spans="1:12" x14ac:dyDescent="0.25">
      <c r="A1352" s="13" t="s">
        <v>3525</v>
      </c>
      <c r="B1352" s="14" t="s">
        <v>5411</v>
      </c>
      <c r="C1352" s="14" t="s">
        <v>3518</v>
      </c>
      <c r="D1352" s="14" t="s">
        <v>3519</v>
      </c>
      <c r="E1352" s="14" t="s">
        <v>3526</v>
      </c>
      <c r="F1352" s="21">
        <v>3642</v>
      </c>
      <c r="G1352" s="14">
        <v>385</v>
      </c>
      <c r="H1352" s="14">
        <v>1</v>
      </c>
      <c r="I1352" s="14" t="s">
        <v>6314</v>
      </c>
      <c r="J1352" s="22">
        <v>0.18479599665427299</v>
      </c>
      <c r="K1352" s="22">
        <v>0.81520400334572696</v>
      </c>
      <c r="L1352" s="14">
        <v>0</v>
      </c>
    </row>
    <row r="1353" spans="1:12" ht="39.6" x14ac:dyDescent="0.25">
      <c r="A1353" s="20" t="s">
        <v>7041</v>
      </c>
      <c r="B1353" s="14" t="s">
        <v>5411</v>
      </c>
      <c r="C1353" s="14" t="s">
        <v>3518</v>
      </c>
      <c r="D1353" s="14" t="s">
        <v>3519</v>
      </c>
      <c r="E1353" s="14" t="s">
        <v>3528</v>
      </c>
      <c r="F1353" s="21">
        <v>3642</v>
      </c>
      <c r="G1353" s="14">
        <v>626</v>
      </c>
      <c r="H1353" s="14">
        <v>0</v>
      </c>
      <c r="I1353" s="14">
        <v>42</v>
      </c>
      <c r="J1353" s="22">
        <v>0.84450153916871695</v>
      </c>
      <c r="K1353" s="22">
        <v>0.15549846083128299</v>
      </c>
      <c r="L1353" s="14">
        <v>0</v>
      </c>
    </row>
    <row r="1354" spans="1:12" x14ac:dyDescent="0.25">
      <c r="A1354" s="13" t="s">
        <v>5872</v>
      </c>
      <c r="B1354" s="14" t="s">
        <v>5411</v>
      </c>
      <c r="C1354" s="14" t="s">
        <v>3518</v>
      </c>
      <c r="D1354" s="14" t="s">
        <v>3519</v>
      </c>
      <c r="E1354" s="14" t="s">
        <v>3529</v>
      </c>
      <c r="F1354" s="21">
        <v>3780</v>
      </c>
      <c r="H1354" s="14">
        <v>1</v>
      </c>
      <c r="I1354" s="14">
        <v>44</v>
      </c>
      <c r="J1354" s="22">
        <v>0.380508650840861</v>
      </c>
      <c r="K1354" s="22">
        <v>0.61949134915913895</v>
      </c>
      <c r="L1354" s="14">
        <v>0</v>
      </c>
    </row>
    <row r="1355" spans="1:12" ht="39.6" x14ac:dyDescent="0.25">
      <c r="A1355" s="20" t="s">
        <v>7042</v>
      </c>
      <c r="B1355" s="14" t="s">
        <v>5411</v>
      </c>
      <c r="C1355" s="14" t="s">
        <v>3518</v>
      </c>
      <c r="D1355" s="14" t="s">
        <v>3519</v>
      </c>
      <c r="E1355" s="14" t="s">
        <v>3531</v>
      </c>
      <c r="F1355" s="21">
        <v>3780</v>
      </c>
      <c r="G1355" s="14">
        <v>983</v>
      </c>
      <c r="H1355" s="14">
        <v>0</v>
      </c>
      <c r="I1355" s="14">
        <v>37</v>
      </c>
      <c r="J1355" s="22">
        <v>0.68444712963676801</v>
      </c>
      <c r="K1355" s="22">
        <v>0.31555287036323199</v>
      </c>
      <c r="L1355" s="14">
        <v>0</v>
      </c>
    </row>
    <row r="1356" spans="1:12" x14ac:dyDescent="0.25">
      <c r="A1356" s="13">
        <v>24108241</v>
      </c>
      <c r="B1356" s="14" t="s">
        <v>5413</v>
      </c>
      <c r="C1356" s="14" t="s">
        <v>3518</v>
      </c>
      <c r="D1356" s="14" t="s">
        <v>3519</v>
      </c>
      <c r="E1356" s="14" t="s">
        <v>3532</v>
      </c>
      <c r="F1356" s="21">
        <v>3498</v>
      </c>
      <c r="G1356" s="14">
        <v>573</v>
      </c>
      <c r="H1356" s="14">
        <v>0</v>
      </c>
      <c r="I1356" s="14" t="s">
        <v>6314</v>
      </c>
      <c r="J1356" s="22">
        <v>0.85981825779584597</v>
      </c>
      <c r="K1356" s="22">
        <v>0.140181742204154</v>
      </c>
      <c r="L1356" s="14">
        <v>0</v>
      </c>
    </row>
    <row r="1357" spans="1:12" x14ac:dyDescent="0.25">
      <c r="A1357" s="13" t="s">
        <v>3533</v>
      </c>
      <c r="B1357" s="14" t="s">
        <v>607</v>
      </c>
      <c r="C1357" s="14" t="s">
        <v>3518</v>
      </c>
      <c r="D1357" s="14" t="s">
        <v>3519</v>
      </c>
      <c r="E1357" s="14" t="s">
        <v>3534</v>
      </c>
      <c r="F1357" s="21">
        <v>1821.6</v>
      </c>
      <c r="G1357" s="14">
        <v>694</v>
      </c>
      <c r="H1357" s="14">
        <v>0</v>
      </c>
      <c r="I1357" s="14">
        <v>25</v>
      </c>
      <c r="J1357" s="22">
        <v>0.67000581788949098</v>
      </c>
      <c r="K1357" s="22">
        <v>0.32999418211051001</v>
      </c>
      <c r="L1357" s="14">
        <v>0</v>
      </c>
    </row>
    <row r="1358" spans="1:12" x14ac:dyDescent="0.25">
      <c r="A1358" s="13" t="s">
        <v>7043</v>
      </c>
      <c r="B1358" s="14" t="s">
        <v>607</v>
      </c>
      <c r="C1358" s="14" t="s">
        <v>3518</v>
      </c>
      <c r="D1358" s="14" t="s">
        <v>3519</v>
      </c>
      <c r="E1358" s="14" t="s">
        <v>3536</v>
      </c>
      <c r="F1358" s="21">
        <v>2562</v>
      </c>
      <c r="G1358" s="14">
        <v>523</v>
      </c>
      <c r="H1358" s="14">
        <v>0</v>
      </c>
      <c r="I1358" s="14">
        <v>2</v>
      </c>
      <c r="J1358" s="22">
        <v>0.59768626204059105</v>
      </c>
      <c r="K1358" s="22">
        <v>0.402313737959409</v>
      </c>
      <c r="L1358" s="14">
        <v>0</v>
      </c>
    </row>
    <row r="1359" spans="1:12" x14ac:dyDescent="0.25">
      <c r="A1359" s="13" t="s">
        <v>7044</v>
      </c>
      <c r="B1359" s="14" t="s">
        <v>607</v>
      </c>
      <c r="C1359" s="14" t="s">
        <v>3518</v>
      </c>
      <c r="D1359" s="14" t="s">
        <v>3519</v>
      </c>
      <c r="E1359" s="14" t="s">
        <v>3538</v>
      </c>
      <c r="F1359" s="21">
        <v>3498</v>
      </c>
      <c r="G1359" s="14">
        <v>167</v>
      </c>
      <c r="H1359" s="14">
        <v>0</v>
      </c>
      <c r="I1359" s="14">
        <v>31</v>
      </c>
      <c r="J1359" s="22">
        <v>3.3569641504780398E-3</v>
      </c>
      <c r="K1359" s="22">
        <v>0.99664303584952196</v>
      </c>
      <c r="L1359" s="14">
        <v>0</v>
      </c>
    </row>
    <row r="1360" spans="1:12" x14ac:dyDescent="0.25">
      <c r="A1360" s="13" t="s">
        <v>7045</v>
      </c>
      <c r="B1360" s="14" t="s">
        <v>607</v>
      </c>
      <c r="C1360" s="14" t="s">
        <v>3518</v>
      </c>
      <c r="D1360" s="14" t="s">
        <v>3519</v>
      </c>
      <c r="E1360" s="14" t="s">
        <v>3540</v>
      </c>
      <c r="F1360" s="21">
        <v>3642</v>
      </c>
      <c r="G1360" s="14">
        <v>795</v>
      </c>
      <c r="H1360" s="14">
        <v>0</v>
      </c>
      <c r="I1360" s="14" t="s">
        <v>6314</v>
      </c>
      <c r="J1360" s="22">
        <v>0.69809716233304697</v>
      </c>
      <c r="K1360" s="22">
        <v>0.30190283766695403</v>
      </c>
      <c r="L1360" s="14">
        <v>0</v>
      </c>
    </row>
    <row r="1361" spans="1:12" x14ac:dyDescent="0.25">
      <c r="A1361" s="13" t="s">
        <v>3541</v>
      </c>
      <c r="B1361" s="14" t="s">
        <v>607</v>
      </c>
      <c r="C1361" s="14" t="s">
        <v>3518</v>
      </c>
      <c r="D1361" s="14" t="s">
        <v>3519</v>
      </c>
      <c r="E1361" s="14" t="s">
        <v>3542</v>
      </c>
      <c r="F1361" s="21">
        <v>3642</v>
      </c>
      <c r="G1361" s="14">
        <v>893</v>
      </c>
      <c r="H1361" s="14">
        <v>0</v>
      </c>
      <c r="I1361" s="14">
        <v>21</v>
      </c>
      <c r="J1361" s="22">
        <v>0.77015392988849796</v>
      </c>
      <c r="K1361" s="22">
        <v>0.22984607011150199</v>
      </c>
      <c r="L1361" s="14">
        <v>0</v>
      </c>
    </row>
    <row r="1362" spans="1:12" x14ac:dyDescent="0.25">
      <c r="A1362" s="13" t="s">
        <v>7046</v>
      </c>
      <c r="B1362" s="14" t="s">
        <v>607</v>
      </c>
      <c r="C1362" s="14" t="s">
        <v>3518</v>
      </c>
      <c r="D1362" s="14" t="s">
        <v>3519</v>
      </c>
      <c r="E1362" s="14" t="s">
        <v>3544</v>
      </c>
      <c r="F1362" s="21">
        <v>3642</v>
      </c>
      <c r="G1362" s="14">
        <v>16</v>
      </c>
      <c r="H1362" s="14">
        <v>0</v>
      </c>
      <c r="I1362" s="14">
        <v>11</v>
      </c>
      <c r="J1362" s="22">
        <v>0.63134612014732205</v>
      </c>
      <c r="K1362" s="22">
        <v>0.368653879852678</v>
      </c>
      <c r="L1362" s="14">
        <v>0</v>
      </c>
    </row>
    <row r="1363" spans="1:12" x14ac:dyDescent="0.25">
      <c r="A1363" s="13" t="s">
        <v>7047</v>
      </c>
      <c r="B1363" s="14" t="s">
        <v>607</v>
      </c>
      <c r="C1363" s="14" t="s">
        <v>3518</v>
      </c>
      <c r="D1363" s="14" t="s">
        <v>3519</v>
      </c>
      <c r="E1363" s="14" t="s">
        <v>3546</v>
      </c>
      <c r="F1363" s="21">
        <v>3642</v>
      </c>
      <c r="G1363" s="14">
        <v>107</v>
      </c>
      <c r="H1363" s="14">
        <v>0</v>
      </c>
      <c r="I1363" s="14">
        <v>36</v>
      </c>
      <c r="J1363" s="22">
        <v>0.28214557697291298</v>
      </c>
      <c r="K1363" s="22">
        <v>0.71785442302708702</v>
      </c>
      <c r="L1363" s="14">
        <v>0</v>
      </c>
    </row>
    <row r="1364" spans="1:12" x14ac:dyDescent="0.25">
      <c r="A1364" s="13" t="s">
        <v>7048</v>
      </c>
      <c r="B1364" s="14" t="s">
        <v>607</v>
      </c>
      <c r="C1364" s="14" t="s">
        <v>3518</v>
      </c>
      <c r="D1364" s="14" t="s">
        <v>3519</v>
      </c>
      <c r="E1364" s="14" t="s">
        <v>3548</v>
      </c>
      <c r="F1364" s="21">
        <v>3780</v>
      </c>
      <c r="G1364" s="14">
        <v>546</v>
      </c>
      <c r="H1364" s="14">
        <v>0</v>
      </c>
      <c r="I1364" s="14">
        <v>49</v>
      </c>
      <c r="J1364" s="22">
        <v>0.57236667085619697</v>
      </c>
      <c r="K1364" s="22">
        <v>0.42763332914380298</v>
      </c>
      <c r="L1364" s="14">
        <v>0</v>
      </c>
    </row>
    <row r="1365" spans="1:12" x14ac:dyDescent="0.25">
      <c r="A1365" s="13" t="s">
        <v>3549</v>
      </c>
      <c r="B1365" s="14" t="s">
        <v>607</v>
      </c>
      <c r="C1365" s="14" t="s">
        <v>3518</v>
      </c>
      <c r="D1365" s="14" t="s">
        <v>3519</v>
      </c>
      <c r="E1365" s="14" t="s">
        <v>3550</v>
      </c>
      <c r="F1365" s="21">
        <v>3780</v>
      </c>
      <c r="G1365" s="14">
        <v>167</v>
      </c>
      <c r="H1365" s="14">
        <v>1</v>
      </c>
      <c r="I1365" s="14">
        <v>40</v>
      </c>
      <c r="J1365" s="22">
        <v>0.99913340775445603</v>
      </c>
      <c r="K1365" s="22">
        <v>8.6659224554397297E-4</v>
      </c>
      <c r="L1365" s="14">
        <v>0</v>
      </c>
    </row>
    <row r="1366" spans="1:12" x14ac:dyDescent="0.25">
      <c r="A1366" s="13" t="s">
        <v>3551</v>
      </c>
      <c r="B1366" s="14" t="s">
        <v>607</v>
      </c>
      <c r="C1366" s="14" t="s">
        <v>3518</v>
      </c>
      <c r="D1366" s="14" t="s">
        <v>3519</v>
      </c>
      <c r="E1366" s="14" t="s">
        <v>3552</v>
      </c>
      <c r="F1366" s="21">
        <v>3780</v>
      </c>
      <c r="G1366" s="14">
        <v>505</v>
      </c>
      <c r="H1366" s="14">
        <v>0</v>
      </c>
      <c r="I1366" s="14">
        <v>48</v>
      </c>
      <c r="J1366" s="22">
        <v>0.947176741269247</v>
      </c>
      <c r="K1366" s="22">
        <v>5.2823258730753102E-2</v>
      </c>
      <c r="L1366" s="14">
        <v>0</v>
      </c>
    </row>
    <row r="1367" spans="1:12" x14ac:dyDescent="0.25">
      <c r="A1367" s="13" t="s">
        <v>7049</v>
      </c>
      <c r="B1367" s="14" t="s">
        <v>5415</v>
      </c>
      <c r="C1367" s="14" t="s">
        <v>5714</v>
      </c>
      <c r="D1367" s="14" t="s">
        <v>3519</v>
      </c>
      <c r="E1367" s="14" t="s">
        <v>7050</v>
      </c>
      <c r="F1367" s="21">
        <v>2562</v>
      </c>
      <c r="G1367" s="14">
        <v>638</v>
      </c>
      <c r="H1367" s="14">
        <v>0</v>
      </c>
      <c r="I1367" s="14">
        <v>45</v>
      </c>
      <c r="J1367" s="22">
        <v>4.14832643571739E-2</v>
      </c>
      <c r="K1367" s="22">
        <v>0.95851673564282602</v>
      </c>
      <c r="L1367" s="14">
        <v>0</v>
      </c>
    </row>
    <row r="1368" spans="1:12" x14ac:dyDescent="0.25">
      <c r="A1368" s="13" t="s">
        <v>3555</v>
      </c>
      <c r="B1368" s="14" t="s">
        <v>5413</v>
      </c>
      <c r="C1368" s="14" t="s">
        <v>3556</v>
      </c>
      <c r="D1368" s="14" t="s">
        <v>3557</v>
      </c>
      <c r="E1368" s="14" t="s">
        <v>3558</v>
      </c>
      <c r="F1368" s="21">
        <v>1272.8599999999999</v>
      </c>
      <c r="G1368" s="14">
        <v>59</v>
      </c>
      <c r="H1368" s="14">
        <v>0</v>
      </c>
      <c r="I1368" s="14">
        <v>29</v>
      </c>
      <c r="J1368" s="22">
        <v>0.15596474238343</v>
      </c>
      <c r="K1368" s="22">
        <v>0.84403525761656994</v>
      </c>
      <c r="L1368" s="14">
        <v>0</v>
      </c>
    </row>
    <row r="1369" spans="1:12" ht="39.6" x14ac:dyDescent="0.25">
      <c r="A1369" s="20" t="s">
        <v>7051</v>
      </c>
      <c r="B1369" s="14" t="s">
        <v>607</v>
      </c>
      <c r="C1369" s="14" t="s">
        <v>5782</v>
      </c>
      <c r="D1369" s="14" t="s">
        <v>3561</v>
      </c>
      <c r="E1369" s="14" t="s">
        <v>3562</v>
      </c>
      <c r="F1369" s="21">
        <v>1068</v>
      </c>
      <c r="H1369" s="14">
        <v>0</v>
      </c>
      <c r="I1369" s="14">
        <v>3</v>
      </c>
      <c r="J1369" s="22">
        <v>0.37188348540201799</v>
      </c>
      <c r="K1369" s="22">
        <v>0.62811651459798201</v>
      </c>
      <c r="L1369" s="14">
        <v>0</v>
      </c>
    </row>
    <row r="1370" spans="1:12" x14ac:dyDescent="0.25">
      <c r="A1370" s="13" t="s">
        <v>7052</v>
      </c>
      <c r="B1370" s="14" t="s">
        <v>547</v>
      </c>
      <c r="C1370" s="14" t="s">
        <v>3564</v>
      </c>
      <c r="D1370" s="14" t="s">
        <v>3565</v>
      </c>
      <c r="E1370" s="14" t="s">
        <v>3566</v>
      </c>
      <c r="F1370" s="21">
        <v>3600</v>
      </c>
      <c r="G1370" s="14">
        <v>38</v>
      </c>
      <c r="H1370" s="14">
        <v>0</v>
      </c>
      <c r="I1370" s="14">
        <v>9</v>
      </c>
      <c r="J1370" s="22">
        <v>0.17193768652414601</v>
      </c>
      <c r="K1370" s="22">
        <v>0.82806231347585502</v>
      </c>
      <c r="L1370" s="14">
        <v>0</v>
      </c>
    </row>
    <row r="1371" spans="1:12" x14ac:dyDescent="0.25">
      <c r="A1371" s="13" t="s">
        <v>7053</v>
      </c>
      <c r="B1371" s="14" t="s">
        <v>547</v>
      </c>
      <c r="C1371" s="14" t="s">
        <v>3564</v>
      </c>
      <c r="D1371" s="14" t="s">
        <v>3565</v>
      </c>
      <c r="E1371" s="14" t="s">
        <v>3568</v>
      </c>
      <c r="F1371" s="21">
        <v>3600</v>
      </c>
      <c r="G1371" s="14">
        <v>926</v>
      </c>
      <c r="H1371" s="14">
        <v>1</v>
      </c>
      <c r="I1371" s="14" t="s">
        <v>6314</v>
      </c>
      <c r="J1371" s="22">
        <v>0.82018986980054298</v>
      </c>
      <c r="K1371" s="22">
        <v>0.17981013019945799</v>
      </c>
      <c r="L1371" s="14">
        <v>0</v>
      </c>
    </row>
    <row r="1372" spans="1:12" x14ac:dyDescent="0.25">
      <c r="A1372" s="13" t="s">
        <v>7054</v>
      </c>
      <c r="B1372" s="14" t="s">
        <v>110</v>
      </c>
      <c r="C1372" s="14" t="s">
        <v>3570</v>
      </c>
      <c r="D1372" s="14" t="s">
        <v>3571</v>
      </c>
      <c r="E1372" s="14" t="s">
        <v>3572</v>
      </c>
      <c r="F1372" s="21">
        <v>2040</v>
      </c>
      <c r="G1372" s="14">
        <v>572</v>
      </c>
      <c r="H1372" s="14">
        <v>0</v>
      </c>
      <c r="I1372" s="14" t="s">
        <v>6314</v>
      </c>
      <c r="J1372" s="22">
        <v>0.38010176921724398</v>
      </c>
      <c r="K1372" s="22">
        <v>0.61989823078275597</v>
      </c>
      <c r="L1372" s="14">
        <v>0</v>
      </c>
    </row>
    <row r="1373" spans="1:12" x14ac:dyDescent="0.25">
      <c r="A1373" s="13" t="s">
        <v>7055</v>
      </c>
      <c r="B1373" s="14" t="s">
        <v>110</v>
      </c>
      <c r="C1373" s="14" t="s">
        <v>5715</v>
      </c>
      <c r="D1373" s="14" t="s">
        <v>3574</v>
      </c>
      <c r="E1373" s="14" t="s">
        <v>3575</v>
      </c>
      <c r="F1373" s="21">
        <v>1700</v>
      </c>
      <c r="G1373" s="14">
        <v>353</v>
      </c>
      <c r="H1373" s="14">
        <v>0</v>
      </c>
      <c r="I1373" s="14">
        <v>7</v>
      </c>
      <c r="J1373" s="22">
        <v>0.69042012360815397</v>
      </c>
      <c r="K1373" s="22">
        <v>0.30957987639184598</v>
      </c>
      <c r="L1373" s="14">
        <v>0</v>
      </c>
    </row>
    <row r="1374" spans="1:12" x14ac:dyDescent="0.25">
      <c r="A1374" s="13" t="s">
        <v>6154</v>
      </c>
      <c r="B1374" s="14" t="s">
        <v>5400</v>
      </c>
      <c r="C1374" s="14" t="s">
        <v>3578</v>
      </c>
      <c r="D1374" s="14" t="s">
        <v>3579</v>
      </c>
      <c r="E1374" s="14" t="s">
        <v>3580</v>
      </c>
      <c r="F1374" s="21">
        <v>2110.15</v>
      </c>
      <c r="G1374" s="14">
        <v>943</v>
      </c>
      <c r="H1374" s="14">
        <v>1</v>
      </c>
      <c r="I1374" s="14">
        <v>3</v>
      </c>
      <c r="J1374" s="22">
        <v>0.28923814861376701</v>
      </c>
      <c r="K1374" s="22">
        <v>0.71076185138623404</v>
      </c>
      <c r="L1374" s="14">
        <v>0</v>
      </c>
    </row>
    <row r="1375" spans="1:12" x14ac:dyDescent="0.25">
      <c r="A1375" s="13" t="s">
        <v>7056</v>
      </c>
      <c r="B1375" s="14" t="s">
        <v>17</v>
      </c>
      <c r="C1375" s="14" t="s">
        <v>3582</v>
      </c>
      <c r="D1375" s="14" t="s">
        <v>3583</v>
      </c>
      <c r="E1375" s="14" t="s">
        <v>3584</v>
      </c>
      <c r="F1375" s="21">
        <v>2292.64</v>
      </c>
      <c r="H1375" s="14">
        <v>0</v>
      </c>
      <c r="I1375" s="14">
        <v>50</v>
      </c>
      <c r="J1375" s="22">
        <v>0.73857889826001399</v>
      </c>
      <c r="K1375" s="22">
        <v>0.26142110173998601</v>
      </c>
      <c r="L1375" s="14">
        <v>0</v>
      </c>
    </row>
    <row r="1376" spans="1:12" x14ac:dyDescent="0.25">
      <c r="A1376" s="13" t="s">
        <v>7057</v>
      </c>
      <c r="B1376" s="14" t="s">
        <v>17</v>
      </c>
      <c r="C1376" s="14" t="s">
        <v>3582</v>
      </c>
      <c r="D1376" s="14" t="s">
        <v>3583</v>
      </c>
      <c r="E1376" s="14" t="s">
        <v>3585</v>
      </c>
      <c r="F1376" s="21">
        <v>2387.4899999999998</v>
      </c>
      <c r="G1376" s="14">
        <v>740</v>
      </c>
      <c r="H1376" s="14">
        <v>0</v>
      </c>
      <c r="I1376" s="14">
        <v>39</v>
      </c>
      <c r="J1376" s="22">
        <v>7.8750100045411803E-2</v>
      </c>
      <c r="K1376" s="22">
        <v>0.92124989995458795</v>
      </c>
      <c r="L1376" s="14">
        <v>0</v>
      </c>
    </row>
    <row r="1377" spans="1:12" ht="52.8" x14ac:dyDescent="0.25">
      <c r="A1377" s="20" t="s">
        <v>7058</v>
      </c>
      <c r="B1377" s="14" t="s">
        <v>17</v>
      </c>
      <c r="C1377" s="14" t="s">
        <v>3582</v>
      </c>
      <c r="D1377" s="14" t="s">
        <v>3583</v>
      </c>
      <c r="E1377" s="14" t="s">
        <v>3587</v>
      </c>
      <c r="F1377" s="21">
        <v>2396.5700000000002</v>
      </c>
      <c r="G1377" s="14">
        <v>112</v>
      </c>
      <c r="H1377" s="14">
        <v>1</v>
      </c>
      <c r="I1377" s="14">
        <v>39</v>
      </c>
      <c r="J1377" s="22">
        <v>0.64950555502166596</v>
      </c>
      <c r="K1377" s="22">
        <v>0.35049444497833399</v>
      </c>
      <c r="L1377" s="14">
        <v>0</v>
      </c>
    </row>
    <row r="1378" spans="1:12" x14ac:dyDescent="0.25">
      <c r="A1378" s="13" t="s">
        <v>7059</v>
      </c>
      <c r="B1378" s="14" t="s">
        <v>17</v>
      </c>
      <c r="C1378" s="14" t="s">
        <v>3582</v>
      </c>
      <c r="D1378" s="14" t="s">
        <v>3583</v>
      </c>
      <c r="E1378" s="14" t="s">
        <v>3589</v>
      </c>
      <c r="F1378" s="21">
        <v>2408.6799999999998</v>
      </c>
      <c r="G1378" s="14">
        <v>757</v>
      </c>
      <c r="H1378" s="14">
        <v>0</v>
      </c>
      <c r="I1378" s="14">
        <v>43</v>
      </c>
      <c r="J1378" s="22">
        <v>0.36016426138546997</v>
      </c>
      <c r="K1378" s="22">
        <v>0.63983573861453003</v>
      </c>
      <c r="L1378" s="14">
        <v>0</v>
      </c>
    </row>
    <row r="1379" spans="1:12" ht="52.8" x14ac:dyDescent="0.25">
      <c r="A1379" s="20" t="s">
        <v>7060</v>
      </c>
      <c r="B1379" s="14" t="s">
        <v>17</v>
      </c>
      <c r="C1379" s="14" t="s">
        <v>3582</v>
      </c>
      <c r="D1379" s="14" t="s">
        <v>3583</v>
      </c>
      <c r="E1379" s="14" t="s">
        <v>3591</v>
      </c>
      <c r="F1379" s="21">
        <v>2415.37</v>
      </c>
      <c r="G1379" s="14">
        <v>461</v>
      </c>
      <c r="H1379" s="14">
        <v>1</v>
      </c>
      <c r="I1379" s="14">
        <v>50</v>
      </c>
      <c r="J1379" s="22">
        <v>3.1545878464221501E-2</v>
      </c>
      <c r="K1379" s="22">
        <v>0.96845412153577903</v>
      </c>
      <c r="L1379" s="14">
        <v>0</v>
      </c>
    </row>
    <row r="1380" spans="1:12" ht="39.6" x14ac:dyDescent="0.25">
      <c r="A1380" s="20" t="s">
        <v>7061</v>
      </c>
      <c r="B1380" s="14" t="s">
        <v>17</v>
      </c>
      <c r="C1380" s="14" t="s">
        <v>3582</v>
      </c>
      <c r="D1380" s="14" t="s">
        <v>3583</v>
      </c>
      <c r="E1380" s="14" t="s">
        <v>3593</v>
      </c>
      <c r="F1380" s="21">
        <v>2415.37</v>
      </c>
      <c r="G1380" s="14">
        <v>237</v>
      </c>
      <c r="H1380" s="14">
        <v>1</v>
      </c>
      <c r="I1380" s="14">
        <v>8</v>
      </c>
      <c r="J1380" s="22">
        <v>0.77934040599112497</v>
      </c>
      <c r="K1380" s="22">
        <v>0.220659594008875</v>
      </c>
      <c r="L1380" s="14">
        <v>0</v>
      </c>
    </row>
    <row r="1381" spans="1:12" ht="52.8" x14ac:dyDescent="0.25">
      <c r="A1381" s="20" t="s">
        <v>7062</v>
      </c>
      <c r="B1381" s="14" t="s">
        <v>17</v>
      </c>
      <c r="C1381" s="14" t="s">
        <v>3582</v>
      </c>
      <c r="D1381" s="14" t="s">
        <v>3583</v>
      </c>
      <c r="E1381" s="14" t="s">
        <v>3595</v>
      </c>
      <c r="F1381" s="21">
        <v>2415.37</v>
      </c>
      <c r="G1381" s="14">
        <v>230</v>
      </c>
      <c r="H1381" s="14">
        <v>1</v>
      </c>
      <c r="I1381" s="14">
        <v>31</v>
      </c>
      <c r="J1381" s="22">
        <v>0.102140104538475</v>
      </c>
      <c r="K1381" s="22">
        <v>0.897859895461525</v>
      </c>
      <c r="L1381" s="14">
        <v>0</v>
      </c>
    </row>
    <row r="1382" spans="1:12" x14ac:dyDescent="0.25">
      <c r="A1382" s="13" t="s">
        <v>3596</v>
      </c>
      <c r="B1382" s="14" t="s">
        <v>17</v>
      </c>
      <c r="C1382" s="14" t="s">
        <v>3582</v>
      </c>
      <c r="D1382" s="14" t="s">
        <v>3583</v>
      </c>
      <c r="E1382" s="14" t="s">
        <v>3597</v>
      </c>
      <c r="F1382" s="21">
        <v>2420.16</v>
      </c>
      <c r="G1382" s="14">
        <v>818</v>
      </c>
      <c r="H1382" s="14">
        <v>1</v>
      </c>
      <c r="I1382" s="14" t="s">
        <v>6314</v>
      </c>
      <c r="J1382" s="22">
        <v>0.40828216533031098</v>
      </c>
      <c r="K1382" s="22">
        <v>0.59171783466968897</v>
      </c>
      <c r="L1382" s="14">
        <v>0</v>
      </c>
    </row>
    <row r="1383" spans="1:12" x14ac:dyDescent="0.25">
      <c r="A1383" s="13" t="s">
        <v>7063</v>
      </c>
      <c r="B1383" s="14" t="s">
        <v>17</v>
      </c>
      <c r="C1383" s="14" t="s">
        <v>3598</v>
      </c>
      <c r="D1383" s="14" t="s">
        <v>3599</v>
      </c>
      <c r="E1383" s="14" t="s">
        <v>3600</v>
      </c>
      <c r="F1383" s="21">
        <v>2218.5500000000002</v>
      </c>
      <c r="G1383" s="14">
        <v>304</v>
      </c>
      <c r="H1383" s="14">
        <v>0</v>
      </c>
      <c r="I1383" s="14">
        <v>45</v>
      </c>
      <c r="J1383" s="22">
        <v>0.42868756218749898</v>
      </c>
      <c r="K1383" s="22">
        <v>0.57131243781250096</v>
      </c>
      <c r="L1383" s="14">
        <v>0</v>
      </c>
    </row>
    <row r="1384" spans="1:12" x14ac:dyDescent="0.25">
      <c r="A1384" s="13" t="s">
        <v>7064</v>
      </c>
      <c r="B1384" s="14" t="s">
        <v>17</v>
      </c>
      <c r="C1384" s="14" t="s">
        <v>3602</v>
      </c>
      <c r="D1384" s="14" t="s">
        <v>3603</v>
      </c>
      <c r="E1384" s="14" t="s">
        <v>3604</v>
      </c>
      <c r="F1384" s="21">
        <v>2397.64</v>
      </c>
      <c r="H1384" s="14">
        <v>1</v>
      </c>
      <c r="I1384" s="14">
        <v>25</v>
      </c>
      <c r="J1384" s="22">
        <v>0.12547304860713401</v>
      </c>
      <c r="K1384" s="22">
        <v>0.87452695139286596</v>
      </c>
      <c r="L1384" s="14">
        <v>0</v>
      </c>
    </row>
    <row r="1385" spans="1:12" x14ac:dyDescent="0.25">
      <c r="A1385" s="13" t="s">
        <v>3605</v>
      </c>
      <c r="B1385" s="14" t="s">
        <v>17</v>
      </c>
      <c r="C1385" s="14" t="s">
        <v>3606</v>
      </c>
      <c r="D1385" s="14" t="s">
        <v>3607</v>
      </c>
      <c r="E1385" s="14" t="s">
        <v>3608</v>
      </c>
      <c r="F1385" s="21">
        <v>2281.08</v>
      </c>
      <c r="G1385" s="14">
        <v>310</v>
      </c>
      <c r="H1385" s="14">
        <v>0</v>
      </c>
      <c r="I1385" s="14">
        <v>19</v>
      </c>
      <c r="J1385" s="22">
        <v>0.72088740845851995</v>
      </c>
      <c r="K1385" s="22">
        <v>0.27911259154147999</v>
      </c>
      <c r="L1385" s="14">
        <v>0</v>
      </c>
    </row>
    <row r="1386" spans="1:12" x14ac:dyDescent="0.25">
      <c r="B1386" s="14" t="s">
        <v>17</v>
      </c>
      <c r="C1386" s="14" t="s">
        <v>3606</v>
      </c>
      <c r="D1386" s="14" t="s">
        <v>3607</v>
      </c>
      <c r="E1386" s="14" t="s">
        <v>3609</v>
      </c>
      <c r="F1386" s="21">
        <v>2415.37</v>
      </c>
      <c r="G1386" s="14">
        <v>7</v>
      </c>
      <c r="H1386" s="14">
        <v>1</v>
      </c>
      <c r="I1386" s="14">
        <v>11</v>
      </c>
      <c r="J1386" s="22">
        <v>0.13483682360674301</v>
      </c>
      <c r="K1386" s="22">
        <v>0.86516317639325702</v>
      </c>
      <c r="L1386" s="14">
        <v>0</v>
      </c>
    </row>
    <row r="1387" spans="1:12" x14ac:dyDescent="0.25">
      <c r="A1387" s="13" t="s">
        <v>6155</v>
      </c>
      <c r="B1387" s="14" t="s">
        <v>3577</v>
      </c>
      <c r="C1387" s="14" t="s">
        <v>3610</v>
      </c>
      <c r="D1387" s="14" t="s">
        <v>3599</v>
      </c>
      <c r="E1387" s="14" t="s">
        <v>3611</v>
      </c>
      <c r="F1387" s="21">
        <v>2061.8200000000002</v>
      </c>
      <c r="G1387" s="14">
        <v>963</v>
      </c>
      <c r="H1387" s="14">
        <v>0</v>
      </c>
      <c r="I1387" s="14">
        <v>5</v>
      </c>
      <c r="J1387" s="22">
        <v>0.21129321009378199</v>
      </c>
      <c r="K1387" s="22">
        <v>0.78870678990621801</v>
      </c>
      <c r="L1387" s="14">
        <v>0</v>
      </c>
    </row>
    <row r="1388" spans="1:12" x14ac:dyDescent="0.25">
      <c r="A1388" s="13" t="s">
        <v>7065</v>
      </c>
      <c r="B1388" s="14" t="s">
        <v>3577</v>
      </c>
      <c r="C1388" s="14" t="s">
        <v>3613</v>
      </c>
      <c r="D1388" s="14" t="s">
        <v>3614</v>
      </c>
      <c r="E1388" s="14" t="s">
        <v>3615</v>
      </c>
      <c r="F1388" s="21">
        <v>2075.98</v>
      </c>
      <c r="G1388" s="14">
        <v>970</v>
      </c>
      <c r="H1388" s="14">
        <v>0</v>
      </c>
      <c r="I1388" s="14">
        <v>47</v>
      </c>
      <c r="J1388" s="22">
        <v>0.348379365322461</v>
      </c>
      <c r="K1388" s="22">
        <v>0.65162063467753895</v>
      </c>
      <c r="L1388" s="14">
        <v>0</v>
      </c>
    </row>
    <row r="1389" spans="1:12" x14ac:dyDescent="0.25">
      <c r="A1389" s="13" t="s">
        <v>3616</v>
      </c>
      <c r="B1389" s="14" t="s">
        <v>69</v>
      </c>
      <c r="C1389" s="14" t="s">
        <v>3617</v>
      </c>
      <c r="D1389" s="14" t="s">
        <v>3618</v>
      </c>
      <c r="E1389" s="14" t="s">
        <v>3619</v>
      </c>
      <c r="F1389" s="21">
        <v>2382.11</v>
      </c>
      <c r="G1389" s="14">
        <v>820</v>
      </c>
      <c r="H1389" s="14">
        <v>1</v>
      </c>
      <c r="I1389" s="14">
        <v>46</v>
      </c>
      <c r="J1389" s="22">
        <v>0.334459154080677</v>
      </c>
      <c r="K1389" s="22">
        <v>0.66554084591932305</v>
      </c>
      <c r="L1389" s="14">
        <v>0</v>
      </c>
    </row>
    <row r="1390" spans="1:12" x14ac:dyDescent="0.25">
      <c r="A1390" s="13">
        <v>23672768</v>
      </c>
      <c r="B1390" s="14" t="s">
        <v>5374</v>
      </c>
      <c r="C1390" s="14" t="s">
        <v>5716</v>
      </c>
      <c r="D1390" s="14" t="s">
        <v>3621</v>
      </c>
      <c r="E1390" s="14" t="s">
        <v>3622</v>
      </c>
      <c r="F1390" s="21">
        <v>1758.89</v>
      </c>
      <c r="G1390" s="14">
        <v>96</v>
      </c>
      <c r="H1390" s="14">
        <v>1</v>
      </c>
      <c r="I1390" s="14">
        <v>18</v>
      </c>
      <c r="J1390" s="22">
        <v>6.7199647428268103E-2</v>
      </c>
      <c r="K1390" s="22">
        <v>0.93280035257173199</v>
      </c>
      <c r="L1390" s="14">
        <v>0</v>
      </c>
    </row>
    <row r="1391" spans="1:12" x14ac:dyDescent="0.25">
      <c r="A1391" s="13">
        <v>23046981</v>
      </c>
      <c r="B1391" s="14" t="s">
        <v>5374</v>
      </c>
      <c r="C1391" s="14" t="s">
        <v>5716</v>
      </c>
      <c r="D1391" s="14" t="s">
        <v>3621</v>
      </c>
      <c r="E1391" s="14" t="s">
        <v>3623</v>
      </c>
      <c r="F1391" s="21">
        <v>2345</v>
      </c>
      <c r="G1391" s="14">
        <v>106</v>
      </c>
      <c r="H1391" s="14">
        <v>0</v>
      </c>
      <c r="I1391" s="14">
        <v>11</v>
      </c>
      <c r="J1391" s="22">
        <v>0.68577471153751102</v>
      </c>
      <c r="K1391" s="22">
        <v>0.31422528846248898</v>
      </c>
      <c r="L1391" s="14">
        <v>0</v>
      </c>
    </row>
    <row r="1392" spans="1:12" ht="26.4" x14ac:dyDescent="0.25">
      <c r="A1392" s="20" t="s">
        <v>7066</v>
      </c>
      <c r="B1392" s="14" t="s">
        <v>17</v>
      </c>
      <c r="C1392" s="14" t="s">
        <v>5716</v>
      </c>
      <c r="D1392" s="14" t="s">
        <v>3621</v>
      </c>
      <c r="E1392" s="14" t="s">
        <v>3625</v>
      </c>
      <c r="F1392" s="21">
        <v>1747.16</v>
      </c>
      <c r="G1392" s="14">
        <v>627</v>
      </c>
      <c r="H1392" s="14">
        <v>1</v>
      </c>
      <c r="I1392" s="14">
        <v>3</v>
      </c>
      <c r="J1392" s="22">
        <v>0.118596739284922</v>
      </c>
      <c r="K1392" s="22">
        <v>0.88140326071507802</v>
      </c>
      <c r="L1392" s="14">
        <v>0</v>
      </c>
    </row>
    <row r="1393" spans="1:12" ht="26.4" x14ac:dyDescent="0.25">
      <c r="A1393" s="20" t="s">
        <v>7067</v>
      </c>
      <c r="B1393" s="14" t="s">
        <v>17</v>
      </c>
      <c r="C1393" s="14" t="s">
        <v>3620</v>
      </c>
      <c r="D1393" s="14" t="s">
        <v>3621</v>
      </c>
      <c r="E1393" s="14" t="s">
        <v>3627</v>
      </c>
      <c r="F1393" s="21">
        <v>1760.94</v>
      </c>
      <c r="G1393" s="14">
        <v>365</v>
      </c>
      <c r="H1393" s="14">
        <v>1</v>
      </c>
      <c r="I1393" s="14">
        <v>32</v>
      </c>
      <c r="J1393" s="22">
        <v>0.45920684915175097</v>
      </c>
      <c r="K1393" s="22">
        <v>0.54079315084824897</v>
      </c>
      <c r="L1393" s="14">
        <v>0</v>
      </c>
    </row>
    <row r="1394" spans="1:12" ht="26.4" x14ac:dyDescent="0.25">
      <c r="A1394" s="20" t="s">
        <v>7068</v>
      </c>
      <c r="B1394" s="14" t="s">
        <v>17</v>
      </c>
      <c r="C1394" s="14" t="s">
        <v>3620</v>
      </c>
      <c r="D1394" s="14" t="s">
        <v>3621</v>
      </c>
      <c r="E1394" s="14" t="s">
        <v>3629</v>
      </c>
      <c r="F1394" s="21">
        <v>1762.69</v>
      </c>
      <c r="G1394" s="14">
        <v>234</v>
      </c>
      <c r="H1394" s="14">
        <v>0</v>
      </c>
      <c r="I1394" s="14">
        <v>44</v>
      </c>
      <c r="J1394" s="22">
        <v>0.60572260951477697</v>
      </c>
      <c r="K1394" s="22">
        <v>0.39427739048522298</v>
      </c>
      <c r="L1394" s="14">
        <v>0</v>
      </c>
    </row>
    <row r="1395" spans="1:12" ht="26.4" x14ac:dyDescent="0.25">
      <c r="A1395" s="20" t="s">
        <v>7069</v>
      </c>
      <c r="B1395" s="14" t="s">
        <v>17</v>
      </c>
      <c r="C1395" s="14" t="s">
        <v>3620</v>
      </c>
      <c r="D1395" s="14" t="s">
        <v>3621</v>
      </c>
      <c r="E1395" s="14" t="s">
        <v>3631</v>
      </c>
      <c r="F1395" s="21">
        <v>1762.69</v>
      </c>
      <c r="G1395" s="14">
        <v>548</v>
      </c>
      <c r="H1395" s="14">
        <v>1</v>
      </c>
      <c r="I1395" s="14">
        <v>6</v>
      </c>
      <c r="J1395" s="22">
        <v>0.95263509610834796</v>
      </c>
      <c r="K1395" s="22">
        <v>4.7364903891651898E-2</v>
      </c>
      <c r="L1395" s="14">
        <v>0</v>
      </c>
    </row>
    <row r="1396" spans="1:12" x14ac:dyDescent="0.25">
      <c r="B1396" s="14" t="s">
        <v>17</v>
      </c>
      <c r="C1396" s="14" t="s">
        <v>5716</v>
      </c>
      <c r="D1396" s="14" t="s">
        <v>3621</v>
      </c>
      <c r="E1396" s="14" t="s">
        <v>3632</v>
      </c>
      <c r="F1396" s="21">
        <v>1779.76</v>
      </c>
      <c r="G1396" s="14">
        <v>24</v>
      </c>
      <c r="H1396" s="14">
        <v>0</v>
      </c>
      <c r="I1396" s="14">
        <v>46</v>
      </c>
      <c r="J1396" s="22">
        <v>0.53463187376486998</v>
      </c>
      <c r="K1396" s="22">
        <v>0.46536812623513002</v>
      </c>
      <c r="L1396" s="14">
        <v>0</v>
      </c>
    </row>
    <row r="1397" spans="1:12" x14ac:dyDescent="0.25">
      <c r="A1397" s="13" t="s">
        <v>7070</v>
      </c>
      <c r="B1397" s="14" t="s">
        <v>17</v>
      </c>
      <c r="C1397" s="14" t="s">
        <v>5716</v>
      </c>
      <c r="D1397" s="14" t="s">
        <v>3621</v>
      </c>
      <c r="E1397" s="14" t="s">
        <v>3634</v>
      </c>
      <c r="F1397" s="21">
        <v>1961.25</v>
      </c>
      <c r="G1397" s="14">
        <v>460</v>
      </c>
      <c r="H1397" s="14">
        <v>0</v>
      </c>
      <c r="I1397" s="14">
        <v>5</v>
      </c>
      <c r="J1397" s="22">
        <v>0.31180788185246899</v>
      </c>
      <c r="K1397" s="22">
        <v>0.68819211814753101</v>
      </c>
      <c r="L1397" s="14">
        <v>0</v>
      </c>
    </row>
    <row r="1398" spans="1:12" x14ac:dyDescent="0.25">
      <c r="A1398" s="13" t="s">
        <v>7071</v>
      </c>
      <c r="B1398" s="14" t="s">
        <v>17</v>
      </c>
      <c r="C1398" s="14" t="s">
        <v>5716</v>
      </c>
      <c r="D1398" s="14" t="s">
        <v>3621</v>
      </c>
      <c r="E1398" s="14" t="s">
        <v>3636</v>
      </c>
      <c r="F1398" s="21">
        <v>2100.54</v>
      </c>
      <c r="G1398" s="14">
        <v>445</v>
      </c>
      <c r="I1398" s="14">
        <v>13</v>
      </c>
      <c r="J1398" s="22">
        <v>0.41560788502170098</v>
      </c>
      <c r="K1398" s="22">
        <v>0.58439211497829902</v>
      </c>
      <c r="L1398" s="14">
        <v>0</v>
      </c>
    </row>
    <row r="1399" spans="1:12" x14ac:dyDescent="0.25">
      <c r="A1399" s="13" t="s">
        <v>7072</v>
      </c>
      <c r="B1399" s="14" t="s">
        <v>17</v>
      </c>
      <c r="C1399" s="14" t="s">
        <v>5716</v>
      </c>
      <c r="D1399" s="14" t="s">
        <v>3621</v>
      </c>
      <c r="E1399" s="14" t="s">
        <v>3638</v>
      </c>
      <c r="F1399" s="21">
        <v>2118.5700000000002</v>
      </c>
      <c r="G1399" s="14">
        <v>694</v>
      </c>
      <c r="H1399" s="14">
        <v>1</v>
      </c>
      <c r="I1399" s="14">
        <v>3</v>
      </c>
      <c r="J1399" s="22">
        <v>0.32991417342252399</v>
      </c>
      <c r="K1399" s="22">
        <v>0.67008582657747595</v>
      </c>
      <c r="L1399" s="14">
        <v>0</v>
      </c>
    </row>
    <row r="1400" spans="1:12" x14ac:dyDescent="0.25">
      <c r="A1400" s="13" t="s">
        <v>7073</v>
      </c>
      <c r="B1400" s="14" t="s">
        <v>17</v>
      </c>
      <c r="C1400" s="14" t="s">
        <v>5716</v>
      </c>
      <c r="D1400" s="14" t="s">
        <v>3621</v>
      </c>
      <c r="E1400" s="14" t="s">
        <v>3640</v>
      </c>
      <c r="F1400" s="21">
        <v>2142.8000000000002</v>
      </c>
      <c r="G1400" s="14">
        <v>51</v>
      </c>
      <c r="H1400" s="14">
        <v>1</v>
      </c>
      <c r="I1400" s="14">
        <v>37</v>
      </c>
      <c r="J1400" s="22">
        <v>0.94172665506637898</v>
      </c>
      <c r="K1400" s="22">
        <v>5.8273344933621497E-2</v>
      </c>
      <c r="L1400" s="14">
        <v>950</v>
      </c>
    </row>
    <row r="1401" spans="1:12" ht="26.4" x14ac:dyDescent="0.25">
      <c r="A1401" s="20" t="s">
        <v>7074</v>
      </c>
      <c r="B1401" s="14" t="s">
        <v>17</v>
      </c>
      <c r="C1401" s="14" t="s">
        <v>5716</v>
      </c>
      <c r="D1401" s="14" t="s">
        <v>3621</v>
      </c>
      <c r="E1401" s="14" t="s">
        <v>3642</v>
      </c>
      <c r="F1401" s="21">
        <v>2224.4699999999998</v>
      </c>
      <c r="H1401" s="14">
        <v>0</v>
      </c>
      <c r="I1401" s="14">
        <v>14</v>
      </c>
      <c r="J1401" s="22">
        <v>0.34422323380098502</v>
      </c>
      <c r="K1401" s="22">
        <v>0.65577676619901504</v>
      </c>
      <c r="L1401" s="14">
        <v>0</v>
      </c>
    </row>
    <row r="1402" spans="1:12" x14ac:dyDescent="0.25">
      <c r="A1402" s="13" t="s">
        <v>7075</v>
      </c>
      <c r="B1402" s="14" t="s">
        <v>17</v>
      </c>
      <c r="C1402" s="14" t="s">
        <v>3620</v>
      </c>
      <c r="D1402" s="14" t="s">
        <v>3621</v>
      </c>
      <c r="E1402" s="14" t="s">
        <v>3644</v>
      </c>
      <c r="F1402" s="21">
        <v>2280.14</v>
      </c>
      <c r="G1402" s="14">
        <v>441</v>
      </c>
      <c r="H1402" s="14">
        <v>1</v>
      </c>
      <c r="I1402" s="14">
        <v>28</v>
      </c>
      <c r="J1402" s="22">
        <v>0.438346493236281</v>
      </c>
      <c r="K1402" s="22">
        <v>0.56165350676371895</v>
      </c>
      <c r="L1402" s="14">
        <v>0</v>
      </c>
    </row>
    <row r="1403" spans="1:12" ht="39.6" x14ac:dyDescent="0.25">
      <c r="A1403" s="20" t="s">
        <v>7076</v>
      </c>
      <c r="B1403" s="14" t="s">
        <v>17</v>
      </c>
      <c r="C1403" s="14" t="s">
        <v>5716</v>
      </c>
      <c r="D1403" s="14" t="s">
        <v>3621</v>
      </c>
      <c r="E1403" s="14" t="s">
        <v>3646</v>
      </c>
      <c r="F1403" s="21">
        <v>2298.35</v>
      </c>
      <c r="G1403" s="14">
        <v>371</v>
      </c>
      <c r="H1403" s="14">
        <v>1</v>
      </c>
      <c r="I1403" s="14">
        <v>36</v>
      </c>
      <c r="J1403" s="22">
        <v>0.73012729704932</v>
      </c>
      <c r="K1403" s="22">
        <v>0.26987270295068</v>
      </c>
      <c r="L1403" s="14">
        <v>0</v>
      </c>
    </row>
    <row r="1404" spans="1:12" x14ac:dyDescent="0.25">
      <c r="A1404" s="13" t="s">
        <v>3647</v>
      </c>
      <c r="B1404" s="14" t="s">
        <v>17</v>
      </c>
      <c r="C1404" s="14" t="s">
        <v>3620</v>
      </c>
      <c r="D1404" s="14" t="s">
        <v>3621</v>
      </c>
      <c r="E1404" s="14" t="s">
        <v>3648</v>
      </c>
      <c r="F1404" s="21">
        <v>2314.3200000000002</v>
      </c>
      <c r="H1404" s="14">
        <v>0</v>
      </c>
      <c r="I1404" s="14">
        <v>46</v>
      </c>
      <c r="J1404" s="22">
        <v>0.9461056344355</v>
      </c>
      <c r="K1404" s="22">
        <v>5.3894365564499599E-2</v>
      </c>
      <c r="L1404" s="14">
        <v>0</v>
      </c>
    </row>
    <row r="1405" spans="1:12" x14ac:dyDescent="0.25">
      <c r="A1405" s="13" t="s">
        <v>3649</v>
      </c>
      <c r="B1405" s="14" t="s">
        <v>17</v>
      </c>
      <c r="C1405" s="14" t="s">
        <v>3620</v>
      </c>
      <c r="D1405" s="14" t="s">
        <v>3621</v>
      </c>
      <c r="E1405" s="14" t="s">
        <v>3650</v>
      </c>
      <c r="F1405" s="21">
        <v>2326.4299999999998</v>
      </c>
      <c r="G1405" s="14">
        <v>328</v>
      </c>
      <c r="H1405" s="14">
        <v>0</v>
      </c>
      <c r="I1405" s="14">
        <v>28</v>
      </c>
      <c r="J1405" s="22">
        <v>0.280961791697031</v>
      </c>
      <c r="K1405" s="22">
        <v>0.71903820830297005</v>
      </c>
      <c r="L1405" s="14">
        <v>0</v>
      </c>
    </row>
    <row r="1406" spans="1:12" x14ac:dyDescent="0.25">
      <c r="A1406" s="13" t="s">
        <v>6159</v>
      </c>
      <c r="B1406" s="14" t="s">
        <v>17</v>
      </c>
      <c r="C1406" s="14" t="s">
        <v>3620</v>
      </c>
      <c r="D1406" s="14" t="s">
        <v>3621</v>
      </c>
      <c r="E1406" s="14" t="s">
        <v>3651</v>
      </c>
      <c r="F1406" s="21">
        <v>2343.65</v>
      </c>
      <c r="G1406" s="14">
        <v>181</v>
      </c>
      <c r="H1406" s="14">
        <v>0</v>
      </c>
      <c r="I1406" s="14">
        <v>34</v>
      </c>
      <c r="J1406" s="22">
        <v>0.35783972019802102</v>
      </c>
      <c r="K1406" s="22">
        <v>0.64216027980197898</v>
      </c>
      <c r="L1406" s="14">
        <v>0</v>
      </c>
    </row>
    <row r="1407" spans="1:12" ht="39.6" x14ac:dyDescent="0.25">
      <c r="A1407" s="20" t="s">
        <v>7077</v>
      </c>
      <c r="B1407" s="14" t="s">
        <v>17</v>
      </c>
      <c r="C1407" s="14" t="s">
        <v>3620</v>
      </c>
      <c r="D1407" s="14" t="s">
        <v>3621</v>
      </c>
      <c r="E1407" s="14" t="s">
        <v>3653</v>
      </c>
      <c r="F1407" s="21">
        <v>2382.88</v>
      </c>
      <c r="G1407" s="14">
        <v>111</v>
      </c>
      <c r="H1407" s="14">
        <v>1</v>
      </c>
      <c r="I1407" s="14">
        <v>34</v>
      </c>
      <c r="J1407" s="22">
        <v>0.57874845532971197</v>
      </c>
      <c r="K1407" s="22">
        <v>0.42125154467028803</v>
      </c>
      <c r="L1407" s="14">
        <v>0</v>
      </c>
    </row>
    <row r="1408" spans="1:12" x14ac:dyDescent="0.25">
      <c r="A1408" s="13" t="s">
        <v>7078</v>
      </c>
      <c r="B1408" s="14" t="s">
        <v>17</v>
      </c>
      <c r="C1408" s="14" t="s">
        <v>3620</v>
      </c>
      <c r="D1408" s="14" t="s">
        <v>3621</v>
      </c>
      <c r="E1408" s="14" t="s">
        <v>3655</v>
      </c>
      <c r="F1408" s="21">
        <v>2385.25</v>
      </c>
      <c r="G1408" s="14">
        <v>74</v>
      </c>
      <c r="H1408" s="14">
        <v>1</v>
      </c>
      <c r="I1408" s="14">
        <v>9</v>
      </c>
      <c r="J1408" s="22">
        <v>0.53674838790067103</v>
      </c>
      <c r="K1408" s="22">
        <v>0.46325161209932902</v>
      </c>
      <c r="L1408" s="14">
        <v>0</v>
      </c>
    </row>
    <row r="1409" spans="1:12" x14ac:dyDescent="0.25">
      <c r="A1409" s="13" t="s">
        <v>3656</v>
      </c>
      <c r="B1409" s="14" t="s">
        <v>17</v>
      </c>
      <c r="C1409" s="14" t="s">
        <v>5716</v>
      </c>
      <c r="D1409" s="14" t="s">
        <v>3621</v>
      </c>
      <c r="E1409" s="14" t="s">
        <v>3657</v>
      </c>
      <c r="F1409" s="21">
        <v>2395.4299999999998</v>
      </c>
      <c r="H1409" s="14">
        <v>0</v>
      </c>
      <c r="I1409" s="14">
        <v>41</v>
      </c>
      <c r="J1409" s="22">
        <v>2.2346481955166999E-2</v>
      </c>
      <c r="K1409" s="22">
        <v>0.97765351804483303</v>
      </c>
      <c r="L1409" s="14">
        <v>0</v>
      </c>
    </row>
    <row r="1410" spans="1:12" ht="39.6" x14ac:dyDescent="0.25">
      <c r="A1410" s="20" t="s">
        <v>7079</v>
      </c>
      <c r="B1410" s="14" t="s">
        <v>17</v>
      </c>
      <c r="C1410" s="14" t="s">
        <v>3620</v>
      </c>
      <c r="D1410" s="14" t="s">
        <v>3621</v>
      </c>
      <c r="E1410" s="14" t="s">
        <v>3659</v>
      </c>
      <c r="F1410" s="21">
        <v>2395.87</v>
      </c>
      <c r="G1410" s="14">
        <v>754</v>
      </c>
      <c r="H1410" s="14">
        <v>0</v>
      </c>
      <c r="I1410" s="14">
        <v>42</v>
      </c>
      <c r="J1410" s="22">
        <v>0.44630595288265201</v>
      </c>
      <c r="K1410" s="22">
        <v>0.55369404711734804</v>
      </c>
      <c r="L1410" s="14">
        <v>0</v>
      </c>
    </row>
    <row r="1411" spans="1:12" ht="39.6" x14ac:dyDescent="0.25">
      <c r="A1411" s="20" t="s">
        <v>7080</v>
      </c>
      <c r="B1411" s="14" t="s">
        <v>17</v>
      </c>
      <c r="C1411" s="14" t="s">
        <v>5716</v>
      </c>
      <c r="D1411" s="14" t="s">
        <v>3621</v>
      </c>
      <c r="E1411" s="14" t="s">
        <v>3661</v>
      </c>
      <c r="F1411" s="21">
        <v>2396.5700000000002</v>
      </c>
      <c r="G1411" s="14">
        <v>225</v>
      </c>
      <c r="H1411" s="14">
        <v>1</v>
      </c>
      <c r="I1411" s="14">
        <v>36</v>
      </c>
      <c r="J1411" s="22">
        <v>6.8849624715778504E-2</v>
      </c>
      <c r="K1411" s="22">
        <v>0.93115037528422195</v>
      </c>
      <c r="L1411" s="14">
        <v>0</v>
      </c>
    </row>
    <row r="1412" spans="1:12" ht="39.6" x14ac:dyDescent="0.25">
      <c r="A1412" s="20" t="s">
        <v>7081</v>
      </c>
      <c r="B1412" s="14" t="s">
        <v>17</v>
      </c>
      <c r="C1412" s="14" t="s">
        <v>5716</v>
      </c>
      <c r="D1412" s="14" t="s">
        <v>3621</v>
      </c>
      <c r="E1412" s="14" t="s">
        <v>3663</v>
      </c>
      <c r="F1412" s="21">
        <v>2420.79</v>
      </c>
      <c r="G1412" s="14">
        <v>870</v>
      </c>
      <c r="H1412" s="14">
        <v>1</v>
      </c>
      <c r="I1412" s="14">
        <v>23</v>
      </c>
      <c r="J1412" s="22">
        <v>0.88419915609562605</v>
      </c>
      <c r="K1412" s="22">
        <v>0.11580084390437401</v>
      </c>
      <c r="L1412" s="14">
        <v>0</v>
      </c>
    </row>
    <row r="1413" spans="1:12" ht="39.6" x14ac:dyDescent="0.25">
      <c r="A1413" s="20" t="s">
        <v>7082</v>
      </c>
      <c r="B1413" s="14" t="s">
        <v>17</v>
      </c>
      <c r="C1413" s="14" t="s">
        <v>5716</v>
      </c>
      <c r="D1413" s="14" t="s">
        <v>3621</v>
      </c>
      <c r="E1413" s="14" t="s">
        <v>3665</v>
      </c>
      <c r="F1413" s="21">
        <v>2432.33</v>
      </c>
      <c r="G1413" s="14">
        <v>868</v>
      </c>
      <c r="H1413" s="14">
        <v>1</v>
      </c>
      <c r="I1413" s="14">
        <v>3</v>
      </c>
      <c r="J1413" s="22">
        <v>0.33690320136318602</v>
      </c>
      <c r="K1413" s="22">
        <v>0.66309679863681403</v>
      </c>
      <c r="L1413" s="14">
        <v>0</v>
      </c>
    </row>
    <row r="1414" spans="1:12" x14ac:dyDescent="0.25">
      <c r="A1414" s="13" t="s">
        <v>3666</v>
      </c>
      <c r="B1414" s="14" t="s">
        <v>17</v>
      </c>
      <c r="C1414" s="14" t="s">
        <v>3620</v>
      </c>
      <c r="D1414" s="14" t="s">
        <v>3621</v>
      </c>
      <c r="E1414" s="14" t="s">
        <v>3667</v>
      </c>
      <c r="F1414" s="21">
        <v>2445.75</v>
      </c>
      <c r="G1414" s="14">
        <v>5</v>
      </c>
      <c r="H1414" s="14">
        <v>0</v>
      </c>
      <c r="I1414" s="14">
        <v>16</v>
      </c>
      <c r="J1414" s="22">
        <v>0.55877670747768704</v>
      </c>
      <c r="K1414" s="22">
        <v>0.44122329252231401</v>
      </c>
      <c r="L1414" s="14">
        <v>0</v>
      </c>
    </row>
    <row r="1415" spans="1:12" ht="52.8" x14ac:dyDescent="0.25">
      <c r="A1415" s="20" t="s">
        <v>7083</v>
      </c>
      <c r="B1415" s="14" t="s">
        <v>17</v>
      </c>
      <c r="C1415" s="14" t="s">
        <v>3620</v>
      </c>
      <c r="D1415" s="14" t="s">
        <v>3621</v>
      </c>
      <c r="E1415" s="14" t="s">
        <v>3669</v>
      </c>
      <c r="F1415" s="21">
        <v>2466.4499999999998</v>
      </c>
      <c r="G1415" s="14">
        <v>949</v>
      </c>
      <c r="H1415" s="14">
        <v>0</v>
      </c>
      <c r="I1415" s="14">
        <v>36</v>
      </c>
      <c r="J1415" s="22">
        <v>0.89569096908649104</v>
      </c>
      <c r="K1415" s="22">
        <v>0.104309030913509</v>
      </c>
      <c r="L1415" s="14">
        <v>0</v>
      </c>
    </row>
    <row r="1416" spans="1:12" ht="39.6" x14ac:dyDescent="0.25">
      <c r="A1416" s="20" t="s">
        <v>7084</v>
      </c>
      <c r="B1416" s="14" t="s">
        <v>17</v>
      </c>
      <c r="C1416" s="14" t="s">
        <v>3620</v>
      </c>
      <c r="D1416" s="14" t="s">
        <v>3621</v>
      </c>
      <c r="E1416" s="14" t="s">
        <v>3671</v>
      </c>
      <c r="F1416" s="21">
        <v>2484.23</v>
      </c>
      <c r="G1416" s="14">
        <v>898</v>
      </c>
      <c r="H1416" s="14">
        <v>1</v>
      </c>
      <c r="I1416" s="14">
        <v>21</v>
      </c>
      <c r="J1416" s="22">
        <v>0.48317639856750699</v>
      </c>
      <c r="K1416" s="22">
        <v>0.51682360143249295</v>
      </c>
      <c r="L1416" s="14">
        <v>0</v>
      </c>
    </row>
    <row r="1417" spans="1:12" ht="52.8" x14ac:dyDescent="0.25">
      <c r="A1417" s="20" t="s">
        <v>7085</v>
      </c>
      <c r="B1417" s="14" t="s">
        <v>17</v>
      </c>
      <c r="C1417" s="14" t="s">
        <v>3620</v>
      </c>
      <c r="D1417" s="14" t="s">
        <v>3621</v>
      </c>
      <c r="E1417" s="14" t="s">
        <v>3673</v>
      </c>
      <c r="F1417" s="21">
        <v>2503.34</v>
      </c>
      <c r="G1417" s="14">
        <v>887</v>
      </c>
      <c r="H1417" s="14">
        <v>1</v>
      </c>
      <c r="I1417" s="14" t="s">
        <v>6314</v>
      </c>
      <c r="J1417" s="22">
        <v>0.228111462980011</v>
      </c>
      <c r="K1417" s="22">
        <v>0.77188853701998905</v>
      </c>
      <c r="L1417" s="14">
        <v>0</v>
      </c>
    </row>
    <row r="1418" spans="1:12" ht="52.8" x14ac:dyDescent="0.25">
      <c r="A1418" s="20" t="s">
        <v>7086</v>
      </c>
      <c r="B1418" s="14" t="s">
        <v>17</v>
      </c>
      <c r="C1418" s="14" t="s">
        <v>5716</v>
      </c>
      <c r="D1418" s="14" t="s">
        <v>3621</v>
      </c>
      <c r="E1418" s="14" t="s">
        <v>3675</v>
      </c>
      <c r="F1418" s="21">
        <v>2503.34</v>
      </c>
      <c r="G1418" s="14">
        <v>518</v>
      </c>
      <c r="H1418" s="14">
        <v>1</v>
      </c>
      <c r="I1418" s="14">
        <v>11</v>
      </c>
      <c r="J1418" s="22">
        <v>0.77427735120272601</v>
      </c>
      <c r="K1418" s="22">
        <v>0.22572264879727399</v>
      </c>
      <c r="L1418" s="14">
        <v>0</v>
      </c>
    </row>
    <row r="1419" spans="1:12" x14ac:dyDescent="0.25">
      <c r="B1419" s="14" t="s">
        <v>17</v>
      </c>
      <c r="C1419" s="14" t="s">
        <v>5718</v>
      </c>
      <c r="D1419" s="14" t="s">
        <v>3677</v>
      </c>
      <c r="E1419" s="14" t="s">
        <v>3678</v>
      </c>
      <c r="F1419" s="21">
        <v>987.75</v>
      </c>
      <c r="G1419" s="14">
        <v>825</v>
      </c>
      <c r="H1419" s="14">
        <v>0</v>
      </c>
      <c r="I1419" s="14">
        <v>49</v>
      </c>
      <c r="J1419" s="22">
        <v>0.40837791647365301</v>
      </c>
      <c r="K1419" s="22">
        <v>0.59162208352634704</v>
      </c>
      <c r="L1419" s="14">
        <v>0</v>
      </c>
    </row>
    <row r="1420" spans="1:12" x14ac:dyDescent="0.25">
      <c r="B1420" s="14" t="s">
        <v>17</v>
      </c>
      <c r="C1420" s="14" t="s">
        <v>3676</v>
      </c>
      <c r="D1420" s="14" t="s">
        <v>3677</v>
      </c>
      <c r="E1420" s="14" t="s">
        <v>3679</v>
      </c>
      <c r="F1420" s="21">
        <v>1003.57</v>
      </c>
      <c r="G1420" s="14">
        <v>529</v>
      </c>
      <c r="I1420" s="14">
        <v>28</v>
      </c>
      <c r="J1420" s="22">
        <v>8.4905753396790407E-2</v>
      </c>
      <c r="K1420" s="22">
        <v>0.91509424660321004</v>
      </c>
      <c r="L1420" s="14">
        <v>0</v>
      </c>
    </row>
    <row r="1421" spans="1:12" x14ac:dyDescent="0.25">
      <c r="B1421" s="14" t="s">
        <v>17</v>
      </c>
      <c r="C1421" s="14" t="s">
        <v>3676</v>
      </c>
      <c r="D1421" s="14" t="s">
        <v>3677</v>
      </c>
      <c r="E1421" s="14" t="s">
        <v>3680</v>
      </c>
      <c r="F1421" s="21">
        <v>1127.8399999999999</v>
      </c>
      <c r="H1421" s="14">
        <v>0</v>
      </c>
      <c r="I1421" s="14" t="s">
        <v>6314</v>
      </c>
      <c r="J1421" s="22">
        <v>0.111126903334723</v>
      </c>
      <c r="K1421" s="22">
        <v>0.88887309666527703</v>
      </c>
      <c r="L1421" s="14">
        <v>0</v>
      </c>
    </row>
    <row r="1422" spans="1:12" x14ac:dyDescent="0.25">
      <c r="B1422" s="14" t="s">
        <v>17</v>
      </c>
      <c r="C1422" s="14" t="s">
        <v>5719</v>
      </c>
      <c r="D1422" s="14" t="s">
        <v>3677</v>
      </c>
      <c r="E1422" s="14" t="s">
        <v>3681</v>
      </c>
      <c r="F1422" s="21">
        <v>1198.1300000000001</v>
      </c>
      <c r="H1422" s="14">
        <v>1</v>
      </c>
      <c r="I1422" s="14">
        <v>38</v>
      </c>
      <c r="J1422" s="22">
        <v>0.39984996753138802</v>
      </c>
      <c r="K1422" s="22">
        <v>0.60015003246861198</v>
      </c>
      <c r="L1422" s="14">
        <v>0</v>
      </c>
    </row>
    <row r="1423" spans="1:12" x14ac:dyDescent="0.25">
      <c r="B1423" s="14" t="s">
        <v>17</v>
      </c>
      <c r="C1423" s="14" t="s">
        <v>7087</v>
      </c>
      <c r="D1423" s="14" t="s">
        <v>3677</v>
      </c>
      <c r="E1423" s="14" t="s">
        <v>3682</v>
      </c>
      <c r="F1423" s="21">
        <v>1168.54</v>
      </c>
      <c r="G1423" s="14">
        <v>221</v>
      </c>
      <c r="H1423" s="14">
        <v>0</v>
      </c>
      <c r="I1423" s="14">
        <v>48</v>
      </c>
      <c r="J1423" s="22">
        <v>0.31544372191256498</v>
      </c>
      <c r="K1423" s="22">
        <v>0.68455627808743502</v>
      </c>
      <c r="L1423" s="14">
        <v>0</v>
      </c>
    </row>
    <row r="1424" spans="1:12" ht="39.6" x14ac:dyDescent="0.25">
      <c r="A1424" s="20" t="s">
        <v>7088</v>
      </c>
      <c r="B1424" s="14" t="s">
        <v>69</v>
      </c>
      <c r="C1424" s="14" t="s">
        <v>3684</v>
      </c>
      <c r="D1424" s="14" t="s">
        <v>3621</v>
      </c>
      <c r="E1424" s="14" t="s">
        <v>3685</v>
      </c>
      <c r="F1424" s="21">
        <v>1883.71</v>
      </c>
      <c r="G1424" s="14">
        <v>650</v>
      </c>
      <c r="H1424" s="14">
        <v>1</v>
      </c>
      <c r="I1424" s="14">
        <v>33</v>
      </c>
      <c r="J1424" s="22">
        <v>0.57035857430431303</v>
      </c>
      <c r="K1424" s="22">
        <v>0.42964142569568697</v>
      </c>
      <c r="L1424" s="14">
        <v>0</v>
      </c>
    </row>
    <row r="1425" spans="1:12" x14ac:dyDescent="0.25">
      <c r="A1425" s="13">
        <v>23845426</v>
      </c>
      <c r="B1425" s="14" t="s">
        <v>17</v>
      </c>
      <c r="C1425" s="14" t="s">
        <v>5717</v>
      </c>
      <c r="D1425" s="14" t="s">
        <v>3686</v>
      </c>
      <c r="E1425" s="14" t="s">
        <v>3687</v>
      </c>
      <c r="F1425" s="21">
        <v>1819.51</v>
      </c>
      <c r="G1425" s="14">
        <v>74</v>
      </c>
      <c r="H1425" s="14">
        <v>0</v>
      </c>
      <c r="I1425" s="14">
        <v>6</v>
      </c>
      <c r="J1425" s="22">
        <v>0.43553355095650098</v>
      </c>
      <c r="K1425" s="22">
        <v>0.56446644904349896</v>
      </c>
      <c r="L1425" s="14">
        <v>0</v>
      </c>
    </row>
    <row r="1426" spans="1:12" x14ac:dyDescent="0.25">
      <c r="A1426" s="13" t="s">
        <v>7089</v>
      </c>
      <c r="B1426" s="14" t="s">
        <v>17</v>
      </c>
      <c r="C1426" s="14" t="s">
        <v>5717</v>
      </c>
      <c r="D1426" s="14" t="s">
        <v>3686</v>
      </c>
      <c r="E1426" s="14" t="s">
        <v>3689</v>
      </c>
      <c r="F1426" s="21">
        <v>2518.23</v>
      </c>
      <c r="G1426" s="14">
        <v>770</v>
      </c>
      <c r="H1426" s="14">
        <v>0</v>
      </c>
      <c r="I1426" s="14">
        <v>33</v>
      </c>
      <c r="J1426" s="22">
        <v>0.20637335604169699</v>
      </c>
      <c r="K1426" s="22">
        <v>0.79362664395830396</v>
      </c>
      <c r="L1426" s="14">
        <v>0</v>
      </c>
    </row>
    <row r="1427" spans="1:12" x14ac:dyDescent="0.25">
      <c r="B1427" s="14" t="s">
        <v>5498</v>
      </c>
      <c r="C1427" s="14" t="s">
        <v>3690</v>
      </c>
      <c r="D1427" s="14" t="s">
        <v>3686</v>
      </c>
      <c r="E1427" s="14" t="s">
        <v>3691</v>
      </c>
      <c r="F1427" s="21">
        <v>2504.36</v>
      </c>
      <c r="H1427" s="14">
        <v>1</v>
      </c>
      <c r="I1427" s="14">
        <v>50</v>
      </c>
      <c r="J1427" s="22">
        <v>0.158790380611634</v>
      </c>
      <c r="K1427" s="22">
        <v>0.84120961938836603</v>
      </c>
      <c r="L1427" s="14">
        <v>0</v>
      </c>
    </row>
    <row r="1428" spans="1:12" ht="39.6" x14ac:dyDescent="0.25">
      <c r="A1428" s="20" t="s">
        <v>7090</v>
      </c>
      <c r="B1428" s="14" t="s">
        <v>69</v>
      </c>
      <c r="C1428" s="14" t="s">
        <v>3693</v>
      </c>
      <c r="D1428" s="14" t="s">
        <v>3694</v>
      </c>
      <c r="E1428" s="14" t="s">
        <v>3695</v>
      </c>
      <c r="F1428" s="21">
        <v>1742.35</v>
      </c>
      <c r="G1428" s="14">
        <v>536</v>
      </c>
      <c r="H1428" s="14">
        <v>1</v>
      </c>
      <c r="I1428" s="14">
        <v>21</v>
      </c>
      <c r="J1428" s="22">
        <v>0.99347432309331996</v>
      </c>
      <c r="K1428" s="22">
        <v>6.52567690667982E-3</v>
      </c>
      <c r="L1428" s="14">
        <v>0</v>
      </c>
    </row>
    <row r="1429" spans="1:12" x14ac:dyDescent="0.25">
      <c r="A1429" s="13" t="s">
        <v>3696</v>
      </c>
      <c r="B1429" s="14" t="s">
        <v>17</v>
      </c>
      <c r="C1429" s="14" t="s">
        <v>3697</v>
      </c>
      <c r="D1429" s="14" t="s">
        <v>3599</v>
      </c>
      <c r="E1429" s="14" t="s">
        <v>3698</v>
      </c>
      <c r="F1429" s="21">
        <v>2274.9</v>
      </c>
      <c r="G1429" s="14">
        <v>1</v>
      </c>
      <c r="H1429" s="14">
        <v>0</v>
      </c>
      <c r="I1429" s="14">
        <v>36</v>
      </c>
      <c r="J1429" s="22">
        <v>0.75089521721032104</v>
      </c>
      <c r="K1429" s="22">
        <v>0.24910478278968001</v>
      </c>
      <c r="L1429" s="14">
        <v>0</v>
      </c>
    </row>
    <row r="1430" spans="1:12" x14ac:dyDescent="0.25">
      <c r="A1430" s="13" t="s">
        <v>3699</v>
      </c>
      <c r="B1430" s="14" t="s">
        <v>17</v>
      </c>
      <c r="C1430" s="14" t="s">
        <v>3700</v>
      </c>
      <c r="D1430" s="14" t="s">
        <v>3701</v>
      </c>
      <c r="E1430" s="14" t="s">
        <v>3702</v>
      </c>
      <c r="F1430" s="21">
        <v>623.42999999999995</v>
      </c>
      <c r="G1430" s="14">
        <v>613</v>
      </c>
      <c r="H1430" s="14">
        <v>1</v>
      </c>
      <c r="I1430" s="14">
        <v>2</v>
      </c>
      <c r="J1430" s="22">
        <v>0.51682293460961304</v>
      </c>
      <c r="K1430" s="22">
        <v>0.48317706539038702</v>
      </c>
      <c r="L1430" s="14">
        <v>0</v>
      </c>
    </row>
    <row r="1431" spans="1:12" x14ac:dyDescent="0.25">
      <c r="A1431" s="13" t="s">
        <v>3703</v>
      </c>
      <c r="B1431" s="14" t="s">
        <v>17</v>
      </c>
      <c r="C1431" s="14" t="s">
        <v>3700</v>
      </c>
      <c r="D1431" s="14" t="s">
        <v>3701</v>
      </c>
      <c r="E1431" s="14" t="s">
        <v>3704</v>
      </c>
      <c r="F1431" s="21">
        <v>3608.34</v>
      </c>
      <c r="G1431" s="14">
        <v>482</v>
      </c>
      <c r="H1431" s="14">
        <v>0</v>
      </c>
      <c r="I1431" s="14">
        <v>41</v>
      </c>
      <c r="J1431" s="22">
        <v>0.19462551487471999</v>
      </c>
      <c r="K1431" s="22">
        <v>0.80537448512527998</v>
      </c>
      <c r="L1431" s="14">
        <v>0</v>
      </c>
    </row>
    <row r="1432" spans="1:12" x14ac:dyDescent="0.25">
      <c r="A1432" s="13" t="s">
        <v>3705</v>
      </c>
      <c r="B1432" s="14" t="s">
        <v>17</v>
      </c>
      <c r="C1432" s="14" t="s">
        <v>3700</v>
      </c>
      <c r="D1432" s="14" t="s">
        <v>3701</v>
      </c>
      <c r="E1432" s="14" t="s">
        <v>3706</v>
      </c>
      <c r="F1432" s="21">
        <v>3742.98</v>
      </c>
      <c r="G1432" s="14">
        <v>720</v>
      </c>
      <c r="H1432" s="14">
        <v>0</v>
      </c>
      <c r="I1432" s="14">
        <v>42</v>
      </c>
      <c r="J1432" s="22">
        <v>0.453681890364314</v>
      </c>
      <c r="K1432" s="22">
        <v>0.54631810963568594</v>
      </c>
      <c r="L1432" s="14">
        <v>0</v>
      </c>
    </row>
    <row r="1433" spans="1:12" x14ac:dyDescent="0.25">
      <c r="B1433" s="14" t="s">
        <v>17</v>
      </c>
      <c r="C1433" s="14" t="s">
        <v>3700</v>
      </c>
      <c r="D1433" s="14" t="s">
        <v>3701</v>
      </c>
      <c r="E1433" s="14" t="s">
        <v>3707</v>
      </c>
      <c r="F1433" s="21">
        <v>3997.71</v>
      </c>
      <c r="G1433" s="14">
        <v>813</v>
      </c>
      <c r="H1433" s="14">
        <v>0</v>
      </c>
      <c r="I1433" s="14" t="s">
        <v>6314</v>
      </c>
      <c r="J1433" s="22">
        <v>0.16197308140438099</v>
      </c>
      <c r="K1433" s="22">
        <v>0.83802691859561895</v>
      </c>
      <c r="L1433" s="14">
        <v>0</v>
      </c>
    </row>
    <row r="1434" spans="1:12" ht="52.8" x14ac:dyDescent="0.25">
      <c r="A1434" s="20" t="s">
        <v>7091</v>
      </c>
      <c r="B1434" s="14" t="s">
        <v>17</v>
      </c>
      <c r="C1434" s="14" t="s">
        <v>3700</v>
      </c>
      <c r="D1434" s="14" t="s">
        <v>3701</v>
      </c>
      <c r="E1434" s="14" t="s">
        <v>3709</v>
      </c>
      <c r="F1434" s="21">
        <v>4012.03</v>
      </c>
      <c r="G1434" s="14">
        <v>419</v>
      </c>
      <c r="H1434" s="14">
        <v>1</v>
      </c>
      <c r="I1434" s="14">
        <v>42</v>
      </c>
      <c r="J1434" s="22">
        <v>0.59728913613730705</v>
      </c>
      <c r="K1434" s="22">
        <v>0.402710863862693</v>
      </c>
      <c r="L1434" s="14">
        <v>0</v>
      </c>
    </row>
    <row r="1435" spans="1:12" x14ac:dyDescent="0.25">
      <c r="A1435" s="13" t="s">
        <v>3710</v>
      </c>
      <c r="B1435" s="14" t="s">
        <v>17</v>
      </c>
      <c r="C1435" s="14" t="s">
        <v>3700</v>
      </c>
      <c r="D1435" s="14" t="s">
        <v>3701</v>
      </c>
      <c r="E1435" s="14" t="s">
        <v>3711</v>
      </c>
      <c r="F1435" s="21">
        <v>4105.34</v>
      </c>
      <c r="G1435" s="14">
        <v>768</v>
      </c>
      <c r="H1435" s="14">
        <v>1</v>
      </c>
      <c r="I1435" s="14">
        <v>12</v>
      </c>
      <c r="J1435" s="22">
        <v>2.0316725463866099E-2</v>
      </c>
      <c r="K1435" s="22">
        <v>0.97968327453613402</v>
      </c>
      <c r="L1435" s="14">
        <v>0</v>
      </c>
    </row>
    <row r="1436" spans="1:12" x14ac:dyDescent="0.25">
      <c r="A1436" s="13">
        <v>2875410</v>
      </c>
      <c r="B1436" s="14" t="s">
        <v>17</v>
      </c>
      <c r="C1436" s="14" t="s">
        <v>3700</v>
      </c>
      <c r="D1436" s="14" t="s">
        <v>3701</v>
      </c>
      <c r="E1436" s="14" t="s">
        <v>3713</v>
      </c>
      <c r="F1436" s="21">
        <v>4170.3500000000004</v>
      </c>
      <c r="G1436" s="14">
        <v>938</v>
      </c>
      <c r="H1436" s="14">
        <v>1</v>
      </c>
      <c r="I1436" s="14">
        <v>5</v>
      </c>
      <c r="J1436" s="22">
        <v>0.78382164120009501</v>
      </c>
      <c r="K1436" s="22">
        <v>0.21617835879990499</v>
      </c>
      <c r="L1436" s="14">
        <v>0</v>
      </c>
    </row>
    <row r="1437" spans="1:12" x14ac:dyDescent="0.25">
      <c r="A1437" s="13" t="s">
        <v>7092</v>
      </c>
      <c r="B1437" s="14" t="s">
        <v>5376</v>
      </c>
      <c r="C1437" s="14" t="s">
        <v>3700</v>
      </c>
      <c r="D1437" s="14" t="s">
        <v>3701</v>
      </c>
      <c r="E1437" s="14" t="s">
        <v>3715</v>
      </c>
      <c r="F1437" s="21">
        <v>3912.2</v>
      </c>
      <c r="G1437" s="14">
        <v>814</v>
      </c>
      <c r="H1437" s="14">
        <v>1</v>
      </c>
      <c r="I1437" s="14">
        <v>23</v>
      </c>
      <c r="J1437" s="22">
        <v>0.81323675176923804</v>
      </c>
      <c r="K1437" s="22">
        <v>0.18676324823076201</v>
      </c>
      <c r="L1437" s="14">
        <v>0</v>
      </c>
    </row>
    <row r="1438" spans="1:12" ht="39.6" x14ac:dyDescent="0.25">
      <c r="A1438" s="20" t="s">
        <v>7093</v>
      </c>
      <c r="B1438" s="14" t="s">
        <v>5376</v>
      </c>
      <c r="C1438" s="14" t="s">
        <v>3700</v>
      </c>
      <c r="D1438" s="14" t="s">
        <v>3701</v>
      </c>
      <c r="E1438" s="14" t="s">
        <v>3717</v>
      </c>
      <c r="F1438" s="21">
        <v>3918.42</v>
      </c>
      <c r="G1438" s="14">
        <v>959</v>
      </c>
      <c r="H1438" s="14">
        <v>0</v>
      </c>
      <c r="I1438" s="14" t="s">
        <v>6314</v>
      </c>
      <c r="J1438" s="22">
        <v>0.37998945608871298</v>
      </c>
      <c r="K1438" s="22">
        <v>0.62001054391128696</v>
      </c>
      <c r="L1438" s="14">
        <v>0</v>
      </c>
    </row>
    <row r="1439" spans="1:12" x14ac:dyDescent="0.25">
      <c r="A1439" s="13" t="s">
        <v>3718</v>
      </c>
      <c r="B1439" s="14" t="s">
        <v>86</v>
      </c>
      <c r="C1439" s="14" t="s">
        <v>3719</v>
      </c>
      <c r="D1439" s="14" t="s">
        <v>3720</v>
      </c>
      <c r="E1439" s="14" t="s">
        <v>3721</v>
      </c>
      <c r="F1439" s="21">
        <v>1500</v>
      </c>
      <c r="G1439" s="14">
        <v>754</v>
      </c>
      <c r="H1439" s="14">
        <v>1</v>
      </c>
      <c r="I1439" s="14">
        <v>4</v>
      </c>
      <c r="J1439" s="22">
        <v>0.98054101042751896</v>
      </c>
      <c r="K1439" s="22">
        <v>1.9458989572480798E-2</v>
      </c>
      <c r="L1439" s="14">
        <v>0</v>
      </c>
    </row>
    <row r="1440" spans="1:12" x14ac:dyDescent="0.25">
      <c r="A1440" s="13" t="s">
        <v>3722</v>
      </c>
      <c r="B1440" s="14" t="s">
        <v>17</v>
      </c>
      <c r="C1440" s="14" t="s">
        <v>3723</v>
      </c>
      <c r="D1440" s="14" t="s">
        <v>3724</v>
      </c>
      <c r="E1440" s="14" t="s">
        <v>3725</v>
      </c>
      <c r="F1440" s="21">
        <v>2488.17</v>
      </c>
      <c r="G1440" s="14">
        <v>891</v>
      </c>
      <c r="H1440" s="14">
        <v>0</v>
      </c>
      <c r="I1440" s="14">
        <v>20</v>
      </c>
      <c r="J1440" s="22">
        <v>0.138424899012242</v>
      </c>
      <c r="K1440" s="22">
        <v>0.86157510098775802</v>
      </c>
      <c r="L1440" s="14">
        <v>0</v>
      </c>
    </row>
    <row r="1441" spans="1:12" x14ac:dyDescent="0.25">
      <c r="A1441" s="13" t="s">
        <v>3726</v>
      </c>
      <c r="B1441" s="14" t="s">
        <v>17</v>
      </c>
      <c r="C1441" s="14" t="s">
        <v>3723</v>
      </c>
      <c r="D1441" s="14" t="s">
        <v>3724</v>
      </c>
      <c r="E1441" s="14" t="s">
        <v>3727</v>
      </c>
      <c r="F1441" s="21">
        <v>2980.3560000000002</v>
      </c>
      <c r="H1441" s="14">
        <v>1</v>
      </c>
      <c r="I1441" s="14">
        <v>5</v>
      </c>
      <c r="J1441" s="22">
        <v>5.72571776142081E-2</v>
      </c>
      <c r="K1441" s="22">
        <v>0.94274282238579199</v>
      </c>
      <c r="L1441" s="14">
        <v>0</v>
      </c>
    </row>
    <row r="1442" spans="1:12" ht="39.6" x14ac:dyDescent="0.25">
      <c r="A1442" s="20" t="s">
        <v>7094</v>
      </c>
      <c r="B1442" s="14" t="s">
        <v>17</v>
      </c>
      <c r="C1442" s="14" t="s">
        <v>7095</v>
      </c>
      <c r="D1442" s="14" t="s">
        <v>3724</v>
      </c>
      <c r="E1442" s="14" t="s">
        <v>3729</v>
      </c>
      <c r="F1442" s="21">
        <v>1063.31</v>
      </c>
      <c r="G1442" s="14">
        <v>465</v>
      </c>
      <c r="H1442" s="14">
        <v>1</v>
      </c>
      <c r="I1442" s="14">
        <v>11</v>
      </c>
      <c r="J1442" s="22">
        <v>0.98760800740723798</v>
      </c>
      <c r="K1442" s="22">
        <v>1.2391992592762E-2</v>
      </c>
      <c r="L1442" s="14">
        <v>0</v>
      </c>
    </row>
    <row r="1443" spans="1:12" x14ac:dyDescent="0.25">
      <c r="A1443" s="13" t="s">
        <v>7096</v>
      </c>
      <c r="B1443" s="14" t="s">
        <v>17</v>
      </c>
      <c r="C1443" s="14" t="s">
        <v>3731</v>
      </c>
      <c r="D1443" s="14" t="s">
        <v>3724</v>
      </c>
      <c r="E1443" s="14" t="s">
        <v>3732</v>
      </c>
      <c r="F1443" s="21">
        <v>2142.8000000000002</v>
      </c>
      <c r="G1443" s="14">
        <v>583</v>
      </c>
      <c r="H1443" s="14">
        <v>0</v>
      </c>
      <c r="I1443" s="14">
        <v>6</v>
      </c>
      <c r="J1443" s="22">
        <v>5.5508206610811697E-2</v>
      </c>
      <c r="K1443" s="22">
        <v>0.94449179338918798</v>
      </c>
      <c r="L1443" s="14">
        <v>0</v>
      </c>
    </row>
    <row r="1444" spans="1:12" x14ac:dyDescent="0.25">
      <c r="A1444" s="13" t="s">
        <v>7097</v>
      </c>
      <c r="B1444" s="14" t="s">
        <v>3577</v>
      </c>
      <c r="C1444" s="14" t="s">
        <v>3733</v>
      </c>
      <c r="D1444" s="14" t="s">
        <v>3724</v>
      </c>
      <c r="E1444" s="14" t="s">
        <v>3734</v>
      </c>
      <c r="F1444" s="21">
        <v>2533.25</v>
      </c>
      <c r="G1444" s="14">
        <v>666</v>
      </c>
      <c r="H1444" s="14">
        <v>1</v>
      </c>
      <c r="I1444" s="14">
        <v>8</v>
      </c>
      <c r="J1444" s="22">
        <v>0.334064249440851</v>
      </c>
      <c r="K1444" s="22">
        <v>0.665935750559149</v>
      </c>
      <c r="L1444" s="14">
        <v>0</v>
      </c>
    </row>
    <row r="1445" spans="1:12" ht="39.6" x14ac:dyDescent="0.25">
      <c r="A1445" s="20" t="s">
        <v>7098</v>
      </c>
      <c r="B1445" s="14" t="s">
        <v>17</v>
      </c>
      <c r="C1445" s="14" t="s">
        <v>3736</v>
      </c>
      <c r="D1445" s="14" t="s">
        <v>3724</v>
      </c>
      <c r="E1445" s="14" t="s">
        <v>3737</v>
      </c>
      <c r="F1445" s="21">
        <v>1431.77</v>
      </c>
      <c r="G1445" s="14">
        <v>888</v>
      </c>
      <c r="H1445" s="14">
        <v>1</v>
      </c>
      <c r="I1445" s="14">
        <v>43</v>
      </c>
      <c r="J1445" s="22">
        <v>0.34958764002521597</v>
      </c>
      <c r="K1445" s="22">
        <v>0.65041235997478397</v>
      </c>
      <c r="L1445" s="14">
        <v>0</v>
      </c>
    </row>
    <row r="1446" spans="1:12" x14ac:dyDescent="0.25">
      <c r="A1446" s="13" t="s">
        <v>7099</v>
      </c>
      <c r="B1446" s="14" t="s">
        <v>17</v>
      </c>
      <c r="C1446" s="14" t="s">
        <v>3736</v>
      </c>
      <c r="D1446" s="14" t="s">
        <v>3724</v>
      </c>
      <c r="E1446" s="14" t="s">
        <v>3739</v>
      </c>
      <c r="F1446" s="21">
        <v>1442.21</v>
      </c>
      <c r="G1446" s="14">
        <v>804</v>
      </c>
      <c r="H1446" s="14">
        <v>0</v>
      </c>
      <c r="I1446" s="14">
        <v>31</v>
      </c>
      <c r="J1446" s="22">
        <v>0.24299409360979499</v>
      </c>
      <c r="K1446" s="22">
        <v>0.75700590639020504</v>
      </c>
      <c r="L1446" s="14">
        <v>0</v>
      </c>
    </row>
    <row r="1447" spans="1:12" x14ac:dyDescent="0.25">
      <c r="A1447" s="13" t="s">
        <v>5872</v>
      </c>
      <c r="B1447" s="14" t="s">
        <v>17</v>
      </c>
      <c r="C1447" s="14" t="s">
        <v>3736</v>
      </c>
      <c r="D1447" s="14" t="s">
        <v>3724</v>
      </c>
      <c r="E1447" s="14" t="s">
        <v>3740</v>
      </c>
      <c r="F1447" s="21">
        <v>1457.21</v>
      </c>
      <c r="G1447" s="14">
        <v>544</v>
      </c>
      <c r="H1447" s="14">
        <v>0</v>
      </c>
      <c r="I1447" s="14">
        <v>48</v>
      </c>
      <c r="J1447" s="22">
        <v>0.90546581733082698</v>
      </c>
      <c r="K1447" s="22">
        <v>9.4534182669173003E-2</v>
      </c>
      <c r="L1447" s="14">
        <v>0</v>
      </c>
    </row>
    <row r="1448" spans="1:12" x14ac:dyDescent="0.25">
      <c r="A1448" s="13" t="s">
        <v>7100</v>
      </c>
      <c r="B1448" s="14" t="s">
        <v>17</v>
      </c>
      <c r="C1448" s="14" t="s">
        <v>3736</v>
      </c>
      <c r="D1448" s="14" t="s">
        <v>3724</v>
      </c>
      <c r="E1448" s="14" t="s">
        <v>3741</v>
      </c>
      <c r="F1448" s="21">
        <v>1464.88</v>
      </c>
      <c r="H1448" s="14">
        <v>0</v>
      </c>
      <c r="I1448" s="14">
        <v>16</v>
      </c>
      <c r="J1448" s="22">
        <v>0.46973872838351599</v>
      </c>
      <c r="K1448" s="22">
        <v>0.53026127161648395</v>
      </c>
      <c r="L1448" s="14">
        <v>0</v>
      </c>
    </row>
    <row r="1449" spans="1:12" x14ac:dyDescent="0.25">
      <c r="A1449" s="13" t="s">
        <v>3742</v>
      </c>
      <c r="B1449" s="14" t="s">
        <v>17</v>
      </c>
      <c r="C1449" s="14" t="s">
        <v>3736</v>
      </c>
      <c r="D1449" s="14" t="s">
        <v>3724</v>
      </c>
      <c r="E1449" s="14" t="s">
        <v>3743</v>
      </c>
      <c r="F1449" s="21">
        <v>2336.17</v>
      </c>
      <c r="H1449" s="14">
        <v>0</v>
      </c>
      <c r="I1449" s="14">
        <v>42</v>
      </c>
      <c r="J1449" s="22">
        <v>0.74778140312393604</v>
      </c>
      <c r="K1449" s="22">
        <v>0.25221859687606402</v>
      </c>
      <c r="L1449" s="14">
        <v>0</v>
      </c>
    </row>
    <row r="1450" spans="1:12" ht="52.8" x14ac:dyDescent="0.25">
      <c r="A1450" s="20" t="s">
        <v>7101</v>
      </c>
      <c r="B1450" s="14" t="s">
        <v>17</v>
      </c>
      <c r="C1450" s="14" t="s">
        <v>3736</v>
      </c>
      <c r="D1450" s="14" t="s">
        <v>3724</v>
      </c>
      <c r="E1450" s="14" t="s">
        <v>3745</v>
      </c>
      <c r="F1450" s="21">
        <v>2494.8200000000002</v>
      </c>
      <c r="G1450" s="14">
        <v>871</v>
      </c>
      <c r="H1450" s="14">
        <v>0</v>
      </c>
      <c r="I1450" s="14">
        <v>30</v>
      </c>
      <c r="J1450" s="22">
        <v>9.1676721629578697E-2</v>
      </c>
      <c r="K1450" s="22">
        <v>0.90832327837042104</v>
      </c>
      <c r="L1450" s="14">
        <v>0</v>
      </c>
    </row>
    <row r="1451" spans="1:12" x14ac:dyDescent="0.25">
      <c r="A1451" s="13" t="s">
        <v>7102</v>
      </c>
      <c r="B1451" s="14" t="s">
        <v>17</v>
      </c>
      <c r="C1451" s="14" t="s">
        <v>3736</v>
      </c>
      <c r="D1451" s="14" t="s">
        <v>3724</v>
      </c>
      <c r="E1451" s="14" t="s">
        <v>3747</v>
      </c>
      <c r="F1451" s="21">
        <v>2535.62</v>
      </c>
      <c r="G1451" s="14">
        <v>854</v>
      </c>
      <c r="H1451" s="14">
        <v>0</v>
      </c>
      <c r="I1451" s="14">
        <v>3</v>
      </c>
      <c r="J1451" s="22">
        <v>0.34310950661644202</v>
      </c>
      <c r="K1451" s="22">
        <v>0.65689049338355798</v>
      </c>
      <c r="L1451" s="14">
        <v>0</v>
      </c>
    </row>
    <row r="1452" spans="1:12" x14ac:dyDescent="0.25">
      <c r="A1452" s="13" t="s">
        <v>7103</v>
      </c>
      <c r="B1452" s="14" t="s">
        <v>607</v>
      </c>
      <c r="C1452" s="14" t="s">
        <v>3749</v>
      </c>
      <c r="D1452" s="14" t="s">
        <v>3724</v>
      </c>
      <c r="E1452" s="14" t="s">
        <v>3750</v>
      </c>
      <c r="F1452" s="21">
        <v>1500</v>
      </c>
      <c r="H1452" s="14">
        <v>0</v>
      </c>
      <c r="I1452" s="14">
        <v>29</v>
      </c>
      <c r="J1452" s="22">
        <v>0.53531444176352905</v>
      </c>
      <c r="K1452" s="22">
        <v>0.46468555823647101</v>
      </c>
      <c r="L1452" s="14">
        <v>0</v>
      </c>
    </row>
    <row r="1453" spans="1:12" x14ac:dyDescent="0.25">
      <c r="A1453" s="13">
        <v>3656369</v>
      </c>
      <c r="B1453" s="14" t="s">
        <v>607</v>
      </c>
      <c r="C1453" s="14" t="s">
        <v>3749</v>
      </c>
      <c r="D1453" s="14" t="s">
        <v>3724</v>
      </c>
      <c r="E1453" s="14" t="s">
        <v>3752</v>
      </c>
      <c r="F1453" s="21">
        <v>3000</v>
      </c>
      <c r="G1453" s="14">
        <v>499</v>
      </c>
      <c r="H1453" s="14">
        <v>0</v>
      </c>
      <c r="I1453" s="14">
        <v>46</v>
      </c>
      <c r="J1453" s="22">
        <v>0.57921884851258598</v>
      </c>
      <c r="K1453" s="22">
        <v>0.42078115148741402</v>
      </c>
      <c r="L1453" s="14">
        <v>0</v>
      </c>
    </row>
    <row r="1454" spans="1:12" x14ac:dyDescent="0.25">
      <c r="A1454" s="13">
        <v>3717539</v>
      </c>
      <c r="B1454" s="14" t="s">
        <v>607</v>
      </c>
      <c r="C1454" s="14" t="s">
        <v>3749</v>
      </c>
      <c r="D1454" s="14" t="s">
        <v>3724</v>
      </c>
      <c r="E1454" s="14" t="s">
        <v>3754</v>
      </c>
      <c r="F1454" s="21">
        <v>3000</v>
      </c>
      <c r="G1454" s="14">
        <v>984</v>
      </c>
      <c r="H1454" s="14">
        <v>1</v>
      </c>
      <c r="I1454" s="14">
        <v>11</v>
      </c>
      <c r="J1454" s="22">
        <v>0.49702411290839899</v>
      </c>
      <c r="K1454" s="22">
        <v>0.50297588709160101</v>
      </c>
      <c r="L1454" s="14">
        <v>0</v>
      </c>
    </row>
    <row r="1455" spans="1:12" x14ac:dyDescent="0.25">
      <c r="A1455" s="13" t="s">
        <v>7104</v>
      </c>
      <c r="B1455" s="14" t="s">
        <v>607</v>
      </c>
      <c r="C1455" s="14" t="s">
        <v>3749</v>
      </c>
      <c r="D1455" s="14" t="s">
        <v>3724</v>
      </c>
      <c r="E1455" s="14" t="s">
        <v>3756</v>
      </c>
      <c r="F1455" s="21">
        <v>3000</v>
      </c>
      <c r="G1455" s="14">
        <v>638</v>
      </c>
      <c r="H1455" s="14">
        <v>0</v>
      </c>
      <c r="I1455" s="14">
        <v>5</v>
      </c>
      <c r="J1455" s="22">
        <v>0.80558382131218798</v>
      </c>
      <c r="K1455" s="22">
        <v>0.194416178687812</v>
      </c>
      <c r="L1455" s="14">
        <v>0</v>
      </c>
    </row>
    <row r="1456" spans="1:12" x14ac:dyDescent="0.25">
      <c r="A1456" s="13" t="s">
        <v>3757</v>
      </c>
      <c r="B1456" s="14" t="s">
        <v>607</v>
      </c>
      <c r="C1456" s="14" t="s">
        <v>3749</v>
      </c>
      <c r="D1456" s="14" t="s">
        <v>3724</v>
      </c>
      <c r="E1456" s="14" t="s">
        <v>3758</v>
      </c>
      <c r="F1456" s="21">
        <v>3000</v>
      </c>
      <c r="G1456" s="14">
        <v>130</v>
      </c>
      <c r="H1456" s="14">
        <v>0</v>
      </c>
      <c r="I1456" s="14">
        <v>39</v>
      </c>
      <c r="J1456" s="22">
        <v>0.216823260688077</v>
      </c>
      <c r="K1456" s="22">
        <v>0.783176739311923</v>
      </c>
      <c r="L1456" s="14">
        <v>0</v>
      </c>
    </row>
    <row r="1457" spans="1:12" x14ac:dyDescent="0.25">
      <c r="A1457" s="13" t="s">
        <v>3759</v>
      </c>
      <c r="B1457" s="14" t="s">
        <v>17</v>
      </c>
      <c r="C1457" s="14" t="s">
        <v>3760</v>
      </c>
      <c r="D1457" s="14" t="s">
        <v>3761</v>
      </c>
      <c r="E1457" s="14" t="s">
        <v>3762</v>
      </c>
      <c r="F1457" s="21">
        <v>2451.4899999999998</v>
      </c>
      <c r="G1457" s="14">
        <v>671</v>
      </c>
      <c r="H1457" s="14">
        <v>1</v>
      </c>
      <c r="I1457" s="14">
        <v>1</v>
      </c>
      <c r="J1457" s="22">
        <v>0.78999405371875298</v>
      </c>
      <c r="K1457" s="22">
        <v>0.210005946281248</v>
      </c>
      <c r="L1457" s="14">
        <v>0</v>
      </c>
    </row>
    <row r="1458" spans="1:12" x14ac:dyDescent="0.25">
      <c r="A1458" s="13" t="s">
        <v>7105</v>
      </c>
      <c r="B1458" s="14" t="s">
        <v>17</v>
      </c>
      <c r="C1458" s="14" t="s">
        <v>3760</v>
      </c>
      <c r="D1458" s="14" t="s">
        <v>3761</v>
      </c>
      <c r="E1458" s="14" t="s">
        <v>3764</v>
      </c>
      <c r="F1458" s="21">
        <v>2491.54</v>
      </c>
      <c r="G1458" s="14">
        <v>700</v>
      </c>
      <c r="H1458" s="14">
        <v>1</v>
      </c>
      <c r="I1458" s="14" t="s">
        <v>6314</v>
      </c>
      <c r="J1458" s="22">
        <v>0.50651246877171197</v>
      </c>
      <c r="K1458" s="22">
        <v>0.49348753122828798</v>
      </c>
      <c r="L1458" s="14">
        <v>0</v>
      </c>
    </row>
    <row r="1459" spans="1:12" x14ac:dyDescent="0.25">
      <c r="A1459" s="13" t="s">
        <v>3759</v>
      </c>
      <c r="B1459" s="14" t="s">
        <v>17</v>
      </c>
      <c r="C1459" s="14" t="s">
        <v>7106</v>
      </c>
      <c r="D1459" s="14" t="s">
        <v>3761</v>
      </c>
      <c r="E1459" s="14" t="s">
        <v>3765</v>
      </c>
      <c r="F1459" s="21">
        <v>2303.16</v>
      </c>
      <c r="G1459" s="14">
        <v>161</v>
      </c>
      <c r="H1459" s="14">
        <v>0</v>
      </c>
      <c r="I1459" s="14">
        <v>34</v>
      </c>
      <c r="J1459" s="22">
        <v>0.80092992350433101</v>
      </c>
      <c r="K1459" s="22">
        <v>0.19907007649566899</v>
      </c>
      <c r="L1459" s="14">
        <v>0</v>
      </c>
    </row>
    <row r="1460" spans="1:12" x14ac:dyDescent="0.25">
      <c r="A1460" s="13" t="s">
        <v>7107</v>
      </c>
      <c r="B1460" s="14" t="s">
        <v>17</v>
      </c>
      <c r="C1460" s="14" t="s">
        <v>3767</v>
      </c>
      <c r="D1460" s="14" t="s">
        <v>3768</v>
      </c>
      <c r="E1460" s="14" t="s">
        <v>3769</v>
      </c>
      <c r="F1460" s="21">
        <v>2413.8000000000002</v>
      </c>
      <c r="H1460" s="14">
        <v>0</v>
      </c>
      <c r="I1460" s="14">
        <v>50</v>
      </c>
      <c r="J1460" s="22">
        <v>0.43884137796990602</v>
      </c>
      <c r="K1460" s="22">
        <v>0.56115862203009503</v>
      </c>
      <c r="L1460" s="14">
        <v>0</v>
      </c>
    </row>
    <row r="1461" spans="1:12" x14ac:dyDescent="0.25">
      <c r="A1461" s="13" t="s">
        <v>3770</v>
      </c>
      <c r="B1461" s="14" t="s">
        <v>17</v>
      </c>
      <c r="C1461" s="14" t="s">
        <v>3771</v>
      </c>
      <c r="D1461" s="14" t="s">
        <v>3772</v>
      </c>
      <c r="E1461" s="14" t="s">
        <v>3773</v>
      </c>
      <c r="F1461" s="21">
        <v>1444.07</v>
      </c>
      <c r="G1461" s="14">
        <v>177</v>
      </c>
      <c r="H1461" s="14">
        <v>1</v>
      </c>
      <c r="I1461" s="14" t="s">
        <v>6314</v>
      </c>
      <c r="J1461" s="22">
        <v>1.40859895840363E-2</v>
      </c>
      <c r="K1461" s="22">
        <v>0.98591401041596405</v>
      </c>
      <c r="L1461" s="14">
        <v>0</v>
      </c>
    </row>
    <row r="1462" spans="1:12" x14ac:dyDescent="0.25">
      <c r="A1462" s="13" t="s">
        <v>3774</v>
      </c>
      <c r="B1462" s="14" t="s">
        <v>17</v>
      </c>
      <c r="C1462" s="14" t="s">
        <v>3771</v>
      </c>
      <c r="D1462" s="14" t="s">
        <v>3772</v>
      </c>
      <c r="E1462" s="14" t="s">
        <v>3775</v>
      </c>
      <c r="F1462" s="21">
        <v>2333.71</v>
      </c>
      <c r="G1462" s="14">
        <v>480</v>
      </c>
      <c r="H1462" s="14">
        <v>0</v>
      </c>
      <c r="I1462" s="14">
        <v>38</v>
      </c>
      <c r="J1462" s="22">
        <v>0.92846926558514897</v>
      </c>
      <c r="K1462" s="22">
        <v>7.1530734414850597E-2</v>
      </c>
      <c r="L1462" s="14">
        <v>0</v>
      </c>
    </row>
    <row r="1463" spans="1:12" x14ac:dyDescent="0.25">
      <c r="B1463" s="14" t="s">
        <v>17</v>
      </c>
      <c r="C1463" s="14" t="s">
        <v>3771</v>
      </c>
      <c r="D1463" s="14" t="s">
        <v>3772</v>
      </c>
      <c r="E1463" s="14" t="s">
        <v>3776</v>
      </c>
      <c r="F1463" s="21">
        <v>2415.37</v>
      </c>
      <c r="G1463" s="14">
        <v>432</v>
      </c>
      <c r="H1463" s="14">
        <v>0</v>
      </c>
      <c r="I1463" s="14">
        <v>26</v>
      </c>
      <c r="J1463" s="22">
        <v>0.443212558118457</v>
      </c>
      <c r="K1463" s="22">
        <v>0.55678744188154305</v>
      </c>
      <c r="L1463" s="14">
        <v>0</v>
      </c>
    </row>
    <row r="1464" spans="1:12" x14ac:dyDescent="0.25">
      <c r="B1464" s="14" t="s">
        <v>5438</v>
      </c>
      <c r="C1464" s="14" t="s">
        <v>3777</v>
      </c>
      <c r="D1464" s="14" t="s">
        <v>3761</v>
      </c>
      <c r="E1464" s="14" t="s">
        <v>3778</v>
      </c>
      <c r="F1464" s="21">
        <v>480.93</v>
      </c>
      <c r="G1464" s="14">
        <v>364</v>
      </c>
      <c r="H1464" s="14">
        <v>1</v>
      </c>
      <c r="I1464" s="14">
        <v>24</v>
      </c>
      <c r="J1464" s="22">
        <v>0.44624780186306201</v>
      </c>
      <c r="K1464" s="22">
        <v>0.55375219813693799</v>
      </c>
      <c r="L1464" s="14">
        <v>0</v>
      </c>
    </row>
    <row r="1465" spans="1:12" x14ac:dyDescent="0.25">
      <c r="A1465" s="13">
        <v>3819976</v>
      </c>
      <c r="B1465" s="14" t="s">
        <v>3900</v>
      </c>
      <c r="C1465" s="14" t="s">
        <v>5721</v>
      </c>
      <c r="D1465" s="14" t="s">
        <v>3781</v>
      </c>
      <c r="E1465" s="14" t="s">
        <v>3782</v>
      </c>
      <c r="F1465" s="21">
        <v>2625.6</v>
      </c>
      <c r="H1465" s="14">
        <v>0</v>
      </c>
      <c r="I1465" s="14">
        <v>43</v>
      </c>
      <c r="J1465" s="22">
        <v>0.94419941241129501</v>
      </c>
      <c r="K1465" s="22">
        <v>5.5800587588705299E-2</v>
      </c>
      <c r="L1465" s="14">
        <v>0</v>
      </c>
    </row>
    <row r="1466" spans="1:12" x14ac:dyDescent="0.25">
      <c r="A1466" s="13" t="s">
        <v>3783</v>
      </c>
      <c r="B1466" s="14" t="s">
        <v>17</v>
      </c>
      <c r="C1466" s="14" t="s">
        <v>3784</v>
      </c>
      <c r="D1466" s="14" t="s">
        <v>3785</v>
      </c>
      <c r="E1466" s="14" t="s">
        <v>3786</v>
      </c>
      <c r="F1466" s="21">
        <v>2220.9899999999998</v>
      </c>
      <c r="G1466" s="14">
        <v>642</v>
      </c>
      <c r="H1466" s="14">
        <v>0</v>
      </c>
      <c r="I1466" s="14">
        <v>23</v>
      </c>
      <c r="J1466" s="22">
        <v>0.76544466086538698</v>
      </c>
      <c r="K1466" s="22">
        <v>0.23455533913461299</v>
      </c>
      <c r="L1466" s="14">
        <v>0</v>
      </c>
    </row>
    <row r="1467" spans="1:12" x14ac:dyDescent="0.25">
      <c r="B1467" s="14" t="s">
        <v>86</v>
      </c>
      <c r="C1467" s="14" t="s">
        <v>3787</v>
      </c>
      <c r="D1467" s="14" t="s">
        <v>3788</v>
      </c>
      <c r="E1467" s="14" t="s">
        <v>3789</v>
      </c>
      <c r="F1467" s="21">
        <v>1500</v>
      </c>
      <c r="G1467" s="14">
        <v>93</v>
      </c>
      <c r="H1467" s="14">
        <v>1</v>
      </c>
      <c r="I1467" s="14">
        <v>23</v>
      </c>
      <c r="J1467" s="22">
        <v>0.98399345115155601</v>
      </c>
      <c r="K1467" s="22">
        <v>1.6006548848444602E-2</v>
      </c>
      <c r="L1467" s="14">
        <v>0</v>
      </c>
    </row>
    <row r="1468" spans="1:12" x14ac:dyDescent="0.25">
      <c r="A1468" s="13" t="s">
        <v>3790</v>
      </c>
      <c r="B1468" s="14" t="s">
        <v>110</v>
      </c>
      <c r="C1468" s="14" t="s">
        <v>5722</v>
      </c>
      <c r="D1468" s="14" t="s">
        <v>3792</v>
      </c>
      <c r="E1468" s="14" t="s">
        <v>3793</v>
      </c>
      <c r="F1468" s="21">
        <v>710</v>
      </c>
      <c r="G1468" s="14">
        <v>766</v>
      </c>
      <c r="H1468" s="14">
        <v>0</v>
      </c>
      <c r="I1468" s="14">
        <v>37</v>
      </c>
      <c r="J1468" s="22">
        <v>0.16418288734620501</v>
      </c>
      <c r="K1468" s="22">
        <v>0.83581711265379499</v>
      </c>
      <c r="L1468" s="14">
        <v>0</v>
      </c>
    </row>
    <row r="1469" spans="1:12" x14ac:dyDescent="0.25">
      <c r="A1469" s="13" t="s">
        <v>3794</v>
      </c>
      <c r="B1469" s="14" t="s">
        <v>110</v>
      </c>
      <c r="C1469" s="14" t="s">
        <v>5722</v>
      </c>
      <c r="D1469" s="14" t="s">
        <v>3792</v>
      </c>
      <c r="E1469" s="14" t="s">
        <v>3795</v>
      </c>
      <c r="F1469" s="21">
        <v>1420</v>
      </c>
      <c r="G1469" s="14">
        <v>637</v>
      </c>
      <c r="H1469" s="14">
        <v>1</v>
      </c>
      <c r="I1469" s="14">
        <v>31</v>
      </c>
      <c r="J1469" s="22">
        <v>0.33493081968022398</v>
      </c>
      <c r="K1469" s="22">
        <v>0.66506918031977602</v>
      </c>
      <c r="L1469" s="14">
        <v>0</v>
      </c>
    </row>
    <row r="1470" spans="1:12" x14ac:dyDescent="0.25">
      <c r="A1470" s="13">
        <v>3763532</v>
      </c>
      <c r="B1470" s="14" t="s">
        <v>110</v>
      </c>
      <c r="C1470" s="14" t="s">
        <v>5722</v>
      </c>
      <c r="D1470" s="14" t="s">
        <v>3792</v>
      </c>
      <c r="E1470" s="14" t="s">
        <v>3797</v>
      </c>
      <c r="F1470" s="21">
        <v>1704</v>
      </c>
      <c r="G1470" s="14">
        <v>423</v>
      </c>
      <c r="H1470" s="14">
        <v>0</v>
      </c>
      <c r="I1470" s="14">
        <v>39</v>
      </c>
      <c r="J1470" s="22">
        <v>0.74959159017297805</v>
      </c>
      <c r="K1470" s="22">
        <v>0.250408409827022</v>
      </c>
      <c r="L1470" s="14">
        <v>0</v>
      </c>
    </row>
    <row r="1471" spans="1:12" x14ac:dyDescent="0.25">
      <c r="A1471" s="13">
        <v>3467080</v>
      </c>
      <c r="B1471" s="14" t="s">
        <v>5417</v>
      </c>
      <c r="C1471" s="14" t="s">
        <v>3791</v>
      </c>
      <c r="D1471" s="14" t="s">
        <v>3792</v>
      </c>
      <c r="E1471" s="14" t="s">
        <v>3799</v>
      </c>
      <c r="F1471" s="21">
        <v>852</v>
      </c>
      <c r="G1471" s="14">
        <v>996</v>
      </c>
      <c r="H1471" s="14">
        <v>1</v>
      </c>
      <c r="I1471" s="14" t="s">
        <v>6314</v>
      </c>
      <c r="J1471" s="22">
        <v>0.78334046925506295</v>
      </c>
      <c r="K1471" s="22">
        <v>0.21665953074493799</v>
      </c>
      <c r="L1471" s="14">
        <v>0</v>
      </c>
    </row>
    <row r="1472" spans="1:12" x14ac:dyDescent="0.25">
      <c r="A1472" s="13">
        <v>3592466</v>
      </c>
      <c r="B1472" s="14" t="s">
        <v>5417</v>
      </c>
      <c r="C1472" s="14" t="s">
        <v>3791</v>
      </c>
      <c r="D1472" s="14" t="s">
        <v>3792</v>
      </c>
      <c r="E1472" s="14" t="s">
        <v>7108</v>
      </c>
      <c r="F1472" s="21">
        <v>852</v>
      </c>
      <c r="G1472" s="14">
        <v>923</v>
      </c>
      <c r="H1472" s="14">
        <v>0</v>
      </c>
      <c r="I1472" s="14">
        <v>29</v>
      </c>
      <c r="J1472" s="22">
        <v>0.485592824743031</v>
      </c>
      <c r="K1472" s="22">
        <v>0.514407175256969</v>
      </c>
      <c r="L1472" s="14">
        <v>0</v>
      </c>
    </row>
    <row r="1473" spans="1:12" x14ac:dyDescent="0.25">
      <c r="A1473" s="13">
        <v>3592470</v>
      </c>
      <c r="B1473" s="14" t="s">
        <v>5417</v>
      </c>
      <c r="C1473" s="14" t="s">
        <v>3791</v>
      </c>
      <c r="D1473" s="14" t="s">
        <v>3792</v>
      </c>
      <c r="E1473" s="14" t="s">
        <v>3803</v>
      </c>
      <c r="F1473" s="21">
        <v>852</v>
      </c>
      <c r="G1473" s="14">
        <v>479</v>
      </c>
      <c r="H1473" s="14">
        <v>0</v>
      </c>
      <c r="I1473" s="14">
        <v>28</v>
      </c>
      <c r="J1473" s="22">
        <v>0.63718603656712203</v>
      </c>
      <c r="K1473" s="22">
        <v>0.36281396343287797</v>
      </c>
      <c r="L1473" s="14">
        <v>0</v>
      </c>
    </row>
    <row r="1474" spans="1:12" x14ac:dyDescent="0.25">
      <c r="A1474" s="13">
        <v>3553950</v>
      </c>
      <c r="B1474" s="14" t="s">
        <v>5417</v>
      </c>
      <c r="C1474" s="14" t="s">
        <v>3791</v>
      </c>
      <c r="D1474" s="14" t="s">
        <v>3792</v>
      </c>
      <c r="E1474" s="14" t="s">
        <v>3805</v>
      </c>
      <c r="F1474" s="21">
        <v>852</v>
      </c>
      <c r="G1474" s="14">
        <v>652</v>
      </c>
      <c r="I1474" s="14">
        <v>13</v>
      </c>
      <c r="J1474" s="22">
        <v>0.22937724019874001</v>
      </c>
      <c r="K1474" s="22">
        <v>0.77062275980126005</v>
      </c>
      <c r="L1474" s="14">
        <v>0</v>
      </c>
    </row>
    <row r="1475" spans="1:12" x14ac:dyDescent="0.25">
      <c r="A1475" s="13">
        <v>3553963</v>
      </c>
      <c r="B1475" s="14" t="s">
        <v>5417</v>
      </c>
      <c r="C1475" s="14" t="s">
        <v>3791</v>
      </c>
      <c r="D1475" s="14" t="s">
        <v>3792</v>
      </c>
      <c r="E1475" s="14" t="s">
        <v>3807</v>
      </c>
      <c r="F1475" s="21">
        <v>852</v>
      </c>
      <c r="G1475" s="14">
        <v>917</v>
      </c>
      <c r="H1475" s="14">
        <v>0</v>
      </c>
      <c r="I1475" s="14">
        <v>7</v>
      </c>
      <c r="J1475" s="22">
        <v>0.79063973079490701</v>
      </c>
      <c r="K1475" s="22">
        <v>0.20936026920509301</v>
      </c>
      <c r="L1475" s="14">
        <v>0</v>
      </c>
    </row>
    <row r="1476" spans="1:12" x14ac:dyDescent="0.25">
      <c r="A1476" s="13" t="s">
        <v>3808</v>
      </c>
      <c r="B1476" s="14" t="s">
        <v>5417</v>
      </c>
      <c r="C1476" s="14" t="s">
        <v>3791</v>
      </c>
      <c r="D1476" s="14" t="s">
        <v>3792</v>
      </c>
      <c r="E1476" s="14" t="s">
        <v>3809</v>
      </c>
      <c r="F1476" s="21">
        <v>852</v>
      </c>
      <c r="G1476" s="14">
        <v>96</v>
      </c>
      <c r="H1476" s="14">
        <v>1</v>
      </c>
      <c r="I1476" s="14" t="s">
        <v>6314</v>
      </c>
      <c r="J1476" s="22">
        <v>0.93034563206239596</v>
      </c>
      <c r="K1476" s="22">
        <v>6.9654367937604295E-2</v>
      </c>
      <c r="L1476" s="14">
        <v>0</v>
      </c>
    </row>
    <row r="1477" spans="1:12" x14ac:dyDescent="0.25">
      <c r="A1477" s="13" t="s">
        <v>7109</v>
      </c>
      <c r="B1477" s="14" t="s">
        <v>5417</v>
      </c>
      <c r="C1477" s="14" t="s">
        <v>3791</v>
      </c>
      <c r="D1477" s="14" t="s">
        <v>3792</v>
      </c>
      <c r="E1477" s="14" t="s">
        <v>3810</v>
      </c>
      <c r="F1477" s="21">
        <v>852</v>
      </c>
      <c r="G1477" s="14">
        <v>897</v>
      </c>
      <c r="H1477" s="14">
        <v>1</v>
      </c>
      <c r="I1477" s="14">
        <v>21</v>
      </c>
      <c r="J1477" s="22">
        <v>0.73775570395485901</v>
      </c>
      <c r="K1477" s="22">
        <v>0.26224429604514099</v>
      </c>
      <c r="L1477" s="14">
        <v>0</v>
      </c>
    </row>
    <row r="1478" spans="1:12" x14ac:dyDescent="0.25">
      <c r="A1478" s="13" t="s">
        <v>3811</v>
      </c>
      <c r="B1478" s="14" t="s">
        <v>5417</v>
      </c>
      <c r="C1478" s="14" t="s">
        <v>3791</v>
      </c>
      <c r="D1478" s="14" t="s">
        <v>3792</v>
      </c>
      <c r="E1478" s="14" t="s">
        <v>3812</v>
      </c>
      <c r="F1478" s="21">
        <v>852</v>
      </c>
      <c r="G1478" s="14">
        <v>456</v>
      </c>
      <c r="H1478" s="14">
        <v>0</v>
      </c>
      <c r="I1478" s="14">
        <v>14</v>
      </c>
      <c r="J1478" s="22">
        <v>0.797748588101856</v>
      </c>
      <c r="K1478" s="22">
        <v>0.202251411898144</v>
      </c>
      <c r="L1478" s="14">
        <v>0</v>
      </c>
    </row>
    <row r="1479" spans="1:12" ht="92.4" x14ac:dyDescent="0.25">
      <c r="A1479" s="20" t="s">
        <v>7110</v>
      </c>
      <c r="B1479" s="14" t="s">
        <v>5417</v>
      </c>
      <c r="C1479" s="14" t="s">
        <v>3791</v>
      </c>
      <c r="D1479" s="14" t="s">
        <v>3792</v>
      </c>
      <c r="E1479" s="14" t="s">
        <v>3814</v>
      </c>
      <c r="F1479" s="21">
        <v>852</v>
      </c>
      <c r="G1479" s="14">
        <v>860</v>
      </c>
      <c r="H1479" s="14">
        <v>0</v>
      </c>
      <c r="I1479" s="14">
        <v>27</v>
      </c>
      <c r="J1479" s="22">
        <v>0.45907403473821101</v>
      </c>
      <c r="K1479" s="22">
        <v>0.54092596526178904</v>
      </c>
      <c r="L1479" s="14">
        <v>0</v>
      </c>
    </row>
    <row r="1480" spans="1:12" x14ac:dyDescent="0.25">
      <c r="A1480" s="13" t="s">
        <v>7111</v>
      </c>
      <c r="B1480" s="14" t="s">
        <v>5417</v>
      </c>
      <c r="C1480" s="14" t="s">
        <v>3791</v>
      </c>
      <c r="D1480" s="14" t="s">
        <v>3792</v>
      </c>
      <c r="E1480" s="14" t="s">
        <v>7112</v>
      </c>
      <c r="F1480" s="21">
        <v>1704</v>
      </c>
      <c r="G1480" s="14">
        <v>854</v>
      </c>
      <c r="H1480" s="14">
        <v>0</v>
      </c>
      <c r="I1480" s="14">
        <v>48</v>
      </c>
      <c r="J1480" s="22">
        <v>0.103066863733208</v>
      </c>
      <c r="K1480" s="22">
        <v>0.89693313626679205</v>
      </c>
      <c r="L1480" s="14">
        <v>0</v>
      </c>
    </row>
    <row r="1481" spans="1:12" x14ac:dyDescent="0.25">
      <c r="A1481" s="13" t="s">
        <v>7113</v>
      </c>
      <c r="B1481" s="14" t="s">
        <v>5417</v>
      </c>
      <c r="C1481" s="14" t="s">
        <v>3791</v>
      </c>
      <c r="D1481" s="14" t="s">
        <v>3792</v>
      </c>
      <c r="E1481" s="14" t="s">
        <v>3818</v>
      </c>
      <c r="F1481" s="21">
        <v>2184</v>
      </c>
      <c r="G1481" s="14">
        <v>966</v>
      </c>
      <c r="H1481" s="14">
        <v>0</v>
      </c>
      <c r="I1481" s="14">
        <v>15</v>
      </c>
      <c r="J1481" s="22">
        <v>0.96915304501474397</v>
      </c>
      <c r="K1481" s="22">
        <v>3.0846954985256501E-2</v>
      </c>
      <c r="L1481" s="14">
        <v>0</v>
      </c>
    </row>
    <row r="1482" spans="1:12" x14ac:dyDescent="0.25">
      <c r="A1482" s="13" t="s">
        <v>7114</v>
      </c>
      <c r="B1482" s="14" t="s">
        <v>110</v>
      </c>
      <c r="C1482" s="14" t="s">
        <v>3791</v>
      </c>
      <c r="D1482" s="14" t="s">
        <v>3792</v>
      </c>
      <c r="E1482" s="14" t="s">
        <v>3819</v>
      </c>
      <c r="F1482" s="21">
        <v>852</v>
      </c>
      <c r="G1482" s="14">
        <v>11</v>
      </c>
      <c r="H1482" s="14">
        <v>1</v>
      </c>
      <c r="I1482" s="14">
        <v>29</v>
      </c>
      <c r="J1482" s="22">
        <v>0.22552208142302799</v>
      </c>
      <c r="K1482" s="22">
        <v>0.77447791857697201</v>
      </c>
      <c r="L1482" s="14">
        <v>0</v>
      </c>
    </row>
    <row r="1483" spans="1:12" x14ac:dyDescent="0.25">
      <c r="A1483" s="13" t="s">
        <v>7115</v>
      </c>
      <c r="B1483" s="14" t="s">
        <v>110</v>
      </c>
      <c r="C1483" s="14" t="s">
        <v>3791</v>
      </c>
      <c r="D1483" s="14" t="s">
        <v>3792</v>
      </c>
      <c r="E1483" s="14" t="s">
        <v>3821</v>
      </c>
      <c r="F1483" s="21">
        <v>852</v>
      </c>
      <c r="G1483" s="14">
        <v>997</v>
      </c>
      <c r="H1483" s="14">
        <v>0</v>
      </c>
      <c r="I1483" s="14">
        <v>4</v>
      </c>
      <c r="J1483" s="22">
        <v>0.82490918293867999</v>
      </c>
      <c r="K1483" s="22">
        <v>0.17509081706131999</v>
      </c>
      <c r="L1483" s="14">
        <v>981</v>
      </c>
    </row>
    <row r="1484" spans="1:12" x14ac:dyDescent="0.25">
      <c r="B1484" s="14" t="s">
        <v>110</v>
      </c>
      <c r="C1484" s="14" t="s">
        <v>3791</v>
      </c>
      <c r="D1484" s="14" t="s">
        <v>3792</v>
      </c>
      <c r="E1484" s="14" t="s">
        <v>3822</v>
      </c>
      <c r="F1484" s="21">
        <v>852</v>
      </c>
      <c r="G1484" s="14">
        <v>176</v>
      </c>
      <c r="H1484" s="14">
        <v>0</v>
      </c>
      <c r="I1484" s="14">
        <v>43</v>
      </c>
      <c r="J1484" s="22">
        <v>0.31068273325912099</v>
      </c>
      <c r="K1484" s="22">
        <v>0.68931726674087901</v>
      </c>
      <c r="L1484" s="14">
        <v>0</v>
      </c>
    </row>
    <row r="1485" spans="1:12" x14ac:dyDescent="0.25">
      <c r="A1485" s="13" t="s">
        <v>3823</v>
      </c>
      <c r="B1485" s="14" t="s">
        <v>110</v>
      </c>
      <c r="C1485" s="14" t="s">
        <v>3791</v>
      </c>
      <c r="D1485" s="14" t="s">
        <v>3792</v>
      </c>
      <c r="E1485" s="14" t="s">
        <v>3824</v>
      </c>
      <c r="F1485" s="21">
        <v>852</v>
      </c>
      <c r="G1485" s="14">
        <v>631</v>
      </c>
      <c r="H1485" s="14">
        <v>0</v>
      </c>
      <c r="I1485" s="14">
        <v>43</v>
      </c>
      <c r="J1485" s="22">
        <v>0.56260836939167802</v>
      </c>
      <c r="K1485" s="22">
        <v>0.43739163060832198</v>
      </c>
      <c r="L1485" s="14">
        <v>0</v>
      </c>
    </row>
    <row r="1486" spans="1:12" ht="39.6" x14ac:dyDescent="0.25">
      <c r="A1486" s="20" t="s">
        <v>7116</v>
      </c>
      <c r="B1486" s="14" t="s">
        <v>110</v>
      </c>
      <c r="C1486" s="14" t="s">
        <v>3791</v>
      </c>
      <c r="D1486" s="14" t="s">
        <v>3792</v>
      </c>
      <c r="E1486" s="14" t="s">
        <v>3826</v>
      </c>
      <c r="F1486" s="21">
        <v>852</v>
      </c>
      <c r="G1486" s="14">
        <v>937</v>
      </c>
      <c r="H1486" s="14">
        <v>0</v>
      </c>
      <c r="I1486" s="14">
        <v>25</v>
      </c>
      <c r="J1486" s="22">
        <v>0.32594034082205198</v>
      </c>
      <c r="K1486" s="22">
        <v>0.67405965917794797</v>
      </c>
      <c r="L1486" s="14">
        <v>0</v>
      </c>
    </row>
    <row r="1487" spans="1:12" ht="39.6" x14ac:dyDescent="0.25">
      <c r="A1487" s="20" t="s">
        <v>7117</v>
      </c>
      <c r="B1487" s="14" t="s">
        <v>110</v>
      </c>
      <c r="C1487" s="14" t="s">
        <v>3791</v>
      </c>
      <c r="D1487" s="14" t="s">
        <v>3792</v>
      </c>
      <c r="E1487" s="14" t="s">
        <v>7118</v>
      </c>
      <c r="F1487" s="21">
        <v>852</v>
      </c>
      <c r="G1487" s="14">
        <v>354</v>
      </c>
      <c r="H1487" s="14">
        <v>0</v>
      </c>
      <c r="I1487" s="14">
        <v>8</v>
      </c>
      <c r="J1487" s="22">
        <v>0.15093985834502199</v>
      </c>
      <c r="K1487" s="22">
        <v>0.84906014165497801</v>
      </c>
      <c r="L1487" s="14">
        <v>0</v>
      </c>
    </row>
    <row r="1488" spans="1:12" x14ac:dyDescent="0.25">
      <c r="A1488" s="13" t="s">
        <v>7119</v>
      </c>
      <c r="B1488" s="14" t="s">
        <v>110</v>
      </c>
      <c r="C1488" s="14" t="s">
        <v>3791</v>
      </c>
      <c r="D1488" s="14" t="s">
        <v>3792</v>
      </c>
      <c r="E1488" s="14" t="s">
        <v>3830</v>
      </c>
      <c r="F1488" s="21">
        <v>1704</v>
      </c>
      <c r="G1488" s="14">
        <v>41</v>
      </c>
      <c r="H1488" s="14">
        <v>0</v>
      </c>
      <c r="I1488" s="14">
        <v>36</v>
      </c>
      <c r="J1488" s="22">
        <v>0.66237310188633802</v>
      </c>
      <c r="K1488" s="22">
        <v>0.33762689811366198</v>
      </c>
      <c r="L1488" s="14">
        <v>0</v>
      </c>
    </row>
    <row r="1489" spans="1:12" x14ac:dyDescent="0.25">
      <c r="A1489" s="13" t="s">
        <v>3831</v>
      </c>
      <c r="B1489" s="14" t="s">
        <v>110</v>
      </c>
      <c r="C1489" s="14" t="s">
        <v>3791</v>
      </c>
      <c r="D1489" s="14" t="s">
        <v>3792</v>
      </c>
      <c r="E1489" s="14" t="s">
        <v>3832</v>
      </c>
      <c r="F1489" s="21">
        <v>1704</v>
      </c>
      <c r="H1489" s="14">
        <v>1</v>
      </c>
      <c r="I1489" s="14">
        <v>39</v>
      </c>
      <c r="J1489" s="22">
        <v>0.62372721979235901</v>
      </c>
      <c r="K1489" s="22">
        <v>0.37627278020764199</v>
      </c>
      <c r="L1489" s="14">
        <v>0</v>
      </c>
    </row>
    <row r="1490" spans="1:12" x14ac:dyDescent="0.25">
      <c r="A1490" s="13">
        <v>3597655</v>
      </c>
      <c r="B1490" s="14" t="s">
        <v>110</v>
      </c>
      <c r="C1490" s="14" t="s">
        <v>3791</v>
      </c>
      <c r="D1490" s="14" t="s">
        <v>3792</v>
      </c>
      <c r="E1490" s="14" t="s">
        <v>3834</v>
      </c>
      <c r="F1490" s="21">
        <v>1704</v>
      </c>
      <c r="G1490" s="14">
        <v>508</v>
      </c>
      <c r="H1490" s="14">
        <v>0</v>
      </c>
      <c r="I1490" s="14">
        <v>17</v>
      </c>
      <c r="J1490" s="22">
        <v>0.12684356389040899</v>
      </c>
      <c r="K1490" s="22">
        <v>0.87315643610959104</v>
      </c>
      <c r="L1490" s="14">
        <v>0</v>
      </c>
    </row>
    <row r="1491" spans="1:12" x14ac:dyDescent="0.25">
      <c r="A1491" s="13" t="s">
        <v>7120</v>
      </c>
      <c r="B1491" s="14" t="s">
        <v>5420</v>
      </c>
      <c r="C1491" s="14" t="s">
        <v>5723</v>
      </c>
      <c r="D1491" s="14" t="s">
        <v>3792</v>
      </c>
      <c r="E1491" s="14" t="s">
        <v>7121</v>
      </c>
      <c r="F1491" s="21">
        <v>1704</v>
      </c>
      <c r="G1491" s="14">
        <v>132</v>
      </c>
      <c r="H1491" s="14">
        <v>0</v>
      </c>
      <c r="I1491" s="14">
        <v>32</v>
      </c>
      <c r="J1491" s="22">
        <v>6.3825532359801304E-2</v>
      </c>
      <c r="K1491" s="22">
        <v>0.93617446764019896</v>
      </c>
      <c r="L1491" s="14">
        <v>0</v>
      </c>
    </row>
    <row r="1492" spans="1:12" x14ac:dyDescent="0.25">
      <c r="A1492" s="13" t="s">
        <v>7122</v>
      </c>
      <c r="B1492" s="14" t="s">
        <v>5420</v>
      </c>
      <c r="C1492" s="14" t="s">
        <v>5723</v>
      </c>
      <c r="D1492" s="14" t="s">
        <v>3792</v>
      </c>
      <c r="E1492" s="14" t="s">
        <v>7123</v>
      </c>
      <c r="F1492" s="21">
        <v>1704</v>
      </c>
      <c r="G1492" s="14">
        <v>22</v>
      </c>
      <c r="H1492" s="14">
        <v>1</v>
      </c>
      <c r="I1492" s="14">
        <v>48</v>
      </c>
      <c r="J1492" s="22">
        <v>0.16290182599997799</v>
      </c>
      <c r="K1492" s="22">
        <v>0.83709817400002196</v>
      </c>
      <c r="L1492" s="14">
        <v>0</v>
      </c>
    </row>
    <row r="1493" spans="1:12" x14ac:dyDescent="0.25">
      <c r="A1493" s="13" t="s">
        <v>7124</v>
      </c>
      <c r="B1493" s="14" t="s">
        <v>110</v>
      </c>
      <c r="C1493" s="14" t="s">
        <v>3791</v>
      </c>
      <c r="D1493" s="14" t="s">
        <v>3792</v>
      </c>
      <c r="E1493" s="14" t="s">
        <v>3840</v>
      </c>
      <c r="F1493" s="21">
        <v>1704</v>
      </c>
      <c r="G1493" s="14">
        <v>977</v>
      </c>
      <c r="H1493" s="14">
        <v>1</v>
      </c>
      <c r="I1493" s="14">
        <v>29</v>
      </c>
      <c r="J1493" s="22">
        <v>0.496665264790489</v>
      </c>
      <c r="K1493" s="22">
        <v>0.503334735209511</v>
      </c>
      <c r="L1493" s="14">
        <v>0</v>
      </c>
    </row>
    <row r="1494" spans="1:12" x14ac:dyDescent="0.25">
      <c r="A1494" s="13" t="s">
        <v>3841</v>
      </c>
      <c r="B1494" s="14" t="s">
        <v>110</v>
      </c>
      <c r="C1494" s="14" t="s">
        <v>7125</v>
      </c>
      <c r="E1494" s="14" t="s">
        <v>3842</v>
      </c>
      <c r="F1494" s="21">
        <v>710</v>
      </c>
      <c r="G1494" s="14">
        <v>852</v>
      </c>
      <c r="H1494" s="14">
        <v>1</v>
      </c>
      <c r="I1494" s="14">
        <v>37</v>
      </c>
      <c r="J1494" s="22">
        <v>0.27540990674832699</v>
      </c>
      <c r="K1494" s="22">
        <v>0.72459009325167301</v>
      </c>
      <c r="L1494" s="14">
        <v>0</v>
      </c>
    </row>
    <row r="1495" spans="1:12" x14ac:dyDescent="0.25">
      <c r="A1495" s="13" t="s">
        <v>3843</v>
      </c>
      <c r="B1495" s="14" t="s">
        <v>110</v>
      </c>
      <c r="C1495" s="14" t="s">
        <v>7125</v>
      </c>
      <c r="E1495" s="14" t="s">
        <v>3844</v>
      </c>
      <c r="F1495" s="21">
        <v>1420</v>
      </c>
      <c r="G1495" s="14">
        <v>875</v>
      </c>
      <c r="H1495" s="14">
        <v>0</v>
      </c>
      <c r="I1495" s="14">
        <v>26</v>
      </c>
      <c r="J1495" s="22">
        <v>0.55626710581974803</v>
      </c>
      <c r="K1495" s="22">
        <v>0.44373289418025202</v>
      </c>
      <c r="L1495" s="14">
        <v>0</v>
      </c>
    </row>
    <row r="1496" spans="1:12" ht="39.6" x14ac:dyDescent="0.25">
      <c r="A1496" s="20" t="s">
        <v>7126</v>
      </c>
      <c r="B1496" s="23" t="s">
        <v>6504</v>
      </c>
      <c r="C1496" s="23" t="s">
        <v>7127</v>
      </c>
      <c r="D1496" s="14" t="s">
        <v>3792</v>
      </c>
      <c r="E1496" s="23" t="s">
        <v>7128</v>
      </c>
      <c r="F1496" s="21">
        <v>852</v>
      </c>
      <c r="G1496" s="14">
        <v>217</v>
      </c>
      <c r="H1496" s="14">
        <v>0</v>
      </c>
      <c r="I1496" s="14">
        <v>1</v>
      </c>
      <c r="J1496" s="22">
        <v>0.30329787642974698</v>
      </c>
      <c r="K1496" s="22">
        <v>0.69670212357025296</v>
      </c>
      <c r="L1496" s="14">
        <v>0</v>
      </c>
    </row>
    <row r="1497" spans="1:12" x14ac:dyDescent="0.25">
      <c r="A1497" s="13" t="s">
        <v>3847</v>
      </c>
      <c r="B1497" s="14" t="s">
        <v>148</v>
      </c>
      <c r="C1497" s="14" t="s">
        <v>3848</v>
      </c>
      <c r="D1497" s="14" t="s">
        <v>3849</v>
      </c>
      <c r="E1497" s="14" t="s">
        <v>3850</v>
      </c>
      <c r="F1497" s="21">
        <v>1680</v>
      </c>
      <c r="G1497" s="14">
        <v>972</v>
      </c>
      <c r="H1497" s="14">
        <v>0</v>
      </c>
      <c r="I1497" s="14">
        <v>28</v>
      </c>
      <c r="J1497" s="22">
        <v>5.8918052277076298E-2</v>
      </c>
      <c r="K1497" s="22">
        <v>0.94108194772292397</v>
      </c>
      <c r="L1497" s="14">
        <v>0</v>
      </c>
    </row>
    <row r="1498" spans="1:12" x14ac:dyDescent="0.25">
      <c r="A1498" s="13" t="s">
        <v>7129</v>
      </c>
      <c r="B1498" s="14" t="s">
        <v>5493</v>
      </c>
      <c r="C1498" s="14" t="s">
        <v>3852</v>
      </c>
      <c r="E1498" s="14" t="s">
        <v>3853</v>
      </c>
      <c r="F1498" s="21">
        <v>2275.02</v>
      </c>
      <c r="G1498" s="14">
        <v>617</v>
      </c>
      <c r="H1498" s="14">
        <v>1</v>
      </c>
      <c r="I1498" s="14">
        <v>25</v>
      </c>
      <c r="J1498" s="22">
        <v>0.65459576060509295</v>
      </c>
      <c r="K1498" s="22">
        <v>0.345404239394907</v>
      </c>
      <c r="L1498" s="14">
        <v>0</v>
      </c>
    </row>
    <row r="1499" spans="1:12" x14ac:dyDescent="0.25">
      <c r="A1499" s="13" t="s">
        <v>7130</v>
      </c>
      <c r="B1499" s="14" t="s">
        <v>5493</v>
      </c>
      <c r="C1499" s="14" t="s">
        <v>3852</v>
      </c>
      <c r="E1499" s="14" t="s">
        <v>3855</v>
      </c>
      <c r="F1499" s="21">
        <v>2373.5700000000002</v>
      </c>
      <c r="G1499" s="14">
        <v>826</v>
      </c>
      <c r="H1499" s="14">
        <v>0</v>
      </c>
      <c r="I1499" s="14">
        <v>1</v>
      </c>
      <c r="J1499" s="22">
        <v>0.61765753260898204</v>
      </c>
      <c r="K1499" s="22">
        <v>0.38234246739101801</v>
      </c>
      <c r="L1499" s="14">
        <v>0</v>
      </c>
    </row>
    <row r="1500" spans="1:12" x14ac:dyDescent="0.25">
      <c r="A1500" s="13" t="s">
        <v>7131</v>
      </c>
      <c r="B1500" s="14" t="s">
        <v>607</v>
      </c>
      <c r="C1500" s="14" t="s">
        <v>3856</v>
      </c>
      <c r="D1500" s="14" t="s">
        <v>3857</v>
      </c>
      <c r="E1500" s="14" t="s">
        <v>3858</v>
      </c>
      <c r="F1500" s="21">
        <v>2774.45</v>
      </c>
      <c r="H1500" s="14">
        <v>0</v>
      </c>
      <c r="I1500" s="14">
        <v>7</v>
      </c>
      <c r="J1500" s="22">
        <v>0.53488253078238901</v>
      </c>
      <c r="K1500" s="22">
        <v>0.46511746921761199</v>
      </c>
      <c r="L1500" s="14">
        <v>0</v>
      </c>
    </row>
    <row r="1501" spans="1:12" x14ac:dyDescent="0.25">
      <c r="A1501" s="13" t="s">
        <v>7132</v>
      </c>
      <c r="B1501" s="14" t="s">
        <v>607</v>
      </c>
      <c r="C1501" s="14" t="s">
        <v>3856</v>
      </c>
      <c r="D1501" s="14" t="s">
        <v>3857</v>
      </c>
      <c r="E1501" s="14" t="s">
        <v>3859</v>
      </c>
      <c r="F1501" s="21">
        <v>3360</v>
      </c>
      <c r="I1501" s="14">
        <v>4</v>
      </c>
      <c r="J1501" s="22">
        <v>0.47126639060935799</v>
      </c>
      <c r="K1501" s="22">
        <v>0.52873360939064196</v>
      </c>
      <c r="L1501" s="14">
        <v>0</v>
      </c>
    </row>
    <row r="1502" spans="1:12" x14ac:dyDescent="0.25">
      <c r="A1502" s="13" t="s">
        <v>7133</v>
      </c>
      <c r="B1502" s="14" t="s">
        <v>607</v>
      </c>
      <c r="C1502" s="14" t="s">
        <v>3856</v>
      </c>
      <c r="D1502" s="14" t="s">
        <v>3857</v>
      </c>
      <c r="E1502" s="14" t="s">
        <v>3860</v>
      </c>
      <c r="F1502" s="21">
        <v>3360</v>
      </c>
      <c r="G1502" s="14">
        <v>19</v>
      </c>
      <c r="H1502" s="14">
        <v>0</v>
      </c>
      <c r="I1502" s="14">
        <v>39</v>
      </c>
      <c r="J1502" s="22">
        <v>0.95470435084256799</v>
      </c>
      <c r="K1502" s="22">
        <v>4.5295649157431603E-2</v>
      </c>
      <c r="L1502" s="14">
        <v>0</v>
      </c>
    </row>
    <row r="1503" spans="1:12" x14ac:dyDescent="0.25">
      <c r="A1503" s="13" t="s">
        <v>3861</v>
      </c>
      <c r="B1503" s="14" t="s">
        <v>3862</v>
      </c>
      <c r="C1503" s="14" t="s">
        <v>3863</v>
      </c>
      <c r="D1503" s="14" t="s">
        <v>3864</v>
      </c>
      <c r="E1503" s="14" t="s">
        <v>3865</v>
      </c>
      <c r="F1503" s="21">
        <v>1319.42</v>
      </c>
      <c r="G1503" s="14">
        <v>557</v>
      </c>
      <c r="H1503" s="14">
        <v>1</v>
      </c>
      <c r="I1503" s="14">
        <v>10</v>
      </c>
      <c r="J1503" s="22">
        <v>0.56699886276457301</v>
      </c>
      <c r="K1503" s="22">
        <v>0.43300113723542699</v>
      </c>
      <c r="L1503" s="14">
        <v>0</v>
      </c>
    </row>
    <row r="1504" spans="1:12" x14ac:dyDescent="0.25">
      <c r="A1504" s="13" t="s">
        <v>7134</v>
      </c>
      <c r="B1504" s="14" t="s">
        <v>5389</v>
      </c>
      <c r="C1504" s="14" t="s">
        <v>3863</v>
      </c>
      <c r="D1504" s="14" t="s">
        <v>3864</v>
      </c>
      <c r="E1504" s="14" t="s">
        <v>3867</v>
      </c>
      <c r="F1504" s="21">
        <v>1301.25</v>
      </c>
      <c r="G1504" s="14">
        <v>536</v>
      </c>
      <c r="H1504" s="14">
        <v>0</v>
      </c>
      <c r="I1504" s="14">
        <v>38</v>
      </c>
      <c r="J1504" s="22">
        <v>0.557807568565718</v>
      </c>
      <c r="K1504" s="22">
        <v>0.442192431434282</v>
      </c>
      <c r="L1504" s="14">
        <v>0</v>
      </c>
    </row>
    <row r="1505" spans="1:12" x14ac:dyDescent="0.25">
      <c r="A1505" s="13" t="s">
        <v>3868</v>
      </c>
      <c r="B1505" s="14" t="s">
        <v>5452</v>
      </c>
      <c r="C1505" s="14" t="s">
        <v>3869</v>
      </c>
      <c r="D1505" s="14" t="s">
        <v>3870</v>
      </c>
      <c r="E1505" s="14" t="s">
        <v>130</v>
      </c>
      <c r="F1505" s="21">
        <v>1663.63</v>
      </c>
      <c r="G1505" s="14">
        <v>747</v>
      </c>
      <c r="H1505" s="14">
        <v>1</v>
      </c>
      <c r="I1505" s="14">
        <v>7</v>
      </c>
      <c r="J1505" s="22">
        <v>5.2461498729764001E-2</v>
      </c>
      <c r="K1505" s="22">
        <v>0.94753850127023598</v>
      </c>
      <c r="L1505" s="14">
        <v>0</v>
      </c>
    </row>
    <row r="1506" spans="1:12" x14ac:dyDescent="0.25">
      <c r="A1506" s="13" t="s">
        <v>3871</v>
      </c>
      <c r="B1506" s="14" t="s">
        <v>5452</v>
      </c>
      <c r="C1506" s="14" t="s">
        <v>3869</v>
      </c>
      <c r="D1506" s="14" t="s">
        <v>3870</v>
      </c>
      <c r="E1506" s="14" t="s">
        <v>3872</v>
      </c>
      <c r="F1506" s="21">
        <v>1829.99</v>
      </c>
      <c r="G1506" s="14">
        <v>644</v>
      </c>
      <c r="H1506" s="14">
        <v>0</v>
      </c>
      <c r="I1506" s="14">
        <v>22</v>
      </c>
      <c r="J1506" s="22">
        <v>0.56807100238547004</v>
      </c>
      <c r="K1506" s="22">
        <v>0.43192899761453102</v>
      </c>
      <c r="L1506" s="14">
        <v>0</v>
      </c>
    </row>
    <row r="1507" spans="1:12" x14ac:dyDescent="0.25">
      <c r="A1507" s="13" t="s">
        <v>3873</v>
      </c>
      <c r="B1507" s="14" t="s">
        <v>17</v>
      </c>
      <c r="C1507" s="14" t="s">
        <v>3874</v>
      </c>
      <c r="D1507" s="14" t="s">
        <v>3875</v>
      </c>
      <c r="E1507" s="14" t="s">
        <v>3876</v>
      </c>
      <c r="F1507" s="21">
        <v>1953.76</v>
      </c>
      <c r="G1507" s="14">
        <v>963</v>
      </c>
      <c r="H1507" s="14">
        <v>0</v>
      </c>
      <c r="I1507" s="14">
        <v>1</v>
      </c>
      <c r="J1507" s="22">
        <v>0.36804599095066998</v>
      </c>
      <c r="K1507" s="22">
        <v>0.63195400904932997</v>
      </c>
      <c r="L1507" s="14">
        <v>0</v>
      </c>
    </row>
    <row r="1508" spans="1:12" x14ac:dyDescent="0.25">
      <c r="A1508" s="13" t="s">
        <v>3877</v>
      </c>
      <c r="B1508" s="14" t="s">
        <v>3878</v>
      </c>
      <c r="C1508" s="14" t="s">
        <v>3879</v>
      </c>
      <c r="D1508" s="14" t="s">
        <v>3880</v>
      </c>
      <c r="E1508" s="14" t="s">
        <v>3881</v>
      </c>
      <c r="F1508" s="21">
        <v>1375.33</v>
      </c>
      <c r="G1508" s="14">
        <v>398</v>
      </c>
      <c r="H1508" s="14">
        <v>1</v>
      </c>
      <c r="I1508" s="14">
        <v>48</v>
      </c>
      <c r="J1508" s="22">
        <v>0.16407142295377999</v>
      </c>
      <c r="K1508" s="22">
        <v>0.83592857704622003</v>
      </c>
      <c r="L1508" s="14">
        <v>0</v>
      </c>
    </row>
    <row r="1509" spans="1:12" x14ac:dyDescent="0.25">
      <c r="A1509" s="13" t="s">
        <v>3882</v>
      </c>
      <c r="B1509" s="14" t="s">
        <v>5436</v>
      </c>
      <c r="C1509" s="14" t="s">
        <v>5724</v>
      </c>
      <c r="D1509" s="14" t="s">
        <v>3884</v>
      </c>
      <c r="E1509" s="14" t="s">
        <v>3885</v>
      </c>
      <c r="F1509" s="21">
        <v>1632</v>
      </c>
      <c r="G1509" s="14">
        <v>518</v>
      </c>
      <c r="H1509" s="14">
        <v>1</v>
      </c>
      <c r="I1509" s="14">
        <v>23</v>
      </c>
      <c r="J1509" s="22">
        <v>0.365912379069327</v>
      </c>
      <c r="K1509" s="22">
        <v>0.63408762093067295</v>
      </c>
      <c r="L1509" s="14">
        <v>0</v>
      </c>
    </row>
    <row r="1510" spans="1:12" x14ac:dyDescent="0.25">
      <c r="A1510" s="13">
        <v>3659006</v>
      </c>
      <c r="B1510" s="14" t="s">
        <v>5342</v>
      </c>
      <c r="C1510" s="14" t="s">
        <v>3887</v>
      </c>
      <c r="D1510" s="14" t="s">
        <v>3888</v>
      </c>
      <c r="E1510" s="14" t="s">
        <v>3889</v>
      </c>
      <c r="F1510" s="21">
        <v>1340.1</v>
      </c>
      <c r="G1510" s="14">
        <v>718</v>
      </c>
      <c r="H1510" s="14">
        <v>1</v>
      </c>
      <c r="I1510" s="14">
        <v>30</v>
      </c>
      <c r="J1510" s="22">
        <v>0.218745567905472</v>
      </c>
      <c r="K1510" s="22">
        <v>0.78125443209452805</v>
      </c>
      <c r="L1510" s="14">
        <v>0</v>
      </c>
    </row>
    <row r="1511" spans="1:12" ht="39.6" x14ac:dyDescent="0.25">
      <c r="A1511" s="20" t="s">
        <v>7135</v>
      </c>
      <c r="B1511" s="14" t="s">
        <v>5345</v>
      </c>
      <c r="C1511" s="14" t="s">
        <v>3887</v>
      </c>
      <c r="D1511" s="14" t="s">
        <v>3888</v>
      </c>
      <c r="E1511" s="14" t="s">
        <v>3891</v>
      </c>
      <c r="F1511" s="21">
        <v>1280.0999999999999</v>
      </c>
      <c r="G1511" s="14">
        <v>144</v>
      </c>
      <c r="H1511" s="14">
        <v>0</v>
      </c>
      <c r="I1511" s="14">
        <v>46</v>
      </c>
      <c r="J1511" s="22">
        <v>0.51152415283609998</v>
      </c>
      <c r="K1511" s="22">
        <v>0.48847584716390002</v>
      </c>
      <c r="L1511" s="14">
        <v>0</v>
      </c>
    </row>
    <row r="1512" spans="1:12" x14ac:dyDescent="0.25">
      <c r="A1512" s="13">
        <v>3560059</v>
      </c>
      <c r="B1512" s="14" t="s">
        <v>17</v>
      </c>
      <c r="C1512" s="14" t="s">
        <v>3893</v>
      </c>
      <c r="D1512" s="14" t="s">
        <v>3894</v>
      </c>
      <c r="E1512" s="14" t="s">
        <v>3895</v>
      </c>
      <c r="F1512" s="21">
        <v>2295.39</v>
      </c>
      <c r="G1512" s="14">
        <v>683</v>
      </c>
      <c r="H1512" s="14">
        <v>1</v>
      </c>
      <c r="I1512" s="14">
        <v>50</v>
      </c>
      <c r="J1512" s="22">
        <v>6.5627932409252396E-2</v>
      </c>
      <c r="K1512" s="22">
        <v>0.93437206759074798</v>
      </c>
      <c r="L1512" s="14">
        <v>0</v>
      </c>
    </row>
    <row r="1513" spans="1:12" x14ac:dyDescent="0.25">
      <c r="A1513" s="13" t="s">
        <v>3896</v>
      </c>
      <c r="B1513" s="14" t="s">
        <v>69</v>
      </c>
      <c r="C1513" s="14" t="s">
        <v>3897</v>
      </c>
      <c r="D1513" s="14" t="s">
        <v>3898</v>
      </c>
      <c r="E1513" s="14" t="s">
        <v>3899</v>
      </c>
      <c r="F1513" s="21">
        <v>1929.03</v>
      </c>
      <c r="G1513" s="14">
        <v>521</v>
      </c>
      <c r="H1513" s="14">
        <v>1</v>
      </c>
      <c r="I1513" s="14">
        <v>35</v>
      </c>
      <c r="J1513" s="22">
        <v>0.866420909538129</v>
      </c>
      <c r="K1513" s="22">
        <v>0.133579090461871</v>
      </c>
      <c r="L1513" s="14">
        <v>0</v>
      </c>
    </row>
    <row r="1514" spans="1:12" x14ac:dyDescent="0.25">
      <c r="A1514" s="13" t="s">
        <v>6179</v>
      </c>
      <c r="B1514" s="14" t="s">
        <v>110</v>
      </c>
      <c r="C1514" s="14" t="s">
        <v>3900</v>
      </c>
      <c r="D1514" s="14" t="s">
        <v>3901</v>
      </c>
      <c r="E1514" s="14" t="s">
        <v>3902</v>
      </c>
      <c r="F1514" s="21">
        <v>1700</v>
      </c>
      <c r="H1514" s="14">
        <v>1</v>
      </c>
      <c r="I1514" s="14">
        <v>23</v>
      </c>
      <c r="J1514" s="22">
        <v>0.81988372318262004</v>
      </c>
      <c r="K1514" s="22">
        <v>0.18011627681738099</v>
      </c>
      <c r="L1514" s="14">
        <v>0</v>
      </c>
    </row>
    <row r="1515" spans="1:12" x14ac:dyDescent="0.25">
      <c r="A1515" s="13" t="s">
        <v>6181</v>
      </c>
      <c r="B1515" s="14" t="s">
        <v>110</v>
      </c>
      <c r="C1515" s="14" t="s">
        <v>110</v>
      </c>
      <c r="D1515" s="14" t="s">
        <v>3904</v>
      </c>
      <c r="E1515" s="14" t="s">
        <v>3905</v>
      </c>
      <c r="F1515" s="21">
        <v>2400</v>
      </c>
      <c r="G1515" s="14">
        <v>140</v>
      </c>
      <c r="H1515" s="14">
        <v>0</v>
      </c>
      <c r="I1515" s="14" t="s">
        <v>6314</v>
      </c>
      <c r="J1515" s="22">
        <v>0.89484700976852305</v>
      </c>
      <c r="K1515" s="22">
        <v>0.10515299023147701</v>
      </c>
      <c r="L1515" s="14">
        <v>0</v>
      </c>
    </row>
    <row r="1516" spans="1:12" x14ac:dyDescent="0.25">
      <c r="A1516" s="13" t="s">
        <v>3906</v>
      </c>
      <c r="B1516" s="14" t="s">
        <v>5388</v>
      </c>
      <c r="C1516" s="14" t="s">
        <v>5725</v>
      </c>
      <c r="D1516" s="14" t="s">
        <v>3908</v>
      </c>
      <c r="E1516" s="14" t="s">
        <v>3909</v>
      </c>
      <c r="F1516" s="21">
        <v>1170.4100000000001</v>
      </c>
      <c r="G1516" s="14">
        <v>121</v>
      </c>
      <c r="H1516" s="14">
        <v>0</v>
      </c>
      <c r="I1516" s="14">
        <v>17</v>
      </c>
      <c r="J1516" s="22">
        <v>0.44477731228779099</v>
      </c>
      <c r="K1516" s="22">
        <v>0.55522268771220895</v>
      </c>
      <c r="L1516" s="14">
        <v>0</v>
      </c>
    </row>
    <row r="1517" spans="1:12" x14ac:dyDescent="0.25">
      <c r="A1517" s="13" t="s">
        <v>3910</v>
      </c>
      <c r="B1517" s="14" t="s">
        <v>17</v>
      </c>
      <c r="C1517" s="14" t="s">
        <v>3911</v>
      </c>
      <c r="D1517" s="14" t="s">
        <v>3912</v>
      </c>
      <c r="E1517" s="14" t="s">
        <v>3913</v>
      </c>
      <c r="F1517" s="21">
        <v>2330.9899999999998</v>
      </c>
      <c r="G1517" s="14">
        <v>545</v>
      </c>
      <c r="H1517" s="14">
        <v>1</v>
      </c>
      <c r="I1517" s="14">
        <v>48</v>
      </c>
      <c r="J1517" s="22">
        <v>0.30161643161284102</v>
      </c>
      <c r="K1517" s="22">
        <v>0.69838356838715898</v>
      </c>
      <c r="L1517" s="14">
        <v>0</v>
      </c>
    </row>
    <row r="1518" spans="1:12" x14ac:dyDescent="0.25">
      <c r="A1518" s="13">
        <v>23707280</v>
      </c>
      <c r="B1518" s="14" t="s">
        <v>17</v>
      </c>
      <c r="C1518" s="14" t="s">
        <v>3911</v>
      </c>
      <c r="D1518" s="14" t="s">
        <v>3912</v>
      </c>
      <c r="E1518" s="14" t="s">
        <v>3914</v>
      </c>
      <c r="F1518" s="21">
        <v>2377.17</v>
      </c>
      <c r="G1518" s="14">
        <v>842</v>
      </c>
      <c r="H1518" s="14">
        <v>1</v>
      </c>
      <c r="I1518" s="14">
        <v>6</v>
      </c>
      <c r="J1518" s="22">
        <v>0.478449139514252</v>
      </c>
      <c r="K1518" s="22">
        <v>0.52155086048574795</v>
      </c>
      <c r="L1518" s="14">
        <v>0</v>
      </c>
    </row>
    <row r="1519" spans="1:12" x14ac:dyDescent="0.25">
      <c r="A1519" s="13" t="s">
        <v>6183</v>
      </c>
      <c r="B1519" s="14" t="s">
        <v>17</v>
      </c>
      <c r="C1519" s="14" t="s">
        <v>3911</v>
      </c>
      <c r="D1519" s="14" t="s">
        <v>3912</v>
      </c>
      <c r="E1519" s="14" t="s">
        <v>3915</v>
      </c>
      <c r="F1519" s="21">
        <v>2394.21</v>
      </c>
      <c r="G1519" s="14">
        <v>921</v>
      </c>
      <c r="H1519" s="14">
        <v>0</v>
      </c>
      <c r="I1519" s="14">
        <v>35</v>
      </c>
      <c r="J1519" s="22">
        <v>0.91852202476106604</v>
      </c>
      <c r="K1519" s="22">
        <v>8.14779752389337E-2</v>
      </c>
      <c r="L1519" s="14">
        <v>0</v>
      </c>
    </row>
    <row r="1520" spans="1:12" x14ac:dyDescent="0.25">
      <c r="A1520" s="13" t="s">
        <v>6185</v>
      </c>
      <c r="B1520" s="14" t="s">
        <v>17</v>
      </c>
      <c r="C1520" s="14" t="s">
        <v>3911</v>
      </c>
      <c r="D1520" s="14" t="s">
        <v>3912</v>
      </c>
      <c r="E1520" s="14" t="s">
        <v>3917</v>
      </c>
      <c r="F1520" s="21">
        <v>2404.04</v>
      </c>
      <c r="G1520" s="14">
        <v>667</v>
      </c>
      <c r="H1520" s="14">
        <v>1</v>
      </c>
      <c r="I1520" s="14">
        <v>4</v>
      </c>
      <c r="J1520" s="22">
        <v>0.63041013614237396</v>
      </c>
      <c r="K1520" s="22">
        <v>0.36958986385762699</v>
      </c>
      <c r="L1520" s="14">
        <v>0</v>
      </c>
    </row>
    <row r="1521" spans="1:12" x14ac:dyDescent="0.25">
      <c r="A1521" s="13">
        <v>3652741</v>
      </c>
      <c r="B1521" s="14" t="s">
        <v>6445</v>
      </c>
      <c r="C1521" s="14" t="s">
        <v>5726</v>
      </c>
      <c r="D1521" s="14" t="s">
        <v>3920</v>
      </c>
      <c r="E1521" s="14" t="s">
        <v>3921</v>
      </c>
      <c r="F1521" s="21">
        <v>1200</v>
      </c>
      <c r="G1521" s="14">
        <v>483</v>
      </c>
      <c r="H1521" s="14">
        <v>0</v>
      </c>
      <c r="I1521" s="14">
        <v>25</v>
      </c>
      <c r="J1521" s="22">
        <v>0.57292242744758903</v>
      </c>
      <c r="K1521" s="22">
        <v>0.42707757255241102</v>
      </c>
      <c r="L1521" s="14">
        <v>0</v>
      </c>
    </row>
    <row r="1522" spans="1:12" x14ac:dyDescent="0.25">
      <c r="A1522" s="13">
        <v>3757314</v>
      </c>
      <c r="B1522" s="14" t="s">
        <v>86</v>
      </c>
      <c r="C1522" s="14" t="s">
        <v>3923</v>
      </c>
      <c r="D1522" s="14" t="s">
        <v>3924</v>
      </c>
      <c r="E1522" s="14" t="s">
        <v>3925</v>
      </c>
      <c r="F1522" s="21">
        <v>1931.62</v>
      </c>
      <c r="G1522" s="14">
        <v>839</v>
      </c>
      <c r="H1522" s="14">
        <v>1</v>
      </c>
      <c r="I1522" s="14">
        <v>8</v>
      </c>
      <c r="J1522" s="22">
        <v>0.79298882157274397</v>
      </c>
      <c r="K1522" s="22">
        <v>0.207011178427256</v>
      </c>
      <c r="L1522" s="14">
        <v>0</v>
      </c>
    </row>
    <row r="1523" spans="1:12" x14ac:dyDescent="0.25">
      <c r="A1523" s="13" t="s">
        <v>7136</v>
      </c>
      <c r="B1523" s="14" t="s">
        <v>86</v>
      </c>
      <c r="C1523" s="14" t="s">
        <v>3923</v>
      </c>
      <c r="D1523" s="14" t="s">
        <v>3924</v>
      </c>
      <c r="E1523" s="14" t="s">
        <v>3926</v>
      </c>
      <c r="F1523" s="21">
        <v>1987.28</v>
      </c>
      <c r="G1523" s="14">
        <v>651</v>
      </c>
      <c r="H1523" s="14">
        <v>1</v>
      </c>
      <c r="I1523" s="14">
        <v>14</v>
      </c>
      <c r="J1523" s="22">
        <v>0.779113242206949</v>
      </c>
      <c r="K1523" s="22">
        <v>0.220886757793051</v>
      </c>
      <c r="L1523" s="14">
        <v>0</v>
      </c>
    </row>
    <row r="1524" spans="1:12" ht="26.4" x14ac:dyDescent="0.25">
      <c r="A1524" s="20" t="s">
        <v>7137</v>
      </c>
      <c r="B1524" s="14" t="s">
        <v>148</v>
      </c>
      <c r="C1524" s="14" t="s">
        <v>3919</v>
      </c>
      <c r="D1524" s="14" t="s">
        <v>3920</v>
      </c>
      <c r="E1524" s="14" t="s">
        <v>3928</v>
      </c>
      <c r="F1524" s="21">
        <v>1173</v>
      </c>
      <c r="G1524" s="14">
        <v>438</v>
      </c>
      <c r="H1524" s="14">
        <v>0</v>
      </c>
      <c r="I1524" s="14">
        <v>8</v>
      </c>
      <c r="J1524" s="22">
        <v>0.195394131608425</v>
      </c>
      <c r="K1524" s="22">
        <v>0.804605868391575</v>
      </c>
      <c r="L1524" s="14">
        <v>0</v>
      </c>
    </row>
    <row r="1525" spans="1:12" x14ac:dyDescent="0.25">
      <c r="A1525" s="13" t="s">
        <v>3929</v>
      </c>
      <c r="B1525" s="14" t="s">
        <v>5345</v>
      </c>
      <c r="C1525" s="14" t="s">
        <v>3919</v>
      </c>
      <c r="D1525" s="14" t="s">
        <v>3920</v>
      </c>
      <c r="E1525" s="14" t="s">
        <v>3930</v>
      </c>
      <c r="F1525" s="21">
        <v>1233</v>
      </c>
      <c r="G1525" s="14">
        <v>440</v>
      </c>
      <c r="H1525" s="14">
        <v>1</v>
      </c>
      <c r="I1525" s="14">
        <v>43</v>
      </c>
      <c r="J1525" s="22">
        <v>0.62724838197468502</v>
      </c>
      <c r="K1525" s="22">
        <v>0.37275161802531498</v>
      </c>
      <c r="L1525" s="14">
        <v>0</v>
      </c>
    </row>
    <row r="1526" spans="1:12" x14ac:dyDescent="0.25">
      <c r="A1526" s="13" t="s">
        <v>3931</v>
      </c>
      <c r="B1526" s="14" t="s">
        <v>5360</v>
      </c>
      <c r="C1526" s="14" t="s">
        <v>3932</v>
      </c>
      <c r="D1526" s="14" t="s">
        <v>3933</v>
      </c>
      <c r="E1526" s="14" t="s">
        <v>7138</v>
      </c>
      <c r="F1526" s="21">
        <v>1800</v>
      </c>
      <c r="G1526" s="14">
        <v>603</v>
      </c>
      <c r="H1526" s="14">
        <v>1</v>
      </c>
      <c r="I1526" s="14" t="s">
        <v>6314</v>
      </c>
      <c r="J1526" s="22">
        <v>0.82878576172596097</v>
      </c>
      <c r="K1526" s="22">
        <v>0.171214238274039</v>
      </c>
      <c r="L1526" s="14">
        <v>0</v>
      </c>
    </row>
    <row r="1527" spans="1:12" x14ac:dyDescent="0.25">
      <c r="A1527" s="13" t="s">
        <v>3935</v>
      </c>
      <c r="B1527" s="14" t="s">
        <v>113</v>
      </c>
      <c r="C1527" s="14" t="s">
        <v>3932</v>
      </c>
      <c r="D1527" s="14" t="s">
        <v>3933</v>
      </c>
      <c r="E1527" s="14" t="s">
        <v>3936</v>
      </c>
      <c r="F1527" s="21">
        <v>1500</v>
      </c>
      <c r="H1527" s="14">
        <v>1</v>
      </c>
      <c r="I1527" s="14">
        <v>42</v>
      </c>
      <c r="J1527" s="22">
        <v>0.89113667646221995</v>
      </c>
      <c r="K1527" s="22">
        <v>0.10886332353778</v>
      </c>
      <c r="L1527" s="14">
        <v>0</v>
      </c>
    </row>
    <row r="1528" spans="1:12" x14ac:dyDescent="0.25">
      <c r="A1528" s="13" t="s">
        <v>3937</v>
      </c>
      <c r="B1528" s="14" t="s">
        <v>113</v>
      </c>
      <c r="C1528" s="14" t="s">
        <v>3932</v>
      </c>
      <c r="D1528" s="14" t="s">
        <v>3933</v>
      </c>
      <c r="E1528" s="14" t="s">
        <v>3938</v>
      </c>
      <c r="F1528" s="21">
        <v>1800</v>
      </c>
      <c r="G1528" s="14">
        <v>259</v>
      </c>
      <c r="H1528" s="14">
        <v>1</v>
      </c>
      <c r="I1528" s="14" t="s">
        <v>6314</v>
      </c>
      <c r="J1528" s="22">
        <v>0.90095733417448298</v>
      </c>
      <c r="K1528" s="22">
        <v>9.9042665825517406E-2</v>
      </c>
      <c r="L1528" s="14">
        <v>0</v>
      </c>
    </row>
    <row r="1529" spans="1:12" x14ac:dyDescent="0.25">
      <c r="A1529" s="13" t="s">
        <v>7139</v>
      </c>
      <c r="B1529" s="14" t="s">
        <v>113</v>
      </c>
      <c r="C1529" s="14" t="s">
        <v>3932</v>
      </c>
      <c r="D1529" s="14" t="s">
        <v>3933</v>
      </c>
      <c r="E1529" s="14" t="s">
        <v>3939</v>
      </c>
      <c r="F1529" s="21">
        <v>2034</v>
      </c>
      <c r="G1529" s="14">
        <v>879</v>
      </c>
      <c r="H1529" s="14">
        <v>0</v>
      </c>
      <c r="I1529" s="14">
        <v>15</v>
      </c>
      <c r="J1529" s="22">
        <v>0.114619216957493</v>
      </c>
      <c r="K1529" s="22">
        <v>0.885380783042507</v>
      </c>
      <c r="L1529" s="14">
        <v>0</v>
      </c>
    </row>
    <row r="1530" spans="1:12" x14ac:dyDescent="0.25">
      <c r="A1530" s="13">
        <v>23734876</v>
      </c>
      <c r="B1530" s="14" t="s">
        <v>113</v>
      </c>
      <c r="C1530" s="14" t="s">
        <v>3932</v>
      </c>
      <c r="D1530" s="14" t="s">
        <v>3933</v>
      </c>
      <c r="E1530" s="14" t="s">
        <v>3940</v>
      </c>
      <c r="F1530" s="21">
        <v>2034</v>
      </c>
      <c r="G1530" s="14">
        <v>67</v>
      </c>
      <c r="H1530" s="14">
        <v>1</v>
      </c>
      <c r="I1530" s="14">
        <v>4</v>
      </c>
      <c r="J1530" s="22">
        <v>0.39871594896852902</v>
      </c>
      <c r="K1530" s="22">
        <v>0.60128405103147098</v>
      </c>
      <c r="L1530" s="14">
        <v>0</v>
      </c>
    </row>
    <row r="1531" spans="1:12" x14ac:dyDescent="0.25">
      <c r="A1531" s="13" t="s">
        <v>3941</v>
      </c>
      <c r="B1531" s="14" t="s">
        <v>113</v>
      </c>
      <c r="C1531" s="14" t="s">
        <v>3932</v>
      </c>
      <c r="D1531" s="14" t="s">
        <v>3933</v>
      </c>
      <c r="E1531" s="14" t="s">
        <v>3942</v>
      </c>
      <c r="F1531" s="21">
        <v>2034</v>
      </c>
      <c r="G1531" s="14">
        <v>531</v>
      </c>
      <c r="H1531" s="14">
        <v>0</v>
      </c>
      <c r="I1531" s="14">
        <v>7</v>
      </c>
      <c r="J1531" s="22">
        <v>0.20563350322482801</v>
      </c>
      <c r="K1531" s="22">
        <v>0.79436649677517202</v>
      </c>
      <c r="L1531" s="14">
        <v>0</v>
      </c>
    </row>
    <row r="1532" spans="1:12" x14ac:dyDescent="0.25">
      <c r="A1532" s="13" t="s">
        <v>7140</v>
      </c>
      <c r="B1532" s="14" t="s">
        <v>17</v>
      </c>
      <c r="C1532" s="14" t="s">
        <v>3944</v>
      </c>
      <c r="D1532" s="14" t="s">
        <v>3945</v>
      </c>
      <c r="E1532" s="14" t="s">
        <v>3946</v>
      </c>
      <c r="F1532" s="21">
        <v>2251.56</v>
      </c>
      <c r="H1532" s="14">
        <v>0</v>
      </c>
      <c r="I1532" s="14">
        <v>18</v>
      </c>
      <c r="J1532" s="22">
        <v>0.163636882138746</v>
      </c>
      <c r="K1532" s="22">
        <v>0.83636311786125395</v>
      </c>
      <c r="L1532" s="14">
        <v>0</v>
      </c>
    </row>
    <row r="1533" spans="1:12" x14ac:dyDescent="0.25">
      <c r="A1533" s="13">
        <v>23892176</v>
      </c>
      <c r="B1533" s="14" t="s">
        <v>17</v>
      </c>
      <c r="C1533" s="14" t="s">
        <v>5727</v>
      </c>
      <c r="D1533" s="14" t="s">
        <v>3947</v>
      </c>
      <c r="E1533" s="14" t="s">
        <v>3948</v>
      </c>
      <c r="F1533" s="21">
        <v>2058.96</v>
      </c>
      <c r="G1533" s="14">
        <v>291</v>
      </c>
      <c r="H1533" s="14">
        <v>0</v>
      </c>
      <c r="I1533" s="14">
        <v>3</v>
      </c>
      <c r="J1533" s="22">
        <v>0.78943503064156195</v>
      </c>
      <c r="K1533" s="22">
        <v>0.21056496935843799</v>
      </c>
      <c r="L1533" s="14">
        <v>0</v>
      </c>
    </row>
    <row r="1534" spans="1:12" x14ac:dyDescent="0.25">
      <c r="A1534" s="13">
        <v>3785148</v>
      </c>
      <c r="B1534" s="14" t="s">
        <v>6332</v>
      </c>
      <c r="C1534" s="14" t="s">
        <v>5728</v>
      </c>
      <c r="D1534" s="14" t="s">
        <v>3951</v>
      </c>
      <c r="E1534" s="14" t="s">
        <v>3952</v>
      </c>
      <c r="F1534" s="21">
        <v>1834.77</v>
      </c>
      <c r="G1534" s="14">
        <v>795</v>
      </c>
      <c r="H1534" s="14">
        <v>1</v>
      </c>
      <c r="I1534" s="14">
        <v>27</v>
      </c>
      <c r="J1534" s="22">
        <v>0.12562742412617101</v>
      </c>
      <c r="K1534" s="22">
        <v>0.87437257587382899</v>
      </c>
      <c r="L1534" s="14">
        <v>0</v>
      </c>
    </row>
    <row r="1535" spans="1:12" x14ac:dyDescent="0.25">
      <c r="A1535" s="13" t="s">
        <v>6031</v>
      </c>
      <c r="B1535" s="14" t="s">
        <v>3953</v>
      </c>
      <c r="C1535" s="14" t="s">
        <v>3954</v>
      </c>
      <c r="D1535" s="14" t="s">
        <v>3955</v>
      </c>
      <c r="E1535" s="14" t="s">
        <v>3956</v>
      </c>
      <c r="F1535" s="21">
        <v>2645.85</v>
      </c>
      <c r="H1535" s="14">
        <v>0</v>
      </c>
      <c r="I1535" s="14">
        <v>16</v>
      </c>
      <c r="J1535" s="22">
        <v>0.87963639017441297</v>
      </c>
      <c r="K1535" s="22">
        <v>0.120363609825587</v>
      </c>
      <c r="L1535" s="14">
        <v>0</v>
      </c>
    </row>
    <row r="1536" spans="1:12" x14ac:dyDescent="0.25">
      <c r="A1536" s="13" t="s">
        <v>3957</v>
      </c>
      <c r="B1536" s="14" t="s">
        <v>17</v>
      </c>
      <c r="C1536" s="14" t="s">
        <v>3958</v>
      </c>
      <c r="D1536" s="14" t="s">
        <v>3959</v>
      </c>
      <c r="E1536" s="14" t="s">
        <v>3960</v>
      </c>
      <c r="F1536" s="21">
        <v>2357.04</v>
      </c>
      <c r="G1536" s="14">
        <v>716</v>
      </c>
      <c r="H1536" s="14">
        <v>0</v>
      </c>
      <c r="I1536" s="14">
        <v>3</v>
      </c>
      <c r="J1536" s="22">
        <v>0.99398278604560497</v>
      </c>
      <c r="K1536" s="22">
        <v>6.0172139543954702E-3</v>
      </c>
      <c r="L1536" s="14">
        <v>0</v>
      </c>
    </row>
    <row r="1537" spans="1:12" x14ac:dyDescent="0.25">
      <c r="B1537" s="14" t="s">
        <v>69</v>
      </c>
      <c r="C1537" s="14" t="s">
        <v>3961</v>
      </c>
      <c r="D1537" s="14" t="s">
        <v>3962</v>
      </c>
      <c r="E1537" s="14" t="s">
        <v>3963</v>
      </c>
      <c r="F1537" s="21">
        <v>1955.03</v>
      </c>
      <c r="G1537" s="14">
        <v>57</v>
      </c>
      <c r="H1537" s="14">
        <v>1</v>
      </c>
      <c r="I1537" s="14">
        <v>45</v>
      </c>
      <c r="J1537" s="22">
        <v>0.28706008259171401</v>
      </c>
      <c r="K1537" s="22">
        <v>0.71293991740828599</v>
      </c>
      <c r="L1537" s="14">
        <v>0</v>
      </c>
    </row>
    <row r="1538" spans="1:12" ht="39.6" x14ac:dyDescent="0.25">
      <c r="A1538" s="20" t="s">
        <v>7141</v>
      </c>
      <c r="B1538" s="14" t="s">
        <v>69</v>
      </c>
      <c r="C1538" s="14" t="s">
        <v>5729</v>
      </c>
      <c r="D1538" s="14" t="s">
        <v>3962</v>
      </c>
      <c r="E1538" s="14" t="s">
        <v>3965</v>
      </c>
      <c r="F1538" s="21">
        <v>1728.8</v>
      </c>
      <c r="G1538" s="14">
        <v>208</v>
      </c>
      <c r="H1538" s="14">
        <v>0</v>
      </c>
      <c r="I1538" s="14">
        <v>7</v>
      </c>
      <c r="J1538" s="22">
        <v>3.52670498234081E-2</v>
      </c>
      <c r="K1538" s="22">
        <v>0.964732950176592</v>
      </c>
      <c r="L1538" s="14">
        <v>0</v>
      </c>
    </row>
    <row r="1539" spans="1:12" x14ac:dyDescent="0.25">
      <c r="A1539" s="13" t="s">
        <v>7142</v>
      </c>
      <c r="B1539" s="14" t="s">
        <v>5473</v>
      </c>
      <c r="C1539" s="14" t="s">
        <v>5730</v>
      </c>
      <c r="D1539" s="14" t="s">
        <v>3968</v>
      </c>
      <c r="E1539" s="14" t="s">
        <v>7143</v>
      </c>
      <c r="F1539" s="21">
        <v>2040</v>
      </c>
      <c r="G1539" s="14">
        <v>781</v>
      </c>
      <c r="H1539" s="14">
        <v>1</v>
      </c>
      <c r="I1539" s="14">
        <v>5</v>
      </c>
      <c r="J1539" s="22">
        <v>0.20424442438291601</v>
      </c>
      <c r="K1539" s="22">
        <v>0.79575557561708399</v>
      </c>
      <c r="L1539" s="14">
        <v>0</v>
      </c>
    </row>
    <row r="1540" spans="1:12" ht="26.4" x14ac:dyDescent="0.25">
      <c r="A1540" s="20" t="s">
        <v>7144</v>
      </c>
      <c r="B1540" s="14" t="s">
        <v>5473</v>
      </c>
      <c r="C1540" s="14" t="s">
        <v>5731</v>
      </c>
      <c r="D1540" s="14" t="s">
        <v>3971</v>
      </c>
      <c r="E1540" s="14" t="s">
        <v>3972</v>
      </c>
      <c r="F1540" s="21">
        <v>1680</v>
      </c>
      <c r="G1540" s="14">
        <v>60</v>
      </c>
      <c r="H1540" s="14">
        <v>1</v>
      </c>
      <c r="I1540" s="14">
        <v>3</v>
      </c>
      <c r="J1540" s="22">
        <v>0.700651665568362</v>
      </c>
      <c r="K1540" s="22">
        <v>0.299348334431638</v>
      </c>
      <c r="L1540" s="14">
        <v>0</v>
      </c>
    </row>
    <row r="1541" spans="1:12" x14ac:dyDescent="0.25">
      <c r="A1541" s="13" t="s">
        <v>3973</v>
      </c>
      <c r="B1541" s="14" t="s">
        <v>5473</v>
      </c>
      <c r="C1541" s="14" t="s">
        <v>5731</v>
      </c>
      <c r="D1541" s="14" t="s">
        <v>3971</v>
      </c>
      <c r="E1541" s="14" t="s">
        <v>3974</v>
      </c>
      <c r="F1541" s="21">
        <v>2040</v>
      </c>
      <c r="G1541" s="14">
        <v>77</v>
      </c>
      <c r="H1541" s="14">
        <v>1</v>
      </c>
      <c r="I1541" s="14">
        <v>37</v>
      </c>
      <c r="J1541" s="22">
        <v>0.383577185180352</v>
      </c>
      <c r="K1541" s="22">
        <v>0.616422814819648</v>
      </c>
      <c r="L1541" s="14">
        <v>0</v>
      </c>
    </row>
    <row r="1542" spans="1:12" x14ac:dyDescent="0.25">
      <c r="A1542" s="13" t="s">
        <v>7145</v>
      </c>
      <c r="B1542" s="14" t="s">
        <v>552</v>
      </c>
      <c r="C1542" s="14" t="s">
        <v>5732</v>
      </c>
      <c r="D1542" s="14" t="s">
        <v>3976</v>
      </c>
      <c r="E1542" s="14" t="s">
        <v>3977</v>
      </c>
      <c r="F1542" s="21">
        <v>1680</v>
      </c>
      <c r="G1542" s="14">
        <v>753</v>
      </c>
      <c r="H1542" s="14">
        <v>1</v>
      </c>
      <c r="I1542" s="14">
        <v>35</v>
      </c>
      <c r="J1542" s="22">
        <v>0.59001033492836596</v>
      </c>
      <c r="K1542" s="22">
        <v>0.40998966507163398</v>
      </c>
      <c r="L1542" s="14">
        <v>0</v>
      </c>
    </row>
    <row r="1543" spans="1:12" x14ac:dyDescent="0.25">
      <c r="A1543" s="13" t="s">
        <v>7146</v>
      </c>
      <c r="B1543" s="14" t="s">
        <v>5435</v>
      </c>
      <c r="C1543" s="14" t="s">
        <v>5734</v>
      </c>
      <c r="D1543" s="14" t="s">
        <v>3979</v>
      </c>
      <c r="E1543" s="14" t="s">
        <v>3980</v>
      </c>
      <c r="F1543" s="21">
        <v>2550</v>
      </c>
      <c r="G1543" s="14">
        <v>755</v>
      </c>
      <c r="H1543" s="14">
        <v>1</v>
      </c>
      <c r="I1543" s="14" t="s">
        <v>6314</v>
      </c>
      <c r="J1543" s="22">
        <v>0.56112743816209398</v>
      </c>
      <c r="K1543" s="22">
        <v>0.43887256183790702</v>
      </c>
      <c r="L1543" s="14">
        <v>0</v>
      </c>
    </row>
    <row r="1544" spans="1:12" ht="26.4" x14ac:dyDescent="0.25">
      <c r="B1544" s="14" t="s">
        <v>3504</v>
      </c>
      <c r="C1544" s="23" t="s">
        <v>7147</v>
      </c>
      <c r="D1544" s="14" t="s">
        <v>3982</v>
      </c>
      <c r="E1544" s="14" t="s">
        <v>3983</v>
      </c>
      <c r="F1544" s="21">
        <v>340</v>
      </c>
      <c r="G1544" s="14">
        <v>302</v>
      </c>
      <c r="H1544" s="14">
        <v>0</v>
      </c>
      <c r="I1544" s="14">
        <v>32</v>
      </c>
      <c r="J1544" s="22">
        <v>0.93656089558871203</v>
      </c>
      <c r="K1544" s="22">
        <v>6.3439104411288402E-2</v>
      </c>
      <c r="L1544" s="14">
        <v>0</v>
      </c>
    </row>
    <row r="1545" spans="1:12" x14ac:dyDescent="0.25">
      <c r="A1545" s="13" t="s">
        <v>7148</v>
      </c>
      <c r="B1545" s="14" t="s">
        <v>86</v>
      </c>
      <c r="C1545" s="14" t="s">
        <v>3984</v>
      </c>
      <c r="E1545" s="14" t="s">
        <v>3985</v>
      </c>
      <c r="F1545" s="21">
        <v>1500</v>
      </c>
      <c r="G1545" s="14">
        <v>684</v>
      </c>
      <c r="H1545" s="14">
        <v>0</v>
      </c>
      <c r="I1545" s="14">
        <v>33</v>
      </c>
      <c r="J1545" s="22">
        <v>0.97558873261197998</v>
      </c>
      <c r="K1545" s="22">
        <v>2.4411267388019998E-2</v>
      </c>
      <c r="L1545" s="14">
        <v>0</v>
      </c>
    </row>
    <row r="1546" spans="1:12" x14ac:dyDescent="0.25">
      <c r="A1546" s="13">
        <v>23239765</v>
      </c>
      <c r="B1546" s="14" t="s">
        <v>547</v>
      </c>
      <c r="C1546" s="14" t="s">
        <v>3996</v>
      </c>
      <c r="D1546" s="14" t="s">
        <v>3987</v>
      </c>
      <c r="E1546" s="14" t="s">
        <v>3988</v>
      </c>
      <c r="F1546" s="21">
        <v>1003.6</v>
      </c>
      <c r="G1546" s="14">
        <v>697</v>
      </c>
      <c r="H1546" s="14">
        <v>0</v>
      </c>
      <c r="I1546" s="14">
        <v>1</v>
      </c>
      <c r="J1546" s="22">
        <v>6.3614859566020601E-2</v>
      </c>
      <c r="K1546" s="22">
        <v>0.93638514043397902</v>
      </c>
      <c r="L1546" s="14">
        <v>0</v>
      </c>
    </row>
    <row r="1547" spans="1:12" x14ac:dyDescent="0.25">
      <c r="A1547" s="13">
        <v>24147036</v>
      </c>
      <c r="B1547" s="14" t="s">
        <v>547</v>
      </c>
      <c r="C1547" s="14" t="s">
        <v>3986</v>
      </c>
      <c r="D1547" s="14" t="s">
        <v>3987</v>
      </c>
      <c r="E1547" s="14" t="s">
        <v>3989</v>
      </c>
      <c r="F1547" s="21">
        <v>1018</v>
      </c>
      <c r="G1547" s="14">
        <v>680</v>
      </c>
      <c r="H1547" s="14">
        <v>1</v>
      </c>
      <c r="I1547" s="14">
        <v>15</v>
      </c>
      <c r="J1547" s="22">
        <v>0.334328859387029</v>
      </c>
      <c r="K1547" s="22">
        <v>0.66567114061297095</v>
      </c>
      <c r="L1547" s="14">
        <v>0</v>
      </c>
    </row>
    <row r="1548" spans="1:12" x14ac:dyDescent="0.25">
      <c r="A1548" s="13">
        <v>23844111</v>
      </c>
      <c r="B1548" s="14" t="s">
        <v>547</v>
      </c>
      <c r="C1548" s="14" t="s">
        <v>3996</v>
      </c>
      <c r="D1548" s="14" t="s">
        <v>3987</v>
      </c>
      <c r="E1548" s="14" t="s">
        <v>3990</v>
      </c>
      <c r="F1548" s="21">
        <v>1060</v>
      </c>
      <c r="G1548" s="14">
        <v>883</v>
      </c>
      <c r="H1548" s="14">
        <v>0</v>
      </c>
      <c r="I1548" s="14">
        <v>49</v>
      </c>
      <c r="J1548" s="22">
        <v>0.27967935983115899</v>
      </c>
      <c r="K1548" s="22">
        <v>0.72032064016884101</v>
      </c>
      <c r="L1548" s="14">
        <v>0</v>
      </c>
    </row>
    <row r="1549" spans="1:12" x14ac:dyDescent="0.25">
      <c r="A1549" s="13">
        <v>23527131</v>
      </c>
      <c r="B1549" s="14" t="s">
        <v>547</v>
      </c>
      <c r="C1549" s="14" t="s">
        <v>5429</v>
      </c>
      <c r="D1549" s="14" t="s">
        <v>3987</v>
      </c>
      <c r="E1549" s="14" t="s">
        <v>3991</v>
      </c>
      <c r="F1549" s="21">
        <v>1067.4000000000001</v>
      </c>
      <c r="G1549" s="14">
        <v>437</v>
      </c>
      <c r="H1549" s="14">
        <v>0</v>
      </c>
      <c r="I1549" s="14">
        <v>25</v>
      </c>
      <c r="J1549" s="22">
        <v>0.185182752833317</v>
      </c>
      <c r="K1549" s="22">
        <v>0.81481724716668302</v>
      </c>
      <c r="L1549" s="14">
        <v>0</v>
      </c>
    </row>
    <row r="1550" spans="1:12" x14ac:dyDescent="0.25">
      <c r="B1550" s="14" t="s">
        <v>547</v>
      </c>
      <c r="C1550" s="14" t="s">
        <v>7149</v>
      </c>
      <c r="E1550" s="14" t="s">
        <v>3993</v>
      </c>
      <c r="F1550" s="21">
        <v>1417.5</v>
      </c>
      <c r="H1550" s="14">
        <v>1</v>
      </c>
      <c r="I1550" s="14">
        <v>20</v>
      </c>
      <c r="J1550" s="22">
        <v>0.57563899139852603</v>
      </c>
      <c r="K1550" s="22">
        <v>0.42436100860147402</v>
      </c>
      <c r="L1550" s="14">
        <v>0</v>
      </c>
    </row>
    <row r="1551" spans="1:12" x14ac:dyDescent="0.25">
      <c r="B1551" s="14" t="s">
        <v>547</v>
      </c>
      <c r="C1551" s="14" t="s">
        <v>7150</v>
      </c>
      <c r="E1551" s="14" t="s">
        <v>3995</v>
      </c>
      <c r="F1551" s="21">
        <v>850.5</v>
      </c>
      <c r="G1551" s="14">
        <v>316</v>
      </c>
      <c r="H1551" s="14">
        <v>1</v>
      </c>
      <c r="I1551" s="14">
        <v>47</v>
      </c>
      <c r="J1551" s="22">
        <v>0.82792307681835997</v>
      </c>
      <c r="K1551" s="22">
        <v>0.17207692318164</v>
      </c>
      <c r="L1551" s="14">
        <v>0</v>
      </c>
    </row>
    <row r="1552" spans="1:12" x14ac:dyDescent="0.25">
      <c r="B1552" s="14" t="s">
        <v>547</v>
      </c>
      <c r="C1552" s="14" t="s">
        <v>5746</v>
      </c>
      <c r="D1552" s="14" t="s">
        <v>3996</v>
      </c>
      <c r="E1552" s="14" t="s">
        <v>3997</v>
      </c>
      <c r="F1552" s="21">
        <v>1002.14</v>
      </c>
      <c r="G1552" s="14">
        <v>60</v>
      </c>
      <c r="H1552" s="14">
        <v>0</v>
      </c>
      <c r="I1552" s="14">
        <v>6</v>
      </c>
      <c r="J1552" s="22">
        <v>0.59949574354269197</v>
      </c>
      <c r="K1552" s="22">
        <v>0.40050425645730903</v>
      </c>
      <c r="L1552" s="14">
        <v>0</v>
      </c>
    </row>
    <row r="1553" spans="1:12" x14ac:dyDescent="0.25">
      <c r="B1553" s="14" t="s">
        <v>547</v>
      </c>
      <c r="C1553" s="14" t="s">
        <v>5746</v>
      </c>
      <c r="D1553" s="14" t="s">
        <v>3996</v>
      </c>
      <c r="E1553" s="14" t="s">
        <v>3998</v>
      </c>
      <c r="F1553" s="21">
        <v>1003.77</v>
      </c>
      <c r="G1553" s="14">
        <v>853</v>
      </c>
      <c r="H1553" s="14">
        <v>0</v>
      </c>
      <c r="I1553" s="14">
        <v>3</v>
      </c>
      <c r="J1553" s="22">
        <v>0.27953105806468298</v>
      </c>
      <c r="K1553" s="22">
        <v>0.72046894193531696</v>
      </c>
      <c r="L1553" s="14">
        <v>0</v>
      </c>
    </row>
    <row r="1554" spans="1:12" x14ac:dyDescent="0.25">
      <c r="B1554" s="14" t="s">
        <v>547</v>
      </c>
      <c r="C1554" s="14" t="s">
        <v>5746</v>
      </c>
      <c r="D1554" s="14" t="s">
        <v>3996</v>
      </c>
      <c r="E1554" s="14" t="s">
        <v>3999</v>
      </c>
      <c r="F1554" s="21">
        <v>1011.8</v>
      </c>
      <c r="G1554" s="14">
        <v>403</v>
      </c>
      <c r="I1554" s="14">
        <v>37</v>
      </c>
      <c r="J1554" s="22">
        <v>0.33068894268990101</v>
      </c>
      <c r="K1554" s="22">
        <v>0.66931105731009899</v>
      </c>
      <c r="L1554" s="14">
        <v>0</v>
      </c>
    </row>
    <row r="1555" spans="1:12" x14ac:dyDescent="0.25">
      <c r="B1555" s="14" t="s">
        <v>547</v>
      </c>
      <c r="C1555" s="14" t="s">
        <v>5746</v>
      </c>
      <c r="D1555" s="14" t="s">
        <v>3996</v>
      </c>
      <c r="E1555" s="14" t="s">
        <v>4000</v>
      </c>
      <c r="F1555" s="21">
        <v>1021.09</v>
      </c>
      <c r="G1555" s="14">
        <v>32</v>
      </c>
      <c r="H1555" s="14">
        <v>1</v>
      </c>
      <c r="I1555" s="14">
        <v>44</v>
      </c>
      <c r="J1555" s="22">
        <v>0.49237226838297998</v>
      </c>
      <c r="K1555" s="22">
        <v>0.50762773161702002</v>
      </c>
      <c r="L1555" s="14">
        <v>0</v>
      </c>
    </row>
    <row r="1556" spans="1:12" x14ac:dyDescent="0.25">
      <c r="B1556" s="14" t="s">
        <v>547</v>
      </c>
      <c r="C1556" s="14" t="s">
        <v>5746</v>
      </c>
      <c r="D1556" s="14" t="s">
        <v>3996</v>
      </c>
      <c r="E1556" s="14" t="s">
        <v>4001</v>
      </c>
      <c r="F1556" s="21">
        <v>1035.52</v>
      </c>
      <c r="G1556" s="14">
        <v>109</v>
      </c>
      <c r="H1556" s="14">
        <v>0</v>
      </c>
      <c r="I1556" s="14">
        <v>39</v>
      </c>
      <c r="J1556" s="22">
        <v>0.44525597636367298</v>
      </c>
      <c r="K1556" s="22">
        <v>0.55474402363632802</v>
      </c>
      <c r="L1556" s="14">
        <v>0</v>
      </c>
    </row>
    <row r="1557" spans="1:12" x14ac:dyDescent="0.25">
      <c r="B1557" s="14" t="s">
        <v>547</v>
      </c>
      <c r="C1557" s="14" t="s">
        <v>5746</v>
      </c>
      <c r="D1557" s="14" t="s">
        <v>3996</v>
      </c>
      <c r="E1557" s="14" t="s">
        <v>4002</v>
      </c>
      <c r="F1557" s="21">
        <v>1065.9000000000001</v>
      </c>
      <c r="G1557" s="14">
        <v>927</v>
      </c>
      <c r="H1557" s="14">
        <v>0</v>
      </c>
      <c r="I1557" s="14">
        <v>38</v>
      </c>
      <c r="J1557" s="22">
        <v>0.19724038904761201</v>
      </c>
      <c r="K1557" s="22">
        <v>0.80275961095238801</v>
      </c>
      <c r="L1557" s="14">
        <v>0</v>
      </c>
    </row>
    <row r="1558" spans="1:12" x14ac:dyDescent="0.25">
      <c r="B1558" s="14" t="s">
        <v>547</v>
      </c>
      <c r="C1558" s="14" t="s">
        <v>5746</v>
      </c>
      <c r="D1558" s="14" t="s">
        <v>3996</v>
      </c>
      <c r="E1558" s="14" t="s">
        <v>4003</v>
      </c>
      <c r="F1558" s="21">
        <v>1073.268</v>
      </c>
      <c r="G1558" s="14">
        <v>423</v>
      </c>
      <c r="H1558" s="14">
        <v>1</v>
      </c>
      <c r="I1558" s="14">
        <v>27</v>
      </c>
      <c r="J1558" s="22">
        <v>0.17376787816470601</v>
      </c>
      <c r="K1558" s="22">
        <v>0.82623212183529404</v>
      </c>
      <c r="L1558" s="14">
        <v>0</v>
      </c>
    </row>
    <row r="1559" spans="1:12" x14ac:dyDescent="0.25">
      <c r="A1559" s="13">
        <v>23049479</v>
      </c>
      <c r="B1559" s="14" t="s">
        <v>547</v>
      </c>
      <c r="C1559" s="14" t="s">
        <v>4004</v>
      </c>
      <c r="D1559" s="14" t="s">
        <v>4005</v>
      </c>
      <c r="E1559" s="14" t="s">
        <v>4006</v>
      </c>
      <c r="F1559" s="21">
        <v>343.51</v>
      </c>
      <c r="G1559" s="14">
        <v>792</v>
      </c>
      <c r="H1559" s="14">
        <v>1</v>
      </c>
      <c r="I1559" s="14">
        <v>48</v>
      </c>
      <c r="J1559" s="22">
        <v>3.6169170250702799E-3</v>
      </c>
      <c r="K1559" s="22">
        <v>0.99638308297492995</v>
      </c>
      <c r="L1559" s="14">
        <v>0</v>
      </c>
    </row>
    <row r="1560" spans="1:12" ht="39.6" x14ac:dyDescent="0.25">
      <c r="A1560" s="20" t="s">
        <v>7151</v>
      </c>
      <c r="B1560" s="14" t="s">
        <v>547</v>
      </c>
      <c r="C1560" s="14" t="s">
        <v>4004</v>
      </c>
      <c r="D1560" s="14" t="s">
        <v>4005</v>
      </c>
      <c r="E1560" s="14" t="s">
        <v>4008</v>
      </c>
      <c r="F1560" s="21">
        <v>1429.98</v>
      </c>
      <c r="G1560" s="14">
        <v>173</v>
      </c>
      <c r="H1560" s="14">
        <v>1</v>
      </c>
      <c r="I1560" s="14">
        <v>27</v>
      </c>
      <c r="J1560" s="22">
        <v>0.65497899068145704</v>
      </c>
      <c r="K1560" s="22">
        <v>0.34502100931854401</v>
      </c>
      <c r="L1560" s="14">
        <v>0</v>
      </c>
    </row>
    <row r="1561" spans="1:12" x14ac:dyDescent="0.25">
      <c r="A1561" s="13" t="s">
        <v>4009</v>
      </c>
      <c r="B1561" s="14" t="s">
        <v>3996</v>
      </c>
      <c r="C1561" s="14" t="s">
        <v>5735</v>
      </c>
      <c r="D1561" s="14" t="s">
        <v>4005</v>
      </c>
      <c r="E1561" s="14" t="s">
        <v>4010</v>
      </c>
      <c r="F1561" s="21">
        <v>1429.13</v>
      </c>
      <c r="G1561" s="14">
        <v>83</v>
      </c>
      <c r="H1561" s="14">
        <v>1</v>
      </c>
      <c r="I1561" s="14">
        <v>39</v>
      </c>
      <c r="J1561" s="22">
        <v>0.49389285841279601</v>
      </c>
      <c r="K1561" s="22">
        <v>0.50610714158720405</v>
      </c>
      <c r="L1561" s="14">
        <v>0</v>
      </c>
    </row>
    <row r="1562" spans="1:12" x14ac:dyDescent="0.25">
      <c r="B1562" s="14" t="s">
        <v>547</v>
      </c>
      <c r="C1562" s="14" t="s">
        <v>3992</v>
      </c>
      <c r="D1562" s="14" t="s">
        <v>4005</v>
      </c>
      <c r="E1562" s="14" t="s">
        <v>4011</v>
      </c>
      <c r="F1562" s="21">
        <v>1445.74</v>
      </c>
      <c r="G1562" s="14">
        <v>69</v>
      </c>
      <c r="H1562" s="14">
        <v>0</v>
      </c>
      <c r="I1562" s="14">
        <v>33</v>
      </c>
      <c r="J1562" s="22">
        <v>0.94429880466932503</v>
      </c>
      <c r="K1562" s="22">
        <v>5.5701195330674601E-2</v>
      </c>
      <c r="L1562" s="14">
        <v>0</v>
      </c>
    </row>
    <row r="1563" spans="1:12" ht="39.6" x14ac:dyDescent="0.25">
      <c r="A1563" s="20" t="s">
        <v>7152</v>
      </c>
      <c r="B1563" s="14" t="s">
        <v>547</v>
      </c>
      <c r="C1563" s="14" t="s">
        <v>3992</v>
      </c>
      <c r="D1563" s="14" t="s">
        <v>4005</v>
      </c>
      <c r="E1563" s="14" t="s">
        <v>4013</v>
      </c>
      <c r="F1563" s="21">
        <v>1461.82</v>
      </c>
      <c r="G1563" s="14">
        <v>340</v>
      </c>
      <c r="I1563" s="14">
        <v>8</v>
      </c>
      <c r="J1563" s="22">
        <v>6.7822530117543897E-2</v>
      </c>
      <c r="K1563" s="22">
        <v>0.93217746988245598</v>
      </c>
      <c r="L1563" s="14">
        <v>0</v>
      </c>
    </row>
    <row r="1564" spans="1:12" x14ac:dyDescent="0.25">
      <c r="A1564" s="13" t="s">
        <v>7153</v>
      </c>
      <c r="B1564" s="14" t="s">
        <v>547</v>
      </c>
      <c r="C1564" s="14" t="s">
        <v>5736</v>
      </c>
      <c r="D1564" s="14" t="s">
        <v>4005</v>
      </c>
      <c r="E1564" s="14" t="s">
        <v>7154</v>
      </c>
      <c r="F1564" s="21">
        <v>1476.43</v>
      </c>
      <c r="G1564" s="14">
        <v>92</v>
      </c>
      <c r="H1564" s="14">
        <v>0</v>
      </c>
      <c r="I1564" s="14">
        <v>42</v>
      </c>
      <c r="J1564" s="22">
        <v>0.44163894824629102</v>
      </c>
      <c r="K1564" s="22">
        <v>0.55836105175370898</v>
      </c>
      <c r="L1564" s="14">
        <v>0</v>
      </c>
    </row>
    <row r="1565" spans="1:12" x14ac:dyDescent="0.25">
      <c r="A1565" s="13" t="s">
        <v>7155</v>
      </c>
      <c r="B1565" s="14" t="s">
        <v>547</v>
      </c>
      <c r="C1565" s="14" t="s">
        <v>5736</v>
      </c>
      <c r="D1565" s="14" t="s">
        <v>4005</v>
      </c>
      <c r="E1565" s="14" t="s">
        <v>7156</v>
      </c>
      <c r="F1565" s="21">
        <v>1476.43</v>
      </c>
      <c r="G1565" s="14">
        <v>273</v>
      </c>
      <c r="H1565" s="14">
        <v>1</v>
      </c>
      <c r="I1565" s="14">
        <v>20</v>
      </c>
      <c r="J1565" s="22">
        <v>0.17642000852944401</v>
      </c>
      <c r="K1565" s="22">
        <v>0.82357999147055605</v>
      </c>
      <c r="L1565" s="14">
        <v>0</v>
      </c>
    </row>
    <row r="1566" spans="1:12" ht="26.4" x14ac:dyDescent="0.25">
      <c r="A1566" s="20" t="s">
        <v>7157</v>
      </c>
      <c r="B1566" s="14" t="s">
        <v>547</v>
      </c>
      <c r="C1566" s="14" t="s">
        <v>3992</v>
      </c>
      <c r="D1566" s="14" t="s">
        <v>4005</v>
      </c>
      <c r="E1566" s="14" t="s">
        <v>4019</v>
      </c>
      <c r="F1566" s="21">
        <v>1658.18</v>
      </c>
      <c r="H1566" s="14">
        <v>1</v>
      </c>
      <c r="I1566" s="14" t="s">
        <v>6314</v>
      </c>
      <c r="J1566" s="22">
        <v>0.13629873775476301</v>
      </c>
      <c r="K1566" s="22">
        <v>0.86370126224523702</v>
      </c>
      <c r="L1566" s="14">
        <v>0</v>
      </c>
    </row>
    <row r="1567" spans="1:12" ht="26.4" x14ac:dyDescent="0.25">
      <c r="A1567" s="20" t="s">
        <v>7158</v>
      </c>
      <c r="B1567" s="14" t="s">
        <v>547</v>
      </c>
      <c r="C1567" s="14" t="s">
        <v>3992</v>
      </c>
      <c r="D1567" s="14" t="s">
        <v>4005</v>
      </c>
      <c r="E1567" s="14" t="s">
        <v>4021</v>
      </c>
      <c r="F1567" s="21">
        <v>1684.67</v>
      </c>
      <c r="G1567" s="14">
        <v>274</v>
      </c>
      <c r="H1567" s="14">
        <v>0</v>
      </c>
      <c r="I1567" s="14">
        <v>13</v>
      </c>
      <c r="J1567" s="22">
        <v>0.443312190043476</v>
      </c>
      <c r="K1567" s="22">
        <v>0.556687809956524</v>
      </c>
      <c r="L1567" s="14">
        <v>0</v>
      </c>
    </row>
    <row r="1568" spans="1:12" ht="26.4" x14ac:dyDescent="0.25">
      <c r="A1568" s="20" t="s">
        <v>7159</v>
      </c>
      <c r="B1568" s="14" t="s">
        <v>547</v>
      </c>
      <c r="C1568" s="14" t="s">
        <v>3992</v>
      </c>
      <c r="D1568" s="14" t="s">
        <v>4005</v>
      </c>
      <c r="E1568" s="14" t="s">
        <v>4023</v>
      </c>
      <c r="F1568" s="21">
        <v>1685.62</v>
      </c>
      <c r="G1568" s="14">
        <v>836</v>
      </c>
      <c r="H1568" s="14">
        <v>1</v>
      </c>
      <c r="I1568" s="14">
        <v>9</v>
      </c>
      <c r="J1568" s="22">
        <v>0.567855430800278</v>
      </c>
      <c r="K1568" s="22">
        <v>0.432144569199722</v>
      </c>
      <c r="L1568" s="14">
        <v>0</v>
      </c>
    </row>
    <row r="1569" spans="1:12" x14ac:dyDescent="0.25">
      <c r="A1569" s="13" t="s">
        <v>4024</v>
      </c>
      <c r="B1569" s="14" t="s">
        <v>547</v>
      </c>
      <c r="C1569" s="14" t="s">
        <v>3992</v>
      </c>
      <c r="D1569" s="14" t="s">
        <v>4005</v>
      </c>
      <c r="E1569" s="14" t="s">
        <v>4025</v>
      </c>
      <c r="F1569" s="21">
        <v>1783.84</v>
      </c>
      <c r="H1569" s="14">
        <v>0</v>
      </c>
      <c r="I1569" s="14">
        <v>11</v>
      </c>
      <c r="J1569" s="22">
        <v>0.51459898561758699</v>
      </c>
      <c r="K1569" s="22">
        <v>0.48540101438241301</v>
      </c>
      <c r="L1569" s="14">
        <v>0</v>
      </c>
    </row>
    <row r="1570" spans="1:12" x14ac:dyDescent="0.25">
      <c r="A1570" s="13" t="s">
        <v>4026</v>
      </c>
      <c r="B1570" s="14" t="s">
        <v>5429</v>
      </c>
      <c r="C1570" s="14" t="s">
        <v>4027</v>
      </c>
      <c r="D1570" s="14" t="s">
        <v>4028</v>
      </c>
      <c r="E1570" s="14" t="s">
        <v>4029</v>
      </c>
      <c r="F1570" s="21">
        <v>1494.42</v>
      </c>
      <c r="G1570" s="14">
        <v>780</v>
      </c>
      <c r="H1570" s="14">
        <v>1</v>
      </c>
      <c r="I1570" s="14">
        <v>34</v>
      </c>
      <c r="J1570" s="22">
        <v>7.8247469786151103E-2</v>
      </c>
      <c r="K1570" s="22">
        <v>0.92175253021384895</v>
      </c>
      <c r="L1570" s="14">
        <v>0</v>
      </c>
    </row>
    <row r="1571" spans="1:12" x14ac:dyDescent="0.25">
      <c r="A1571" s="13">
        <v>3715439</v>
      </c>
      <c r="B1571" s="14" t="s">
        <v>3986</v>
      </c>
      <c r="C1571" s="14" t="s">
        <v>5737</v>
      </c>
      <c r="D1571" s="14" t="s">
        <v>4028</v>
      </c>
      <c r="E1571" s="14" t="s">
        <v>4031</v>
      </c>
      <c r="F1571" s="21">
        <v>1761.48</v>
      </c>
      <c r="G1571" s="14">
        <v>255</v>
      </c>
      <c r="H1571" s="14">
        <v>1</v>
      </c>
      <c r="I1571" s="14">
        <v>17</v>
      </c>
      <c r="J1571" s="22">
        <v>0.88289246086801398</v>
      </c>
      <c r="K1571" s="22">
        <v>0.117107539131986</v>
      </c>
      <c r="L1571" s="14">
        <v>0</v>
      </c>
    </row>
    <row r="1572" spans="1:12" x14ac:dyDescent="0.25">
      <c r="A1572" s="13" t="s">
        <v>7160</v>
      </c>
      <c r="B1572" s="14" t="s">
        <v>5430</v>
      </c>
      <c r="C1572" s="14" t="s">
        <v>5738</v>
      </c>
      <c r="D1572" s="14" t="s">
        <v>4028</v>
      </c>
      <c r="E1572" s="14" t="s">
        <v>4033</v>
      </c>
      <c r="F1572" s="21">
        <v>1774.83</v>
      </c>
      <c r="G1572" s="14">
        <v>592</v>
      </c>
      <c r="H1572" s="14">
        <v>0</v>
      </c>
      <c r="I1572" s="14">
        <v>29</v>
      </c>
      <c r="J1572" s="22">
        <v>0.29418297177036701</v>
      </c>
      <c r="K1572" s="22">
        <v>0.70581702822963299</v>
      </c>
      <c r="L1572" s="14">
        <v>0</v>
      </c>
    </row>
    <row r="1573" spans="1:12" x14ac:dyDescent="0.25">
      <c r="A1573" s="13" t="s">
        <v>4034</v>
      </c>
      <c r="B1573" s="14" t="s">
        <v>5431</v>
      </c>
      <c r="C1573" s="14" t="s">
        <v>4027</v>
      </c>
      <c r="D1573" s="14" t="s">
        <v>4028</v>
      </c>
      <c r="E1573" s="14" t="s">
        <v>4035</v>
      </c>
      <c r="F1573" s="21">
        <v>1676.06</v>
      </c>
      <c r="G1573" s="14">
        <v>577</v>
      </c>
      <c r="H1573" s="14">
        <v>0</v>
      </c>
      <c r="I1573" s="14">
        <v>17</v>
      </c>
      <c r="J1573" s="22">
        <v>0.79160822454281699</v>
      </c>
      <c r="K1573" s="22">
        <v>0.20839177545718299</v>
      </c>
      <c r="L1573" s="14">
        <v>0</v>
      </c>
    </row>
    <row r="1574" spans="1:12" ht="39.6" x14ac:dyDescent="0.25">
      <c r="A1574" s="13" t="s">
        <v>4036</v>
      </c>
      <c r="B1574" s="14" t="s">
        <v>547</v>
      </c>
      <c r="C1574" s="14" t="s">
        <v>4027</v>
      </c>
      <c r="D1574" s="14" t="s">
        <v>4028</v>
      </c>
      <c r="E1574" s="23" t="s">
        <v>7161</v>
      </c>
      <c r="F1574" s="21">
        <v>750.71</v>
      </c>
      <c r="G1574" s="14">
        <v>715</v>
      </c>
      <c r="H1574" s="14">
        <v>1</v>
      </c>
      <c r="I1574" s="14">
        <v>44</v>
      </c>
      <c r="J1574" s="22">
        <v>0.394268273146132</v>
      </c>
      <c r="K1574" s="22">
        <v>0.605731726853868</v>
      </c>
      <c r="L1574" s="14">
        <v>0</v>
      </c>
    </row>
    <row r="1575" spans="1:12" x14ac:dyDescent="0.25">
      <c r="A1575" s="13" t="s">
        <v>7162</v>
      </c>
      <c r="B1575" s="14" t="s">
        <v>547</v>
      </c>
      <c r="C1575" s="14" t="s">
        <v>5738</v>
      </c>
      <c r="D1575" s="14" t="s">
        <v>4028</v>
      </c>
      <c r="E1575" s="14" t="s">
        <v>4039</v>
      </c>
      <c r="F1575" s="21">
        <v>1394.05</v>
      </c>
      <c r="G1575" s="14">
        <v>825</v>
      </c>
      <c r="H1575" s="14">
        <v>1</v>
      </c>
      <c r="I1575" s="14">
        <v>49</v>
      </c>
      <c r="J1575" s="22">
        <v>0.82912575069319905</v>
      </c>
      <c r="K1575" s="22">
        <v>0.17087424930680101</v>
      </c>
      <c r="L1575" s="14">
        <v>0</v>
      </c>
    </row>
    <row r="1576" spans="1:12" x14ac:dyDescent="0.25">
      <c r="A1576" s="13" t="s">
        <v>4040</v>
      </c>
      <c r="B1576" s="14" t="s">
        <v>547</v>
      </c>
      <c r="C1576" s="14" t="s">
        <v>4027</v>
      </c>
      <c r="D1576" s="14" t="s">
        <v>4028</v>
      </c>
      <c r="E1576" s="14" t="s">
        <v>4041</v>
      </c>
      <c r="F1576" s="21">
        <v>1418.13</v>
      </c>
      <c r="H1576" s="14">
        <v>1</v>
      </c>
      <c r="I1576" s="14" t="s">
        <v>6314</v>
      </c>
      <c r="J1576" s="22">
        <v>0.52215685181268101</v>
      </c>
      <c r="K1576" s="22">
        <v>0.47784314818731899</v>
      </c>
      <c r="L1576" s="14">
        <v>0</v>
      </c>
    </row>
    <row r="1577" spans="1:12" x14ac:dyDescent="0.25">
      <c r="A1577" s="13" t="s">
        <v>4042</v>
      </c>
      <c r="B1577" s="14" t="s">
        <v>547</v>
      </c>
      <c r="C1577" s="14" t="s">
        <v>4027</v>
      </c>
      <c r="D1577" s="14" t="s">
        <v>4028</v>
      </c>
      <c r="E1577" s="14" t="s">
        <v>4043</v>
      </c>
      <c r="F1577" s="21">
        <v>1431.21</v>
      </c>
      <c r="G1577" s="14">
        <v>287</v>
      </c>
      <c r="H1577" s="14">
        <v>0</v>
      </c>
      <c r="I1577" s="14" t="s">
        <v>6314</v>
      </c>
      <c r="J1577" s="22">
        <v>0.66204196767033097</v>
      </c>
      <c r="K1577" s="22">
        <v>0.33795803232966898</v>
      </c>
      <c r="L1577" s="14">
        <v>0</v>
      </c>
    </row>
    <row r="1578" spans="1:12" x14ac:dyDescent="0.25">
      <c r="A1578" s="13" t="s">
        <v>7163</v>
      </c>
      <c r="B1578" s="14" t="s">
        <v>547</v>
      </c>
      <c r="C1578" s="14" t="s">
        <v>4027</v>
      </c>
      <c r="D1578" s="14" t="s">
        <v>4028</v>
      </c>
      <c r="E1578" s="14" t="s">
        <v>4045</v>
      </c>
      <c r="F1578" s="21">
        <v>1447.48</v>
      </c>
      <c r="G1578" s="14">
        <v>905</v>
      </c>
      <c r="H1578" s="14">
        <v>1</v>
      </c>
      <c r="I1578" s="14">
        <v>14</v>
      </c>
      <c r="J1578" s="22">
        <v>0.33995876395992902</v>
      </c>
      <c r="K1578" s="22">
        <v>0.66004123604007103</v>
      </c>
      <c r="L1578" s="14">
        <v>0</v>
      </c>
    </row>
    <row r="1579" spans="1:12" x14ac:dyDescent="0.25">
      <c r="A1579" s="13" t="s">
        <v>7164</v>
      </c>
      <c r="B1579" s="14" t="s">
        <v>547</v>
      </c>
      <c r="C1579" s="14" t="s">
        <v>4027</v>
      </c>
      <c r="D1579" s="14" t="s">
        <v>4028</v>
      </c>
      <c r="E1579" s="14" t="s">
        <v>4047</v>
      </c>
      <c r="F1579" s="21">
        <v>1456.19</v>
      </c>
      <c r="H1579" s="14">
        <v>0</v>
      </c>
      <c r="I1579" s="14">
        <v>8</v>
      </c>
      <c r="J1579" s="22">
        <v>0.34498371338971301</v>
      </c>
      <c r="K1579" s="22">
        <v>0.65501628661028699</v>
      </c>
      <c r="L1579" s="14">
        <v>0</v>
      </c>
    </row>
    <row r="1580" spans="1:12" x14ac:dyDescent="0.25">
      <c r="A1580" s="13" t="s">
        <v>7165</v>
      </c>
      <c r="B1580" s="14" t="s">
        <v>547</v>
      </c>
      <c r="C1580" s="14" t="s">
        <v>4027</v>
      </c>
      <c r="D1580" s="14" t="s">
        <v>4028</v>
      </c>
      <c r="E1580" s="14" t="s">
        <v>4049</v>
      </c>
      <c r="F1580" s="21">
        <v>1456.19</v>
      </c>
      <c r="G1580" s="14">
        <v>155</v>
      </c>
      <c r="H1580" s="14">
        <v>1</v>
      </c>
      <c r="I1580" s="14">
        <v>33</v>
      </c>
      <c r="J1580" s="22">
        <v>0.72599270756090095</v>
      </c>
      <c r="K1580" s="22">
        <v>0.27400729243909899</v>
      </c>
      <c r="L1580" s="14">
        <v>0</v>
      </c>
    </row>
    <row r="1581" spans="1:12" x14ac:dyDescent="0.25">
      <c r="A1581" s="13" t="s">
        <v>7166</v>
      </c>
      <c r="B1581" s="14" t="s">
        <v>547</v>
      </c>
      <c r="C1581" s="14" t="s">
        <v>4027</v>
      </c>
      <c r="D1581" s="14" t="s">
        <v>4028</v>
      </c>
      <c r="E1581" s="14" t="s">
        <v>4051</v>
      </c>
      <c r="F1581" s="21">
        <v>1525</v>
      </c>
      <c r="G1581" s="14">
        <v>17</v>
      </c>
      <c r="H1581" s="14">
        <v>0</v>
      </c>
      <c r="I1581" s="14">
        <v>49</v>
      </c>
      <c r="J1581" s="22">
        <v>0.17428847927118901</v>
      </c>
      <c r="K1581" s="22">
        <v>0.82571152072881104</v>
      </c>
      <c r="L1581" s="14">
        <v>0</v>
      </c>
    </row>
    <row r="1582" spans="1:12" x14ac:dyDescent="0.25">
      <c r="A1582" s="13" t="s">
        <v>4052</v>
      </c>
      <c r="B1582" s="14" t="s">
        <v>547</v>
      </c>
      <c r="C1582" s="14" t="s">
        <v>5738</v>
      </c>
      <c r="D1582" s="14" t="s">
        <v>4028</v>
      </c>
      <c r="E1582" s="14" t="s">
        <v>4053</v>
      </c>
      <c r="F1582" s="21">
        <v>1682.94</v>
      </c>
      <c r="G1582" s="14">
        <v>783</v>
      </c>
      <c r="H1582" s="14">
        <v>0</v>
      </c>
      <c r="I1582" s="14">
        <v>25</v>
      </c>
      <c r="J1582" s="22">
        <v>0.56262268467936205</v>
      </c>
      <c r="K1582" s="22">
        <v>0.437377315320638</v>
      </c>
      <c r="L1582" s="14">
        <v>0</v>
      </c>
    </row>
    <row r="1583" spans="1:12" x14ac:dyDescent="0.25">
      <c r="A1583" s="13">
        <v>23341772</v>
      </c>
      <c r="B1583" s="14" t="s">
        <v>547</v>
      </c>
      <c r="C1583" s="14" t="s">
        <v>5738</v>
      </c>
      <c r="D1583" s="14" t="s">
        <v>4028</v>
      </c>
      <c r="E1583" s="14" t="s">
        <v>4054</v>
      </c>
      <c r="F1583" s="21">
        <v>1710.4</v>
      </c>
      <c r="H1583" s="14">
        <v>1</v>
      </c>
      <c r="I1583" s="14">
        <v>26</v>
      </c>
      <c r="J1583" s="22">
        <v>0.556954777535831</v>
      </c>
      <c r="K1583" s="22">
        <v>0.443045222464169</v>
      </c>
      <c r="L1583" s="14">
        <v>0</v>
      </c>
    </row>
    <row r="1584" spans="1:12" x14ac:dyDescent="0.25">
      <c r="A1584" s="13" t="s">
        <v>4055</v>
      </c>
      <c r="B1584" s="14" t="s">
        <v>547</v>
      </c>
      <c r="C1584" s="14" t="s">
        <v>4027</v>
      </c>
      <c r="D1584" s="14" t="s">
        <v>4028</v>
      </c>
      <c r="E1584" s="14" t="s">
        <v>4056</v>
      </c>
      <c r="F1584" s="21">
        <v>1715.06</v>
      </c>
      <c r="H1584" s="14">
        <v>0</v>
      </c>
      <c r="I1584" s="14">
        <v>18</v>
      </c>
      <c r="J1584" s="22">
        <v>0.15314539291604301</v>
      </c>
      <c r="K1584" s="22">
        <v>0.84685460708395699</v>
      </c>
      <c r="L1584" s="14">
        <v>0</v>
      </c>
    </row>
    <row r="1585" spans="1:12" x14ac:dyDescent="0.25">
      <c r="A1585" s="13" t="s">
        <v>7167</v>
      </c>
      <c r="B1585" s="14" t="s">
        <v>547</v>
      </c>
      <c r="C1585" s="14" t="s">
        <v>4027</v>
      </c>
      <c r="D1585" s="14" t="s">
        <v>4028</v>
      </c>
      <c r="E1585" s="14" t="s">
        <v>4058</v>
      </c>
      <c r="F1585" s="21">
        <v>1721.72</v>
      </c>
      <c r="G1585" s="14">
        <v>103</v>
      </c>
      <c r="H1585" s="14">
        <v>0</v>
      </c>
      <c r="I1585" s="14">
        <v>17</v>
      </c>
      <c r="J1585" s="22">
        <v>0.124758546659061</v>
      </c>
      <c r="K1585" s="22">
        <v>0.87524145334093895</v>
      </c>
      <c r="L1585" s="14">
        <v>0</v>
      </c>
    </row>
    <row r="1586" spans="1:12" x14ac:dyDescent="0.25">
      <c r="B1586" s="14" t="s">
        <v>547</v>
      </c>
      <c r="C1586" s="14" t="s">
        <v>4027</v>
      </c>
      <c r="D1586" s="14" t="s">
        <v>4028</v>
      </c>
      <c r="E1586" s="14" t="s">
        <v>4059</v>
      </c>
      <c r="F1586" s="21">
        <v>1736.45</v>
      </c>
      <c r="G1586" s="14">
        <v>473</v>
      </c>
      <c r="H1586" s="14">
        <v>0</v>
      </c>
      <c r="I1586" s="14">
        <v>37</v>
      </c>
      <c r="J1586" s="22">
        <v>0.445999846415367</v>
      </c>
      <c r="K1586" s="22">
        <v>0.55400015358463295</v>
      </c>
      <c r="L1586" s="14">
        <v>0</v>
      </c>
    </row>
    <row r="1587" spans="1:12" x14ac:dyDescent="0.25">
      <c r="A1587" s="13" t="s">
        <v>4060</v>
      </c>
      <c r="B1587" s="14" t="s">
        <v>547</v>
      </c>
      <c r="C1587" s="14" t="s">
        <v>5738</v>
      </c>
      <c r="D1587" s="14" t="s">
        <v>4028</v>
      </c>
      <c r="E1587" s="14" t="s">
        <v>4061</v>
      </c>
      <c r="F1587" s="21">
        <v>1737.68</v>
      </c>
      <c r="G1587" s="14">
        <v>691</v>
      </c>
      <c r="H1587" s="14">
        <v>1</v>
      </c>
      <c r="I1587" s="14">
        <v>5</v>
      </c>
      <c r="J1587" s="22">
        <v>0.58852382911134304</v>
      </c>
      <c r="K1587" s="22">
        <v>0.41147617088865701</v>
      </c>
      <c r="L1587" s="14">
        <v>0</v>
      </c>
    </row>
    <row r="1588" spans="1:12" x14ac:dyDescent="0.25">
      <c r="A1588" s="13">
        <v>23818873</v>
      </c>
      <c r="B1588" s="14" t="s">
        <v>547</v>
      </c>
      <c r="C1588" s="14" t="s">
        <v>5738</v>
      </c>
      <c r="D1588" s="14" t="s">
        <v>4028</v>
      </c>
      <c r="E1588" s="14" t="s">
        <v>4062</v>
      </c>
      <c r="F1588" s="21">
        <v>1759.38</v>
      </c>
      <c r="G1588" s="14">
        <v>855</v>
      </c>
      <c r="H1588" s="14">
        <v>0</v>
      </c>
      <c r="I1588" s="14">
        <v>16</v>
      </c>
      <c r="J1588" s="22">
        <v>0.96973869442132798</v>
      </c>
      <c r="K1588" s="22">
        <v>3.0261305578671901E-2</v>
      </c>
      <c r="L1588" s="14">
        <v>0</v>
      </c>
    </row>
    <row r="1589" spans="1:12" x14ac:dyDescent="0.25">
      <c r="A1589" s="13" t="s">
        <v>4063</v>
      </c>
      <c r="B1589" s="14" t="s">
        <v>547</v>
      </c>
      <c r="C1589" s="14" t="s">
        <v>4027</v>
      </c>
      <c r="D1589" s="14" t="s">
        <v>4028</v>
      </c>
      <c r="E1589" s="14" t="s">
        <v>4064</v>
      </c>
      <c r="F1589" s="21">
        <v>1773.1</v>
      </c>
      <c r="G1589" s="14">
        <v>110</v>
      </c>
      <c r="H1589" s="14">
        <v>0</v>
      </c>
      <c r="I1589" s="14">
        <v>4</v>
      </c>
      <c r="J1589" s="22">
        <v>0.24886139920836201</v>
      </c>
      <c r="K1589" s="22">
        <v>0.75113860079163797</v>
      </c>
      <c r="L1589" s="14">
        <v>0</v>
      </c>
    </row>
    <row r="1590" spans="1:12" x14ac:dyDescent="0.25">
      <c r="A1590" s="13" t="s">
        <v>4065</v>
      </c>
      <c r="B1590" s="14" t="s">
        <v>547</v>
      </c>
      <c r="C1590" s="14" t="s">
        <v>5739</v>
      </c>
      <c r="D1590" s="14" t="s">
        <v>4028</v>
      </c>
      <c r="E1590" s="14" t="s">
        <v>4066</v>
      </c>
      <c r="F1590" s="21">
        <v>1788.41</v>
      </c>
      <c r="G1590" s="14">
        <v>644</v>
      </c>
      <c r="H1590" s="14">
        <v>1</v>
      </c>
      <c r="I1590" s="14">
        <v>29</v>
      </c>
      <c r="J1590" s="22">
        <v>0.80304511890826402</v>
      </c>
      <c r="K1590" s="22">
        <v>0.19695488109173601</v>
      </c>
      <c r="L1590" s="14">
        <v>0</v>
      </c>
    </row>
    <row r="1591" spans="1:12" x14ac:dyDescent="0.25">
      <c r="A1591" s="13" t="s">
        <v>4067</v>
      </c>
      <c r="B1591" s="14" t="s">
        <v>547</v>
      </c>
      <c r="C1591" s="14" t="s">
        <v>4027</v>
      </c>
      <c r="D1591" s="14" t="s">
        <v>4028</v>
      </c>
      <c r="E1591" s="14" t="s">
        <v>4068</v>
      </c>
      <c r="F1591" s="21">
        <v>1807.6</v>
      </c>
      <c r="G1591" s="14">
        <v>485</v>
      </c>
      <c r="H1591" s="14">
        <v>0</v>
      </c>
      <c r="I1591" s="14">
        <v>41</v>
      </c>
      <c r="J1591" s="22">
        <v>0.80050336760523799</v>
      </c>
      <c r="K1591" s="22">
        <v>0.19949663239476201</v>
      </c>
      <c r="L1591" s="14">
        <v>0</v>
      </c>
    </row>
    <row r="1592" spans="1:12" x14ac:dyDescent="0.25">
      <c r="A1592" s="13" t="s">
        <v>4069</v>
      </c>
      <c r="B1592" s="14" t="s">
        <v>547</v>
      </c>
      <c r="C1592" s="14" t="s">
        <v>4027</v>
      </c>
      <c r="D1592" s="14" t="s">
        <v>4028</v>
      </c>
      <c r="E1592" s="14" t="s">
        <v>4070</v>
      </c>
      <c r="F1592" s="21">
        <v>1807.6</v>
      </c>
      <c r="G1592" s="14">
        <v>728</v>
      </c>
      <c r="H1592" s="14">
        <v>1</v>
      </c>
      <c r="I1592" s="14" t="s">
        <v>6314</v>
      </c>
      <c r="J1592" s="22">
        <v>0.51577942705526703</v>
      </c>
      <c r="K1592" s="22">
        <v>0.48422057294473297</v>
      </c>
      <c r="L1592" s="14">
        <v>0</v>
      </c>
    </row>
    <row r="1593" spans="1:12" x14ac:dyDescent="0.25">
      <c r="A1593" s="13" t="s">
        <v>6199</v>
      </c>
      <c r="B1593" s="14" t="s">
        <v>547</v>
      </c>
      <c r="C1593" s="14" t="s">
        <v>5738</v>
      </c>
      <c r="D1593" s="14" t="s">
        <v>4028</v>
      </c>
      <c r="E1593" s="14" t="s">
        <v>4072</v>
      </c>
      <c r="F1593" s="21">
        <v>1809.51</v>
      </c>
      <c r="G1593" s="14">
        <v>86</v>
      </c>
      <c r="H1593" s="14">
        <v>1</v>
      </c>
      <c r="I1593" s="14">
        <v>37</v>
      </c>
      <c r="J1593" s="22">
        <v>0.74954575086047903</v>
      </c>
      <c r="K1593" s="22">
        <v>0.25045424913952102</v>
      </c>
      <c r="L1593" s="14">
        <v>0</v>
      </c>
    </row>
    <row r="1594" spans="1:12" x14ac:dyDescent="0.25">
      <c r="A1594" s="13" t="s">
        <v>4073</v>
      </c>
      <c r="B1594" s="14" t="s">
        <v>547</v>
      </c>
      <c r="C1594" s="14" t="s">
        <v>4074</v>
      </c>
      <c r="D1594" s="14" t="s">
        <v>4075</v>
      </c>
      <c r="E1594" s="14" t="s">
        <v>4076</v>
      </c>
      <c r="F1594" s="21">
        <v>327.72</v>
      </c>
      <c r="G1594" s="14">
        <v>73</v>
      </c>
      <c r="H1594" s="14">
        <v>1</v>
      </c>
      <c r="I1594" s="14">
        <v>15</v>
      </c>
      <c r="J1594" s="22">
        <v>0.66846641888415204</v>
      </c>
      <c r="K1594" s="22">
        <v>0.33153358111584802</v>
      </c>
      <c r="L1594" s="14">
        <v>0</v>
      </c>
    </row>
    <row r="1595" spans="1:12" ht="26.4" x14ac:dyDescent="0.25">
      <c r="A1595" s="20" t="s">
        <v>7168</v>
      </c>
      <c r="B1595" s="14" t="s">
        <v>547</v>
      </c>
      <c r="C1595" s="14" t="s">
        <v>4074</v>
      </c>
      <c r="D1595" s="14" t="s">
        <v>4075</v>
      </c>
      <c r="E1595" s="14" t="s">
        <v>4078</v>
      </c>
      <c r="F1595" s="21">
        <v>1110.04</v>
      </c>
      <c r="G1595" s="14">
        <v>557</v>
      </c>
      <c r="H1595" s="14">
        <v>1</v>
      </c>
      <c r="I1595" s="14">
        <v>18</v>
      </c>
      <c r="J1595" s="22">
        <v>0.15489917371745501</v>
      </c>
      <c r="K1595" s="22">
        <v>0.84510082628254501</v>
      </c>
      <c r="L1595" s="14">
        <v>0</v>
      </c>
    </row>
    <row r="1596" spans="1:12" x14ac:dyDescent="0.25">
      <c r="A1596" s="13" t="s">
        <v>7169</v>
      </c>
      <c r="B1596" s="14" t="s">
        <v>547</v>
      </c>
      <c r="C1596" s="14" t="s">
        <v>4074</v>
      </c>
      <c r="D1596" s="14" t="s">
        <v>4075</v>
      </c>
      <c r="E1596" s="14" t="s">
        <v>4080</v>
      </c>
      <c r="F1596" s="21">
        <v>1814.92</v>
      </c>
      <c r="G1596" s="14">
        <v>111</v>
      </c>
      <c r="H1596" s="14">
        <v>1</v>
      </c>
      <c r="I1596" s="14">
        <v>38</v>
      </c>
      <c r="J1596" s="22">
        <v>0.140839548267506</v>
      </c>
      <c r="K1596" s="22">
        <v>0.859160451732494</v>
      </c>
      <c r="L1596" s="14">
        <v>0</v>
      </c>
    </row>
    <row r="1597" spans="1:12" x14ac:dyDescent="0.25">
      <c r="A1597" s="13" t="s">
        <v>4081</v>
      </c>
      <c r="B1597" s="14" t="s">
        <v>547</v>
      </c>
      <c r="C1597" s="14" t="s">
        <v>4074</v>
      </c>
      <c r="D1597" s="14" t="s">
        <v>4075</v>
      </c>
      <c r="E1597" s="14" t="s">
        <v>4082</v>
      </c>
      <c r="F1597" s="21">
        <v>1889</v>
      </c>
      <c r="G1597" s="14">
        <v>683</v>
      </c>
      <c r="H1597" s="14">
        <v>1</v>
      </c>
      <c r="I1597" s="14">
        <v>15</v>
      </c>
      <c r="J1597" s="22">
        <v>0.67379611809805096</v>
      </c>
      <c r="K1597" s="22">
        <v>0.32620388190194899</v>
      </c>
      <c r="L1597" s="14">
        <v>0</v>
      </c>
    </row>
    <row r="1598" spans="1:12" x14ac:dyDescent="0.25">
      <c r="A1598" s="13" t="s">
        <v>4083</v>
      </c>
      <c r="B1598" s="14" t="s">
        <v>547</v>
      </c>
      <c r="C1598" s="14" t="s">
        <v>5740</v>
      </c>
      <c r="D1598" s="14" t="s">
        <v>4084</v>
      </c>
      <c r="E1598" s="14" t="s">
        <v>4085</v>
      </c>
      <c r="F1598" s="21">
        <v>957.04</v>
      </c>
      <c r="G1598" s="14">
        <v>638</v>
      </c>
      <c r="H1598" s="14">
        <v>1</v>
      </c>
      <c r="I1598" s="14">
        <v>27</v>
      </c>
      <c r="J1598" s="22">
        <v>0.26222199148744502</v>
      </c>
      <c r="K1598" s="22">
        <v>0.73777800851255504</v>
      </c>
      <c r="L1598" s="14">
        <v>0</v>
      </c>
    </row>
    <row r="1599" spans="1:12" ht="26.4" x14ac:dyDescent="0.25">
      <c r="A1599" s="20" t="s">
        <v>7170</v>
      </c>
      <c r="B1599" s="14" t="s">
        <v>547</v>
      </c>
      <c r="C1599" s="14" t="s">
        <v>5742</v>
      </c>
      <c r="D1599" s="14" t="s">
        <v>4088</v>
      </c>
      <c r="E1599" s="14" t="s">
        <v>4089</v>
      </c>
      <c r="F1599" s="21">
        <v>1570.87</v>
      </c>
      <c r="H1599" s="14">
        <v>1</v>
      </c>
      <c r="I1599" s="14" t="s">
        <v>6314</v>
      </c>
      <c r="J1599" s="22">
        <v>0.50158049476234101</v>
      </c>
      <c r="K1599" s="22">
        <v>0.49841950523765899</v>
      </c>
      <c r="L1599" s="14">
        <v>0</v>
      </c>
    </row>
    <row r="1600" spans="1:12" x14ac:dyDescent="0.25">
      <c r="A1600" s="13" t="s">
        <v>4090</v>
      </c>
      <c r="B1600" s="14" t="s">
        <v>547</v>
      </c>
      <c r="C1600" s="14" t="s">
        <v>4087</v>
      </c>
      <c r="D1600" s="14" t="s">
        <v>4088</v>
      </c>
      <c r="E1600" s="14" t="s">
        <v>4091</v>
      </c>
      <c r="F1600" s="21">
        <v>1384.96</v>
      </c>
      <c r="G1600" s="14">
        <v>769</v>
      </c>
      <c r="H1600" s="14">
        <v>0</v>
      </c>
      <c r="I1600" s="14">
        <v>14</v>
      </c>
      <c r="J1600" s="22">
        <v>0.87104483911769703</v>
      </c>
      <c r="K1600" s="22">
        <v>0.12895516088230299</v>
      </c>
      <c r="L1600" s="14">
        <v>0</v>
      </c>
    </row>
    <row r="1601" spans="1:12" x14ac:dyDescent="0.25">
      <c r="A1601" s="13" t="s">
        <v>4092</v>
      </c>
      <c r="B1601" s="14" t="s">
        <v>547</v>
      </c>
      <c r="C1601" s="14" t="s">
        <v>4087</v>
      </c>
      <c r="D1601" s="14" t="s">
        <v>4088</v>
      </c>
      <c r="E1601" s="14" t="s">
        <v>4093</v>
      </c>
      <c r="F1601" s="21">
        <v>1395</v>
      </c>
      <c r="G1601" s="14">
        <v>358</v>
      </c>
      <c r="H1601" s="14">
        <v>0</v>
      </c>
      <c r="I1601" s="14">
        <v>27</v>
      </c>
      <c r="J1601" s="22">
        <v>0.84464041032209503</v>
      </c>
      <c r="K1601" s="22">
        <v>0.155359589677905</v>
      </c>
      <c r="L1601" s="14">
        <v>0</v>
      </c>
    </row>
    <row r="1602" spans="1:12" x14ac:dyDescent="0.25">
      <c r="A1602" s="13" t="s">
        <v>4094</v>
      </c>
      <c r="B1602" s="14" t="s">
        <v>547</v>
      </c>
      <c r="C1602" s="14" t="s">
        <v>4087</v>
      </c>
      <c r="D1602" s="14" t="s">
        <v>4088</v>
      </c>
      <c r="E1602" s="14" t="s">
        <v>4095</v>
      </c>
      <c r="F1602" s="21">
        <v>1402.74</v>
      </c>
      <c r="G1602" s="14">
        <v>697</v>
      </c>
      <c r="H1602" s="14">
        <v>1</v>
      </c>
      <c r="I1602" s="14">
        <v>48</v>
      </c>
      <c r="J1602" s="22">
        <v>5.12889355476129E-2</v>
      </c>
      <c r="K1602" s="22">
        <v>0.94871106445238695</v>
      </c>
      <c r="L1602" s="14">
        <v>1328</v>
      </c>
    </row>
    <row r="1603" spans="1:12" x14ac:dyDescent="0.25">
      <c r="A1603" s="13" t="s">
        <v>4096</v>
      </c>
      <c r="B1603" s="14" t="s">
        <v>547</v>
      </c>
      <c r="C1603" s="14" t="s">
        <v>4087</v>
      </c>
      <c r="D1603" s="14" t="s">
        <v>4088</v>
      </c>
      <c r="E1603" s="14" t="s">
        <v>4097</v>
      </c>
      <c r="F1603" s="21">
        <v>1403.01</v>
      </c>
      <c r="G1603" s="14">
        <v>221</v>
      </c>
      <c r="H1603" s="14">
        <v>1</v>
      </c>
      <c r="I1603" s="14">
        <v>32</v>
      </c>
      <c r="J1603" s="22">
        <v>0.85654263586074197</v>
      </c>
      <c r="K1603" s="22">
        <v>0.143457364139258</v>
      </c>
      <c r="L1603" s="14">
        <v>0</v>
      </c>
    </row>
    <row r="1604" spans="1:12" ht="39.6" x14ac:dyDescent="0.25">
      <c r="A1604" s="20" t="s">
        <v>7171</v>
      </c>
      <c r="B1604" s="14" t="s">
        <v>547</v>
      </c>
      <c r="C1604" s="14" t="s">
        <v>4087</v>
      </c>
      <c r="D1604" s="14" t="s">
        <v>4088</v>
      </c>
      <c r="E1604" s="23" t="s">
        <v>7172</v>
      </c>
      <c r="F1604" s="21">
        <v>1404.41</v>
      </c>
      <c r="G1604" s="14">
        <v>999</v>
      </c>
      <c r="H1604" s="14">
        <v>0</v>
      </c>
      <c r="I1604" s="14">
        <v>20</v>
      </c>
      <c r="J1604" s="22">
        <v>0.99314245317586602</v>
      </c>
      <c r="K1604" s="22">
        <v>6.8575468241340899E-3</v>
      </c>
      <c r="L1604" s="14">
        <v>0</v>
      </c>
    </row>
    <row r="1605" spans="1:12" x14ac:dyDescent="0.25">
      <c r="A1605" s="13" t="s">
        <v>7173</v>
      </c>
      <c r="B1605" s="14" t="s">
        <v>547</v>
      </c>
      <c r="C1605" s="14" t="s">
        <v>4087</v>
      </c>
      <c r="D1605" s="14" t="s">
        <v>4088</v>
      </c>
      <c r="E1605" s="14" t="s">
        <v>7174</v>
      </c>
      <c r="F1605" s="21">
        <v>1427.03</v>
      </c>
      <c r="G1605" s="14">
        <v>282</v>
      </c>
      <c r="H1605" s="14">
        <v>1</v>
      </c>
      <c r="I1605" s="14">
        <v>45</v>
      </c>
      <c r="J1605" s="22">
        <v>8.8896215083132807E-2</v>
      </c>
      <c r="K1605" s="22">
        <v>0.91110378491686705</v>
      </c>
      <c r="L1605" s="14">
        <v>0</v>
      </c>
    </row>
    <row r="1606" spans="1:12" x14ac:dyDescent="0.25">
      <c r="A1606" s="13" t="s">
        <v>7053</v>
      </c>
      <c r="B1606" s="14" t="s">
        <v>547</v>
      </c>
      <c r="C1606" s="14" t="s">
        <v>4087</v>
      </c>
      <c r="D1606" s="14" t="s">
        <v>4088</v>
      </c>
      <c r="E1606" s="14" t="s">
        <v>4102</v>
      </c>
      <c r="F1606" s="21">
        <v>1446.13</v>
      </c>
      <c r="G1606" s="14">
        <v>109</v>
      </c>
      <c r="H1606" s="14">
        <v>1</v>
      </c>
      <c r="I1606" s="14">
        <v>19</v>
      </c>
      <c r="J1606" s="22">
        <v>1.0869937028755499E-2</v>
      </c>
      <c r="K1606" s="22">
        <v>0.98913006297124495</v>
      </c>
      <c r="L1606" s="14">
        <v>0</v>
      </c>
    </row>
    <row r="1607" spans="1:12" x14ac:dyDescent="0.25">
      <c r="A1607" s="13" t="s">
        <v>4103</v>
      </c>
      <c r="B1607" s="14" t="s">
        <v>547</v>
      </c>
      <c r="C1607" s="14" t="s">
        <v>5743</v>
      </c>
      <c r="D1607" s="14" t="s">
        <v>4088</v>
      </c>
      <c r="E1607" s="14" t="s">
        <v>4104</v>
      </c>
      <c r="F1607" s="21">
        <v>1456.09</v>
      </c>
      <c r="G1607" s="14">
        <v>34</v>
      </c>
      <c r="H1607" s="14">
        <v>0</v>
      </c>
      <c r="I1607" s="14">
        <v>39</v>
      </c>
      <c r="J1607" s="22">
        <v>0.94544685645584003</v>
      </c>
      <c r="K1607" s="22">
        <v>5.4553143544160299E-2</v>
      </c>
      <c r="L1607" s="14">
        <v>0</v>
      </c>
    </row>
    <row r="1608" spans="1:12" x14ac:dyDescent="0.25">
      <c r="A1608" s="13" t="s">
        <v>7175</v>
      </c>
      <c r="B1608" s="14" t="s">
        <v>547</v>
      </c>
      <c r="C1608" s="14" t="s">
        <v>4087</v>
      </c>
      <c r="D1608" s="14" t="s">
        <v>4088</v>
      </c>
      <c r="E1608" s="14" t="s">
        <v>4106</v>
      </c>
      <c r="F1608" s="21">
        <v>1489.67</v>
      </c>
      <c r="G1608" s="14">
        <v>340</v>
      </c>
      <c r="H1608" s="14">
        <v>0</v>
      </c>
      <c r="I1608" s="14">
        <v>18</v>
      </c>
      <c r="J1608" s="22">
        <v>0.182059614203052</v>
      </c>
      <c r="K1608" s="22">
        <v>0.81794038579694806</v>
      </c>
      <c r="L1608" s="14">
        <v>0</v>
      </c>
    </row>
    <row r="1609" spans="1:12" x14ac:dyDescent="0.25">
      <c r="A1609" s="13" t="s">
        <v>4107</v>
      </c>
      <c r="B1609" s="14" t="s">
        <v>547</v>
      </c>
      <c r="C1609" s="14" t="s">
        <v>4087</v>
      </c>
      <c r="D1609" s="14" t="s">
        <v>4088</v>
      </c>
      <c r="E1609" s="14" t="s">
        <v>4108</v>
      </c>
      <c r="F1609" s="21">
        <v>1507.23</v>
      </c>
      <c r="G1609" s="14">
        <v>155</v>
      </c>
      <c r="H1609" s="14">
        <v>1</v>
      </c>
      <c r="I1609" s="14">
        <v>40</v>
      </c>
      <c r="J1609" s="22">
        <v>0.30565468166406501</v>
      </c>
      <c r="K1609" s="22">
        <v>0.69434531833593505</v>
      </c>
      <c r="L1609" s="14">
        <v>0</v>
      </c>
    </row>
    <row r="1610" spans="1:12" x14ac:dyDescent="0.25">
      <c r="A1610" s="13" t="s">
        <v>7176</v>
      </c>
      <c r="B1610" s="14" t="s">
        <v>547</v>
      </c>
      <c r="C1610" s="14" t="s">
        <v>4087</v>
      </c>
      <c r="D1610" s="14" t="s">
        <v>4088</v>
      </c>
      <c r="E1610" s="14" t="s">
        <v>4110</v>
      </c>
      <c r="F1610" s="21">
        <v>1525</v>
      </c>
      <c r="H1610" s="14">
        <v>1</v>
      </c>
      <c r="I1610" s="14">
        <v>12</v>
      </c>
      <c r="J1610" s="22">
        <v>0.92008528393237399</v>
      </c>
      <c r="K1610" s="22">
        <v>7.9914716067626193E-2</v>
      </c>
      <c r="L1610" s="14">
        <v>0</v>
      </c>
    </row>
    <row r="1611" spans="1:12" ht="26.4" x14ac:dyDescent="0.25">
      <c r="A1611" s="20" t="s">
        <v>7177</v>
      </c>
      <c r="B1611" s="14" t="s">
        <v>547</v>
      </c>
      <c r="C1611" s="14" t="s">
        <v>4087</v>
      </c>
      <c r="D1611" s="14" t="s">
        <v>4088</v>
      </c>
      <c r="E1611" s="14" t="s">
        <v>4112</v>
      </c>
      <c r="F1611" s="21">
        <v>1561.3</v>
      </c>
      <c r="G1611" s="14">
        <v>152</v>
      </c>
      <c r="H1611" s="14">
        <v>1</v>
      </c>
      <c r="I1611" s="14">
        <v>7</v>
      </c>
      <c r="J1611" s="22">
        <v>0.53636400794142802</v>
      </c>
      <c r="K1611" s="22">
        <v>0.46363599205857198</v>
      </c>
      <c r="L1611" s="14">
        <v>0</v>
      </c>
    </row>
    <row r="1612" spans="1:12" ht="26.4" x14ac:dyDescent="0.25">
      <c r="A1612" s="20" t="s">
        <v>7178</v>
      </c>
      <c r="B1612" s="14" t="s">
        <v>547</v>
      </c>
      <c r="C1612" s="14" t="s">
        <v>4087</v>
      </c>
      <c r="D1612" s="14" t="s">
        <v>4088</v>
      </c>
      <c r="E1612" s="14" t="s">
        <v>4114</v>
      </c>
      <c r="F1612" s="21">
        <v>1600.25</v>
      </c>
      <c r="G1612" s="14">
        <v>136</v>
      </c>
      <c r="H1612" s="14">
        <v>0</v>
      </c>
      <c r="I1612" s="14" t="s">
        <v>6314</v>
      </c>
      <c r="J1612" s="22">
        <v>0.83683221710241695</v>
      </c>
      <c r="K1612" s="22">
        <v>0.16316778289758399</v>
      </c>
      <c r="L1612" s="14">
        <v>0</v>
      </c>
    </row>
    <row r="1613" spans="1:12" ht="26.4" x14ac:dyDescent="0.25">
      <c r="A1613" s="20" t="s">
        <v>7179</v>
      </c>
      <c r="B1613" s="14" t="s">
        <v>547</v>
      </c>
      <c r="C1613" s="14" t="s">
        <v>4087</v>
      </c>
      <c r="D1613" s="14" t="s">
        <v>4088</v>
      </c>
      <c r="E1613" s="14" t="s">
        <v>4116</v>
      </c>
      <c r="F1613" s="21">
        <v>1661.04</v>
      </c>
      <c r="G1613" s="14">
        <v>459</v>
      </c>
      <c r="H1613" s="14">
        <v>0</v>
      </c>
      <c r="I1613" s="14">
        <v>18</v>
      </c>
      <c r="J1613" s="22">
        <v>0.92934122176887002</v>
      </c>
      <c r="K1613" s="22">
        <v>7.0658778231129801E-2</v>
      </c>
      <c r="L1613" s="14">
        <v>0</v>
      </c>
    </row>
    <row r="1614" spans="1:12" x14ac:dyDescent="0.25">
      <c r="A1614" s="13" t="s">
        <v>7180</v>
      </c>
      <c r="B1614" s="14" t="s">
        <v>547</v>
      </c>
      <c r="C1614" s="14" t="s">
        <v>4087</v>
      </c>
      <c r="D1614" s="14" t="s">
        <v>4088</v>
      </c>
      <c r="E1614" s="14" t="s">
        <v>4118</v>
      </c>
      <c r="F1614" s="21">
        <v>1685.39</v>
      </c>
      <c r="G1614" s="14">
        <v>600</v>
      </c>
      <c r="H1614" s="14">
        <v>1</v>
      </c>
      <c r="I1614" s="14">
        <v>47</v>
      </c>
      <c r="J1614" s="22">
        <v>0.88190679001554695</v>
      </c>
      <c r="K1614" s="22">
        <v>0.118093209984453</v>
      </c>
      <c r="L1614" s="14">
        <v>0</v>
      </c>
    </row>
    <row r="1615" spans="1:12" x14ac:dyDescent="0.25">
      <c r="A1615" s="13" t="s">
        <v>7052</v>
      </c>
      <c r="B1615" s="14" t="s">
        <v>547</v>
      </c>
      <c r="C1615" s="14" t="s">
        <v>4087</v>
      </c>
      <c r="D1615" s="14" t="s">
        <v>4088</v>
      </c>
      <c r="E1615" s="14" t="s">
        <v>4119</v>
      </c>
      <c r="F1615" s="21">
        <v>1750.01</v>
      </c>
      <c r="G1615" s="14">
        <v>344</v>
      </c>
      <c r="H1615" s="14">
        <v>0</v>
      </c>
      <c r="I1615" s="14">
        <v>28</v>
      </c>
      <c r="J1615" s="22">
        <v>0.51496006742894895</v>
      </c>
      <c r="K1615" s="22">
        <v>0.48503993257105099</v>
      </c>
      <c r="L1615" s="14">
        <v>0</v>
      </c>
    </row>
    <row r="1616" spans="1:12" x14ac:dyDescent="0.25">
      <c r="A1616" s="13" t="s">
        <v>4120</v>
      </c>
      <c r="B1616" s="14" t="s">
        <v>547</v>
      </c>
      <c r="C1616" s="14" t="s">
        <v>4087</v>
      </c>
      <c r="D1616" s="14" t="s">
        <v>4088</v>
      </c>
      <c r="E1616" s="14" t="s">
        <v>4121</v>
      </c>
      <c r="F1616" s="21">
        <v>1772.81</v>
      </c>
      <c r="G1616" s="14">
        <v>2</v>
      </c>
      <c r="H1616" s="14">
        <v>1</v>
      </c>
      <c r="I1616" s="14">
        <v>32</v>
      </c>
      <c r="J1616" s="22">
        <v>0.81122768958447999</v>
      </c>
      <c r="K1616" s="22">
        <v>0.18877231041552001</v>
      </c>
      <c r="L1616" s="14">
        <v>0</v>
      </c>
    </row>
    <row r="1617" spans="1:12" x14ac:dyDescent="0.25">
      <c r="A1617" s="13">
        <v>3772069</v>
      </c>
      <c r="B1617" s="14" t="s">
        <v>547</v>
      </c>
      <c r="C1617" s="14" t="s">
        <v>5743</v>
      </c>
      <c r="D1617" s="14" t="s">
        <v>4088</v>
      </c>
      <c r="E1617" s="14" t="s">
        <v>4123</v>
      </c>
      <c r="F1617" s="21">
        <v>1773.69</v>
      </c>
      <c r="G1617" s="14">
        <v>662</v>
      </c>
      <c r="H1617" s="14">
        <v>1</v>
      </c>
      <c r="I1617" s="14">
        <v>4</v>
      </c>
      <c r="J1617" s="22">
        <v>0.497571553499631</v>
      </c>
      <c r="K1617" s="22">
        <v>0.502428446500369</v>
      </c>
      <c r="L1617" s="14">
        <v>0</v>
      </c>
    </row>
    <row r="1618" spans="1:12" x14ac:dyDescent="0.25">
      <c r="A1618" s="13" t="s">
        <v>4124</v>
      </c>
      <c r="B1618" s="14" t="s">
        <v>547</v>
      </c>
      <c r="C1618" s="14" t="s">
        <v>4087</v>
      </c>
      <c r="D1618" s="14" t="s">
        <v>4088</v>
      </c>
      <c r="E1618" s="14" t="s">
        <v>4125</v>
      </c>
      <c r="F1618" s="21">
        <v>1781.11</v>
      </c>
      <c r="G1618" s="14">
        <v>661</v>
      </c>
      <c r="H1618" s="14">
        <v>1</v>
      </c>
      <c r="I1618" s="14">
        <v>14</v>
      </c>
      <c r="J1618" s="22">
        <v>0.85151813581858604</v>
      </c>
      <c r="K1618" s="22">
        <v>0.14848186418141399</v>
      </c>
      <c r="L1618" s="14">
        <v>0</v>
      </c>
    </row>
    <row r="1619" spans="1:12" x14ac:dyDescent="0.25">
      <c r="A1619" s="13">
        <v>23166848</v>
      </c>
      <c r="B1619" s="14" t="s">
        <v>547</v>
      </c>
      <c r="C1619" s="14" t="s">
        <v>4087</v>
      </c>
      <c r="D1619" s="14" t="s">
        <v>4088</v>
      </c>
      <c r="E1619" s="14" t="s">
        <v>4126</v>
      </c>
      <c r="F1619" s="21">
        <v>1843.51</v>
      </c>
      <c r="G1619" s="14">
        <v>263</v>
      </c>
      <c r="H1619" s="14">
        <v>0</v>
      </c>
      <c r="I1619" s="14">
        <v>4</v>
      </c>
      <c r="J1619" s="22">
        <v>4.5872883078402003E-2</v>
      </c>
      <c r="K1619" s="22">
        <v>0.95412711692159802</v>
      </c>
      <c r="L1619" s="14">
        <v>0</v>
      </c>
    </row>
    <row r="1620" spans="1:12" x14ac:dyDescent="0.25">
      <c r="A1620" s="13" t="s">
        <v>4127</v>
      </c>
      <c r="B1620" s="14" t="s">
        <v>3996</v>
      </c>
      <c r="C1620" s="14" t="s">
        <v>5744</v>
      </c>
      <c r="D1620" s="14" t="s">
        <v>4128</v>
      </c>
      <c r="E1620" s="14" t="s">
        <v>4129</v>
      </c>
      <c r="F1620" s="21">
        <v>1283.76</v>
      </c>
      <c r="G1620" s="14">
        <v>166</v>
      </c>
      <c r="H1620" s="14">
        <v>1</v>
      </c>
      <c r="I1620" s="14" t="s">
        <v>6314</v>
      </c>
      <c r="J1620" s="22">
        <v>0.129843360954078</v>
      </c>
      <c r="K1620" s="22">
        <v>0.870156639045922</v>
      </c>
      <c r="L1620" s="14">
        <v>0</v>
      </c>
    </row>
    <row r="1621" spans="1:12" x14ac:dyDescent="0.25">
      <c r="A1621" s="13" t="s">
        <v>4130</v>
      </c>
      <c r="B1621" s="14" t="s">
        <v>3996</v>
      </c>
      <c r="C1621" s="14" t="s">
        <v>3994</v>
      </c>
      <c r="D1621" s="14" t="s">
        <v>4131</v>
      </c>
      <c r="E1621" s="14" t="s">
        <v>4132</v>
      </c>
      <c r="F1621" s="21">
        <v>794.93</v>
      </c>
      <c r="G1621" s="14">
        <v>183</v>
      </c>
      <c r="H1621" s="14">
        <v>0</v>
      </c>
      <c r="I1621" s="14">
        <v>3</v>
      </c>
      <c r="J1621" s="22">
        <v>0.22985400809776399</v>
      </c>
      <c r="K1621" s="22">
        <v>0.77014599190223698</v>
      </c>
      <c r="L1621" s="14">
        <v>0</v>
      </c>
    </row>
    <row r="1622" spans="1:12" ht="39.6" x14ac:dyDescent="0.25">
      <c r="A1622" s="13" t="s">
        <v>4133</v>
      </c>
      <c r="B1622" s="14" t="s">
        <v>5429</v>
      </c>
      <c r="C1622" s="14" t="s">
        <v>3994</v>
      </c>
      <c r="D1622" s="14" t="s">
        <v>4131</v>
      </c>
      <c r="E1622" s="23" t="s">
        <v>7181</v>
      </c>
      <c r="F1622" s="21">
        <v>809.29</v>
      </c>
      <c r="G1622" s="14">
        <v>223</v>
      </c>
      <c r="H1622" s="14">
        <v>0</v>
      </c>
      <c r="I1622" s="14">
        <v>40</v>
      </c>
      <c r="J1622" s="22">
        <v>0.40150181296684201</v>
      </c>
      <c r="K1622" s="22">
        <v>0.59849818703315905</v>
      </c>
      <c r="L1622" s="14">
        <v>0</v>
      </c>
    </row>
    <row r="1623" spans="1:12" x14ac:dyDescent="0.25">
      <c r="A1623" s="13" t="s">
        <v>4135</v>
      </c>
      <c r="B1623" s="14" t="s">
        <v>3996</v>
      </c>
      <c r="C1623" s="14" t="s">
        <v>3994</v>
      </c>
      <c r="D1623" s="14" t="s">
        <v>4131</v>
      </c>
      <c r="E1623" s="14" t="s">
        <v>4136</v>
      </c>
      <c r="F1623" s="21">
        <v>819.34</v>
      </c>
      <c r="H1623" s="14">
        <v>1</v>
      </c>
      <c r="I1623" s="14">
        <v>44</v>
      </c>
      <c r="J1623" s="22">
        <v>0.87857704011939697</v>
      </c>
      <c r="K1623" s="22">
        <v>0.121422959880603</v>
      </c>
      <c r="L1623" s="14">
        <v>0</v>
      </c>
    </row>
    <row r="1624" spans="1:12" x14ac:dyDescent="0.25">
      <c r="A1624" s="13" t="s">
        <v>4137</v>
      </c>
      <c r="B1624" s="14" t="s">
        <v>5429</v>
      </c>
      <c r="C1624" s="14" t="s">
        <v>5748</v>
      </c>
      <c r="D1624" s="14" t="s">
        <v>4131</v>
      </c>
      <c r="E1624" s="14" t="s">
        <v>4138</v>
      </c>
      <c r="F1624" s="21">
        <v>854.96</v>
      </c>
      <c r="G1624" s="14">
        <v>331</v>
      </c>
      <c r="H1624" s="14">
        <v>1</v>
      </c>
      <c r="I1624" s="14">
        <v>31</v>
      </c>
      <c r="J1624" s="22">
        <v>0.27635082286395302</v>
      </c>
      <c r="K1624" s="22">
        <v>0.72364917713604704</v>
      </c>
      <c r="L1624" s="14">
        <v>0</v>
      </c>
    </row>
    <row r="1625" spans="1:12" x14ac:dyDescent="0.25">
      <c r="A1625" s="13">
        <v>3620162</v>
      </c>
      <c r="B1625" s="14" t="s">
        <v>5429</v>
      </c>
      <c r="C1625" s="14" t="s">
        <v>3994</v>
      </c>
      <c r="D1625" s="14" t="s">
        <v>4131</v>
      </c>
      <c r="E1625" s="14" t="s">
        <v>4140</v>
      </c>
      <c r="F1625" s="21">
        <v>901.5</v>
      </c>
      <c r="G1625" s="14">
        <v>417</v>
      </c>
      <c r="H1625" s="14">
        <v>1</v>
      </c>
      <c r="I1625" s="14">
        <v>50</v>
      </c>
      <c r="J1625" s="22">
        <v>0.60047169705519499</v>
      </c>
      <c r="K1625" s="22">
        <v>0.39952830294480601</v>
      </c>
      <c r="L1625" s="14">
        <v>0</v>
      </c>
    </row>
    <row r="1626" spans="1:12" x14ac:dyDescent="0.25">
      <c r="A1626" s="13" t="s">
        <v>4141</v>
      </c>
      <c r="B1626" s="14" t="s">
        <v>3996</v>
      </c>
      <c r="C1626" s="14" t="s">
        <v>5749</v>
      </c>
      <c r="D1626" s="14" t="s">
        <v>4131</v>
      </c>
      <c r="E1626" s="14" t="s">
        <v>4142</v>
      </c>
      <c r="F1626" s="21">
        <v>902.12</v>
      </c>
      <c r="G1626" s="14">
        <v>502</v>
      </c>
      <c r="H1626" s="14">
        <v>0</v>
      </c>
      <c r="I1626" s="14">
        <v>44</v>
      </c>
      <c r="J1626" s="22">
        <v>0.26822962492790298</v>
      </c>
      <c r="K1626" s="22">
        <v>0.73177037507209697</v>
      </c>
      <c r="L1626" s="14">
        <v>0</v>
      </c>
    </row>
    <row r="1627" spans="1:12" ht="39.6" x14ac:dyDescent="0.25">
      <c r="A1627" s="13">
        <v>3669132</v>
      </c>
      <c r="B1627" s="14" t="s">
        <v>3986</v>
      </c>
      <c r="C1627" s="14" t="s">
        <v>5750</v>
      </c>
      <c r="D1627" s="14" t="s">
        <v>4131</v>
      </c>
      <c r="E1627" s="23" t="s">
        <v>7182</v>
      </c>
      <c r="F1627" s="21">
        <v>903.89</v>
      </c>
      <c r="G1627" s="14">
        <v>690</v>
      </c>
      <c r="I1627" s="14">
        <v>10</v>
      </c>
      <c r="J1627" s="22">
        <v>0.92323041051310695</v>
      </c>
      <c r="K1627" s="22">
        <v>7.6769589486893303E-2</v>
      </c>
      <c r="L1627" s="14">
        <v>0</v>
      </c>
    </row>
    <row r="1628" spans="1:12" x14ac:dyDescent="0.25">
      <c r="A1628" s="13">
        <v>3517619</v>
      </c>
      <c r="B1628" s="14" t="s">
        <v>5429</v>
      </c>
      <c r="C1628" s="14" t="s">
        <v>3994</v>
      </c>
      <c r="D1628" s="14" t="s">
        <v>4131</v>
      </c>
      <c r="E1628" s="14" t="s">
        <v>4146</v>
      </c>
      <c r="F1628" s="21">
        <v>1001.03</v>
      </c>
      <c r="G1628" s="14">
        <v>984</v>
      </c>
      <c r="H1628" s="14">
        <v>1</v>
      </c>
      <c r="I1628" s="14">
        <v>21</v>
      </c>
      <c r="J1628" s="22">
        <v>0.17185179642680501</v>
      </c>
      <c r="K1628" s="22">
        <v>0.82814820357319496</v>
      </c>
      <c r="L1628" s="14">
        <v>0</v>
      </c>
    </row>
    <row r="1629" spans="1:12" x14ac:dyDescent="0.25">
      <c r="A1629" s="13">
        <v>3498109</v>
      </c>
      <c r="B1629" s="14" t="s">
        <v>5429</v>
      </c>
      <c r="C1629" s="14" t="s">
        <v>5751</v>
      </c>
      <c r="D1629" s="14" t="s">
        <v>4131</v>
      </c>
      <c r="E1629" s="14" t="s">
        <v>4148</v>
      </c>
      <c r="F1629" s="21">
        <v>1004.15</v>
      </c>
      <c r="G1629" s="14">
        <v>448</v>
      </c>
      <c r="H1629" s="14">
        <v>0</v>
      </c>
      <c r="I1629" s="14">
        <v>40</v>
      </c>
      <c r="J1629" s="22">
        <v>0.183249033939237</v>
      </c>
      <c r="K1629" s="22">
        <v>0.81675096606076303</v>
      </c>
      <c r="L1629" s="14">
        <v>0</v>
      </c>
    </row>
    <row r="1630" spans="1:12" x14ac:dyDescent="0.25">
      <c r="A1630" s="13">
        <v>3515553</v>
      </c>
      <c r="B1630" s="14" t="s">
        <v>5429</v>
      </c>
      <c r="C1630" s="14" t="s">
        <v>3994</v>
      </c>
      <c r="D1630" s="14" t="s">
        <v>4131</v>
      </c>
      <c r="E1630" s="14" t="s">
        <v>4150</v>
      </c>
      <c r="F1630" s="21">
        <v>1011.45</v>
      </c>
      <c r="G1630" s="14">
        <v>787</v>
      </c>
      <c r="H1630" s="14">
        <v>0</v>
      </c>
      <c r="I1630" s="14">
        <v>14</v>
      </c>
      <c r="J1630" s="22">
        <v>0.73475905507277695</v>
      </c>
      <c r="K1630" s="22">
        <v>0.265240944927224</v>
      </c>
      <c r="L1630" s="14">
        <v>0</v>
      </c>
    </row>
    <row r="1631" spans="1:12" x14ac:dyDescent="0.25">
      <c r="A1631" s="13">
        <v>3522679</v>
      </c>
      <c r="B1631" s="14" t="s">
        <v>5429</v>
      </c>
      <c r="C1631" s="14" t="s">
        <v>3994</v>
      </c>
      <c r="D1631" s="14" t="s">
        <v>4131</v>
      </c>
      <c r="E1631" s="14" t="s">
        <v>4152</v>
      </c>
      <c r="F1631" s="21">
        <v>1011.45</v>
      </c>
      <c r="G1631" s="14">
        <v>647</v>
      </c>
      <c r="H1631" s="14">
        <v>0</v>
      </c>
      <c r="I1631" s="14">
        <v>8</v>
      </c>
      <c r="J1631" s="22">
        <v>0.65105934014073397</v>
      </c>
      <c r="K1631" s="22">
        <v>0.34894065985926598</v>
      </c>
      <c r="L1631" s="14">
        <v>0</v>
      </c>
    </row>
    <row r="1632" spans="1:12" x14ac:dyDescent="0.25">
      <c r="A1632" s="13">
        <v>3485223</v>
      </c>
      <c r="B1632" s="14" t="s">
        <v>5429</v>
      </c>
      <c r="C1632" s="14" t="s">
        <v>3994</v>
      </c>
      <c r="D1632" s="14" t="s">
        <v>4131</v>
      </c>
      <c r="E1632" s="14" t="s">
        <v>4154</v>
      </c>
      <c r="F1632" s="21">
        <v>1015.73</v>
      </c>
      <c r="G1632" s="14">
        <v>338</v>
      </c>
      <c r="H1632" s="14">
        <v>1</v>
      </c>
      <c r="I1632" s="14">
        <v>22</v>
      </c>
      <c r="J1632" s="22">
        <v>0.55905823029897395</v>
      </c>
      <c r="K1632" s="22">
        <v>0.440941769701026</v>
      </c>
      <c r="L1632" s="14">
        <v>0</v>
      </c>
    </row>
    <row r="1633" spans="1:12" x14ac:dyDescent="0.25">
      <c r="A1633" s="13" t="s">
        <v>4155</v>
      </c>
      <c r="B1633" s="14" t="s">
        <v>5429</v>
      </c>
      <c r="C1633" s="14" t="s">
        <v>3994</v>
      </c>
      <c r="D1633" s="14" t="s">
        <v>4131</v>
      </c>
      <c r="E1633" s="14" t="s">
        <v>4156</v>
      </c>
      <c r="F1633" s="21">
        <v>1023.41</v>
      </c>
      <c r="G1633" s="14">
        <v>208</v>
      </c>
      <c r="H1633" s="14">
        <v>0</v>
      </c>
      <c r="I1633" s="14">
        <v>45</v>
      </c>
      <c r="J1633" s="22">
        <v>0.81274065932005801</v>
      </c>
      <c r="K1633" s="22">
        <v>0.18725934067994199</v>
      </c>
      <c r="L1633" s="14">
        <v>0</v>
      </c>
    </row>
    <row r="1634" spans="1:12" x14ac:dyDescent="0.25">
      <c r="A1634" s="13">
        <v>3573029</v>
      </c>
      <c r="B1634" s="14" t="s">
        <v>5429</v>
      </c>
      <c r="C1634" s="14" t="s">
        <v>3994</v>
      </c>
      <c r="D1634" s="14" t="s">
        <v>4131</v>
      </c>
      <c r="E1634" s="14" t="s">
        <v>4158</v>
      </c>
      <c r="F1634" s="21">
        <v>1039.8699999999999</v>
      </c>
      <c r="G1634" s="14">
        <v>880</v>
      </c>
      <c r="H1634" s="14">
        <v>0</v>
      </c>
      <c r="I1634" s="14">
        <v>7</v>
      </c>
      <c r="J1634" s="22">
        <v>0.106431812028337</v>
      </c>
      <c r="K1634" s="22">
        <v>0.89356818797166304</v>
      </c>
      <c r="L1634" s="14">
        <v>0</v>
      </c>
    </row>
    <row r="1635" spans="1:12" x14ac:dyDescent="0.25">
      <c r="A1635" s="13" t="s">
        <v>6211</v>
      </c>
      <c r="B1635" s="14" t="s">
        <v>5429</v>
      </c>
      <c r="C1635" s="14" t="s">
        <v>3994</v>
      </c>
      <c r="D1635" s="14" t="s">
        <v>4131</v>
      </c>
      <c r="E1635" s="14" t="s">
        <v>4160</v>
      </c>
      <c r="F1635" s="21">
        <v>1061.24</v>
      </c>
      <c r="G1635" s="14">
        <v>803</v>
      </c>
      <c r="H1635" s="14">
        <v>0</v>
      </c>
      <c r="I1635" s="14">
        <v>17</v>
      </c>
      <c r="J1635" s="22">
        <v>0.19648618060371001</v>
      </c>
      <c r="K1635" s="22">
        <v>0.80351381939628996</v>
      </c>
      <c r="L1635" s="14">
        <v>0</v>
      </c>
    </row>
    <row r="1636" spans="1:12" x14ac:dyDescent="0.25">
      <c r="A1636" s="13" t="s">
        <v>6212</v>
      </c>
      <c r="B1636" s="14" t="s">
        <v>5429</v>
      </c>
      <c r="C1636" s="14" t="s">
        <v>3994</v>
      </c>
      <c r="D1636" s="14" t="s">
        <v>4131</v>
      </c>
      <c r="E1636" s="14" t="s">
        <v>4162</v>
      </c>
      <c r="F1636" s="21">
        <v>1061.24</v>
      </c>
      <c r="G1636" s="14">
        <v>668</v>
      </c>
      <c r="H1636" s="14">
        <v>0</v>
      </c>
      <c r="I1636" s="14">
        <v>41</v>
      </c>
      <c r="J1636" s="22">
        <v>9.3789519678413799E-2</v>
      </c>
      <c r="K1636" s="22">
        <v>0.90621048032158602</v>
      </c>
      <c r="L1636" s="14">
        <v>0</v>
      </c>
    </row>
    <row r="1637" spans="1:12" x14ac:dyDescent="0.25">
      <c r="A1637" s="13" t="s">
        <v>6213</v>
      </c>
      <c r="B1637" s="14" t="s">
        <v>5429</v>
      </c>
      <c r="C1637" s="14" t="s">
        <v>3994</v>
      </c>
      <c r="D1637" s="14" t="s">
        <v>4131</v>
      </c>
      <c r="E1637" s="14" t="s">
        <v>4164</v>
      </c>
      <c r="F1637" s="21">
        <v>1061.24</v>
      </c>
      <c r="G1637" s="14">
        <v>223</v>
      </c>
      <c r="I1637" s="14">
        <v>22</v>
      </c>
      <c r="J1637" s="22">
        <v>0.92969632094486498</v>
      </c>
      <c r="K1637" s="22">
        <v>7.0303679055134793E-2</v>
      </c>
      <c r="L1637" s="14">
        <v>0</v>
      </c>
    </row>
    <row r="1638" spans="1:12" x14ac:dyDescent="0.25">
      <c r="A1638" s="13">
        <v>3675909</v>
      </c>
      <c r="B1638" s="14" t="s">
        <v>5429</v>
      </c>
      <c r="C1638" s="14" t="s">
        <v>3994</v>
      </c>
      <c r="D1638" s="14" t="s">
        <v>4131</v>
      </c>
      <c r="E1638" s="14" t="s">
        <v>4166</v>
      </c>
      <c r="F1638" s="21">
        <v>1080</v>
      </c>
      <c r="G1638" s="14">
        <v>253</v>
      </c>
      <c r="H1638" s="14">
        <v>0</v>
      </c>
      <c r="I1638" s="14">
        <v>14</v>
      </c>
      <c r="J1638" s="22">
        <v>0.284451851817695</v>
      </c>
      <c r="K1638" s="22">
        <v>0.71554814818230605</v>
      </c>
      <c r="L1638" s="14">
        <v>0</v>
      </c>
    </row>
    <row r="1639" spans="1:12" x14ac:dyDescent="0.25">
      <c r="A1639" s="13" t="s">
        <v>7183</v>
      </c>
      <c r="B1639" s="14" t="s">
        <v>5430</v>
      </c>
      <c r="C1639" s="14" t="s">
        <v>3994</v>
      </c>
      <c r="D1639" s="14" t="s">
        <v>4131</v>
      </c>
      <c r="E1639" s="14" t="s">
        <v>4168</v>
      </c>
      <c r="F1639" s="21">
        <v>389.73</v>
      </c>
      <c r="H1639" s="14">
        <v>0</v>
      </c>
      <c r="I1639" s="14">
        <v>31</v>
      </c>
      <c r="J1639" s="22">
        <v>0.720528299552606</v>
      </c>
      <c r="K1639" s="22">
        <v>0.279471700447394</v>
      </c>
      <c r="L1639" s="14">
        <v>0</v>
      </c>
    </row>
    <row r="1640" spans="1:12" x14ac:dyDescent="0.25">
      <c r="A1640" s="13" t="s">
        <v>7184</v>
      </c>
      <c r="B1640" s="14" t="s">
        <v>5430</v>
      </c>
      <c r="C1640" s="14" t="s">
        <v>5748</v>
      </c>
      <c r="D1640" s="14" t="s">
        <v>4131</v>
      </c>
      <c r="E1640" s="14" t="s">
        <v>4170</v>
      </c>
      <c r="F1640" s="21">
        <v>443.38</v>
      </c>
      <c r="G1640" s="14">
        <v>333</v>
      </c>
      <c r="H1640" s="14">
        <v>0</v>
      </c>
      <c r="I1640" s="14">
        <v>14</v>
      </c>
      <c r="J1640" s="22">
        <v>0.68174994627330099</v>
      </c>
      <c r="K1640" s="22">
        <v>0.31825005372669901</v>
      </c>
      <c r="L1640" s="14">
        <v>0</v>
      </c>
    </row>
    <row r="1641" spans="1:12" x14ac:dyDescent="0.25">
      <c r="A1641" s="13" t="s">
        <v>7185</v>
      </c>
      <c r="B1641" s="14" t="s">
        <v>5430</v>
      </c>
      <c r="C1641" s="14" t="s">
        <v>5747</v>
      </c>
      <c r="D1641" s="14" t="s">
        <v>4131</v>
      </c>
      <c r="E1641" s="14" t="s">
        <v>4172</v>
      </c>
      <c r="F1641" s="21">
        <v>1061.93</v>
      </c>
      <c r="G1641" s="14">
        <v>282</v>
      </c>
      <c r="I1641" s="14">
        <v>21</v>
      </c>
      <c r="J1641" s="22">
        <v>0.86737188454159397</v>
      </c>
      <c r="K1641" s="22">
        <v>0.132628115458406</v>
      </c>
      <c r="L1641" s="14">
        <v>0</v>
      </c>
    </row>
    <row r="1642" spans="1:12" x14ac:dyDescent="0.25">
      <c r="A1642" s="13">
        <v>3543450</v>
      </c>
      <c r="B1642" s="14" t="s">
        <v>547</v>
      </c>
      <c r="C1642" s="14" t="s">
        <v>5748</v>
      </c>
      <c r="D1642" s="14" t="s">
        <v>4131</v>
      </c>
      <c r="E1642" s="14" t="s">
        <v>7186</v>
      </c>
      <c r="F1642" s="21">
        <v>122.31</v>
      </c>
      <c r="G1642" s="14">
        <v>702</v>
      </c>
      <c r="H1642" s="14">
        <v>0</v>
      </c>
      <c r="I1642" s="14">
        <v>46</v>
      </c>
      <c r="J1642" s="22">
        <v>6.7851526564384396E-2</v>
      </c>
      <c r="K1642" s="22">
        <v>0.93214847343561602</v>
      </c>
      <c r="L1642" s="14">
        <v>0</v>
      </c>
    </row>
    <row r="1643" spans="1:12" x14ac:dyDescent="0.25">
      <c r="A1643" s="13" t="s">
        <v>7187</v>
      </c>
      <c r="B1643" s="14" t="s">
        <v>547</v>
      </c>
      <c r="C1643" s="14" t="s">
        <v>5748</v>
      </c>
      <c r="D1643" s="14" t="s">
        <v>4131</v>
      </c>
      <c r="E1643" s="14" t="s">
        <v>4176</v>
      </c>
      <c r="F1643" s="21">
        <v>214.74</v>
      </c>
      <c r="G1643" s="14">
        <v>814</v>
      </c>
      <c r="H1643" s="14">
        <v>1</v>
      </c>
      <c r="I1643" s="14">
        <v>46</v>
      </c>
      <c r="J1643" s="22">
        <v>0.38146806171313102</v>
      </c>
      <c r="K1643" s="22">
        <v>0.61853193828686903</v>
      </c>
      <c r="L1643" s="14">
        <v>0</v>
      </c>
    </row>
    <row r="1644" spans="1:12" x14ac:dyDescent="0.25">
      <c r="A1644" s="13" t="s">
        <v>4177</v>
      </c>
      <c r="B1644" s="14" t="s">
        <v>547</v>
      </c>
      <c r="C1644" s="14" t="s">
        <v>5748</v>
      </c>
      <c r="D1644" s="14" t="s">
        <v>4131</v>
      </c>
      <c r="E1644" s="14" t="s">
        <v>4178</v>
      </c>
      <c r="F1644" s="21">
        <v>329.79</v>
      </c>
      <c r="G1644" s="14">
        <v>410</v>
      </c>
      <c r="I1644" s="14">
        <v>30</v>
      </c>
      <c r="J1644" s="22">
        <v>0.44964110221953602</v>
      </c>
      <c r="K1644" s="22">
        <v>0.55035889778046398</v>
      </c>
      <c r="L1644" s="14">
        <v>0</v>
      </c>
    </row>
    <row r="1645" spans="1:12" ht="39.6" x14ac:dyDescent="0.25">
      <c r="A1645" s="20" t="s">
        <v>7188</v>
      </c>
      <c r="B1645" s="14" t="s">
        <v>547</v>
      </c>
      <c r="C1645" s="14" t="s">
        <v>3994</v>
      </c>
      <c r="D1645" s="14" t="s">
        <v>4131</v>
      </c>
      <c r="E1645" s="14" t="s">
        <v>4180</v>
      </c>
      <c r="F1645" s="21">
        <v>424.95</v>
      </c>
      <c r="G1645" s="14">
        <v>920</v>
      </c>
      <c r="H1645" s="14">
        <v>1</v>
      </c>
      <c r="I1645" s="14">
        <v>36</v>
      </c>
      <c r="J1645" s="22">
        <v>0.51707213105675798</v>
      </c>
      <c r="K1645" s="22">
        <v>0.48292786894324202</v>
      </c>
      <c r="L1645" s="14">
        <v>0</v>
      </c>
    </row>
    <row r="1646" spans="1:12" ht="26.4" x14ac:dyDescent="0.25">
      <c r="A1646" s="20" t="s">
        <v>7189</v>
      </c>
      <c r="B1646" s="14" t="s">
        <v>547</v>
      </c>
      <c r="C1646" s="14" t="s">
        <v>3994</v>
      </c>
      <c r="D1646" s="14" t="s">
        <v>4131</v>
      </c>
      <c r="E1646" s="14" t="s">
        <v>4182</v>
      </c>
      <c r="F1646" s="21">
        <v>534.26</v>
      </c>
      <c r="H1646" s="14">
        <v>1</v>
      </c>
      <c r="I1646" s="14">
        <v>12</v>
      </c>
      <c r="J1646" s="22">
        <v>8.1288739053440501E-2</v>
      </c>
      <c r="K1646" s="22">
        <v>0.91871126094655997</v>
      </c>
      <c r="L1646" s="14">
        <v>0</v>
      </c>
    </row>
    <row r="1647" spans="1:12" x14ac:dyDescent="0.25">
      <c r="A1647" s="13" t="s">
        <v>7190</v>
      </c>
      <c r="B1647" s="14" t="s">
        <v>547</v>
      </c>
      <c r="C1647" s="14" t="s">
        <v>5748</v>
      </c>
      <c r="D1647" s="14" t="s">
        <v>4131</v>
      </c>
      <c r="E1647" s="14" t="s">
        <v>4184</v>
      </c>
      <c r="F1647" s="21">
        <v>741.35</v>
      </c>
      <c r="G1647" s="14">
        <v>285</v>
      </c>
      <c r="H1647" s="14">
        <v>0</v>
      </c>
      <c r="I1647" s="14">
        <v>47</v>
      </c>
      <c r="J1647" s="22">
        <v>3.5948251870549598E-2</v>
      </c>
      <c r="K1647" s="22">
        <v>0.96405174812945005</v>
      </c>
      <c r="L1647" s="14">
        <v>0</v>
      </c>
    </row>
    <row r="1648" spans="1:12" x14ac:dyDescent="0.25">
      <c r="A1648" s="13" t="s">
        <v>7191</v>
      </c>
      <c r="B1648" s="14" t="s">
        <v>547</v>
      </c>
      <c r="C1648" s="14" t="s">
        <v>5748</v>
      </c>
      <c r="D1648" s="14" t="s">
        <v>4131</v>
      </c>
      <c r="E1648" s="14" t="s">
        <v>7192</v>
      </c>
      <c r="F1648" s="21">
        <v>747.05</v>
      </c>
      <c r="G1648" s="14">
        <v>288</v>
      </c>
      <c r="H1648" s="14">
        <v>1</v>
      </c>
      <c r="I1648" s="14">
        <v>21</v>
      </c>
      <c r="J1648" s="22">
        <v>0.84775376679058501</v>
      </c>
      <c r="K1648" s="22">
        <v>0.15224623320941599</v>
      </c>
      <c r="L1648" s="14">
        <v>0</v>
      </c>
    </row>
    <row r="1649" spans="1:12" x14ac:dyDescent="0.25">
      <c r="A1649" s="13" t="s">
        <v>4187</v>
      </c>
      <c r="B1649" s="14" t="s">
        <v>547</v>
      </c>
      <c r="C1649" s="14" t="s">
        <v>3994</v>
      </c>
      <c r="D1649" s="14" t="s">
        <v>4131</v>
      </c>
      <c r="E1649" s="14" t="s">
        <v>4188</v>
      </c>
      <c r="F1649" s="21">
        <v>773.45</v>
      </c>
      <c r="G1649" s="14">
        <v>639</v>
      </c>
      <c r="H1649" s="14">
        <v>1</v>
      </c>
      <c r="I1649" s="14">
        <v>32</v>
      </c>
      <c r="J1649" s="22">
        <v>0.90671276541009704</v>
      </c>
      <c r="K1649" s="22">
        <v>9.3287234589903095E-2</v>
      </c>
      <c r="L1649" s="14">
        <v>0</v>
      </c>
    </row>
    <row r="1650" spans="1:12" x14ac:dyDescent="0.25">
      <c r="A1650" s="13" t="s">
        <v>7193</v>
      </c>
      <c r="B1650" s="14" t="s">
        <v>547</v>
      </c>
      <c r="C1650" s="14" t="s">
        <v>5748</v>
      </c>
      <c r="D1650" s="14" t="s">
        <v>4131</v>
      </c>
      <c r="E1650" s="14" t="s">
        <v>7194</v>
      </c>
      <c r="F1650" s="21">
        <v>825.68</v>
      </c>
      <c r="G1650" s="14">
        <v>950</v>
      </c>
      <c r="H1650" s="14">
        <v>1</v>
      </c>
      <c r="I1650" s="14">
        <v>29</v>
      </c>
      <c r="J1650" s="22">
        <v>0.81638486439157698</v>
      </c>
      <c r="K1650" s="22">
        <v>0.18361513560842399</v>
      </c>
      <c r="L1650" s="14">
        <v>0</v>
      </c>
    </row>
    <row r="1651" spans="1:12" x14ac:dyDescent="0.25">
      <c r="A1651" s="13" t="s">
        <v>7195</v>
      </c>
      <c r="B1651" s="14" t="s">
        <v>547</v>
      </c>
      <c r="C1651" s="14" t="s">
        <v>5748</v>
      </c>
      <c r="D1651" s="14" t="s">
        <v>4131</v>
      </c>
      <c r="E1651" s="14" t="s">
        <v>4192</v>
      </c>
      <c r="F1651" s="21">
        <v>825.68</v>
      </c>
      <c r="G1651" s="14">
        <v>341</v>
      </c>
      <c r="I1651" s="14">
        <v>49</v>
      </c>
      <c r="J1651" s="22">
        <v>0.67484026021533206</v>
      </c>
      <c r="K1651" s="22">
        <v>0.325159739784668</v>
      </c>
      <c r="L1651" s="14">
        <v>0</v>
      </c>
    </row>
    <row r="1652" spans="1:12" x14ac:dyDescent="0.25">
      <c r="A1652" s="13" t="s">
        <v>7196</v>
      </c>
      <c r="B1652" s="14" t="s">
        <v>547</v>
      </c>
      <c r="C1652" s="14" t="s">
        <v>5748</v>
      </c>
      <c r="D1652" s="14" t="s">
        <v>4131</v>
      </c>
      <c r="E1652" s="14" t="s">
        <v>4194</v>
      </c>
      <c r="F1652" s="21">
        <v>825.68</v>
      </c>
      <c r="G1652" s="14">
        <v>27</v>
      </c>
      <c r="H1652" s="14">
        <v>1</v>
      </c>
      <c r="I1652" s="14">
        <v>3</v>
      </c>
      <c r="J1652" s="22">
        <v>0.24565800455009201</v>
      </c>
      <c r="K1652" s="22">
        <v>0.75434199544990799</v>
      </c>
      <c r="L1652" s="14">
        <v>0</v>
      </c>
    </row>
    <row r="1653" spans="1:12" x14ac:dyDescent="0.25">
      <c r="A1653" s="13" t="s">
        <v>7197</v>
      </c>
      <c r="B1653" s="14" t="s">
        <v>547</v>
      </c>
      <c r="C1653" s="14" t="s">
        <v>5748</v>
      </c>
      <c r="D1653" s="14" t="s">
        <v>4131</v>
      </c>
      <c r="E1653" s="14" t="s">
        <v>4196</v>
      </c>
      <c r="F1653" s="21">
        <v>825.68</v>
      </c>
      <c r="G1653" s="14">
        <v>556</v>
      </c>
      <c r="H1653" s="14">
        <v>0</v>
      </c>
      <c r="I1653" s="14" t="s">
        <v>6314</v>
      </c>
      <c r="J1653" s="22">
        <v>0.182953450574348</v>
      </c>
      <c r="K1653" s="22">
        <v>0.81704654942565202</v>
      </c>
      <c r="L1653" s="14">
        <v>0</v>
      </c>
    </row>
    <row r="1654" spans="1:12" x14ac:dyDescent="0.25">
      <c r="A1654" s="13" t="s">
        <v>7198</v>
      </c>
      <c r="B1654" s="14" t="s">
        <v>547</v>
      </c>
      <c r="C1654" s="14" t="s">
        <v>5748</v>
      </c>
      <c r="D1654" s="14" t="s">
        <v>4131</v>
      </c>
      <c r="E1654" s="14" t="s">
        <v>4198</v>
      </c>
      <c r="F1654" s="21">
        <v>825.68</v>
      </c>
      <c r="G1654" s="14">
        <v>343</v>
      </c>
      <c r="H1654" s="14">
        <v>1</v>
      </c>
      <c r="I1654" s="14">
        <v>38</v>
      </c>
      <c r="J1654" s="22">
        <v>0.374629848963492</v>
      </c>
      <c r="K1654" s="22">
        <v>0.62537015103650795</v>
      </c>
      <c r="L1654" s="14">
        <v>0</v>
      </c>
    </row>
    <row r="1655" spans="1:12" x14ac:dyDescent="0.25">
      <c r="B1655" s="14" t="s">
        <v>547</v>
      </c>
      <c r="C1655" s="14" t="s">
        <v>5748</v>
      </c>
      <c r="D1655" s="14" t="s">
        <v>4131</v>
      </c>
      <c r="E1655" s="14" t="s">
        <v>4199</v>
      </c>
      <c r="F1655" s="21">
        <v>825.68</v>
      </c>
      <c r="G1655" s="14">
        <v>459</v>
      </c>
      <c r="H1655" s="14">
        <v>1</v>
      </c>
      <c r="I1655" s="14" t="s">
        <v>6314</v>
      </c>
      <c r="J1655" s="22">
        <v>0.17571484136718199</v>
      </c>
      <c r="K1655" s="22">
        <v>0.82428515863281804</v>
      </c>
      <c r="L1655" s="14">
        <v>0</v>
      </c>
    </row>
    <row r="1656" spans="1:12" x14ac:dyDescent="0.25">
      <c r="A1656" s="13" t="s">
        <v>7199</v>
      </c>
      <c r="B1656" s="14" t="s">
        <v>547</v>
      </c>
      <c r="C1656" s="14" t="s">
        <v>5748</v>
      </c>
      <c r="D1656" s="14" t="s">
        <v>4131</v>
      </c>
      <c r="E1656" s="14" t="s">
        <v>7200</v>
      </c>
      <c r="F1656" s="21">
        <v>825.68</v>
      </c>
      <c r="G1656" s="14">
        <v>841</v>
      </c>
      <c r="H1656" s="14">
        <v>1</v>
      </c>
      <c r="I1656" s="14">
        <v>48</v>
      </c>
      <c r="J1656" s="22">
        <v>0.51408229386681603</v>
      </c>
      <c r="K1656" s="22">
        <v>0.48591770613318402</v>
      </c>
      <c r="L1656" s="14">
        <v>0</v>
      </c>
    </row>
    <row r="1657" spans="1:12" x14ac:dyDescent="0.25">
      <c r="A1657" s="13" t="s">
        <v>6016</v>
      </c>
      <c r="B1657" s="14" t="s">
        <v>547</v>
      </c>
      <c r="C1657" s="14" t="s">
        <v>5748</v>
      </c>
      <c r="D1657" s="14" t="s">
        <v>4131</v>
      </c>
      <c r="E1657" s="14" t="s">
        <v>4199</v>
      </c>
      <c r="F1657" s="21">
        <v>825.68</v>
      </c>
      <c r="G1657" s="14">
        <v>794</v>
      </c>
      <c r="H1657" s="14">
        <v>0</v>
      </c>
      <c r="I1657" s="14">
        <v>9</v>
      </c>
      <c r="J1657" s="22">
        <v>0.41564630602533398</v>
      </c>
      <c r="K1657" s="22">
        <v>0.58435369397466597</v>
      </c>
      <c r="L1657" s="14">
        <v>0</v>
      </c>
    </row>
    <row r="1658" spans="1:12" x14ac:dyDescent="0.25">
      <c r="A1658" s="13">
        <v>3555827</v>
      </c>
      <c r="B1658" s="14" t="s">
        <v>547</v>
      </c>
      <c r="C1658" s="14" t="s">
        <v>5748</v>
      </c>
      <c r="D1658" s="14" t="s">
        <v>4131</v>
      </c>
      <c r="E1658" s="14" t="s">
        <v>4203</v>
      </c>
      <c r="F1658" s="21">
        <v>825.68</v>
      </c>
      <c r="H1658" s="14">
        <v>1</v>
      </c>
      <c r="I1658" s="14">
        <v>30</v>
      </c>
      <c r="J1658" s="22">
        <v>0.66057026433443999</v>
      </c>
      <c r="K1658" s="22">
        <v>0.33942973566556001</v>
      </c>
      <c r="L1658" s="14">
        <v>0</v>
      </c>
    </row>
    <row r="1659" spans="1:12" x14ac:dyDescent="0.25">
      <c r="A1659" s="13">
        <v>3646760</v>
      </c>
      <c r="B1659" s="14" t="s">
        <v>547</v>
      </c>
      <c r="C1659" s="14" t="s">
        <v>5748</v>
      </c>
      <c r="D1659" s="14" t="s">
        <v>4131</v>
      </c>
      <c r="E1659" s="14" t="s">
        <v>7201</v>
      </c>
      <c r="F1659" s="21">
        <v>825.68</v>
      </c>
      <c r="G1659" s="14">
        <v>934</v>
      </c>
      <c r="H1659" s="14">
        <v>0</v>
      </c>
      <c r="I1659" s="14">
        <v>1</v>
      </c>
      <c r="J1659" s="22">
        <v>0.59766889576234505</v>
      </c>
      <c r="K1659" s="22">
        <v>0.402331104237655</v>
      </c>
      <c r="L1659" s="14">
        <v>0</v>
      </c>
    </row>
    <row r="1660" spans="1:12" x14ac:dyDescent="0.25">
      <c r="A1660" s="13">
        <v>3637378</v>
      </c>
      <c r="B1660" s="14" t="s">
        <v>547</v>
      </c>
      <c r="C1660" s="14" t="s">
        <v>5748</v>
      </c>
      <c r="D1660" s="14" t="s">
        <v>4131</v>
      </c>
      <c r="E1660" s="14" t="s">
        <v>4207</v>
      </c>
      <c r="F1660" s="21">
        <v>825.68</v>
      </c>
      <c r="G1660" s="14">
        <v>201</v>
      </c>
      <c r="H1660" s="14">
        <v>0</v>
      </c>
      <c r="I1660" s="14">
        <v>20</v>
      </c>
      <c r="J1660" s="22">
        <v>0.40916575831652402</v>
      </c>
      <c r="K1660" s="22">
        <v>0.59083424168347598</v>
      </c>
      <c r="L1660" s="14">
        <v>0</v>
      </c>
    </row>
    <row r="1661" spans="1:12" x14ac:dyDescent="0.25">
      <c r="A1661" s="13">
        <v>3691111</v>
      </c>
      <c r="B1661" s="14" t="s">
        <v>547</v>
      </c>
      <c r="C1661" s="14" t="s">
        <v>5748</v>
      </c>
      <c r="D1661" s="14" t="s">
        <v>4131</v>
      </c>
      <c r="E1661" s="14" t="s">
        <v>4209</v>
      </c>
      <c r="F1661" s="21">
        <v>825.68</v>
      </c>
      <c r="G1661" s="14">
        <v>662</v>
      </c>
      <c r="H1661" s="14">
        <v>0</v>
      </c>
      <c r="I1661" s="14">
        <v>12</v>
      </c>
      <c r="J1661" s="22">
        <v>4.1069286403038897E-2</v>
      </c>
      <c r="K1661" s="22">
        <v>0.95893071359696103</v>
      </c>
      <c r="L1661" s="14">
        <v>0</v>
      </c>
    </row>
    <row r="1662" spans="1:12" x14ac:dyDescent="0.25">
      <c r="A1662" s="13">
        <v>3726600</v>
      </c>
      <c r="B1662" s="14" t="s">
        <v>547</v>
      </c>
      <c r="C1662" s="14" t="s">
        <v>5748</v>
      </c>
      <c r="D1662" s="14" t="s">
        <v>4131</v>
      </c>
      <c r="E1662" s="14" t="s">
        <v>4211</v>
      </c>
      <c r="F1662" s="21">
        <v>825.68</v>
      </c>
      <c r="G1662" s="14">
        <v>890</v>
      </c>
      <c r="H1662" s="14">
        <v>0</v>
      </c>
      <c r="I1662" s="14">
        <v>5</v>
      </c>
      <c r="J1662" s="22">
        <v>0.57081211460061099</v>
      </c>
      <c r="K1662" s="22">
        <v>0.42918788539938901</v>
      </c>
      <c r="L1662" s="14">
        <v>0</v>
      </c>
    </row>
    <row r="1663" spans="1:12" x14ac:dyDescent="0.25">
      <c r="A1663" s="13">
        <v>3530465</v>
      </c>
      <c r="B1663" s="14" t="s">
        <v>547</v>
      </c>
      <c r="C1663" s="14" t="s">
        <v>5748</v>
      </c>
      <c r="D1663" s="14" t="s">
        <v>4131</v>
      </c>
      <c r="E1663" s="14" t="s">
        <v>4213</v>
      </c>
      <c r="F1663" s="21">
        <v>825.68</v>
      </c>
      <c r="I1663" s="14" t="s">
        <v>6314</v>
      </c>
      <c r="J1663" s="22">
        <v>5.78172611763174E-2</v>
      </c>
      <c r="K1663" s="22">
        <v>0.94218273882368297</v>
      </c>
      <c r="L1663" s="14">
        <v>0</v>
      </c>
    </row>
    <row r="1664" spans="1:12" x14ac:dyDescent="0.25">
      <c r="A1664" s="13">
        <v>3480384</v>
      </c>
      <c r="B1664" s="14" t="s">
        <v>547</v>
      </c>
      <c r="C1664" s="14" t="s">
        <v>5748</v>
      </c>
      <c r="D1664" s="14" t="s">
        <v>4131</v>
      </c>
      <c r="E1664" s="14" t="s">
        <v>4215</v>
      </c>
      <c r="F1664" s="21">
        <v>825.68</v>
      </c>
      <c r="G1664" s="14">
        <v>938</v>
      </c>
      <c r="I1664" s="14">
        <v>21</v>
      </c>
      <c r="J1664" s="22">
        <v>0.75525477556298704</v>
      </c>
      <c r="K1664" s="22">
        <v>0.24474522443701299</v>
      </c>
      <c r="L1664" s="14">
        <v>0</v>
      </c>
    </row>
    <row r="1665" spans="1:12" x14ac:dyDescent="0.25">
      <c r="A1665" s="13">
        <v>3525566</v>
      </c>
      <c r="B1665" s="14" t="s">
        <v>547</v>
      </c>
      <c r="C1665" s="14" t="s">
        <v>5748</v>
      </c>
      <c r="D1665" s="14" t="s">
        <v>4131</v>
      </c>
      <c r="E1665" s="14" t="s">
        <v>4217</v>
      </c>
      <c r="F1665" s="21">
        <v>825.68</v>
      </c>
      <c r="G1665" s="14">
        <v>357</v>
      </c>
      <c r="H1665" s="14">
        <v>0</v>
      </c>
      <c r="I1665" s="14">
        <v>44</v>
      </c>
      <c r="J1665" s="22">
        <v>0.81559489876592195</v>
      </c>
      <c r="K1665" s="22">
        <v>0.18440510123407799</v>
      </c>
      <c r="L1665" s="14">
        <v>0</v>
      </c>
    </row>
    <row r="1666" spans="1:12" x14ac:dyDescent="0.25">
      <c r="A1666" s="13">
        <v>3531328</v>
      </c>
      <c r="B1666" s="14" t="s">
        <v>547</v>
      </c>
      <c r="C1666" s="14" t="s">
        <v>5748</v>
      </c>
      <c r="D1666" s="14" t="s">
        <v>4131</v>
      </c>
      <c r="E1666" s="14" t="s">
        <v>4219</v>
      </c>
      <c r="F1666" s="21">
        <v>825.68</v>
      </c>
      <c r="H1666" s="14">
        <v>0</v>
      </c>
      <c r="I1666" s="14" t="s">
        <v>6314</v>
      </c>
      <c r="J1666" s="22">
        <v>0.32688786015141302</v>
      </c>
      <c r="K1666" s="22">
        <v>0.67311213984858698</v>
      </c>
      <c r="L1666" s="14">
        <v>0</v>
      </c>
    </row>
    <row r="1667" spans="1:12" x14ac:dyDescent="0.25">
      <c r="A1667" s="13">
        <v>3530478</v>
      </c>
      <c r="B1667" s="14" t="s">
        <v>547</v>
      </c>
      <c r="C1667" s="14" t="s">
        <v>5748</v>
      </c>
      <c r="D1667" s="14" t="s">
        <v>4131</v>
      </c>
      <c r="E1667" s="14" t="s">
        <v>4221</v>
      </c>
      <c r="F1667" s="21">
        <v>825.68</v>
      </c>
      <c r="G1667" s="14">
        <v>442</v>
      </c>
      <c r="H1667" s="14">
        <v>1</v>
      </c>
      <c r="I1667" s="14">
        <v>3</v>
      </c>
      <c r="J1667" s="22">
        <v>0.62288187377568605</v>
      </c>
      <c r="K1667" s="22">
        <v>0.37711812622431401</v>
      </c>
      <c r="L1667" s="14">
        <v>0</v>
      </c>
    </row>
    <row r="1668" spans="1:12" x14ac:dyDescent="0.25">
      <c r="A1668" s="13">
        <v>3544761</v>
      </c>
      <c r="B1668" s="14" t="s">
        <v>547</v>
      </c>
      <c r="C1668" s="14" t="s">
        <v>5748</v>
      </c>
      <c r="D1668" s="14" t="s">
        <v>4131</v>
      </c>
      <c r="E1668" s="14" t="s">
        <v>7202</v>
      </c>
      <c r="F1668" s="21">
        <v>825.68</v>
      </c>
      <c r="H1668" s="14">
        <v>0</v>
      </c>
      <c r="I1668" s="14">
        <v>36</v>
      </c>
      <c r="J1668" s="22">
        <v>0.30899339716702101</v>
      </c>
      <c r="K1668" s="22">
        <v>0.69100660283297899</v>
      </c>
      <c r="L1668" s="14">
        <v>0</v>
      </c>
    </row>
    <row r="1669" spans="1:12" x14ac:dyDescent="0.25">
      <c r="A1669" s="13">
        <v>3569446</v>
      </c>
      <c r="B1669" s="14" t="s">
        <v>547</v>
      </c>
      <c r="C1669" s="14" t="s">
        <v>5748</v>
      </c>
      <c r="D1669" s="14" t="s">
        <v>4131</v>
      </c>
      <c r="E1669" s="14" t="s">
        <v>7203</v>
      </c>
      <c r="F1669" s="21">
        <v>825.68</v>
      </c>
      <c r="H1669" s="14">
        <v>0</v>
      </c>
      <c r="I1669" s="14">
        <v>17</v>
      </c>
      <c r="J1669" s="22">
        <v>0.187252301131039</v>
      </c>
      <c r="K1669" s="22">
        <v>0.81274769886896103</v>
      </c>
      <c r="L1669" s="14">
        <v>0</v>
      </c>
    </row>
    <row r="1670" spans="1:12" x14ac:dyDescent="0.25">
      <c r="A1670" s="13">
        <v>3577721</v>
      </c>
      <c r="B1670" s="14" t="s">
        <v>547</v>
      </c>
      <c r="C1670" s="14" t="s">
        <v>5748</v>
      </c>
      <c r="D1670" s="14" t="s">
        <v>4131</v>
      </c>
      <c r="E1670" s="14" t="s">
        <v>4227</v>
      </c>
      <c r="F1670" s="21">
        <v>825.68</v>
      </c>
      <c r="G1670" s="14">
        <v>618</v>
      </c>
      <c r="H1670" s="14">
        <v>1</v>
      </c>
      <c r="I1670" s="14">
        <v>14</v>
      </c>
      <c r="J1670" s="22">
        <v>0.95611872130505904</v>
      </c>
      <c r="K1670" s="22">
        <v>4.3881278694941198E-2</v>
      </c>
      <c r="L1670" s="14">
        <v>0</v>
      </c>
    </row>
    <row r="1671" spans="1:12" x14ac:dyDescent="0.25">
      <c r="A1671" s="13" t="s">
        <v>7204</v>
      </c>
      <c r="B1671" s="14" t="s">
        <v>547</v>
      </c>
      <c r="C1671" s="14" t="s">
        <v>5748</v>
      </c>
      <c r="D1671" s="14" t="s">
        <v>4131</v>
      </c>
      <c r="E1671" s="14" t="s">
        <v>4229</v>
      </c>
      <c r="F1671" s="21">
        <v>830.05</v>
      </c>
      <c r="G1671" s="14">
        <v>418</v>
      </c>
      <c r="H1671" s="14">
        <v>1</v>
      </c>
      <c r="I1671" s="14">
        <v>43</v>
      </c>
      <c r="J1671" s="22">
        <v>3.59653641516133E-4</v>
      </c>
      <c r="K1671" s="22">
        <v>0.99964034635848398</v>
      </c>
      <c r="L1671" s="14">
        <v>0</v>
      </c>
    </row>
    <row r="1672" spans="1:12" x14ac:dyDescent="0.25">
      <c r="A1672" s="13" t="s">
        <v>4230</v>
      </c>
      <c r="B1672" s="14" t="s">
        <v>547</v>
      </c>
      <c r="C1672" s="14" t="s">
        <v>3994</v>
      </c>
      <c r="D1672" s="14" t="s">
        <v>4131</v>
      </c>
      <c r="E1672" s="14" t="s">
        <v>4231</v>
      </c>
      <c r="F1672" s="21">
        <v>830.97</v>
      </c>
      <c r="G1672" s="14">
        <v>751</v>
      </c>
      <c r="I1672" s="14">
        <v>8</v>
      </c>
      <c r="J1672" s="22">
        <v>0.40899074557418003</v>
      </c>
      <c r="K1672" s="22">
        <v>0.59100925442581997</v>
      </c>
      <c r="L1672" s="14">
        <v>0</v>
      </c>
    </row>
    <row r="1673" spans="1:12" x14ac:dyDescent="0.25">
      <c r="A1673" s="13" t="s">
        <v>4232</v>
      </c>
      <c r="B1673" s="14" t="s">
        <v>547</v>
      </c>
      <c r="C1673" s="14" t="s">
        <v>5752</v>
      </c>
      <c r="D1673" s="14" t="s">
        <v>4131</v>
      </c>
      <c r="E1673" s="14" t="s">
        <v>4233</v>
      </c>
      <c r="F1673" s="21">
        <v>836.02</v>
      </c>
      <c r="H1673" s="14">
        <v>0</v>
      </c>
      <c r="I1673" s="14">
        <v>21</v>
      </c>
      <c r="J1673" s="22">
        <v>0.21393492116894999</v>
      </c>
      <c r="K1673" s="22">
        <v>0.78606507883105003</v>
      </c>
      <c r="L1673" s="14">
        <v>0</v>
      </c>
    </row>
    <row r="1674" spans="1:12" x14ac:dyDescent="0.25">
      <c r="A1674" s="13" t="s">
        <v>7205</v>
      </c>
      <c r="B1674" s="14" t="s">
        <v>547</v>
      </c>
      <c r="C1674" s="14" t="s">
        <v>5748</v>
      </c>
      <c r="D1674" s="14" t="s">
        <v>4131</v>
      </c>
      <c r="E1674" s="14" t="s">
        <v>4235</v>
      </c>
      <c r="F1674" s="21">
        <v>836.43</v>
      </c>
      <c r="G1674" s="14">
        <v>795</v>
      </c>
      <c r="I1674" s="14">
        <v>36</v>
      </c>
      <c r="J1674" s="22">
        <v>0.98381252083359505</v>
      </c>
      <c r="K1674" s="22">
        <v>1.6187479166405502E-2</v>
      </c>
      <c r="L1674" s="14">
        <v>0</v>
      </c>
    </row>
    <row r="1675" spans="1:12" x14ac:dyDescent="0.25">
      <c r="A1675" s="13" t="s">
        <v>4236</v>
      </c>
      <c r="B1675" s="14" t="s">
        <v>547</v>
      </c>
      <c r="C1675" s="14" t="s">
        <v>5749</v>
      </c>
      <c r="D1675" s="14" t="s">
        <v>4131</v>
      </c>
      <c r="E1675" s="14" t="s">
        <v>4237</v>
      </c>
      <c r="F1675" s="21">
        <v>836.43</v>
      </c>
      <c r="G1675" s="14">
        <v>198</v>
      </c>
      <c r="H1675" s="14">
        <v>0</v>
      </c>
      <c r="I1675" s="14">
        <v>23</v>
      </c>
      <c r="J1675" s="22">
        <v>0.10355739323924</v>
      </c>
      <c r="K1675" s="22">
        <v>0.89644260676076004</v>
      </c>
      <c r="L1675" s="14">
        <v>0</v>
      </c>
    </row>
    <row r="1676" spans="1:12" x14ac:dyDescent="0.25">
      <c r="A1676" s="13" t="s">
        <v>4238</v>
      </c>
      <c r="B1676" s="14" t="s">
        <v>547</v>
      </c>
      <c r="C1676" s="14" t="s">
        <v>5748</v>
      </c>
      <c r="D1676" s="14" t="s">
        <v>4131</v>
      </c>
      <c r="E1676" s="14" t="s">
        <v>4239</v>
      </c>
      <c r="F1676" s="21">
        <v>841.65</v>
      </c>
      <c r="G1676" s="14">
        <v>893</v>
      </c>
      <c r="H1676" s="14">
        <v>1</v>
      </c>
      <c r="I1676" s="14">
        <v>32</v>
      </c>
      <c r="J1676" s="22">
        <v>0.88472533323739899</v>
      </c>
      <c r="K1676" s="22">
        <v>0.11527466676260099</v>
      </c>
      <c r="L1676" s="14">
        <v>0</v>
      </c>
    </row>
    <row r="1677" spans="1:12" ht="26.4" x14ac:dyDescent="0.25">
      <c r="A1677" s="20" t="s">
        <v>7206</v>
      </c>
      <c r="B1677" s="14" t="s">
        <v>547</v>
      </c>
      <c r="C1677" s="14" t="s">
        <v>5748</v>
      </c>
      <c r="D1677" s="14" t="s">
        <v>4131</v>
      </c>
      <c r="E1677" s="14" t="s">
        <v>4241</v>
      </c>
      <c r="F1677" s="21">
        <v>841.65</v>
      </c>
      <c r="G1677" s="14">
        <v>376</v>
      </c>
      <c r="H1677" s="14">
        <v>0</v>
      </c>
      <c r="I1677" s="14" t="s">
        <v>6314</v>
      </c>
      <c r="J1677" s="22">
        <v>0.57055667465747495</v>
      </c>
      <c r="K1677" s="22">
        <v>0.429443325342525</v>
      </c>
      <c r="L1677" s="14">
        <v>0</v>
      </c>
    </row>
    <row r="1678" spans="1:12" x14ac:dyDescent="0.25">
      <c r="A1678" s="13" t="s">
        <v>4242</v>
      </c>
      <c r="B1678" s="14" t="s">
        <v>547</v>
      </c>
      <c r="C1678" s="14" t="s">
        <v>5747</v>
      </c>
      <c r="D1678" s="14" t="s">
        <v>4131</v>
      </c>
      <c r="E1678" s="14" t="s">
        <v>4243</v>
      </c>
      <c r="F1678" s="21">
        <v>842.17</v>
      </c>
      <c r="G1678" s="14">
        <v>666</v>
      </c>
      <c r="H1678" s="14">
        <v>0</v>
      </c>
      <c r="I1678" s="14">
        <v>21</v>
      </c>
      <c r="J1678" s="22">
        <v>0.71299940829303499</v>
      </c>
      <c r="K1678" s="22">
        <v>0.28700059170696501</v>
      </c>
      <c r="L1678" s="14">
        <v>0</v>
      </c>
    </row>
    <row r="1679" spans="1:12" x14ac:dyDescent="0.25">
      <c r="A1679" s="13" t="s">
        <v>4244</v>
      </c>
      <c r="B1679" s="14" t="s">
        <v>547</v>
      </c>
      <c r="C1679" s="14" t="s">
        <v>3994</v>
      </c>
      <c r="D1679" s="14" t="s">
        <v>4131</v>
      </c>
      <c r="E1679" s="14" t="s">
        <v>4245</v>
      </c>
      <c r="F1679" s="21">
        <v>843.72</v>
      </c>
      <c r="G1679" s="14">
        <v>74</v>
      </c>
      <c r="H1679" s="14">
        <v>1</v>
      </c>
      <c r="I1679" s="14">
        <v>2</v>
      </c>
      <c r="J1679" s="22">
        <v>0.97394549643843398</v>
      </c>
      <c r="K1679" s="22">
        <v>2.6054503561566199E-2</v>
      </c>
      <c r="L1679" s="14">
        <v>0</v>
      </c>
    </row>
    <row r="1680" spans="1:12" x14ac:dyDescent="0.25">
      <c r="A1680" s="13" t="s">
        <v>7207</v>
      </c>
      <c r="B1680" s="14" t="s">
        <v>547</v>
      </c>
      <c r="C1680" s="14" t="s">
        <v>3994</v>
      </c>
      <c r="D1680" s="14" t="s">
        <v>4131</v>
      </c>
      <c r="E1680" s="14" t="s">
        <v>4246</v>
      </c>
      <c r="F1680" s="21">
        <v>843.78</v>
      </c>
      <c r="G1680" s="14">
        <v>39</v>
      </c>
      <c r="H1680" s="14">
        <v>0</v>
      </c>
      <c r="I1680" s="14">
        <v>37</v>
      </c>
      <c r="J1680" s="22">
        <v>0.77277708174387405</v>
      </c>
      <c r="K1680" s="22">
        <v>0.22722291825612601</v>
      </c>
      <c r="L1680" s="14">
        <v>0</v>
      </c>
    </row>
    <row r="1681" spans="1:12" x14ac:dyDescent="0.25">
      <c r="A1681" s="13" t="s">
        <v>4247</v>
      </c>
      <c r="B1681" s="14" t="s">
        <v>547</v>
      </c>
      <c r="C1681" s="14" t="s">
        <v>5748</v>
      </c>
      <c r="D1681" s="14" t="s">
        <v>4131</v>
      </c>
      <c r="E1681" s="14" t="s">
        <v>4248</v>
      </c>
      <c r="F1681" s="21">
        <v>844.52</v>
      </c>
      <c r="G1681" s="14">
        <v>236</v>
      </c>
      <c r="H1681" s="14">
        <v>0</v>
      </c>
      <c r="I1681" s="14">
        <v>44</v>
      </c>
      <c r="J1681" s="22">
        <v>0.50935606936601696</v>
      </c>
      <c r="K1681" s="22">
        <v>0.49064393063398298</v>
      </c>
      <c r="L1681" s="14">
        <v>0</v>
      </c>
    </row>
    <row r="1682" spans="1:12" ht="39.6" x14ac:dyDescent="0.25">
      <c r="A1682" s="20" t="s">
        <v>7208</v>
      </c>
      <c r="B1682" s="14" t="s">
        <v>547</v>
      </c>
      <c r="C1682" s="14" t="s">
        <v>3994</v>
      </c>
      <c r="D1682" s="14" t="s">
        <v>4131</v>
      </c>
      <c r="E1682" s="23" t="s">
        <v>7209</v>
      </c>
      <c r="F1682" s="21">
        <v>846.32</v>
      </c>
      <c r="G1682" s="14">
        <v>1</v>
      </c>
      <c r="H1682" s="14">
        <v>0</v>
      </c>
      <c r="I1682" s="14">
        <v>20</v>
      </c>
      <c r="J1682" s="22">
        <v>0.47945600557722301</v>
      </c>
      <c r="K1682" s="22">
        <v>0.52054399442277699</v>
      </c>
      <c r="L1682" s="14">
        <v>0</v>
      </c>
    </row>
    <row r="1683" spans="1:12" x14ac:dyDescent="0.25">
      <c r="A1683" s="13" t="s">
        <v>4251</v>
      </c>
      <c r="B1683" s="14" t="s">
        <v>547</v>
      </c>
      <c r="C1683" s="14" t="s">
        <v>5748</v>
      </c>
      <c r="D1683" s="14" t="s">
        <v>4131</v>
      </c>
      <c r="E1683" s="14" t="s">
        <v>4252</v>
      </c>
      <c r="F1683" s="21">
        <v>847.73</v>
      </c>
      <c r="G1683" s="14">
        <v>834</v>
      </c>
      <c r="H1683" s="14">
        <v>1</v>
      </c>
      <c r="I1683" s="14">
        <v>30</v>
      </c>
      <c r="J1683" s="22">
        <v>7.1056140642306906E-2</v>
      </c>
      <c r="K1683" s="22">
        <v>0.92894385935769297</v>
      </c>
      <c r="L1683" s="14">
        <v>0</v>
      </c>
    </row>
    <row r="1684" spans="1:12" x14ac:dyDescent="0.25">
      <c r="A1684" s="13">
        <v>20975956</v>
      </c>
      <c r="B1684" s="14" t="s">
        <v>547</v>
      </c>
      <c r="C1684" s="14" t="s">
        <v>5748</v>
      </c>
      <c r="D1684" s="14" t="s">
        <v>4131</v>
      </c>
      <c r="E1684" s="14" t="s">
        <v>4253</v>
      </c>
      <c r="F1684" s="21">
        <v>850</v>
      </c>
      <c r="G1684" s="14">
        <v>255</v>
      </c>
      <c r="H1684" s="14">
        <v>0</v>
      </c>
      <c r="I1684" s="14" t="s">
        <v>6314</v>
      </c>
      <c r="J1684" s="22">
        <v>0.89417287051743199</v>
      </c>
      <c r="K1684" s="22">
        <v>0.10582712948256801</v>
      </c>
      <c r="L1684" s="14">
        <v>0</v>
      </c>
    </row>
    <row r="1685" spans="1:12" x14ac:dyDescent="0.25">
      <c r="B1685" s="14" t="s">
        <v>547</v>
      </c>
      <c r="C1685" s="14" t="s">
        <v>5747</v>
      </c>
      <c r="D1685" s="14" t="s">
        <v>4131</v>
      </c>
      <c r="E1685" s="14" t="s">
        <v>4254</v>
      </c>
      <c r="F1685" s="21">
        <v>850.5</v>
      </c>
      <c r="G1685" s="14">
        <v>847</v>
      </c>
      <c r="H1685" s="14">
        <v>0</v>
      </c>
      <c r="I1685" s="14">
        <v>49</v>
      </c>
      <c r="J1685" s="22">
        <v>0.31489708167544</v>
      </c>
      <c r="K1685" s="22">
        <v>0.68510291832456005</v>
      </c>
      <c r="L1685" s="14">
        <v>0</v>
      </c>
    </row>
    <row r="1686" spans="1:12" x14ac:dyDescent="0.25">
      <c r="A1686" s="13" t="s">
        <v>4255</v>
      </c>
      <c r="B1686" s="14" t="s">
        <v>547</v>
      </c>
      <c r="C1686" s="14" t="s">
        <v>5748</v>
      </c>
      <c r="D1686" s="14" t="s">
        <v>4131</v>
      </c>
      <c r="E1686" s="14" t="s">
        <v>4256</v>
      </c>
      <c r="F1686" s="21">
        <v>852.43</v>
      </c>
      <c r="G1686" s="14">
        <v>678</v>
      </c>
      <c r="H1686" s="14">
        <v>1</v>
      </c>
      <c r="I1686" s="14">
        <v>46</v>
      </c>
      <c r="J1686" s="22">
        <v>6.3357280437739499E-2</v>
      </c>
      <c r="K1686" s="22">
        <v>0.93664271956226097</v>
      </c>
      <c r="L1686" s="14">
        <v>0</v>
      </c>
    </row>
    <row r="1687" spans="1:12" x14ac:dyDescent="0.25">
      <c r="A1687" s="13" t="s">
        <v>4257</v>
      </c>
      <c r="B1687" s="14" t="s">
        <v>547</v>
      </c>
      <c r="C1687" s="14" t="s">
        <v>3994</v>
      </c>
      <c r="D1687" s="14" t="s">
        <v>4131</v>
      </c>
      <c r="E1687" s="14" t="s">
        <v>4258</v>
      </c>
      <c r="F1687" s="21">
        <v>852.53</v>
      </c>
      <c r="G1687" s="14">
        <v>963</v>
      </c>
      <c r="H1687" s="14">
        <v>0</v>
      </c>
      <c r="I1687" s="14">
        <v>5</v>
      </c>
      <c r="J1687" s="22">
        <v>0.66394701972033099</v>
      </c>
      <c r="K1687" s="22">
        <v>0.33605298027966901</v>
      </c>
      <c r="L1687" s="14">
        <v>0</v>
      </c>
    </row>
    <row r="1688" spans="1:12" x14ac:dyDescent="0.25">
      <c r="A1688" s="13" t="s">
        <v>4259</v>
      </c>
      <c r="B1688" s="14" t="s">
        <v>547</v>
      </c>
      <c r="C1688" s="14" t="s">
        <v>3994</v>
      </c>
      <c r="D1688" s="14" t="s">
        <v>4131</v>
      </c>
      <c r="E1688" s="14" t="s">
        <v>4260</v>
      </c>
      <c r="F1688" s="21">
        <v>852.95</v>
      </c>
      <c r="G1688" s="14">
        <v>983</v>
      </c>
      <c r="H1688" s="14">
        <v>1</v>
      </c>
      <c r="I1688" s="14">
        <v>30</v>
      </c>
      <c r="J1688" s="22">
        <v>0.94076148225281297</v>
      </c>
      <c r="K1688" s="22">
        <v>5.9238517747187303E-2</v>
      </c>
      <c r="L1688" s="14">
        <v>0</v>
      </c>
    </row>
    <row r="1689" spans="1:12" x14ac:dyDescent="0.25">
      <c r="A1689" s="13" t="s">
        <v>6230</v>
      </c>
      <c r="B1689" s="14" t="s">
        <v>547</v>
      </c>
      <c r="C1689" s="14" t="s">
        <v>5749</v>
      </c>
      <c r="D1689" s="14" t="s">
        <v>4131</v>
      </c>
      <c r="E1689" s="14" t="s">
        <v>4262</v>
      </c>
      <c r="F1689" s="21">
        <v>854.43</v>
      </c>
      <c r="G1689" s="14">
        <v>384</v>
      </c>
      <c r="H1689" s="14">
        <v>1</v>
      </c>
      <c r="I1689" s="14">
        <v>5</v>
      </c>
      <c r="J1689" s="22">
        <v>0.89886840768055498</v>
      </c>
      <c r="K1689" s="22">
        <v>0.101131592319445</v>
      </c>
      <c r="L1689" s="14">
        <v>0</v>
      </c>
    </row>
    <row r="1690" spans="1:12" x14ac:dyDescent="0.25">
      <c r="A1690" s="13" t="s">
        <v>4263</v>
      </c>
      <c r="B1690" s="14" t="s">
        <v>547</v>
      </c>
      <c r="C1690" s="14" t="s">
        <v>5752</v>
      </c>
      <c r="D1690" s="14" t="s">
        <v>4131</v>
      </c>
      <c r="E1690" s="14" t="s">
        <v>4264</v>
      </c>
      <c r="F1690" s="21">
        <v>855.4</v>
      </c>
      <c r="G1690" s="14">
        <v>708</v>
      </c>
      <c r="H1690" s="14">
        <v>1</v>
      </c>
      <c r="I1690" s="14" t="s">
        <v>6314</v>
      </c>
      <c r="J1690" s="22">
        <v>0.38802664483607802</v>
      </c>
      <c r="K1690" s="22">
        <v>0.61197335516392204</v>
      </c>
      <c r="L1690" s="14">
        <v>0</v>
      </c>
    </row>
    <row r="1691" spans="1:12" x14ac:dyDescent="0.25">
      <c r="A1691" s="13" t="s">
        <v>4265</v>
      </c>
      <c r="B1691" s="14" t="s">
        <v>547</v>
      </c>
      <c r="C1691" s="14" t="s">
        <v>3994</v>
      </c>
      <c r="D1691" s="14" t="s">
        <v>4131</v>
      </c>
      <c r="E1691" s="14" t="s">
        <v>4266</v>
      </c>
      <c r="F1691" s="21">
        <v>855.4</v>
      </c>
      <c r="G1691" s="14">
        <v>976</v>
      </c>
      <c r="H1691" s="14">
        <v>0</v>
      </c>
      <c r="I1691" s="14">
        <v>34</v>
      </c>
      <c r="J1691" s="22">
        <v>0.452343106114237</v>
      </c>
      <c r="K1691" s="22">
        <v>0.547656893885763</v>
      </c>
      <c r="L1691" s="14">
        <v>0</v>
      </c>
    </row>
    <row r="1692" spans="1:12" x14ac:dyDescent="0.25">
      <c r="A1692" s="13" t="s">
        <v>4267</v>
      </c>
      <c r="B1692" s="14" t="s">
        <v>547</v>
      </c>
      <c r="C1692" s="14" t="s">
        <v>3994</v>
      </c>
      <c r="D1692" s="14" t="s">
        <v>4131</v>
      </c>
      <c r="E1692" s="14" t="s">
        <v>4268</v>
      </c>
      <c r="F1692" s="21">
        <v>855.4</v>
      </c>
      <c r="G1692" s="14">
        <v>222</v>
      </c>
      <c r="H1692" s="14">
        <v>0</v>
      </c>
      <c r="I1692" s="14">
        <v>24</v>
      </c>
      <c r="J1692" s="22">
        <v>0.55063085539235601</v>
      </c>
      <c r="K1692" s="22">
        <v>0.44936914460764399</v>
      </c>
      <c r="L1692" s="14">
        <v>0</v>
      </c>
    </row>
    <row r="1693" spans="1:12" ht="39.6" x14ac:dyDescent="0.25">
      <c r="A1693" s="20" t="s">
        <v>7210</v>
      </c>
      <c r="B1693" s="14" t="s">
        <v>547</v>
      </c>
      <c r="C1693" s="14" t="s">
        <v>3994</v>
      </c>
      <c r="D1693" s="14" t="s">
        <v>4131</v>
      </c>
      <c r="E1693" s="14" t="s">
        <v>4270</v>
      </c>
      <c r="F1693" s="21">
        <v>858.15</v>
      </c>
      <c r="G1693" s="14">
        <v>426</v>
      </c>
      <c r="H1693" s="14">
        <v>0</v>
      </c>
      <c r="I1693" s="14">
        <v>48</v>
      </c>
      <c r="J1693" s="22">
        <v>9.6945139768396596E-2</v>
      </c>
      <c r="K1693" s="22">
        <v>0.90305486023160297</v>
      </c>
      <c r="L1693" s="14">
        <v>0</v>
      </c>
    </row>
    <row r="1694" spans="1:12" ht="39.6" x14ac:dyDescent="0.25">
      <c r="A1694" s="20" t="s">
        <v>7211</v>
      </c>
      <c r="B1694" s="14" t="s">
        <v>547</v>
      </c>
      <c r="C1694" s="14" t="s">
        <v>3994</v>
      </c>
      <c r="D1694" s="14" t="s">
        <v>4131</v>
      </c>
      <c r="E1694" s="14" t="s">
        <v>4272</v>
      </c>
      <c r="F1694" s="21">
        <v>860.51</v>
      </c>
      <c r="G1694" s="14">
        <v>119</v>
      </c>
      <c r="H1694" s="14">
        <v>0</v>
      </c>
      <c r="I1694" s="14">
        <v>5</v>
      </c>
      <c r="J1694" s="22">
        <v>0.49534352948069799</v>
      </c>
      <c r="K1694" s="22">
        <v>0.50465647051930196</v>
      </c>
      <c r="L1694" s="14">
        <v>0</v>
      </c>
    </row>
    <row r="1695" spans="1:12" ht="39.6" x14ac:dyDescent="0.25">
      <c r="A1695" s="20" t="s">
        <v>7212</v>
      </c>
      <c r="B1695" s="14" t="s">
        <v>547</v>
      </c>
      <c r="C1695" s="14" t="s">
        <v>3994</v>
      </c>
      <c r="D1695" s="14" t="s">
        <v>4131</v>
      </c>
      <c r="E1695" s="14" t="s">
        <v>4274</v>
      </c>
      <c r="F1695" s="21">
        <v>861.35</v>
      </c>
      <c r="G1695" s="14">
        <v>125</v>
      </c>
      <c r="H1695" s="14">
        <v>0</v>
      </c>
      <c r="I1695" s="14">
        <v>22</v>
      </c>
      <c r="J1695" s="22">
        <v>0.35595195724427398</v>
      </c>
      <c r="K1695" s="22">
        <v>0.64404804275572602</v>
      </c>
      <c r="L1695" s="14">
        <v>0</v>
      </c>
    </row>
    <row r="1696" spans="1:12" x14ac:dyDescent="0.25">
      <c r="A1696" s="13" t="s">
        <v>4275</v>
      </c>
      <c r="B1696" s="14" t="s">
        <v>547</v>
      </c>
      <c r="C1696" s="14" t="s">
        <v>3994</v>
      </c>
      <c r="D1696" s="14" t="s">
        <v>4131</v>
      </c>
      <c r="E1696" s="14" t="s">
        <v>4276</v>
      </c>
      <c r="F1696" s="21">
        <v>861.35</v>
      </c>
      <c r="H1696" s="14">
        <v>1</v>
      </c>
      <c r="I1696" s="14">
        <v>23</v>
      </c>
      <c r="J1696" s="22">
        <v>0.42547979931262703</v>
      </c>
      <c r="K1696" s="22">
        <v>0.57452020068737297</v>
      </c>
      <c r="L1696" s="14">
        <v>0</v>
      </c>
    </row>
    <row r="1697" spans="1:12" x14ac:dyDescent="0.25">
      <c r="A1697" s="13" t="s">
        <v>4277</v>
      </c>
      <c r="B1697" s="14" t="s">
        <v>547</v>
      </c>
      <c r="C1697" s="14" t="s">
        <v>3994</v>
      </c>
      <c r="D1697" s="14" t="s">
        <v>4131</v>
      </c>
      <c r="E1697" s="14" t="s">
        <v>4278</v>
      </c>
      <c r="F1697" s="21">
        <v>861.35</v>
      </c>
      <c r="G1697" s="14">
        <v>71</v>
      </c>
      <c r="H1697" s="14">
        <v>0</v>
      </c>
      <c r="I1697" s="14">
        <v>3</v>
      </c>
      <c r="J1697" s="22">
        <v>0.34000628751057199</v>
      </c>
      <c r="K1697" s="22">
        <v>0.65999371248942795</v>
      </c>
      <c r="L1697" s="14">
        <v>0</v>
      </c>
    </row>
    <row r="1698" spans="1:12" x14ac:dyDescent="0.25">
      <c r="A1698" s="13" t="s">
        <v>4279</v>
      </c>
      <c r="B1698" s="14" t="s">
        <v>547</v>
      </c>
      <c r="C1698" s="14" t="s">
        <v>5748</v>
      </c>
      <c r="D1698" s="14" t="s">
        <v>4131</v>
      </c>
      <c r="E1698" s="14" t="s">
        <v>4280</v>
      </c>
      <c r="F1698" s="21">
        <v>863.78</v>
      </c>
      <c r="G1698" s="14">
        <v>34</v>
      </c>
      <c r="H1698" s="14">
        <v>1</v>
      </c>
      <c r="I1698" s="14">
        <v>41</v>
      </c>
      <c r="J1698" s="22">
        <v>0.89117073988693896</v>
      </c>
      <c r="K1698" s="22">
        <v>0.108829260113061</v>
      </c>
      <c r="L1698" s="14">
        <v>0</v>
      </c>
    </row>
    <row r="1699" spans="1:12" ht="39.6" x14ac:dyDescent="0.25">
      <c r="A1699" s="20" t="s">
        <v>7213</v>
      </c>
      <c r="B1699" s="14" t="s">
        <v>547</v>
      </c>
      <c r="C1699" s="14" t="s">
        <v>5748</v>
      </c>
      <c r="D1699" s="14" t="s">
        <v>4131</v>
      </c>
      <c r="E1699" s="14" t="s">
        <v>4281</v>
      </c>
      <c r="F1699" s="21">
        <v>867.3</v>
      </c>
      <c r="G1699" s="14">
        <v>879</v>
      </c>
      <c r="H1699" s="14">
        <v>0</v>
      </c>
      <c r="I1699" s="14">
        <v>30</v>
      </c>
      <c r="J1699" s="22">
        <v>0.57205631805268198</v>
      </c>
      <c r="K1699" s="22">
        <v>0.42794368194731802</v>
      </c>
      <c r="L1699" s="14">
        <v>0</v>
      </c>
    </row>
    <row r="1700" spans="1:12" x14ac:dyDescent="0.25">
      <c r="A1700" s="13">
        <v>3788105</v>
      </c>
      <c r="B1700" s="14" t="s">
        <v>547</v>
      </c>
      <c r="C1700" s="14" t="s">
        <v>5748</v>
      </c>
      <c r="D1700" s="14" t="s">
        <v>4131</v>
      </c>
      <c r="E1700" s="14" t="s">
        <v>4283</v>
      </c>
      <c r="F1700" s="21">
        <v>867.72</v>
      </c>
      <c r="G1700" s="14">
        <v>944</v>
      </c>
      <c r="H1700" s="14">
        <v>0</v>
      </c>
      <c r="I1700" s="14">
        <v>33</v>
      </c>
      <c r="J1700" s="22">
        <v>7.5366293448470498E-2</v>
      </c>
      <c r="K1700" s="22">
        <v>0.92463370655152999</v>
      </c>
      <c r="L1700" s="14">
        <v>0</v>
      </c>
    </row>
    <row r="1701" spans="1:12" ht="39.6" x14ac:dyDescent="0.25">
      <c r="A1701" s="20" t="s">
        <v>7214</v>
      </c>
      <c r="B1701" s="14" t="s">
        <v>547</v>
      </c>
      <c r="C1701" s="14" t="s">
        <v>3994</v>
      </c>
      <c r="D1701" s="14" t="s">
        <v>4131</v>
      </c>
      <c r="E1701" s="14" t="s">
        <v>4285</v>
      </c>
      <c r="F1701" s="21">
        <v>870.13</v>
      </c>
      <c r="G1701" s="14">
        <v>463</v>
      </c>
      <c r="H1701" s="14">
        <v>1</v>
      </c>
      <c r="I1701" s="14" t="s">
        <v>6314</v>
      </c>
      <c r="J1701" s="22">
        <v>0.84967683665442795</v>
      </c>
      <c r="K1701" s="22">
        <v>0.150323163345572</v>
      </c>
      <c r="L1701" s="14">
        <v>0</v>
      </c>
    </row>
    <row r="1702" spans="1:12" ht="39.6" x14ac:dyDescent="0.25">
      <c r="A1702" s="20" t="s">
        <v>7215</v>
      </c>
      <c r="B1702" s="14" t="s">
        <v>547</v>
      </c>
      <c r="C1702" s="14" t="s">
        <v>3994</v>
      </c>
      <c r="D1702" s="14" t="s">
        <v>4131</v>
      </c>
      <c r="E1702" s="14" t="s">
        <v>4287</v>
      </c>
      <c r="F1702" s="21">
        <v>870.13</v>
      </c>
      <c r="G1702" s="14">
        <v>37</v>
      </c>
      <c r="H1702" s="14">
        <v>0</v>
      </c>
      <c r="I1702" s="14">
        <v>49</v>
      </c>
      <c r="J1702" s="22">
        <v>0.73794370941107201</v>
      </c>
      <c r="K1702" s="22">
        <v>0.26205629058892799</v>
      </c>
      <c r="L1702" s="14">
        <v>0</v>
      </c>
    </row>
    <row r="1703" spans="1:12" x14ac:dyDescent="0.25">
      <c r="A1703" s="13" t="s">
        <v>6183</v>
      </c>
      <c r="B1703" s="14" t="s">
        <v>547</v>
      </c>
      <c r="C1703" s="14" t="s">
        <v>3994</v>
      </c>
      <c r="D1703" s="14" t="s">
        <v>4131</v>
      </c>
      <c r="E1703" s="14" t="s">
        <v>4288</v>
      </c>
      <c r="F1703" s="21">
        <v>870.13</v>
      </c>
      <c r="G1703" s="14">
        <v>112</v>
      </c>
      <c r="H1703" s="14">
        <v>0</v>
      </c>
      <c r="I1703" s="14">
        <v>21</v>
      </c>
      <c r="J1703" s="22">
        <v>0.80147485873353896</v>
      </c>
      <c r="K1703" s="22">
        <v>0.19852514126646101</v>
      </c>
      <c r="L1703" s="14">
        <v>0</v>
      </c>
    </row>
    <row r="1704" spans="1:12" ht="39.6" x14ac:dyDescent="0.25">
      <c r="A1704" s="20" t="s">
        <v>7216</v>
      </c>
      <c r="B1704" s="14" t="s">
        <v>547</v>
      </c>
      <c r="C1704" s="14" t="s">
        <v>5747</v>
      </c>
      <c r="D1704" s="14" t="s">
        <v>4131</v>
      </c>
      <c r="E1704" s="14" t="s">
        <v>4290</v>
      </c>
      <c r="F1704" s="21">
        <v>871.45</v>
      </c>
      <c r="G1704" s="14">
        <v>639</v>
      </c>
      <c r="H1704" s="14">
        <v>1</v>
      </c>
      <c r="I1704" s="14" t="s">
        <v>6314</v>
      </c>
      <c r="J1704" s="22">
        <v>0.89815778304106197</v>
      </c>
      <c r="K1704" s="22">
        <v>0.101842216958938</v>
      </c>
      <c r="L1704" s="14">
        <v>0</v>
      </c>
    </row>
    <row r="1705" spans="1:12" ht="39.6" x14ac:dyDescent="0.25">
      <c r="A1705" s="20" t="s">
        <v>7217</v>
      </c>
      <c r="B1705" s="14" t="s">
        <v>547</v>
      </c>
      <c r="C1705" s="14" t="s">
        <v>3994</v>
      </c>
      <c r="D1705" s="14" t="s">
        <v>4131</v>
      </c>
      <c r="E1705" s="14" t="s">
        <v>4292</v>
      </c>
      <c r="F1705" s="21">
        <v>874.61</v>
      </c>
      <c r="G1705" s="14">
        <v>205</v>
      </c>
      <c r="H1705" s="14">
        <v>0</v>
      </c>
      <c r="I1705" s="14">
        <v>15</v>
      </c>
      <c r="J1705" s="22">
        <v>0.58954709206821299</v>
      </c>
      <c r="K1705" s="22">
        <v>0.41045290793178701</v>
      </c>
      <c r="L1705" s="14">
        <v>1065</v>
      </c>
    </row>
    <row r="1706" spans="1:12" x14ac:dyDescent="0.25">
      <c r="A1706" s="13" t="s">
        <v>4293</v>
      </c>
      <c r="B1706" s="14" t="s">
        <v>547</v>
      </c>
      <c r="C1706" s="14" t="s">
        <v>3994</v>
      </c>
      <c r="D1706" s="14" t="s">
        <v>4131</v>
      </c>
      <c r="E1706" s="14" t="s">
        <v>4294</v>
      </c>
      <c r="F1706" s="21">
        <v>874.61</v>
      </c>
      <c r="G1706" s="14">
        <v>691</v>
      </c>
      <c r="H1706" s="14">
        <v>1</v>
      </c>
      <c r="I1706" s="14">
        <v>37</v>
      </c>
      <c r="J1706" s="22">
        <v>2.62336437572541E-3</v>
      </c>
      <c r="K1706" s="22">
        <v>0.99737663562427503</v>
      </c>
      <c r="L1706" s="14">
        <v>0</v>
      </c>
    </row>
    <row r="1707" spans="1:12" ht="39.6" x14ac:dyDescent="0.25">
      <c r="A1707" s="20" t="s">
        <v>7218</v>
      </c>
      <c r="B1707" s="14" t="s">
        <v>547</v>
      </c>
      <c r="C1707" s="14" t="s">
        <v>3994</v>
      </c>
      <c r="D1707" s="14" t="s">
        <v>4131</v>
      </c>
      <c r="E1707" s="14" t="s">
        <v>4296</v>
      </c>
      <c r="F1707" s="21">
        <v>877.09</v>
      </c>
      <c r="G1707" s="14">
        <v>631</v>
      </c>
      <c r="H1707" s="14">
        <v>1</v>
      </c>
      <c r="I1707" s="14">
        <v>41</v>
      </c>
      <c r="J1707" s="22">
        <v>0.86970176055044901</v>
      </c>
      <c r="K1707" s="22">
        <v>0.13029823944955099</v>
      </c>
      <c r="L1707" s="14">
        <v>0</v>
      </c>
    </row>
    <row r="1708" spans="1:12" x14ac:dyDescent="0.25">
      <c r="A1708" s="13" t="s">
        <v>7219</v>
      </c>
      <c r="B1708" s="14" t="s">
        <v>547</v>
      </c>
      <c r="C1708" s="14" t="s">
        <v>3994</v>
      </c>
      <c r="D1708" s="14" t="s">
        <v>4131</v>
      </c>
      <c r="E1708" s="14" t="s">
        <v>4298</v>
      </c>
      <c r="F1708" s="21">
        <v>877.09</v>
      </c>
      <c r="G1708" s="14">
        <v>994</v>
      </c>
      <c r="H1708" s="14">
        <v>0</v>
      </c>
      <c r="I1708" s="14" t="s">
        <v>6314</v>
      </c>
      <c r="J1708" s="22">
        <v>0.737248851947368</v>
      </c>
      <c r="K1708" s="22">
        <v>0.262751148052632</v>
      </c>
      <c r="L1708" s="14">
        <v>0</v>
      </c>
    </row>
    <row r="1709" spans="1:12" x14ac:dyDescent="0.25">
      <c r="A1709" s="13" t="s">
        <v>7220</v>
      </c>
      <c r="B1709" s="14" t="s">
        <v>547</v>
      </c>
      <c r="C1709" s="14" t="s">
        <v>5748</v>
      </c>
      <c r="D1709" s="14" t="s">
        <v>4131</v>
      </c>
      <c r="E1709" s="14" t="s">
        <v>4299</v>
      </c>
      <c r="F1709" s="21">
        <v>878.44</v>
      </c>
      <c r="G1709" s="14">
        <v>802</v>
      </c>
      <c r="H1709" s="14">
        <v>0</v>
      </c>
      <c r="I1709" s="14">
        <v>3</v>
      </c>
      <c r="J1709" s="22">
        <v>0.67103881146579003</v>
      </c>
      <c r="K1709" s="22">
        <v>0.32896118853421003</v>
      </c>
      <c r="L1709" s="14">
        <v>0</v>
      </c>
    </row>
    <row r="1710" spans="1:12" x14ac:dyDescent="0.25">
      <c r="A1710" s="13" t="s">
        <v>7221</v>
      </c>
      <c r="B1710" s="14" t="s">
        <v>547</v>
      </c>
      <c r="C1710" s="14" t="s">
        <v>3994</v>
      </c>
      <c r="D1710" s="14" t="s">
        <v>4131</v>
      </c>
      <c r="E1710" s="14" t="s">
        <v>4301</v>
      </c>
      <c r="F1710" s="21">
        <v>878.72</v>
      </c>
      <c r="G1710" s="14">
        <v>699</v>
      </c>
      <c r="H1710" s="14">
        <v>1</v>
      </c>
      <c r="I1710" s="14">
        <v>49</v>
      </c>
      <c r="J1710" s="22">
        <v>0.71744397380133895</v>
      </c>
      <c r="K1710" s="22">
        <v>0.28255602619866099</v>
      </c>
      <c r="L1710" s="14">
        <v>0</v>
      </c>
    </row>
    <row r="1711" spans="1:12" ht="39.6" x14ac:dyDescent="0.25">
      <c r="A1711" s="20" t="s">
        <v>6815</v>
      </c>
      <c r="B1711" s="14" t="s">
        <v>547</v>
      </c>
      <c r="C1711" s="14" t="s">
        <v>5748</v>
      </c>
      <c r="D1711" s="14" t="s">
        <v>4131</v>
      </c>
      <c r="E1711" s="14" t="s">
        <v>4302</v>
      </c>
      <c r="F1711" s="21">
        <v>879.33</v>
      </c>
      <c r="G1711" s="14">
        <v>685</v>
      </c>
      <c r="H1711" s="14">
        <v>1</v>
      </c>
      <c r="I1711" s="14">
        <v>29</v>
      </c>
      <c r="J1711" s="22">
        <v>0.26625655187846098</v>
      </c>
      <c r="K1711" s="22">
        <v>0.73374344812153902</v>
      </c>
      <c r="L1711" s="14">
        <v>0</v>
      </c>
    </row>
    <row r="1712" spans="1:12" ht="26.4" x14ac:dyDescent="0.25">
      <c r="A1712" s="20" t="s">
        <v>7222</v>
      </c>
      <c r="B1712" s="14" t="s">
        <v>547</v>
      </c>
      <c r="C1712" s="14" t="s">
        <v>3994</v>
      </c>
      <c r="D1712" s="14" t="s">
        <v>4131</v>
      </c>
      <c r="E1712" s="14" t="s">
        <v>4304</v>
      </c>
      <c r="F1712" s="21">
        <v>879.33</v>
      </c>
      <c r="G1712" s="14">
        <v>358</v>
      </c>
      <c r="H1712" s="14">
        <v>1</v>
      </c>
      <c r="I1712" s="14">
        <v>42</v>
      </c>
      <c r="J1712" s="22">
        <v>7.8609894885310005E-2</v>
      </c>
      <c r="K1712" s="22">
        <v>0.92139010511468999</v>
      </c>
      <c r="L1712" s="14">
        <v>0</v>
      </c>
    </row>
    <row r="1713" spans="1:12" x14ac:dyDescent="0.25">
      <c r="A1713" s="13" t="s">
        <v>4305</v>
      </c>
      <c r="B1713" s="14" t="s">
        <v>547</v>
      </c>
      <c r="C1713" s="14" t="s">
        <v>3994</v>
      </c>
      <c r="D1713" s="14" t="s">
        <v>4131</v>
      </c>
      <c r="E1713" s="14" t="s">
        <v>4306</v>
      </c>
      <c r="F1713" s="21">
        <v>884.32</v>
      </c>
      <c r="G1713" s="14">
        <v>863</v>
      </c>
      <c r="H1713" s="14">
        <v>0</v>
      </c>
      <c r="I1713" s="14">
        <v>16</v>
      </c>
      <c r="J1713" s="22">
        <v>0.65066054937701501</v>
      </c>
      <c r="K1713" s="22">
        <v>0.34933945062298499</v>
      </c>
      <c r="L1713" s="14">
        <v>0</v>
      </c>
    </row>
    <row r="1714" spans="1:12" x14ac:dyDescent="0.25">
      <c r="A1714" s="13">
        <v>23840536</v>
      </c>
      <c r="B1714" s="14" t="s">
        <v>547</v>
      </c>
      <c r="C1714" s="14" t="s">
        <v>5748</v>
      </c>
      <c r="D1714" s="14" t="s">
        <v>4131</v>
      </c>
      <c r="E1714" s="14" t="s">
        <v>4307</v>
      </c>
      <c r="F1714" s="21">
        <v>886.18</v>
      </c>
      <c r="G1714" s="14">
        <v>195</v>
      </c>
      <c r="H1714" s="14">
        <v>1</v>
      </c>
      <c r="I1714" s="14">
        <v>36</v>
      </c>
      <c r="J1714" s="22">
        <v>0.49979720914842202</v>
      </c>
      <c r="K1714" s="22">
        <v>0.50020279085157904</v>
      </c>
      <c r="L1714" s="14">
        <v>0</v>
      </c>
    </row>
    <row r="1715" spans="1:12" x14ac:dyDescent="0.25">
      <c r="A1715" s="13">
        <v>3606182</v>
      </c>
      <c r="B1715" s="14" t="s">
        <v>547</v>
      </c>
      <c r="C1715" s="14" t="s">
        <v>5749</v>
      </c>
      <c r="D1715" s="14" t="s">
        <v>4131</v>
      </c>
      <c r="E1715" s="14" t="s">
        <v>4309</v>
      </c>
      <c r="F1715" s="21">
        <v>886.23</v>
      </c>
      <c r="G1715" s="14">
        <v>111</v>
      </c>
      <c r="H1715" s="14">
        <v>1</v>
      </c>
      <c r="I1715" s="14">
        <v>4</v>
      </c>
      <c r="J1715" s="22">
        <v>0.41889363374628003</v>
      </c>
      <c r="K1715" s="22">
        <v>0.58110636625372003</v>
      </c>
      <c r="L1715" s="14">
        <v>0</v>
      </c>
    </row>
    <row r="1716" spans="1:12" x14ac:dyDescent="0.25">
      <c r="A1716" s="13">
        <v>3608660</v>
      </c>
      <c r="B1716" s="14" t="s">
        <v>547</v>
      </c>
      <c r="C1716" s="14" t="s">
        <v>5749</v>
      </c>
      <c r="D1716" s="14" t="s">
        <v>4131</v>
      </c>
      <c r="E1716" s="14" t="s">
        <v>4311</v>
      </c>
      <c r="F1716" s="21">
        <v>886.23</v>
      </c>
      <c r="G1716" s="14">
        <v>905</v>
      </c>
      <c r="H1716" s="14">
        <v>0</v>
      </c>
      <c r="I1716" s="14">
        <v>38</v>
      </c>
      <c r="J1716" s="22">
        <v>0.85397211522830496</v>
      </c>
      <c r="K1716" s="22">
        <v>0.14602788477169501</v>
      </c>
      <c r="L1716" s="14">
        <v>0</v>
      </c>
    </row>
    <row r="1717" spans="1:12" x14ac:dyDescent="0.25">
      <c r="A1717" s="13" t="s">
        <v>6235</v>
      </c>
      <c r="B1717" s="14" t="s">
        <v>547</v>
      </c>
      <c r="C1717" s="14" t="s">
        <v>5749</v>
      </c>
      <c r="D1717" s="14" t="s">
        <v>4131</v>
      </c>
      <c r="E1717" s="14" t="s">
        <v>4312</v>
      </c>
      <c r="F1717" s="21">
        <v>886.3</v>
      </c>
      <c r="G1717" s="14">
        <v>517</v>
      </c>
      <c r="H1717" s="14">
        <v>0</v>
      </c>
      <c r="I1717" s="14">
        <v>48</v>
      </c>
      <c r="J1717" s="22">
        <v>0.75205426817832199</v>
      </c>
      <c r="K1717" s="22">
        <v>0.24794573182167801</v>
      </c>
      <c r="L1717" s="14">
        <v>0</v>
      </c>
    </row>
    <row r="1718" spans="1:12" x14ac:dyDescent="0.25">
      <c r="A1718" s="13" t="s">
        <v>7223</v>
      </c>
      <c r="B1718" s="14" t="s">
        <v>547</v>
      </c>
      <c r="C1718" s="14" t="s">
        <v>3994</v>
      </c>
      <c r="D1718" s="14" t="s">
        <v>4131</v>
      </c>
      <c r="E1718" s="14" t="s">
        <v>4314</v>
      </c>
      <c r="F1718" s="21">
        <v>886.76</v>
      </c>
      <c r="G1718" s="14">
        <v>512</v>
      </c>
      <c r="H1718" s="14">
        <v>1</v>
      </c>
      <c r="I1718" s="14">
        <v>17</v>
      </c>
      <c r="J1718" s="22">
        <v>0.17953684265235001</v>
      </c>
      <c r="K1718" s="22">
        <v>0.82046315734764996</v>
      </c>
      <c r="L1718" s="14">
        <v>0</v>
      </c>
    </row>
    <row r="1719" spans="1:12" x14ac:dyDescent="0.25">
      <c r="A1719" s="13" t="s">
        <v>7224</v>
      </c>
      <c r="B1719" s="14" t="s">
        <v>547</v>
      </c>
      <c r="C1719" s="14" t="s">
        <v>5748</v>
      </c>
      <c r="D1719" s="14" t="s">
        <v>4131</v>
      </c>
      <c r="E1719" s="14" t="s">
        <v>4316</v>
      </c>
      <c r="F1719" s="21">
        <v>886.95</v>
      </c>
      <c r="G1719" s="14">
        <v>991</v>
      </c>
      <c r="H1719" s="14">
        <v>1</v>
      </c>
      <c r="I1719" s="14">
        <v>37</v>
      </c>
      <c r="J1719" s="22">
        <v>0.134112811121646</v>
      </c>
      <c r="K1719" s="22">
        <v>0.86588718887835403</v>
      </c>
      <c r="L1719" s="14">
        <v>0</v>
      </c>
    </row>
    <row r="1720" spans="1:12" x14ac:dyDescent="0.25">
      <c r="A1720" s="13" t="s">
        <v>7225</v>
      </c>
      <c r="B1720" s="14" t="s">
        <v>547</v>
      </c>
      <c r="C1720" s="14" t="s">
        <v>5748</v>
      </c>
      <c r="D1720" s="14" t="s">
        <v>4131</v>
      </c>
      <c r="E1720" s="14" t="s">
        <v>4318</v>
      </c>
      <c r="F1720" s="21">
        <v>886.95</v>
      </c>
      <c r="G1720" s="14">
        <v>170</v>
      </c>
      <c r="H1720" s="14">
        <v>1</v>
      </c>
      <c r="I1720" s="14">
        <v>3</v>
      </c>
      <c r="J1720" s="22">
        <v>0.434419887144122</v>
      </c>
      <c r="K1720" s="22">
        <v>0.56558011285587795</v>
      </c>
      <c r="L1720" s="14">
        <v>0</v>
      </c>
    </row>
    <row r="1721" spans="1:12" ht="26.4" x14ac:dyDescent="0.25">
      <c r="A1721" s="20" t="s">
        <v>7226</v>
      </c>
      <c r="B1721" s="14" t="s">
        <v>547</v>
      </c>
      <c r="C1721" s="14" t="s">
        <v>5748</v>
      </c>
      <c r="D1721" s="14" t="s">
        <v>4131</v>
      </c>
      <c r="E1721" s="14" t="s">
        <v>4320</v>
      </c>
      <c r="F1721" s="21">
        <v>887.31</v>
      </c>
      <c r="G1721" s="14">
        <v>789</v>
      </c>
      <c r="H1721" s="14">
        <v>1</v>
      </c>
      <c r="I1721" s="14">
        <v>43</v>
      </c>
      <c r="J1721" s="22">
        <v>0.76660960054179506</v>
      </c>
      <c r="K1721" s="22">
        <v>0.233390399458206</v>
      </c>
      <c r="L1721" s="14">
        <v>0</v>
      </c>
    </row>
    <row r="1722" spans="1:12" x14ac:dyDescent="0.25">
      <c r="A1722" s="13">
        <v>3574120</v>
      </c>
      <c r="B1722" s="14" t="s">
        <v>547</v>
      </c>
      <c r="C1722" s="14" t="s">
        <v>5748</v>
      </c>
      <c r="D1722" s="14" t="s">
        <v>4131</v>
      </c>
      <c r="E1722" s="14" t="s">
        <v>4322</v>
      </c>
      <c r="F1722" s="21">
        <v>889.97</v>
      </c>
      <c r="G1722" s="14">
        <v>711</v>
      </c>
      <c r="H1722" s="14">
        <v>0</v>
      </c>
      <c r="I1722" s="14">
        <v>20</v>
      </c>
      <c r="J1722" s="22">
        <v>0.618145715191186</v>
      </c>
      <c r="K1722" s="22">
        <v>0.381854284808814</v>
      </c>
      <c r="L1722" s="14">
        <v>0</v>
      </c>
    </row>
    <row r="1723" spans="1:12" x14ac:dyDescent="0.25">
      <c r="A1723" s="13" t="s">
        <v>4323</v>
      </c>
      <c r="B1723" s="14" t="s">
        <v>547</v>
      </c>
      <c r="C1723" s="14" t="s">
        <v>5748</v>
      </c>
      <c r="D1723" s="14" t="s">
        <v>4131</v>
      </c>
      <c r="E1723" s="14" t="s">
        <v>4324</v>
      </c>
      <c r="F1723" s="21">
        <v>891.74</v>
      </c>
      <c r="G1723" s="14">
        <v>756</v>
      </c>
      <c r="H1723" s="14">
        <v>0</v>
      </c>
      <c r="I1723" s="14">
        <v>5</v>
      </c>
      <c r="J1723" s="22">
        <v>0.62959107271044901</v>
      </c>
      <c r="K1723" s="22">
        <v>0.37040892728955099</v>
      </c>
      <c r="L1723" s="14">
        <v>0</v>
      </c>
    </row>
    <row r="1724" spans="1:12" x14ac:dyDescent="0.25">
      <c r="A1724" s="13" t="s">
        <v>4325</v>
      </c>
      <c r="B1724" s="14" t="s">
        <v>547</v>
      </c>
      <c r="C1724" s="14" t="s">
        <v>5748</v>
      </c>
      <c r="D1724" s="14" t="s">
        <v>4131</v>
      </c>
      <c r="E1724" s="14" t="s">
        <v>4326</v>
      </c>
      <c r="F1724" s="21">
        <v>892.12</v>
      </c>
      <c r="G1724" s="14">
        <v>665</v>
      </c>
      <c r="H1724" s="14">
        <v>0</v>
      </c>
      <c r="I1724" s="14">
        <v>3</v>
      </c>
      <c r="J1724" s="22">
        <v>0.87309386780863896</v>
      </c>
      <c r="K1724" s="22">
        <v>0.12690613219136099</v>
      </c>
      <c r="L1724" s="14">
        <v>0</v>
      </c>
    </row>
    <row r="1725" spans="1:12" ht="39.6" x14ac:dyDescent="0.25">
      <c r="A1725" s="20" t="s">
        <v>7227</v>
      </c>
      <c r="B1725" s="14" t="s">
        <v>547</v>
      </c>
      <c r="C1725" s="14" t="s">
        <v>3994</v>
      </c>
      <c r="D1725" s="14" t="s">
        <v>4131</v>
      </c>
      <c r="E1725" s="14" t="s">
        <v>4328</v>
      </c>
      <c r="F1725" s="21">
        <v>893.43</v>
      </c>
      <c r="G1725" s="14">
        <v>327</v>
      </c>
      <c r="H1725" s="14">
        <v>0</v>
      </c>
      <c r="I1725" s="14">
        <v>8</v>
      </c>
      <c r="J1725" s="22">
        <v>0.77900985982312598</v>
      </c>
      <c r="K1725" s="22">
        <v>0.22099014017687399</v>
      </c>
      <c r="L1725" s="14">
        <v>0</v>
      </c>
    </row>
    <row r="1726" spans="1:12" ht="39.6" x14ac:dyDescent="0.25">
      <c r="A1726" s="20" t="s">
        <v>7228</v>
      </c>
      <c r="B1726" s="14" t="s">
        <v>547</v>
      </c>
      <c r="C1726" s="14" t="s">
        <v>5747</v>
      </c>
      <c r="D1726" s="14" t="s">
        <v>4131</v>
      </c>
      <c r="E1726" s="14" t="s">
        <v>4330</v>
      </c>
      <c r="F1726" s="21">
        <v>894.71</v>
      </c>
      <c r="G1726" s="14">
        <v>342</v>
      </c>
      <c r="H1726" s="14">
        <v>0</v>
      </c>
      <c r="I1726" s="14">
        <v>49</v>
      </c>
      <c r="J1726" s="22">
        <v>0.53730866629796104</v>
      </c>
      <c r="K1726" s="22">
        <v>0.46269133370203902</v>
      </c>
      <c r="L1726" s="14">
        <v>0</v>
      </c>
    </row>
    <row r="1727" spans="1:12" x14ac:dyDescent="0.25">
      <c r="A1727" s="13" t="s">
        <v>7229</v>
      </c>
      <c r="B1727" s="14" t="s">
        <v>547</v>
      </c>
      <c r="C1727" s="14" t="s">
        <v>3994</v>
      </c>
      <c r="D1727" s="14" t="s">
        <v>4131</v>
      </c>
      <c r="E1727" s="14" t="s">
        <v>4332</v>
      </c>
      <c r="F1727" s="21">
        <v>896.18</v>
      </c>
      <c r="G1727" s="14">
        <v>292</v>
      </c>
      <c r="H1727" s="14">
        <v>0</v>
      </c>
      <c r="I1727" s="14">
        <v>5</v>
      </c>
      <c r="J1727" s="22">
        <v>0.22869729390627799</v>
      </c>
      <c r="K1727" s="22">
        <v>0.77130270609372198</v>
      </c>
      <c r="L1727" s="14">
        <v>0</v>
      </c>
    </row>
    <row r="1728" spans="1:12" x14ac:dyDescent="0.25">
      <c r="A1728" s="13" t="s">
        <v>7230</v>
      </c>
      <c r="B1728" s="14" t="s">
        <v>547</v>
      </c>
      <c r="C1728" s="14" t="s">
        <v>5748</v>
      </c>
      <c r="D1728" s="14" t="s">
        <v>4131</v>
      </c>
      <c r="E1728" s="14" t="s">
        <v>4334</v>
      </c>
      <c r="F1728" s="21">
        <v>896.32</v>
      </c>
      <c r="G1728" s="14">
        <v>243</v>
      </c>
      <c r="H1728" s="14">
        <v>0</v>
      </c>
      <c r="I1728" s="14">
        <v>33</v>
      </c>
      <c r="J1728" s="22">
        <v>0.63204412474923399</v>
      </c>
      <c r="K1728" s="22">
        <v>0.36795587525076701</v>
      </c>
      <c r="L1728" s="14">
        <v>0</v>
      </c>
    </row>
    <row r="1729" spans="1:12" ht="39.6" x14ac:dyDescent="0.25">
      <c r="A1729" s="20" t="s">
        <v>7231</v>
      </c>
      <c r="B1729" s="14" t="s">
        <v>547</v>
      </c>
      <c r="C1729" s="14" t="s">
        <v>3994</v>
      </c>
      <c r="D1729" s="14" t="s">
        <v>4131</v>
      </c>
      <c r="E1729" s="14" t="s">
        <v>7232</v>
      </c>
      <c r="F1729" s="21">
        <v>896.96</v>
      </c>
      <c r="G1729" s="14">
        <v>430</v>
      </c>
      <c r="H1729" s="14">
        <v>0</v>
      </c>
      <c r="I1729" s="14">
        <v>24</v>
      </c>
      <c r="J1729" s="22">
        <v>0.30018007218961101</v>
      </c>
      <c r="K1729" s="22">
        <v>0.69981992781038904</v>
      </c>
      <c r="L1729" s="14">
        <v>0</v>
      </c>
    </row>
    <row r="1730" spans="1:12" x14ac:dyDescent="0.25">
      <c r="A1730" s="13" t="s">
        <v>4337</v>
      </c>
      <c r="B1730" s="14" t="s">
        <v>547</v>
      </c>
      <c r="C1730" s="14" t="s">
        <v>5750</v>
      </c>
      <c r="D1730" s="14" t="s">
        <v>4131</v>
      </c>
      <c r="E1730" s="14" t="s">
        <v>4338</v>
      </c>
      <c r="F1730" s="21">
        <v>896.99</v>
      </c>
      <c r="G1730" s="14">
        <v>620</v>
      </c>
      <c r="H1730" s="14">
        <v>0</v>
      </c>
      <c r="I1730" s="14">
        <v>29</v>
      </c>
      <c r="J1730" s="22">
        <v>0.16541680393503799</v>
      </c>
      <c r="K1730" s="22">
        <v>0.83458319606496201</v>
      </c>
      <c r="L1730" s="14">
        <v>0</v>
      </c>
    </row>
    <row r="1731" spans="1:12" x14ac:dyDescent="0.25">
      <c r="A1731" s="13" t="s">
        <v>7233</v>
      </c>
      <c r="B1731" s="14" t="s">
        <v>547</v>
      </c>
      <c r="C1731" s="14" t="s">
        <v>3994</v>
      </c>
      <c r="D1731" s="14" t="s">
        <v>4131</v>
      </c>
      <c r="E1731" s="14" t="s">
        <v>4340</v>
      </c>
      <c r="F1731" s="21">
        <v>897.19</v>
      </c>
      <c r="G1731" s="14">
        <v>288</v>
      </c>
      <c r="H1731" s="14">
        <v>0</v>
      </c>
      <c r="I1731" s="14">
        <v>44</v>
      </c>
      <c r="J1731" s="22">
        <v>0.59276601182737299</v>
      </c>
      <c r="K1731" s="22">
        <v>0.40723398817262701</v>
      </c>
      <c r="L1731" s="14">
        <v>0</v>
      </c>
    </row>
    <row r="1732" spans="1:12" x14ac:dyDescent="0.25">
      <c r="A1732" s="13" t="s">
        <v>4341</v>
      </c>
      <c r="B1732" s="14" t="s">
        <v>547</v>
      </c>
      <c r="C1732" s="14" t="s">
        <v>5747</v>
      </c>
      <c r="D1732" s="14" t="s">
        <v>4131</v>
      </c>
      <c r="E1732" s="14" t="s">
        <v>4342</v>
      </c>
      <c r="F1732" s="21">
        <v>897.61</v>
      </c>
      <c r="G1732" s="14">
        <v>322</v>
      </c>
      <c r="H1732" s="14">
        <v>0</v>
      </c>
      <c r="I1732" s="14">
        <v>41</v>
      </c>
      <c r="J1732" s="22">
        <v>0.89719333363836096</v>
      </c>
      <c r="K1732" s="22">
        <v>0.102806666361639</v>
      </c>
      <c r="L1732" s="14">
        <v>0</v>
      </c>
    </row>
    <row r="1733" spans="1:12" x14ac:dyDescent="0.25">
      <c r="A1733" s="13" t="s">
        <v>4343</v>
      </c>
      <c r="B1733" s="14" t="s">
        <v>547</v>
      </c>
      <c r="C1733" s="14" t="s">
        <v>5747</v>
      </c>
      <c r="D1733" s="14" t="s">
        <v>4131</v>
      </c>
      <c r="E1733" s="14" t="s">
        <v>4344</v>
      </c>
      <c r="F1733" s="21">
        <v>897.61</v>
      </c>
      <c r="G1733" s="14">
        <v>93</v>
      </c>
      <c r="H1733" s="14">
        <v>0</v>
      </c>
      <c r="I1733" s="14">
        <v>5</v>
      </c>
      <c r="J1733" s="22">
        <v>0.33085683900379598</v>
      </c>
      <c r="K1733" s="22">
        <v>0.66914316099620397</v>
      </c>
      <c r="L1733" s="14">
        <v>0</v>
      </c>
    </row>
    <row r="1734" spans="1:12" x14ac:dyDescent="0.25">
      <c r="A1734" s="13" t="s">
        <v>4345</v>
      </c>
      <c r="B1734" s="14" t="s">
        <v>547</v>
      </c>
      <c r="C1734" s="14" t="s">
        <v>5748</v>
      </c>
      <c r="D1734" s="14" t="s">
        <v>4131</v>
      </c>
      <c r="E1734" s="14" t="s">
        <v>4346</v>
      </c>
      <c r="F1734" s="21">
        <v>899.34</v>
      </c>
      <c r="G1734" s="14">
        <v>346</v>
      </c>
      <c r="H1734" s="14">
        <v>1</v>
      </c>
      <c r="I1734" s="14">
        <v>27</v>
      </c>
      <c r="J1734" s="22">
        <v>0.62251308516969595</v>
      </c>
      <c r="K1734" s="22">
        <v>0.377486914830304</v>
      </c>
      <c r="L1734" s="14">
        <v>0</v>
      </c>
    </row>
    <row r="1735" spans="1:12" x14ac:dyDescent="0.25">
      <c r="A1735" s="13" t="s">
        <v>4347</v>
      </c>
      <c r="B1735" s="14" t="s">
        <v>547</v>
      </c>
      <c r="C1735" s="14" t="s">
        <v>5747</v>
      </c>
      <c r="D1735" s="14" t="s">
        <v>4131</v>
      </c>
      <c r="E1735" s="14" t="s">
        <v>4348</v>
      </c>
      <c r="F1735" s="21">
        <v>900.14</v>
      </c>
      <c r="G1735" s="14">
        <v>494</v>
      </c>
      <c r="H1735" s="14">
        <v>0</v>
      </c>
      <c r="I1735" s="14">
        <v>6</v>
      </c>
      <c r="J1735" s="22">
        <v>0.49036241879203801</v>
      </c>
      <c r="K1735" s="22">
        <v>0.50963758120796199</v>
      </c>
      <c r="L1735" s="14">
        <v>0</v>
      </c>
    </row>
    <row r="1736" spans="1:12" x14ac:dyDescent="0.25">
      <c r="A1736" s="13" t="s">
        <v>4349</v>
      </c>
      <c r="B1736" s="14" t="s">
        <v>547</v>
      </c>
      <c r="C1736" s="14" t="s">
        <v>5748</v>
      </c>
      <c r="D1736" s="14" t="s">
        <v>4131</v>
      </c>
      <c r="E1736" s="14" t="s">
        <v>4350</v>
      </c>
      <c r="F1736" s="21">
        <v>904.34</v>
      </c>
      <c r="G1736" s="14">
        <v>783</v>
      </c>
      <c r="H1736" s="14">
        <v>1</v>
      </c>
      <c r="I1736" s="14" t="s">
        <v>6314</v>
      </c>
      <c r="J1736" s="22">
        <v>0.48484165793866701</v>
      </c>
      <c r="K1736" s="22">
        <v>0.51515834206133404</v>
      </c>
      <c r="L1736" s="14">
        <v>0</v>
      </c>
    </row>
    <row r="1737" spans="1:12" x14ac:dyDescent="0.25">
      <c r="A1737" s="13" t="s">
        <v>4351</v>
      </c>
      <c r="B1737" s="14" t="s">
        <v>547</v>
      </c>
      <c r="C1737" s="14" t="s">
        <v>5748</v>
      </c>
      <c r="D1737" s="14" t="s">
        <v>4131</v>
      </c>
      <c r="E1737" s="14" t="s">
        <v>4352</v>
      </c>
      <c r="F1737" s="21">
        <v>907.08</v>
      </c>
      <c r="G1737" s="14">
        <v>411</v>
      </c>
      <c r="H1737" s="14">
        <v>1</v>
      </c>
      <c r="I1737" s="14">
        <v>26</v>
      </c>
      <c r="J1737" s="22">
        <v>0.25931523665519801</v>
      </c>
      <c r="K1737" s="22">
        <v>0.74068476334480204</v>
      </c>
      <c r="L1737" s="14">
        <v>0</v>
      </c>
    </row>
    <row r="1738" spans="1:12" x14ac:dyDescent="0.25">
      <c r="A1738" s="13" t="s">
        <v>7234</v>
      </c>
      <c r="B1738" s="14" t="s">
        <v>547</v>
      </c>
      <c r="C1738" s="14" t="s">
        <v>3994</v>
      </c>
      <c r="D1738" s="14" t="s">
        <v>4131</v>
      </c>
      <c r="E1738" s="14" t="s">
        <v>4354</v>
      </c>
      <c r="F1738" s="21">
        <v>908.01</v>
      </c>
      <c r="G1738" s="14">
        <v>668</v>
      </c>
      <c r="H1738" s="14">
        <v>1</v>
      </c>
      <c r="I1738" s="14">
        <v>24</v>
      </c>
      <c r="J1738" s="22">
        <v>6.5897331739578097E-2</v>
      </c>
      <c r="K1738" s="22">
        <v>0.93410266826042199</v>
      </c>
      <c r="L1738" s="14">
        <v>0</v>
      </c>
    </row>
    <row r="1739" spans="1:12" x14ac:dyDescent="0.25">
      <c r="A1739" s="13" t="s">
        <v>7235</v>
      </c>
      <c r="B1739" s="14" t="s">
        <v>547</v>
      </c>
      <c r="C1739" s="14" t="s">
        <v>3994</v>
      </c>
      <c r="D1739" s="14" t="s">
        <v>4131</v>
      </c>
      <c r="E1739" s="14" t="s">
        <v>4356</v>
      </c>
      <c r="F1739" s="21">
        <v>909.99</v>
      </c>
      <c r="G1739" s="14">
        <v>673</v>
      </c>
      <c r="H1739" s="14">
        <v>0</v>
      </c>
      <c r="I1739" s="14">
        <v>39</v>
      </c>
      <c r="J1739" s="22">
        <v>0.15294586941073601</v>
      </c>
      <c r="K1739" s="22">
        <v>0.84705413058926404</v>
      </c>
      <c r="L1739" s="14">
        <v>0</v>
      </c>
    </row>
    <row r="1740" spans="1:12" x14ac:dyDescent="0.25">
      <c r="A1740" s="13" t="s">
        <v>4357</v>
      </c>
      <c r="B1740" s="14" t="s">
        <v>547</v>
      </c>
      <c r="C1740" s="14" t="s">
        <v>5748</v>
      </c>
      <c r="D1740" s="14" t="s">
        <v>4131</v>
      </c>
      <c r="E1740" s="14" t="s">
        <v>4358</v>
      </c>
      <c r="F1740" s="21">
        <v>910.2</v>
      </c>
      <c r="G1740" s="14">
        <v>674</v>
      </c>
      <c r="H1740" s="14">
        <v>0</v>
      </c>
      <c r="I1740" s="14">
        <v>33</v>
      </c>
      <c r="J1740" s="22">
        <v>0.36803849856225102</v>
      </c>
      <c r="K1740" s="22">
        <v>0.63196150143774898</v>
      </c>
      <c r="L1740" s="14">
        <v>0</v>
      </c>
    </row>
    <row r="1741" spans="1:12" ht="26.4" x14ac:dyDescent="0.25">
      <c r="A1741" s="20" t="s">
        <v>7236</v>
      </c>
      <c r="B1741" s="14" t="s">
        <v>547</v>
      </c>
      <c r="C1741" s="14" t="s">
        <v>5748</v>
      </c>
      <c r="D1741" s="14" t="s">
        <v>4131</v>
      </c>
      <c r="E1741" s="14" t="s">
        <v>7237</v>
      </c>
      <c r="F1741" s="21">
        <v>913.36</v>
      </c>
      <c r="G1741" s="14">
        <v>541</v>
      </c>
      <c r="H1741" s="14">
        <v>1</v>
      </c>
      <c r="I1741" s="14">
        <v>23</v>
      </c>
      <c r="J1741" s="22">
        <v>0.22749163852243601</v>
      </c>
      <c r="K1741" s="22">
        <v>0.77250836147756397</v>
      </c>
      <c r="L1741" s="14">
        <v>0</v>
      </c>
    </row>
    <row r="1742" spans="1:12" x14ac:dyDescent="0.25">
      <c r="A1742" s="13" t="s">
        <v>7238</v>
      </c>
      <c r="B1742" s="14" t="s">
        <v>547</v>
      </c>
      <c r="C1742" s="14" t="s">
        <v>3994</v>
      </c>
      <c r="D1742" s="14" t="s">
        <v>4131</v>
      </c>
      <c r="E1742" s="14" t="s">
        <v>7239</v>
      </c>
      <c r="F1742" s="21">
        <v>915.53</v>
      </c>
      <c r="G1742" s="14">
        <v>338</v>
      </c>
      <c r="H1742" s="14">
        <v>0</v>
      </c>
      <c r="I1742" s="14" t="s">
        <v>6314</v>
      </c>
      <c r="J1742" s="22">
        <v>0.54509583339999701</v>
      </c>
      <c r="K1742" s="22">
        <v>0.45490416660000299</v>
      </c>
      <c r="L1742" s="14">
        <v>0</v>
      </c>
    </row>
    <row r="1743" spans="1:12" x14ac:dyDescent="0.25">
      <c r="A1743" s="13" t="s">
        <v>7240</v>
      </c>
      <c r="B1743" s="14" t="s">
        <v>547</v>
      </c>
      <c r="C1743" s="14" t="s">
        <v>3994</v>
      </c>
      <c r="D1743" s="14" t="s">
        <v>4131</v>
      </c>
      <c r="E1743" s="14" t="s">
        <v>4364</v>
      </c>
      <c r="F1743" s="21">
        <v>918.62</v>
      </c>
      <c r="G1743" s="14">
        <v>27</v>
      </c>
      <c r="H1743" s="14">
        <v>0</v>
      </c>
      <c r="I1743" s="14" t="s">
        <v>6314</v>
      </c>
      <c r="J1743" s="22">
        <v>0.89528680302311203</v>
      </c>
      <c r="K1743" s="22">
        <v>0.104713196976888</v>
      </c>
      <c r="L1743" s="14">
        <v>0</v>
      </c>
    </row>
    <row r="1744" spans="1:12" x14ac:dyDescent="0.25">
      <c r="A1744" s="13" t="s">
        <v>7241</v>
      </c>
      <c r="B1744" s="14" t="s">
        <v>547</v>
      </c>
      <c r="C1744" s="14" t="s">
        <v>5748</v>
      </c>
      <c r="D1744" s="14" t="s">
        <v>4131</v>
      </c>
      <c r="E1744" s="14" t="s">
        <v>4366</v>
      </c>
      <c r="F1744" s="21">
        <v>953.48</v>
      </c>
      <c r="G1744" s="14">
        <v>201</v>
      </c>
      <c r="H1744" s="14">
        <v>0</v>
      </c>
      <c r="I1744" s="14">
        <v>23</v>
      </c>
      <c r="J1744" s="22">
        <v>0.73592141056371196</v>
      </c>
      <c r="K1744" s="22">
        <v>0.26407858943628798</v>
      </c>
      <c r="L1744" s="14">
        <v>0</v>
      </c>
    </row>
    <row r="1745" spans="1:12" ht="39.6" x14ac:dyDescent="0.25">
      <c r="A1745" s="20" t="s">
        <v>7242</v>
      </c>
      <c r="B1745" s="14" t="s">
        <v>547</v>
      </c>
      <c r="C1745" s="14" t="s">
        <v>5752</v>
      </c>
      <c r="D1745" s="14" t="s">
        <v>4131</v>
      </c>
      <c r="E1745" s="14" t="s">
        <v>4368</v>
      </c>
      <c r="F1745" s="21">
        <v>960.16</v>
      </c>
      <c r="G1745" s="14">
        <v>319</v>
      </c>
      <c r="H1745" s="14">
        <v>0</v>
      </c>
      <c r="I1745" s="14">
        <v>26</v>
      </c>
      <c r="J1745" s="22">
        <v>1.36618431361861E-2</v>
      </c>
      <c r="K1745" s="22">
        <v>0.98633815686381399</v>
      </c>
      <c r="L1745" s="14">
        <v>0</v>
      </c>
    </row>
    <row r="1746" spans="1:12" ht="26.4" x14ac:dyDescent="0.25">
      <c r="A1746" s="20" t="s">
        <v>7243</v>
      </c>
      <c r="B1746" s="14" t="s">
        <v>547</v>
      </c>
      <c r="C1746" s="14" t="s">
        <v>3994</v>
      </c>
      <c r="D1746" s="14" t="s">
        <v>4131</v>
      </c>
      <c r="E1746" s="14" t="s">
        <v>4370</v>
      </c>
      <c r="F1746" s="21">
        <v>960.47</v>
      </c>
      <c r="G1746" s="14">
        <v>807</v>
      </c>
      <c r="H1746" s="14">
        <v>0</v>
      </c>
      <c r="I1746" s="14" t="s">
        <v>6314</v>
      </c>
      <c r="J1746" s="22">
        <v>0.241264421419872</v>
      </c>
      <c r="K1746" s="22">
        <v>0.75873557858012897</v>
      </c>
      <c r="L1746" s="14">
        <v>0</v>
      </c>
    </row>
    <row r="1747" spans="1:12" ht="26.4" x14ac:dyDescent="0.25">
      <c r="A1747" s="20" t="s">
        <v>7244</v>
      </c>
      <c r="B1747" s="14" t="s">
        <v>547</v>
      </c>
      <c r="C1747" s="14" t="s">
        <v>5747</v>
      </c>
      <c r="D1747" s="14" t="s">
        <v>4131</v>
      </c>
      <c r="E1747" s="14" t="s">
        <v>4372</v>
      </c>
      <c r="F1747" s="21">
        <v>961.31</v>
      </c>
      <c r="G1747" s="14">
        <v>245</v>
      </c>
      <c r="H1747" s="14">
        <v>0</v>
      </c>
      <c r="I1747" s="14">
        <v>46</v>
      </c>
      <c r="J1747" s="22">
        <v>0.60610060204858995</v>
      </c>
      <c r="K1747" s="22">
        <v>0.39389939795140999</v>
      </c>
      <c r="L1747" s="14">
        <v>0</v>
      </c>
    </row>
    <row r="1748" spans="1:12" ht="39.6" x14ac:dyDescent="0.25">
      <c r="A1748" s="20" t="s">
        <v>7245</v>
      </c>
      <c r="B1748" s="14" t="s">
        <v>547</v>
      </c>
      <c r="C1748" s="14" t="s">
        <v>3994</v>
      </c>
      <c r="D1748" s="14" t="s">
        <v>4131</v>
      </c>
      <c r="E1748" s="14" t="s">
        <v>4374</v>
      </c>
      <c r="F1748" s="21">
        <v>961.31</v>
      </c>
      <c r="G1748" s="14">
        <v>65</v>
      </c>
      <c r="H1748" s="14">
        <v>1</v>
      </c>
      <c r="I1748" s="14">
        <v>7</v>
      </c>
      <c r="J1748" s="22">
        <v>0.242021050473472</v>
      </c>
      <c r="K1748" s="22">
        <v>0.757978949526528</v>
      </c>
      <c r="L1748" s="14">
        <v>0</v>
      </c>
    </row>
    <row r="1749" spans="1:12" ht="39.6" x14ac:dyDescent="0.25">
      <c r="A1749" s="20" t="s">
        <v>6334</v>
      </c>
      <c r="B1749" s="14" t="s">
        <v>547</v>
      </c>
      <c r="C1749" s="14" t="s">
        <v>3994</v>
      </c>
      <c r="D1749" s="14" t="s">
        <v>4131</v>
      </c>
      <c r="E1749" s="14" t="s">
        <v>4375</v>
      </c>
      <c r="F1749" s="21">
        <v>961.68</v>
      </c>
      <c r="G1749" s="14">
        <v>933</v>
      </c>
      <c r="H1749" s="14">
        <v>1</v>
      </c>
      <c r="I1749" s="14">
        <v>6</v>
      </c>
      <c r="J1749" s="22">
        <v>0.91234160722060398</v>
      </c>
      <c r="K1749" s="22">
        <v>8.7658392779396493E-2</v>
      </c>
      <c r="L1749" s="14">
        <v>0</v>
      </c>
    </row>
    <row r="1750" spans="1:12" ht="26.4" x14ac:dyDescent="0.25">
      <c r="A1750" s="20" t="s">
        <v>7246</v>
      </c>
      <c r="B1750" s="14" t="s">
        <v>547</v>
      </c>
      <c r="C1750" s="14" t="s">
        <v>3994</v>
      </c>
      <c r="D1750" s="14" t="s">
        <v>4131</v>
      </c>
      <c r="E1750" s="14" t="s">
        <v>4377</v>
      </c>
      <c r="F1750" s="21">
        <v>961.68</v>
      </c>
      <c r="G1750" s="14">
        <v>191</v>
      </c>
      <c r="H1750" s="14">
        <v>0</v>
      </c>
      <c r="I1750" s="14">
        <v>38</v>
      </c>
      <c r="J1750" s="22">
        <v>0.32271420743698298</v>
      </c>
      <c r="K1750" s="22">
        <v>0.67728579256301702</v>
      </c>
      <c r="L1750" s="14">
        <v>0</v>
      </c>
    </row>
    <row r="1751" spans="1:12" ht="26.4" x14ac:dyDescent="0.25">
      <c r="A1751" s="20" t="s">
        <v>7247</v>
      </c>
      <c r="B1751" s="14" t="s">
        <v>547</v>
      </c>
      <c r="C1751" s="14" t="s">
        <v>5747</v>
      </c>
      <c r="D1751" s="14" t="s">
        <v>4131</v>
      </c>
      <c r="E1751" s="14" t="s">
        <v>4379</v>
      </c>
      <c r="F1751" s="21">
        <v>961.68</v>
      </c>
      <c r="G1751" s="14">
        <v>52</v>
      </c>
      <c r="H1751" s="14">
        <v>0</v>
      </c>
      <c r="I1751" s="14">
        <v>11</v>
      </c>
      <c r="J1751" s="22">
        <v>0.96131154478649505</v>
      </c>
      <c r="K1751" s="22">
        <v>3.8688455213505099E-2</v>
      </c>
      <c r="L1751" s="14">
        <v>0</v>
      </c>
    </row>
    <row r="1752" spans="1:12" x14ac:dyDescent="0.25">
      <c r="A1752" s="13" t="s">
        <v>7248</v>
      </c>
      <c r="B1752" s="14" t="s">
        <v>547</v>
      </c>
      <c r="C1752" s="14" t="s">
        <v>5748</v>
      </c>
      <c r="D1752" s="14" t="s">
        <v>4131</v>
      </c>
      <c r="E1752" s="14" t="s">
        <v>4381</v>
      </c>
      <c r="F1752" s="21">
        <v>986.72</v>
      </c>
      <c r="G1752" s="14">
        <v>265</v>
      </c>
      <c r="H1752" s="14">
        <v>0</v>
      </c>
      <c r="I1752" s="14">
        <v>10</v>
      </c>
      <c r="J1752" s="22">
        <v>0.57410556121913603</v>
      </c>
      <c r="K1752" s="22">
        <v>0.42589443878086403</v>
      </c>
      <c r="L1752" s="14">
        <v>0</v>
      </c>
    </row>
    <row r="1753" spans="1:12" x14ac:dyDescent="0.25">
      <c r="A1753" s="13" t="s">
        <v>7249</v>
      </c>
      <c r="B1753" s="14" t="s">
        <v>547</v>
      </c>
      <c r="C1753" s="14" t="s">
        <v>5748</v>
      </c>
      <c r="D1753" s="14" t="s">
        <v>4131</v>
      </c>
      <c r="E1753" s="14" t="s">
        <v>4383</v>
      </c>
      <c r="F1753" s="21">
        <v>996.06</v>
      </c>
      <c r="G1753" s="14">
        <v>180</v>
      </c>
      <c r="H1753" s="14">
        <v>0</v>
      </c>
      <c r="I1753" s="14">
        <v>2</v>
      </c>
      <c r="J1753" s="22">
        <v>0.88218038477959104</v>
      </c>
      <c r="K1753" s="22">
        <v>0.11781961522041</v>
      </c>
      <c r="L1753" s="14">
        <v>0</v>
      </c>
    </row>
    <row r="1754" spans="1:12" x14ac:dyDescent="0.25">
      <c r="A1754" s="13" t="s">
        <v>4384</v>
      </c>
      <c r="B1754" s="14" t="s">
        <v>547</v>
      </c>
      <c r="C1754" s="14" t="s">
        <v>5748</v>
      </c>
      <c r="D1754" s="14" t="s">
        <v>4131</v>
      </c>
      <c r="E1754" s="14" t="s">
        <v>4385</v>
      </c>
      <c r="F1754" s="21">
        <v>1002.86</v>
      </c>
      <c r="G1754" s="14">
        <v>750</v>
      </c>
      <c r="H1754" s="14">
        <v>1</v>
      </c>
      <c r="I1754" s="14" t="s">
        <v>6314</v>
      </c>
      <c r="J1754" s="22">
        <v>0.32510538008073597</v>
      </c>
      <c r="K1754" s="22">
        <v>0.67489461991926403</v>
      </c>
      <c r="L1754" s="14">
        <v>0</v>
      </c>
    </row>
    <row r="1755" spans="1:12" x14ac:dyDescent="0.25">
      <c r="A1755" s="13" t="s">
        <v>4386</v>
      </c>
      <c r="B1755" s="14" t="s">
        <v>547</v>
      </c>
      <c r="C1755" s="14" t="s">
        <v>3994</v>
      </c>
      <c r="D1755" s="14" t="s">
        <v>4131</v>
      </c>
      <c r="E1755" s="14" t="s">
        <v>4387</v>
      </c>
      <c r="F1755" s="21">
        <v>1005.86</v>
      </c>
      <c r="G1755" s="14">
        <v>99</v>
      </c>
      <c r="H1755" s="14">
        <v>0</v>
      </c>
      <c r="I1755" s="14">
        <v>25</v>
      </c>
      <c r="J1755" s="22">
        <v>0.97293477525084004</v>
      </c>
      <c r="K1755" s="22">
        <v>2.7065224749159601E-2</v>
      </c>
      <c r="L1755" s="14">
        <v>0</v>
      </c>
    </row>
    <row r="1756" spans="1:12" ht="52.8" x14ac:dyDescent="0.25">
      <c r="A1756" s="13" t="s">
        <v>7250</v>
      </c>
      <c r="B1756" s="14" t="s">
        <v>547</v>
      </c>
      <c r="C1756" s="14" t="s">
        <v>5748</v>
      </c>
      <c r="D1756" s="14" t="s">
        <v>4131</v>
      </c>
      <c r="E1756" s="23" t="s">
        <v>7251</v>
      </c>
      <c r="F1756" s="21">
        <v>1005.96</v>
      </c>
      <c r="G1756" s="14">
        <v>883</v>
      </c>
      <c r="H1756" s="14">
        <v>0</v>
      </c>
      <c r="I1756" s="14">
        <v>13</v>
      </c>
      <c r="J1756" s="22">
        <v>0.438860960868661</v>
      </c>
      <c r="K1756" s="22">
        <v>0.561139039131339</v>
      </c>
      <c r="L1756" s="14">
        <v>0</v>
      </c>
    </row>
    <row r="1757" spans="1:12" x14ac:dyDescent="0.25">
      <c r="A1757" s="13" t="s">
        <v>7252</v>
      </c>
      <c r="B1757" s="14" t="s">
        <v>547</v>
      </c>
      <c r="C1757" s="14" t="s">
        <v>5748</v>
      </c>
      <c r="D1757" s="14" t="s">
        <v>4131</v>
      </c>
      <c r="E1757" s="14" t="s">
        <v>4391</v>
      </c>
      <c r="F1757" s="21">
        <v>1008.97</v>
      </c>
      <c r="G1757" s="14">
        <v>506</v>
      </c>
      <c r="H1757" s="14">
        <v>0</v>
      </c>
      <c r="I1757" s="14">
        <v>37</v>
      </c>
      <c r="J1757" s="22">
        <v>0.20430890030729901</v>
      </c>
      <c r="K1757" s="22">
        <v>0.79569109969270102</v>
      </c>
      <c r="L1757" s="14">
        <v>0</v>
      </c>
    </row>
    <row r="1758" spans="1:12" x14ac:dyDescent="0.25">
      <c r="A1758" s="13" t="s">
        <v>7253</v>
      </c>
      <c r="B1758" s="14" t="s">
        <v>547</v>
      </c>
      <c r="C1758" s="14" t="s">
        <v>5753</v>
      </c>
      <c r="D1758" s="14" t="s">
        <v>4131</v>
      </c>
      <c r="E1758" s="14" t="s">
        <v>4393</v>
      </c>
      <c r="F1758" s="21">
        <v>1009.98</v>
      </c>
      <c r="G1758" s="14">
        <v>171</v>
      </c>
      <c r="H1758" s="14">
        <v>1</v>
      </c>
      <c r="I1758" s="14">
        <v>23</v>
      </c>
      <c r="J1758" s="22">
        <v>0.45696411577836898</v>
      </c>
      <c r="K1758" s="22">
        <v>0.54303588422163096</v>
      </c>
      <c r="L1758" s="14">
        <v>0</v>
      </c>
    </row>
    <row r="1759" spans="1:12" ht="26.4" x14ac:dyDescent="0.25">
      <c r="A1759" s="20" t="s">
        <v>7254</v>
      </c>
      <c r="B1759" s="14" t="s">
        <v>547</v>
      </c>
      <c r="C1759" s="14" t="s">
        <v>5748</v>
      </c>
      <c r="D1759" s="14" t="s">
        <v>4131</v>
      </c>
      <c r="E1759" s="14" t="s">
        <v>4395</v>
      </c>
      <c r="F1759" s="21">
        <v>1010.8</v>
      </c>
      <c r="G1759" s="14">
        <v>148</v>
      </c>
      <c r="H1759" s="14">
        <v>1</v>
      </c>
      <c r="I1759" s="14">
        <v>28</v>
      </c>
      <c r="J1759" s="22">
        <v>0.43513696939880597</v>
      </c>
      <c r="K1759" s="22">
        <v>0.56486303060119403</v>
      </c>
      <c r="L1759" s="14">
        <v>0</v>
      </c>
    </row>
    <row r="1760" spans="1:12" x14ac:dyDescent="0.25">
      <c r="A1760" s="13" t="s">
        <v>4396</v>
      </c>
      <c r="B1760" s="14" t="s">
        <v>547</v>
      </c>
      <c r="C1760" s="14" t="s">
        <v>5748</v>
      </c>
      <c r="D1760" s="14" t="s">
        <v>4131</v>
      </c>
      <c r="E1760" s="14" t="s">
        <v>4397</v>
      </c>
      <c r="F1760" s="21">
        <v>1013.03</v>
      </c>
      <c r="G1760" s="14">
        <v>513</v>
      </c>
      <c r="H1760" s="14">
        <v>1</v>
      </c>
      <c r="I1760" s="14">
        <v>43</v>
      </c>
      <c r="J1760" s="22">
        <v>0.36283112060634198</v>
      </c>
      <c r="K1760" s="22">
        <v>0.63716887939365796</v>
      </c>
      <c r="L1760" s="14">
        <v>0</v>
      </c>
    </row>
    <row r="1761" spans="1:12" x14ac:dyDescent="0.25">
      <c r="A1761" s="13" t="s">
        <v>4398</v>
      </c>
      <c r="B1761" s="14" t="s">
        <v>547</v>
      </c>
      <c r="C1761" s="14" t="s">
        <v>5748</v>
      </c>
      <c r="D1761" s="14" t="s">
        <v>4131</v>
      </c>
      <c r="E1761" s="14" t="s">
        <v>4399</v>
      </c>
      <c r="F1761" s="21">
        <v>1019.76</v>
      </c>
      <c r="G1761" s="14">
        <v>630</v>
      </c>
      <c r="H1761" s="14">
        <v>1</v>
      </c>
      <c r="I1761" s="14">
        <v>26</v>
      </c>
      <c r="J1761" s="22">
        <v>0.43027059224242997</v>
      </c>
      <c r="K1761" s="22">
        <v>0.56972940775756997</v>
      </c>
      <c r="L1761" s="14">
        <v>0</v>
      </c>
    </row>
    <row r="1762" spans="1:12" x14ac:dyDescent="0.25">
      <c r="A1762" s="13">
        <v>23285115</v>
      </c>
      <c r="B1762" s="14" t="s">
        <v>547</v>
      </c>
      <c r="C1762" s="14" t="s">
        <v>5747</v>
      </c>
      <c r="D1762" s="14" t="s">
        <v>4131</v>
      </c>
      <c r="E1762" s="14" t="s">
        <v>4400</v>
      </c>
      <c r="F1762" s="21">
        <v>1027.73</v>
      </c>
      <c r="G1762" s="14">
        <v>734</v>
      </c>
      <c r="H1762" s="14">
        <v>1</v>
      </c>
      <c r="I1762" s="14">
        <v>40</v>
      </c>
      <c r="J1762" s="22">
        <v>0.79074446205492499</v>
      </c>
      <c r="K1762" s="22">
        <v>0.20925553794507501</v>
      </c>
      <c r="L1762" s="14">
        <v>0</v>
      </c>
    </row>
    <row r="1763" spans="1:12" x14ac:dyDescent="0.25">
      <c r="A1763" s="13">
        <v>23285297</v>
      </c>
      <c r="B1763" s="14" t="s">
        <v>547</v>
      </c>
      <c r="C1763" s="14" t="s">
        <v>5747</v>
      </c>
      <c r="D1763" s="14" t="s">
        <v>4131</v>
      </c>
      <c r="E1763" s="14" t="s">
        <v>4401</v>
      </c>
      <c r="F1763" s="21">
        <v>1027.73</v>
      </c>
      <c r="G1763" s="14">
        <v>681</v>
      </c>
      <c r="H1763" s="14">
        <v>0</v>
      </c>
      <c r="I1763" s="14">
        <v>16</v>
      </c>
      <c r="J1763" s="22">
        <v>0.59624536422112195</v>
      </c>
      <c r="K1763" s="22">
        <v>0.40375463577887899</v>
      </c>
      <c r="L1763" s="14">
        <v>0</v>
      </c>
    </row>
    <row r="1764" spans="1:12" x14ac:dyDescent="0.25">
      <c r="A1764" s="13" t="s">
        <v>7255</v>
      </c>
      <c r="B1764" s="14" t="s">
        <v>547</v>
      </c>
      <c r="C1764" s="14" t="s">
        <v>5748</v>
      </c>
      <c r="D1764" s="14" t="s">
        <v>4131</v>
      </c>
      <c r="E1764" s="14" t="s">
        <v>4403</v>
      </c>
      <c r="F1764" s="21">
        <v>1034.95</v>
      </c>
      <c r="G1764" s="14">
        <v>545</v>
      </c>
      <c r="H1764" s="14">
        <v>0</v>
      </c>
      <c r="I1764" s="14">
        <v>14</v>
      </c>
      <c r="J1764" s="22">
        <v>0.92093913809450001</v>
      </c>
      <c r="K1764" s="22">
        <v>7.9060861905500601E-2</v>
      </c>
      <c r="L1764" s="14">
        <v>0</v>
      </c>
    </row>
    <row r="1765" spans="1:12" x14ac:dyDescent="0.25">
      <c r="A1765" s="13" t="s">
        <v>4404</v>
      </c>
      <c r="B1765" s="14" t="s">
        <v>547</v>
      </c>
      <c r="C1765" s="14" t="s">
        <v>3994</v>
      </c>
      <c r="D1765" s="14" t="s">
        <v>4131</v>
      </c>
      <c r="E1765" s="14" t="s">
        <v>4405</v>
      </c>
      <c r="F1765" s="21">
        <v>1036.3800000000001</v>
      </c>
      <c r="G1765" s="14">
        <v>712</v>
      </c>
      <c r="H1765" s="14">
        <v>0</v>
      </c>
      <c r="I1765" s="14">
        <v>14</v>
      </c>
      <c r="J1765" s="22">
        <v>0.61478680747058401</v>
      </c>
      <c r="K1765" s="22">
        <v>0.38521319252941599</v>
      </c>
      <c r="L1765" s="14">
        <v>0</v>
      </c>
    </row>
    <row r="1766" spans="1:12" x14ac:dyDescent="0.25">
      <c r="A1766" s="13" t="s">
        <v>4406</v>
      </c>
      <c r="B1766" s="14" t="s">
        <v>547</v>
      </c>
      <c r="C1766" s="14" t="s">
        <v>3994</v>
      </c>
      <c r="D1766" s="14" t="s">
        <v>4131</v>
      </c>
      <c r="E1766" s="14" t="s">
        <v>4407</v>
      </c>
      <c r="F1766" s="21">
        <v>1036.78</v>
      </c>
      <c r="G1766" s="14">
        <v>923</v>
      </c>
      <c r="H1766" s="14">
        <v>0</v>
      </c>
      <c r="I1766" s="14" t="s">
        <v>6314</v>
      </c>
      <c r="J1766" s="22">
        <v>0.87253117254979695</v>
      </c>
      <c r="K1766" s="22">
        <v>0.12746882745020399</v>
      </c>
      <c r="L1766" s="14">
        <v>0</v>
      </c>
    </row>
    <row r="1767" spans="1:12" x14ac:dyDescent="0.25">
      <c r="A1767" s="13" t="s">
        <v>4408</v>
      </c>
      <c r="B1767" s="14" t="s">
        <v>547</v>
      </c>
      <c r="C1767" s="14" t="s">
        <v>3994</v>
      </c>
      <c r="D1767" s="14" t="s">
        <v>4131</v>
      </c>
      <c r="E1767" s="14" t="s">
        <v>4409</v>
      </c>
      <c r="F1767" s="21">
        <v>1040.21</v>
      </c>
      <c r="G1767" s="14">
        <v>37</v>
      </c>
      <c r="H1767" s="14">
        <v>1</v>
      </c>
      <c r="I1767" s="14">
        <v>10</v>
      </c>
      <c r="J1767" s="22">
        <v>0.25654336104351799</v>
      </c>
      <c r="K1767" s="22">
        <v>0.74345663895648195</v>
      </c>
      <c r="L1767" s="14">
        <v>0</v>
      </c>
    </row>
    <row r="1768" spans="1:12" x14ac:dyDescent="0.25">
      <c r="A1768" s="13" t="s">
        <v>7256</v>
      </c>
      <c r="B1768" s="14" t="s">
        <v>547</v>
      </c>
      <c r="C1768" s="14" t="s">
        <v>5749</v>
      </c>
      <c r="D1768" s="14" t="s">
        <v>4131</v>
      </c>
      <c r="E1768" s="14" t="s">
        <v>4411</v>
      </c>
      <c r="F1768" s="21">
        <v>1040.7</v>
      </c>
      <c r="G1768" s="14">
        <v>999</v>
      </c>
      <c r="H1768" s="14">
        <v>1</v>
      </c>
      <c r="I1768" s="14">
        <v>27</v>
      </c>
      <c r="J1768" s="22">
        <v>0.77919253566081004</v>
      </c>
      <c r="K1768" s="22">
        <v>0.22080746433918999</v>
      </c>
      <c r="L1768" s="14">
        <v>0</v>
      </c>
    </row>
    <row r="1769" spans="1:12" x14ac:dyDescent="0.25">
      <c r="A1769" s="13" t="s">
        <v>4412</v>
      </c>
      <c r="B1769" s="14" t="s">
        <v>547</v>
      </c>
      <c r="C1769" s="14" t="s">
        <v>5748</v>
      </c>
      <c r="D1769" s="14" t="s">
        <v>4131</v>
      </c>
      <c r="E1769" s="14" t="s">
        <v>4413</v>
      </c>
      <c r="F1769" s="21">
        <v>1040.75</v>
      </c>
      <c r="G1769" s="14">
        <v>238</v>
      </c>
      <c r="H1769" s="14">
        <v>1</v>
      </c>
      <c r="I1769" s="14">
        <v>28</v>
      </c>
      <c r="J1769" s="22">
        <v>0.76808040497848495</v>
      </c>
      <c r="K1769" s="22">
        <v>0.23191959502151499</v>
      </c>
      <c r="L1769" s="14">
        <v>0</v>
      </c>
    </row>
    <row r="1770" spans="1:12" ht="26.4" x14ac:dyDescent="0.25">
      <c r="A1770" s="20" t="s">
        <v>7257</v>
      </c>
      <c r="B1770" s="14" t="s">
        <v>547</v>
      </c>
      <c r="C1770" s="14" t="s">
        <v>5750</v>
      </c>
      <c r="D1770" s="14" t="s">
        <v>4131</v>
      </c>
      <c r="E1770" s="14" t="s">
        <v>4415</v>
      </c>
      <c r="F1770" s="21">
        <v>1040.8699999999999</v>
      </c>
      <c r="G1770" s="14">
        <v>94</v>
      </c>
      <c r="I1770" s="14">
        <v>21</v>
      </c>
      <c r="J1770" s="22">
        <v>0.28379625444569401</v>
      </c>
      <c r="K1770" s="22">
        <v>0.71620374555430599</v>
      </c>
      <c r="L1770" s="14">
        <v>0</v>
      </c>
    </row>
    <row r="1771" spans="1:12" x14ac:dyDescent="0.25">
      <c r="A1771" s="13" t="s">
        <v>7258</v>
      </c>
      <c r="B1771" s="14" t="s">
        <v>547</v>
      </c>
      <c r="C1771" s="14" t="s">
        <v>5748</v>
      </c>
      <c r="D1771" s="14" t="s">
        <v>4131</v>
      </c>
      <c r="E1771" s="14" t="s">
        <v>4417</v>
      </c>
      <c r="F1771" s="21">
        <v>1041.6600000000001</v>
      </c>
      <c r="H1771" s="14">
        <v>0</v>
      </c>
      <c r="I1771" s="14">
        <v>11</v>
      </c>
      <c r="J1771" s="22">
        <v>1.0549253382101401E-2</v>
      </c>
      <c r="K1771" s="22">
        <v>0.989450746617899</v>
      </c>
      <c r="L1771" s="14">
        <v>0</v>
      </c>
    </row>
    <row r="1772" spans="1:12" x14ac:dyDescent="0.25">
      <c r="A1772" s="13" t="s">
        <v>7259</v>
      </c>
      <c r="B1772" s="14" t="s">
        <v>547</v>
      </c>
      <c r="C1772" s="14" t="s">
        <v>5748</v>
      </c>
      <c r="D1772" s="14" t="s">
        <v>4131</v>
      </c>
      <c r="E1772" s="14" t="s">
        <v>4419</v>
      </c>
      <c r="F1772" s="21">
        <v>1044.3499999999999</v>
      </c>
      <c r="G1772" s="14">
        <v>153</v>
      </c>
      <c r="H1772" s="14">
        <v>0</v>
      </c>
      <c r="I1772" s="14">
        <v>46</v>
      </c>
      <c r="J1772" s="22">
        <v>0.96495526812434396</v>
      </c>
      <c r="K1772" s="22">
        <v>3.5044731875655898E-2</v>
      </c>
      <c r="L1772" s="14">
        <v>0</v>
      </c>
    </row>
    <row r="1773" spans="1:12" x14ac:dyDescent="0.25">
      <c r="A1773" s="13" t="s">
        <v>7260</v>
      </c>
      <c r="B1773" s="14" t="s">
        <v>547</v>
      </c>
      <c r="C1773" s="14" t="s">
        <v>5748</v>
      </c>
      <c r="D1773" s="14" t="s">
        <v>4131</v>
      </c>
      <c r="E1773" s="14" t="s">
        <v>4421</v>
      </c>
      <c r="F1773" s="21">
        <v>1044.55</v>
      </c>
      <c r="G1773" s="14">
        <v>299</v>
      </c>
      <c r="H1773" s="14">
        <v>0</v>
      </c>
      <c r="I1773" s="14">
        <v>49</v>
      </c>
      <c r="J1773" s="22">
        <v>0.40504335541484998</v>
      </c>
      <c r="K1773" s="22">
        <v>0.59495664458514996</v>
      </c>
      <c r="L1773" s="14">
        <v>0</v>
      </c>
    </row>
    <row r="1774" spans="1:12" x14ac:dyDescent="0.25">
      <c r="A1774" s="13">
        <v>23613963</v>
      </c>
      <c r="B1774" s="14" t="s">
        <v>547</v>
      </c>
      <c r="C1774" s="14" t="s">
        <v>5749</v>
      </c>
      <c r="D1774" s="14" t="s">
        <v>4131</v>
      </c>
      <c r="E1774" s="14" t="s">
        <v>4422</v>
      </c>
      <c r="F1774" s="21">
        <v>1044.73</v>
      </c>
      <c r="G1774" s="14">
        <v>493</v>
      </c>
      <c r="H1774" s="14">
        <v>1</v>
      </c>
      <c r="I1774" s="14">
        <v>37</v>
      </c>
      <c r="J1774" s="22">
        <v>0.109826704192911</v>
      </c>
      <c r="K1774" s="22">
        <v>0.89017329580709004</v>
      </c>
      <c r="L1774" s="14">
        <v>0</v>
      </c>
    </row>
    <row r="1775" spans="1:12" x14ac:dyDescent="0.25">
      <c r="A1775" s="13" t="s">
        <v>4423</v>
      </c>
      <c r="B1775" s="14" t="s">
        <v>547</v>
      </c>
      <c r="C1775" s="14" t="s">
        <v>3994</v>
      </c>
      <c r="D1775" s="14" t="s">
        <v>4131</v>
      </c>
      <c r="E1775" s="14" t="s">
        <v>4424</v>
      </c>
      <c r="F1775" s="21">
        <v>1044.74</v>
      </c>
      <c r="H1775" s="14">
        <v>1</v>
      </c>
      <c r="I1775" s="14">
        <v>3</v>
      </c>
      <c r="J1775" s="22">
        <v>9.5548972301483497E-3</v>
      </c>
      <c r="K1775" s="22">
        <v>0.99044510276985198</v>
      </c>
      <c r="L1775" s="14">
        <v>0</v>
      </c>
    </row>
    <row r="1776" spans="1:12" x14ac:dyDescent="0.25">
      <c r="A1776" s="13" t="s">
        <v>7261</v>
      </c>
      <c r="B1776" s="14" t="s">
        <v>547</v>
      </c>
      <c r="C1776" s="14" t="s">
        <v>5748</v>
      </c>
      <c r="D1776" s="14" t="s">
        <v>4131</v>
      </c>
      <c r="E1776" s="14" t="s">
        <v>4426</v>
      </c>
      <c r="F1776" s="21">
        <v>1046.74</v>
      </c>
      <c r="G1776" s="14">
        <v>54</v>
      </c>
      <c r="H1776" s="14">
        <v>0</v>
      </c>
      <c r="I1776" s="14">
        <v>6</v>
      </c>
      <c r="J1776" s="22">
        <v>0.78345903712899601</v>
      </c>
      <c r="K1776" s="22">
        <v>0.21654096287100399</v>
      </c>
      <c r="L1776" s="14">
        <v>0</v>
      </c>
    </row>
    <row r="1777" spans="1:12" x14ac:dyDescent="0.25">
      <c r="A1777" s="13" t="s">
        <v>7262</v>
      </c>
      <c r="B1777" s="14" t="s">
        <v>547</v>
      </c>
      <c r="C1777" s="14" t="s">
        <v>5748</v>
      </c>
      <c r="D1777" s="14" t="s">
        <v>4131</v>
      </c>
      <c r="E1777" s="14" t="s">
        <v>4428</v>
      </c>
      <c r="F1777" s="21">
        <v>1047.02</v>
      </c>
      <c r="G1777" s="14">
        <v>830</v>
      </c>
      <c r="H1777" s="14">
        <v>0</v>
      </c>
      <c r="I1777" s="14">
        <v>38</v>
      </c>
      <c r="J1777" s="22">
        <v>0.26384123133755299</v>
      </c>
      <c r="K1777" s="22">
        <v>0.73615876866244701</v>
      </c>
      <c r="L1777" s="14">
        <v>0</v>
      </c>
    </row>
    <row r="1778" spans="1:12" ht="26.4" x14ac:dyDescent="0.25">
      <c r="A1778" s="20" t="s">
        <v>7263</v>
      </c>
      <c r="B1778" s="14" t="s">
        <v>547</v>
      </c>
      <c r="C1778" s="14" t="s">
        <v>5748</v>
      </c>
      <c r="D1778" s="14" t="s">
        <v>4131</v>
      </c>
      <c r="E1778" s="14" t="s">
        <v>4430</v>
      </c>
      <c r="F1778" s="21">
        <v>1047.25</v>
      </c>
      <c r="G1778" s="14">
        <v>311</v>
      </c>
      <c r="H1778" s="14">
        <v>1</v>
      </c>
      <c r="I1778" s="14">
        <v>33</v>
      </c>
      <c r="J1778" s="22">
        <v>0.52196354183920601</v>
      </c>
      <c r="K1778" s="22">
        <v>0.47803645816079399</v>
      </c>
      <c r="L1778" s="14">
        <v>0</v>
      </c>
    </row>
    <row r="1779" spans="1:12" ht="26.4" x14ac:dyDescent="0.25">
      <c r="A1779" s="20" t="s">
        <v>7264</v>
      </c>
      <c r="B1779" s="14" t="s">
        <v>547</v>
      </c>
      <c r="C1779" s="14" t="s">
        <v>5748</v>
      </c>
      <c r="D1779" s="14" t="s">
        <v>4131</v>
      </c>
      <c r="E1779" s="14" t="s">
        <v>4432</v>
      </c>
      <c r="F1779" s="21">
        <v>1047.25</v>
      </c>
      <c r="G1779" s="14">
        <v>130</v>
      </c>
      <c r="H1779" s="14">
        <v>1</v>
      </c>
      <c r="I1779" s="14">
        <v>4</v>
      </c>
      <c r="J1779" s="22">
        <v>0.31204650784643101</v>
      </c>
      <c r="K1779" s="22">
        <v>0.68795349215356905</v>
      </c>
      <c r="L1779" s="14">
        <v>0</v>
      </c>
    </row>
    <row r="1780" spans="1:12" x14ac:dyDescent="0.25">
      <c r="A1780" s="13" t="s">
        <v>7265</v>
      </c>
      <c r="B1780" s="14" t="s">
        <v>547</v>
      </c>
      <c r="C1780" s="14" t="s">
        <v>5747</v>
      </c>
      <c r="D1780" s="14" t="s">
        <v>4131</v>
      </c>
      <c r="E1780" s="14" t="s">
        <v>4434</v>
      </c>
      <c r="F1780" s="21">
        <v>1048.79</v>
      </c>
      <c r="G1780" s="14">
        <v>663</v>
      </c>
      <c r="H1780" s="14">
        <v>1</v>
      </c>
      <c r="I1780" s="14">
        <v>35</v>
      </c>
      <c r="J1780" s="22">
        <v>0.60412165665904505</v>
      </c>
      <c r="K1780" s="22">
        <v>0.39587834334095501</v>
      </c>
      <c r="L1780" s="14">
        <v>0</v>
      </c>
    </row>
    <row r="1781" spans="1:12" x14ac:dyDescent="0.25">
      <c r="A1781" s="13" t="s">
        <v>4435</v>
      </c>
      <c r="B1781" s="14" t="s">
        <v>547</v>
      </c>
      <c r="C1781" s="14" t="s">
        <v>3994</v>
      </c>
      <c r="D1781" s="14" t="s">
        <v>4131</v>
      </c>
      <c r="E1781" s="14" t="s">
        <v>4436</v>
      </c>
      <c r="F1781" s="21">
        <v>1056.24</v>
      </c>
      <c r="G1781" s="14">
        <v>805</v>
      </c>
      <c r="H1781" s="14">
        <v>0</v>
      </c>
      <c r="I1781" s="14">
        <v>32</v>
      </c>
      <c r="J1781" s="22">
        <v>9.2734256586647898E-2</v>
      </c>
      <c r="K1781" s="22">
        <v>0.90726574341335198</v>
      </c>
      <c r="L1781" s="14">
        <v>0</v>
      </c>
    </row>
    <row r="1782" spans="1:12" x14ac:dyDescent="0.25">
      <c r="A1782" s="13" t="s">
        <v>4437</v>
      </c>
      <c r="B1782" s="14" t="s">
        <v>547</v>
      </c>
      <c r="C1782" s="14" t="s">
        <v>5748</v>
      </c>
      <c r="D1782" s="14" t="s">
        <v>4131</v>
      </c>
      <c r="E1782" s="14" t="s">
        <v>4438</v>
      </c>
      <c r="F1782" s="21">
        <v>1057.92</v>
      </c>
      <c r="G1782" s="14">
        <v>281</v>
      </c>
      <c r="H1782" s="14">
        <v>0</v>
      </c>
      <c r="I1782" s="14">
        <v>5</v>
      </c>
      <c r="J1782" s="22">
        <v>0.97317760739889103</v>
      </c>
      <c r="K1782" s="22">
        <v>2.6822392601109201E-2</v>
      </c>
      <c r="L1782" s="14">
        <v>0</v>
      </c>
    </row>
    <row r="1783" spans="1:12" x14ac:dyDescent="0.25">
      <c r="A1783" s="13">
        <v>23505454</v>
      </c>
      <c r="B1783" s="14" t="s">
        <v>547</v>
      </c>
      <c r="C1783" s="14" t="s">
        <v>5750</v>
      </c>
      <c r="D1783" s="14" t="s">
        <v>4131</v>
      </c>
      <c r="E1783" s="14" t="s">
        <v>4439</v>
      </c>
      <c r="F1783" s="21">
        <v>1060</v>
      </c>
      <c r="G1783" s="14">
        <v>159</v>
      </c>
      <c r="H1783" s="14">
        <v>0</v>
      </c>
      <c r="I1783" s="14">
        <v>20</v>
      </c>
      <c r="J1783" s="22">
        <v>0.96766624051502903</v>
      </c>
      <c r="K1783" s="22">
        <v>3.2333759484971303E-2</v>
      </c>
      <c r="L1783" s="14">
        <v>0</v>
      </c>
    </row>
    <row r="1784" spans="1:12" x14ac:dyDescent="0.25">
      <c r="A1784" s="13" t="s">
        <v>4440</v>
      </c>
      <c r="B1784" s="14" t="s">
        <v>547</v>
      </c>
      <c r="C1784" s="14" t="s">
        <v>5748</v>
      </c>
      <c r="D1784" s="14" t="s">
        <v>4131</v>
      </c>
      <c r="E1784" s="14" t="s">
        <v>4441</v>
      </c>
      <c r="F1784" s="21">
        <v>1060.06</v>
      </c>
      <c r="G1784" s="14">
        <v>470</v>
      </c>
      <c r="H1784" s="14">
        <v>0</v>
      </c>
      <c r="I1784" s="14">
        <v>23</v>
      </c>
      <c r="J1784" s="22">
        <v>0.100020501022862</v>
      </c>
      <c r="K1784" s="22">
        <v>0.89997949897713803</v>
      </c>
      <c r="L1784" s="14">
        <v>0</v>
      </c>
    </row>
    <row r="1785" spans="1:12" x14ac:dyDescent="0.25">
      <c r="A1785" s="13" t="s">
        <v>7266</v>
      </c>
      <c r="B1785" s="14" t="s">
        <v>547</v>
      </c>
      <c r="C1785" s="14" t="s">
        <v>5748</v>
      </c>
      <c r="D1785" s="14" t="s">
        <v>4131</v>
      </c>
      <c r="E1785" s="14" t="s">
        <v>4443</v>
      </c>
      <c r="F1785" s="21">
        <v>1063.55</v>
      </c>
      <c r="G1785" s="14">
        <v>717</v>
      </c>
      <c r="H1785" s="14">
        <v>0</v>
      </c>
      <c r="I1785" s="14">
        <v>21</v>
      </c>
      <c r="J1785" s="22">
        <v>0.74509611621818095</v>
      </c>
      <c r="K1785" s="22">
        <v>0.254903883781819</v>
      </c>
      <c r="L1785" s="14">
        <v>0</v>
      </c>
    </row>
    <row r="1786" spans="1:12" x14ac:dyDescent="0.25">
      <c r="A1786" s="13" t="s">
        <v>4444</v>
      </c>
      <c r="B1786" s="14" t="s">
        <v>547</v>
      </c>
      <c r="C1786" s="14" t="s">
        <v>5748</v>
      </c>
      <c r="D1786" s="14" t="s">
        <v>4131</v>
      </c>
      <c r="E1786" s="14" t="s">
        <v>4445</v>
      </c>
      <c r="F1786" s="21">
        <v>1063.69</v>
      </c>
      <c r="G1786" s="14">
        <v>433</v>
      </c>
      <c r="H1786" s="14">
        <v>0</v>
      </c>
      <c r="I1786" s="14">
        <v>27</v>
      </c>
      <c r="J1786" s="22">
        <v>0.63456444440481197</v>
      </c>
      <c r="K1786" s="22">
        <v>0.36543555559518798</v>
      </c>
      <c r="L1786" s="14">
        <v>0</v>
      </c>
    </row>
    <row r="1787" spans="1:12" x14ac:dyDescent="0.25">
      <c r="A1787" s="13" t="s">
        <v>7267</v>
      </c>
      <c r="B1787" s="14" t="s">
        <v>547</v>
      </c>
      <c r="C1787" s="14" t="s">
        <v>5748</v>
      </c>
      <c r="D1787" s="14" t="s">
        <v>4131</v>
      </c>
      <c r="E1787" s="14" t="s">
        <v>4447</v>
      </c>
      <c r="F1787" s="21">
        <v>1063.69</v>
      </c>
      <c r="G1787" s="14">
        <v>874</v>
      </c>
      <c r="H1787" s="14">
        <v>1</v>
      </c>
      <c r="I1787" s="14">
        <v>11</v>
      </c>
      <c r="J1787" s="22">
        <v>0.40933648631898101</v>
      </c>
      <c r="K1787" s="22">
        <v>0.59066351368101899</v>
      </c>
      <c r="L1787" s="14">
        <v>0</v>
      </c>
    </row>
    <row r="1788" spans="1:12" x14ac:dyDescent="0.25">
      <c r="A1788" s="13" t="s">
        <v>4448</v>
      </c>
      <c r="B1788" s="14" t="s">
        <v>547</v>
      </c>
      <c r="C1788" s="14" t="s">
        <v>5748</v>
      </c>
      <c r="D1788" s="14" t="s">
        <v>4131</v>
      </c>
      <c r="E1788" s="14" t="s">
        <v>4449</v>
      </c>
      <c r="F1788" s="21">
        <v>1064.04</v>
      </c>
      <c r="G1788" s="14">
        <v>808</v>
      </c>
      <c r="H1788" s="14">
        <v>1</v>
      </c>
      <c r="I1788" s="14">
        <v>29</v>
      </c>
      <c r="J1788" s="22">
        <v>0.41011226631849501</v>
      </c>
      <c r="K1788" s="22">
        <v>0.58988773368150504</v>
      </c>
      <c r="L1788" s="14">
        <v>0</v>
      </c>
    </row>
    <row r="1789" spans="1:12" x14ac:dyDescent="0.25">
      <c r="A1789" s="13" t="s">
        <v>4450</v>
      </c>
      <c r="B1789" s="14" t="s">
        <v>547</v>
      </c>
      <c r="C1789" s="14" t="s">
        <v>5748</v>
      </c>
      <c r="D1789" s="14" t="s">
        <v>4131</v>
      </c>
      <c r="E1789" s="14" t="s">
        <v>4451</v>
      </c>
      <c r="F1789" s="21">
        <v>1064.04</v>
      </c>
      <c r="G1789" s="14">
        <v>218</v>
      </c>
      <c r="H1789" s="14">
        <v>1</v>
      </c>
      <c r="I1789" s="14">
        <v>23</v>
      </c>
      <c r="J1789" s="22">
        <v>0.25572823575115</v>
      </c>
      <c r="K1789" s="22">
        <v>0.74427176424885</v>
      </c>
      <c r="L1789" s="14">
        <v>0</v>
      </c>
    </row>
    <row r="1790" spans="1:12" x14ac:dyDescent="0.25">
      <c r="A1790" s="13">
        <v>3759422</v>
      </c>
      <c r="B1790" s="14" t="s">
        <v>547</v>
      </c>
      <c r="C1790" s="14" t="s">
        <v>5748</v>
      </c>
      <c r="D1790" s="14" t="s">
        <v>4131</v>
      </c>
      <c r="E1790" s="14" t="s">
        <v>4453</v>
      </c>
      <c r="F1790" s="21">
        <v>1064.22</v>
      </c>
      <c r="G1790" s="14">
        <v>668</v>
      </c>
      <c r="H1790" s="14">
        <v>1</v>
      </c>
      <c r="I1790" s="14">
        <v>36</v>
      </c>
      <c r="J1790" s="22">
        <v>6.4806225906863496E-2</v>
      </c>
      <c r="K1790" s="22">
        <v>0.93519377409313698</v>
      </c>
      <c r="L1790" s="14">
        <v>0</v>
      </c>
    </row>
    <row r="1791" spans="1:12" x14ac:dyDescent="0.25">
      <c r="A1791" s="13" t="s">
        <v>4454</v>
      </c>
      <c r="B1791" s="14" t="s">
        <v>547</v>
      </c>
      <c r="C1791" s="14" t="s">
        <v>5748</v>
      </c>
      <c r="D1791" s="14" t="s">
        <v>4131</v>
      </c>
      <c r="E1791" s="14" t="s">
        <v>4455</v>
      </c>
      <c r="F1791" s="21">
        <v>1065.58</v>
      </c>
      <c r="G1791" s="14">
        <v>361</v>
      </c>
      <c r="H1791" s="14">
        <v>1</v>
      </c>
      <c r="I1791" s="14">
        <v>14</v>
      </c>
      <c r="J1791" s="22">
        <v>0.56567857541154998</v>
      </c>
      <c r="K1791" s="22">
        <v>0.43432142458845002</v>
      </c>
      <c r="L1791" s="14">
        <v>0</v>
      </c>
    </row>
    <row r="1792" spans="1:12" x14ac:dyDescent="0.25">
      <c r="A1792" s="13" t="s">
        <v>4456</v>
      </c>
      <c r="B1792" s="14" t="s">
        <v>547</v>
      </c>
      <c r="C1792" s="14" t="s">
        <v>5748</v>
      </c>
      <c r="D1792" s="14" t="s">
        <v>4131</v>
      </c>
      <c r="E1792" s="14" t="s">
        <v>4457</v>
      </c>
      <c r="F1792" s="21">
        <v>1068.1099999999999</v>
      </c>
      <c r="G1792" s="14">
        <v>127</v>
      </c>
      <c r="H1792" s="14">
        <v>1</v>
      </c>
      <c r="I1792" s="14" t="s">
        <v>6314</v>
      </c>
      <c r="J1792" s="22">
        <v>0.576737088805924</v>
      </c>
      <c r="K1792" s="22">
        <v>0.423262911194076</v>
      </c>
      <c r="L1792" s="14">
        <v>0</v>
      </c>
    </row>
    <row r="1793" spans="1:12" ht="26.4" x14ac:dyDescent="0.25">
      <c r="A1793" s="20" t="s">
        <v>7268</v>
      </c>
      <c r="B1793" s="14" t="s">
        <v>547</v>
      </c>
      <c r="C1793" s="14" t="s">
        <v>5748</v>
      </c>
      <c r="D1793" s="14" t="s">
        <v>4131</v>
      </c>
      <c r="E1793" s="14" t="s">
        <v>4459</v>
      </c>
      <c r="F1793" s="21">
        <v>1068.1199999999999</v>
      </c>
      <c r="G1793" s="14">
        <v>976</v>
      </c>
      <c r="H1793" s="14">
        <v>0</v>
      </c>
      <c r="I1793" s="14">
        <v>12</v>
      </c>
      <c r="J1793" s="22">
        <v>0.21085857380678699</v>
      </c>
      <c r="K1793" s="22">
        <v>0.78914142619321304</v>
      </c>
      <c r="L1793" s="14">
        <v>0</v>
      </c>
    </row>
    <row r="1794" spans="1:12" ht="39.6" x14ac:dyDescent="0.25">
      <c r="A1794" s="20" t="s">
        <v>7269</v>
      </c>
      <c r="B1794" s="14" t="s">
        <v>547</v>
      </c>
      <c r="C1794" s="14" t="s">
        <v>5747</v>
      </c>
      <c r="D1794" s="14" t="s">
        <v>4131</v>
      </c>
      <c r="E1794" s="14" t="s">
        <v>4461</v>
      </c>
      <c r="F1794" s="21">
        <v>1068.1199999999999</v>
      </c>
      <c r="G1794" s="14">
        <v>602</v>
      </c>
      <c r="H1794" s="14">
        <v>0</v>
      </c>
      <c r="I1794" s="14">
        <v>18</v>
      </c>
      <c r="J1794" s="22">
        <v>0.22711351270830299</v>
      </c>
      <c r="K1794" s="22">
        <v>0.77288648729169696</v>
      </c>
      <c r="L1794" s="14">
        <v>0</v>
      </c>
    </row>
    <row r="1795" spans="1:12" ht="26.4" x14ac:dyDescent="0.25">
      <c r="A1795" s="20" t="s">
        <v>7270</v>
      </c>
      <c r="B1795" s="14" t="s">
        <v>547</v>
      </c>
      <c r="C1795" s="14" t="s">
        <v>5748</v>
      </c>
      <c r="D1795" s="14" t="s">
        <v>4131</v>
      </c>
      <c r="E1795" s="14" t="s">
        <v>4463</v>
      </c>
      <c r="F1795" s="21">
        <v>1068.19</v>
      </c>
      <c r="G1795" s="14">
        <v>436</v>
      </c>
      <c r="H1795" s="14">
        <v>1</v>
      </c>
      <c r="I1795" s="14">
        <v>16</v>
      </c>
      <c r="J1795" s="22">
        <v>0.85720200667444302</v>
      </c>
      <c r="K1795" s="22">
        <v>0.14279799332555701</v>
      </c>
      <c r="L1795" s="14">
        <v>0</v>
      </c>
    </row>
    <row r="1796" spans="1:12" x14ac:dyDescent="0.25">
      <c r="A1796" s="13" t="s">
        <v>4464</v>
      </c>
      <c r="B1796" s="14" t="s">
        <v>547</v>
      </c>
      <c r="C1796" s="14" t="s">
        <v>3994</v>
      </c>
      <c r="D1796" s="14" t="s">
        <v>4131</v>
      </c>
      <c r="E1796" s="14" t="s">
        <v>4465</v>
      </c>
      <c r="F1796" s="21">
        <v>1068.23</v>
      </c>
      <c r="G1796" s="14">
        <v>842</v>
      </c>
      <c r="H1796" s="14">
        <v>0</v>
      </c>
      <c r="I1796" s="14">
        <v>16</v>
      </c>
      <c r="J1796" s="22">
        <v>4.4306012426176301E-3</v>
      </c>
      <c r="K1796" s="22">
        <v>0.99556939875738204</v>
      </c>
      <c r="L1796" s="14">
        <v>0</v>
      </c>
    </row>
    <row r="1797" spans="1:12" x14ac:dyDescent="0.25">
      <c r="A1797" s="13" t="s">
        <v>4466</v>
      </c>
      <c r="B1797" s="14" t="s">
        <v>547</v>
      </c>
      <c r="C1797" s="14" t="s">
        <v>5748</v>
      </c>
      <c r="D1797" s="14" t="s">
        <v>4131</v>
      </c>
      <c r="E1797" s="14" t="s">
        <v>4467</v>
      </c>
      <c r="F1797" s="21">
        <v>1072.8499999999999</v>
      </c>
      <c r="G1797" s="14">
        <v>820</v>
      </c>
      <c r="H1797" s="14">
        <v>0</v>
      </c>
      <c r="I1797" s="14">
        <v>18</v>
      </c>
      <c r="J1797" s="22">
        <v>0.98892899323299899</v>
      </c>
      <c r="K1797" s="22">
        <v>1.10710067670009E-2</v>
      </c>
      <c r="L1797" s="14">
        <v>0</v>
      </c>
    </row>
    <row r="1798" spans="1:12" x14ac:dyDescent="0.25">
      <c r="A1798" s="13" t="s">
        <v>4468</v>
      </c>
      <c r="B1798" s="14" t="s">
        <v>547</v>
      </c>
      <c r="C1798" s="14" t="s">
        <v>5748</v>
      </c>
      <c r="D1798" s="14" t="s">
        <v>4131</v>
      </c>
      <c r="E1798" s="14" t="s">
        <v>4469</v>
      </c>
      <c r="F1798" s="21">
        <v>1072.92</v>
      </c>
      <c r="G1798" s="14">
        <v>274</v>
      </c>
      <c r="H1798" s="14">
        <v>0</v>
      </c>
      <c r="I1798" s="14">
        <v>27</v>
      </c>
      <c r="J1798" s="22">
        <v>0.43190722297767697</v>
      </c>
      <c r="K1798" s="22">
        <v>0.56809277702232297</v>
      </c>
      <c r="L1798" s="14">
        <v>0</v>
      </c>
    </row>
    <row r="1799" spans="1:12" x14ac:dyDescent="0.25">
      <c r="A1799" s="13">
        <v>23922795</v>
      </c>
      <c r="B1799" s="14" t="s">
        <v>547</v>
      </c>
      <c r="C1799" s="14" t="s">
        <v>5749</v>
      </c>
      <c r="D1799" s="14" t="s">
        <v>4131</v>
      </c>
      <c r="E1799" s="14" t="s">
        <v>7271</v>
      </c>
      <c r="F1799" s="21">
        <v>1075.98</v>
      </c>
      <c r="G1799" s="14">
        <v>315</v>
      </c>
      <c r="H1799" s="14">
        <v>0</v>
      </c>
      <c r="I1799" s="14">
        <v>14</v>
      </c>
      <c r="J1799" s="22">
        <v>0.97788104819184796</v>
      </c>
      <c r="K1799" s="22">
        <v>2.2118951808152001E-2</v>
      </c>
      <c r="L1799" s="14">
        <v>0</v>
      </c>
    </row>
    <row r="1800" spans="1:12" x14ac:dyDescent="0.25">
      <c r="A1800" s="13" t="s">
        <v>7272</v>
      </c>
      <c r="B1800" s="14" t="s">
        <v>547</v>
      </c>
      <c r="C1800" s="14" t="s">
        <v>5748</v>
      </c>
      <c r="D1800" s="14" t="s">
        <v>4131</v>
      </c>
      <c r="E1800" s="14" t="s">
        <v>7273</v>
      </c>
      <c r="F1800" s="21">
        <v>1076.94</v>
      </c>
      <c r="G1800" s="14">
        <v>294</v>
      </c>
      <c r="H1800" s="14">
        <v>0</v>
      </c>
      <c r="I1800" s="14">
        <v>2</v>
      </c>
      <c r="J1800" s="22">
        <v>0.44995695716189099</v>
      </c>
      <c r="K1800" s="22">
        <v>0.55004304283810901</v>
      </c>
      <c r="L1800" s="14">
        <v>0</v>
      </c>
    </row>
    <row r="1801" spans="1:12" ht="39.6" x14ac:dyDescent="0.25">
      <c r="A1801" s="13">
        <v>23451279</v>
      </c>
      <c r="B1801" s="14" t="s">
        <v>547</v>
      </c>
      <c r="C1801" s="14" t="s">
        <v>5753</v>
      </c>
      <c r="D1801" s="14" t="s">
        <v>4131</v>
      </c>
      <c r="E1801" s="23" t="s">
        <v>7274</v>
      </c>
      <c r="F1801" s="21">
        <v>1079.6400000000001</v>
      </c>
      <c r="H1801" s="14">
        <v>0</v>
      </c>
      <c r="I1801" s="14">
        <v>27</v>
      </c>
      <c r="J1801" s="22">
        <v>8.8667192414358907E-3</v>
      </c>
      <c r="K1801" s="22">
        <v>0.99113328075856399</v>
      </c>
      <c r="L1801" s="14">
        <v>0</v>
      </c>
    </row>
    <row r="1802" spans="1:12" x14ac:dyDescent="0.25">
      <c r="A1802" s="13">
        <v>23805333</v>
      </c>
      <c r="B1802" s="14" t="s">
        <v>547</v>
      </c>
      <c r="C1802" s="14" t="s">
        <v>5749</v>
      </c>
      <c r="D1802" s="14" t="s">
        <v>4131</v>
      </c>
      <c r="E1802" s="14" t="s">
        <v>4474</v>
      </c>
      <c r="F1802" s="21">
        <v>1085.6099999999999</v>
      </c>
      <c r="G1802" s="14">
        <v>552</v>
      </c>
      <c r="H1802" s="14">
        <v>1</v>
      </c>
      <c r="I1802" s="14">
        <v>10</v>
      </c>
      <c r="J1802" s="22">
        <v>0.93751391130692596</v>
      </c>
      <c r="K1802" s="22">
        <v>6.2486088693073802E-2</v>
      </c>
      <c r="L1802" s="14">
        <v>0</v>
      </c>
    </row>
    <row r="1803" spans="1:12" x14ac:dyDescent="0.25">
      <c r="A1803" s="13" t="s">
        <v>7275</v>
      </c>
      <c r="B1803" s="14" t="s">
        <v>547</v>
      </c>
      <c r="C1803" s="14" t="s">
        <v>3994</v>
      </c>
      <c r="D1803" s="14" t="s">
        <v>4131</v>
      </c>
      <c r="E1803" s="14" t="s">
        <v>4476</v>
      </c>
      <c r="F1803" s="21">
        <v>1331.13</v>
      </c>
      <c r="G1803" s="14">
        <v>878</v>
      </c>
      <c r="H1803" s="14">
        <v>0</v>
      </c>
      <c r="I1803" s="14">
        <v>22</v>
      </c>
      <c r="J1803" s="22">
        <v>0.83640285234689904</v>
      </c>
      <c r="K1803" s="22">
        <v>0.16359714765310099</v>
      </c>
      <c r="L1803" s="14">
        <v>0</v>
      </c>
    </row>
    <row r="1804" spans="1:12" x14ac:dyDescent="0.25">
      <c r="A1804" s="13">
        <v>23967111</v>
      </c>
      <c r="B1804" s="14" t="s">
        <v>547</v>
      </c>
      <c r="C1804" s="14" t="s">
        <v>5748</v>
      </c>
      <c r="D1804" s="14" t="s">
        <v>4131</v>
      </c>
      <c r="E1804" s="14" t="s">
        <v>4477</v>
      </c>
      <c r="F1804" s="21">
        <v>1395.78</v>
      </c>
      <c r="G1804" s="14">
        <v>124</v>
      </c>
      <c r="H1804" s="14">
        <v>0</v>
      </c>
      <c r="I1804" s="14" t="s">
        <v>6314</v>
      </c>
      <c r="J1804" s="22">
        <v>0.51053164096047998</v>
      </c>
      <c r="K1804" s="22">
        <v>0.48946835903952102</v>
      </c>
      <c r="L1804" s="14">
        <v>0</v>
      </c>
    </row>
    <row r="1805" spans="1:12" ht="39.6" x14ac:dyDescent="0.25">
      <c r="A1805" s="13" t="s">
        <v>7276</v>
      </c>
      <c r="B1805" s="14" t="s">
        <v>547</v>
      </c>
      <c r="C1805" s="14" t="s">
        <v>5748</v>
      </c>
      <c r="D1805" s="14" t="s">
        <v>4131</v>
      </c>
      <c r="E1805" s="23" t="s">
        <v>7277</v>
      </c>
      <c r="F1805" s="21">
        <v>1541.48</v>
      </c>
      <c r="G1805" s="14">
        <v>732</v>
      </c>
      <c r="H1805" s="14">
        <v>1</v>
      </c>
      <c r="I1805" s="14">
        <v>42</v>
      </c>
      <c r="J1805" s="22">
        <v>0.85941264388445504</v>
      </c>
      <c r="K1805" s="22">
        <v>0.14058735611554499</v>
      </c>
      <c r="L1805" s="14">
        <v>0</v>
      </c>
    </row>
    <row r="1806" spans="1:12" x14ac:dyDescent="0.25">
      <c r="A1806" s="13">
        <v>23991236</v>
      </c>
      <c r="B1806" s="14" t="s">
        <v>547</v>
      </c>
      <c r="C1806" s="14" t="s">
        <v>5754</v>
      </c>
      <c r="D1806" s="14" t="s">
        <v>4131</v>
      </c>
      <c r="E1806" s="14" t="s">
        <v>4480</v>
      </c>
      <c r="F1806" s="21">
        <v>1692</v>
      </c>
      <c r="G1806" s="14">
        <v>823</v>
      </c>
      <c r="H1806" s="14">
        <v>0</v>
      </c>
      <c r="I1806" s="14">
        <v>48</v>
      </c>
      <c r="J1806" s="22">
        <v>0.52359884547368896</v>
      </c>
      <c r="K1806" s="22">
        <v>0.47640115452631099</v>
      </c>
      <c r="L1806" s="14">
        <v>0</v>
      </c>
    </row>
    <row r="1807" spans="1:12" x14ac:dyDescent="0.25">
      <c r="A1807" s="13">
        <v>23853603</v>
      </c>
      <c r="B1807" s="14" t="s">
        <v>547</v>
      </c>
      <c r="C1807" s="14" t="s">
        <v>5750</v>
      </c>
      <c r="D1807" s="14" t="s">
        <v>4131</v>
      </c>
      <c r="E1807" s="14" t="s">
        <v>4481</v>
      </c>
      <c r="F1807" s="21">
        <v>1745</v>
      </c>
      <c r="G1807" s="14">
        <v>101</v>
      </c>
      <c r="H1807" s="14">
        <v>0</v>
      </c>
      <c r="I1807" s="14">
        <v>4</v>
      </c>
      <c r="J1807" s="22">
        <v>0.53697223324903098</v>
      </c>
      <c r="K1807" s="22">
        <v>0.46302776675096902</v>
      </c>
      <c r="L1807" s="14">
        <v>0</v>
      </c>
    </row>
    <row r="1808" spans="1:12" x14ac:dyDescent="0.25">
      <c r="A1808" s="13" t="s">
        <v>7278</v>
      </c>
      <c r="B1808" s="14" t="s">
        <v>547</v>
      </c>
      <c r="C1808" s="14" t="s">
        <v>5748</v>
      </c>
      <c r="D1808" s="14" t="s">
        <v>4131</v>
      </c>
      <c r="E1808" s="14" t="s">
        <v>4483</v>
      </c>
      <c r="F1808" s="21">
        <v>1775.5</v>
      </c>
      <c r="G1808" s="14">
        <v>142</v>
      </c>
      <c r="H1808" s="14">
        <v>0</v>
      </c>
      <c r="I1808" s="14">
        <v>48</v>
      </c>
      <c r="J1808" s="22">
        <v>0.21554321280747499</v>
      </c>
      <c r="K1808" s="22">
        <v>0.78445678719252498</v>
      </c>
      <c r="L1808" s="14">
        <v>0</v>
      </c>
    </row>
    <row r="1809" spans="1:12" x14ac:dyDescent="0.25">
      <c r="A1809" s="13" t="s">
        <v>7279</v>
      </c>
      <c r="B1809" s="14" t="s">
        <v>547</v>
      </c>
      <c r="C1809" s="14" t="s">
        <v>5748</v>
      </c>
      <c r="D1809" s="14" t="s">
        <v>4131</v>
      </c>
      <c r="E1809" s="14" t="s">
        <v>4485</v>
      </c>
      <c r="F1809" s="21">
        <v>1785.36</v>
      </c>
      <c r="G1809" s="14">
        <v>176</v>
      </c>
      <c r="H1809" s="14">
        <v>0</v>
      </c>
      <c r="I1809" s="14">
        <v>29</v>
      </c>
      <c r="J1809" s="22">
        <v>0.64737693147856001</v>
      </c>
      <c r="K1809" s="22">
        <v>0.35262306852143999</v>
      </c>
      <c r="L1809" s="14">
        <v>0</v>
      </c>
    </row>
    <row r="1810" spans="1:12" x14ac:dyDescent="0.25">
      <c r="A1810" s="13">
        <v>3547931</v>
      </c>
      <c r="B1810" s="14" t="s">
        <v>547</v>
      </c>
      <c r="C1810" s="14" t="s">
        <v>5748</v>
      </c>
      <c r="D1810" s="14" t="s">
        <v>4131</v>
      </c>
      <c r="E1810" s="14" t="s">
        <v>7280</v>
      </c>
      <c r="F1810" s="21">
        <v>1926.45</v>
      </c>
      <c r="G1810" s="14">
        <v>371</v>
      </c>
      <c r="H1810" s="14">
        <v>1</v>
      </c>
      <c r="I1810" s="14">
        <v>37</v>
      </c>
      <c r="J1810" s="22">
        <v>5.9094612543528102E-2</v>
      </c>
      <c r="K1810" s="22">
        <v>0.94090538745647201</v>
      </c>
      <c r="L1810" s="14">
        <v>0</v>
      </c>
    </row>
    <row r="1811" spans="1:12" x14ac:dyDescent="0.25">
      <c r="A1811" s="13" t="s">
        <v>4488</v>
      </c>
      <c r="B1811" s="14" t="s">
        <v>3996</v>
      </c>
      <c r="C1811" s="14" t="s">
        <v>5759</v>
      </c>
      <c r="D1811" s="14" t="s">
        <v>4490</v>
      </c>
      <c r="E1811" s="14" t="s">
        <v>4491</v>
      </c>
      <c r="F1811" s="21">
        <v>1343.73</v>
      </c>
      <c r="G1811" s="14">
        <v>492</v>
      </c>
      <c r="H1811" s="14">
        <v>1</v>
      </c>
      <c r="I1811" s="14">
        <v>6</v>
      </c>
      <c r="J1811" s="22">
        <v>0.96081752496391404</v>
      </c>
      <c r="K1811" s="22">
        <v>3.9182475036086302E-2</v>
      </c>
      <c r="L1811" s="14">
        <v>0</v>
      </c>
    </row>
    <row r="1812" spans="1:12" x14ac:dyDescent="0.25">
      <c r="A1812" s="13" t="s">
        <v>4492</v>
      </c>
      <c r="B1812" s="14" t="s">
        <v>3996</v>
      </c>
      <c r="C1812" s="14" t="s">
        <v>5759</v>
      </c>
      <c r="D1812" s="14" t="s">
        <v>4490</v>
      </c>
      <c r="E1812" s="14" t="s">
        <v>4493</v>
      </c>
      <c r="F1812" s="21">
        <v>1438.45</v>
      </c>
      <c r="G1812" s="14">
        <v>848</v>
      </c>
      <c r="H1812" s="14">
        <v>1</v>
      </c>
      <c r="I1812" s="14">
        <v>20</v>
      </c>
      <c r="J1812" s="22">
        <v>0.38953265845069901</v>
      </c>
      <c r="K1812" s="22">
        <v>0.61046734154930204</v>
      </c>
      <c r="L1812" s="14">
        <v>0</v>
      </c>
    </row>
    <row r="1813" spans="1:12" ht="39.6" x14ac:dyDescent="0.25">
      <c r="A1813" s="20" t="s">
        <v>7281</v>
      </c>
      <c r="B1813" s="14" t="s">
        <v>547</v>
      </c>
      <c r="C1813" s="14" t="s">
        <v>4489</v>
      </c>
      <c r="D1813" s="14" t="s">
        <v>4490</v>
      </c>
      <c r="E1813" s="14" t="s">
        <v>4495</v>
      </c>
      <c r="F1813" s="21">
        <v>1254.02</v>
      </c>
      <c r="G1813" s="14">
        <v>55</v>
      </c>
      <c r="H1813" s="14">
        <v>0</v>
      </c>
      <c r="I1813" s="14">
        <v>12</v>
      </c>
      <c r="J1813" s="22">
        <v>0.74816417375789401</v>
      </c>
      <c r="K1813" s="22">
        <v>0.25183582624210699</v>
      </c>
      <c r="L1813" s="14">
        <v>0</v>
      </c>
    </row>
    <row r="1814" spans="1:12" x14ac:dyDescent="0.25">
      <c r="A1814" s="13">
        <v>23326235</v>
      </c>
      <c r="B1814" s="14" t="s">
        <v>547</v>
      </c>
      <c r="C1814" s="14" t="s">
        <v>4489</v>
      </c>
      <c r="D1814" s="14" t="s">
        <v>4490</v>
      </c>
      <c r="E1814" s="14" t="s">
        <v>4496</v>
      </c>
      <c r="F1814" s="21">
        <v>1397</v>
      </c>
      <c r="G1814" s="14">
        <v>341</v>
      </c>
      <c r="H1814" s="14">
        <v>0</v>
      </c>
      <c r="I1814" s="14">
        <v>29</v>
      </c>
      <c r="J1814" s="22">
        <v>0.51695010121565999</v>
      </c>
      <c r="K1814" s="22">
        <v>0.48304989878434001</v>
      </c>
      <c r="L1814" s="14">
        <v>0</v>
      </c>
    </row>
    <row r="1815" spans="1:12" x14ac:dyDescent="0.25">
      <c r="A1815" s="13">
        <v>21483485</v>
      </c>
      <c r="B1815" s="14" t="s">
        <v>547</v>
      </c>
      <c r="C1815" s="14" t="s">
        <v>4489</v>
      </c>
      <c r="D1815" s="14" t="s">
        <v>4490</v>
      </c>
      <c r="E1815" s="14" t="s">
        <v>4497</v>
      </c>
      <c r="F1815" s="21">
        <v>1404</v>
      </c>
      <c r="H1815" s="14">
        <v>1</v>
      </c>
      <c r="I1815" s="14">
        <v>5</v>
      </c>
      <c r="J1815" s="22">
        <v>0.19127226881196299</v>
      </c>
      <c r="K1815" s="22">
        <v>0.80872773118803698</v>
      </c>
      <c r="L1815" s="14">
        <v>0</v>
      </c>
    </row>
    <row r="1816" spans="1:12" x14ac:dyDescent="0.25">
      <c r="A1816" s="13">
        <v>22241985</v>
      </c>
      <c r="B1816" s="14" t="s">
        <v>547</v>
      </c>
      <c r="C1816" s="14" t="s">
        <v>4489</v>
      </c>
      <c r="D1816" s="14" t="s">
        <v>4490</v>
      </c>
      <c r="E1816" s="14" t="s">
        <v>4498</v>
      </c>
      <c r="F1816" s="21">
        <v>1440</v>
      </c>
      <c r="G1816" s="14">
        <v>36</v>
      </c>
      <c r="I1816" s="14" t="s">
        <v>6314</v>
      </c>
      <c r="J1816" s="22">
        <v>0.52762167212558098</v>
      </c>
      <c r="K1816" s="22">
        <v>0.47237832787441902</v>
      </c>
      <c r="L1816" s="14">
        <v>0</v>
      </c>
    </row>
    <row r="1817" spans="1:12" x14ac:dyDescent="0.25">
      <c r="A1817" s="13">
        <v>23308065</v>
      </c>
      <c r="B1817" s="14" t="s">
        <v>547</v>
      </c>
      <c r="C1817" s="14" t="s">
        <v>5759</v>
      </c>
      <c r="D1817" s="14" t="s">
        <v>4490</v>
      </c>
      <c r="E1817" s="14" t="s">
        <v>4499</v>
      </c>
      <c r="F1817" s="21">
        <v>1440</v>
      </c>
      <c r="G1817" s="14">
        <v>404</v>
      </c>
      <c r="H1817" s="14">
        <v>1</v>
      </c>
      <c r="I1817" s="14">
        <v>35</v>
      </c>
      <c r="J1817" s="22">
        <v>6.12170039131682E-2</v>
      </c>
      <c r="K1817" s="22">
        <v>0.93878299608683202</v>
      </c>
      <c r="L1817" s="14">
        <v>0</v>
      </c>
    </row>
    <row r="1818" spans="1:12" x14ac:dyDescent="0.25">
      <c r="A1818" s="13" t="s">
        <v>7282</v>
      </c>
      <c r="B1818" s="14" t="s">
        <v>547</v>
      </c>
      <c r="C1818" s="14" t="s">
        <v>4489</v>
      </c>
      <c r="D1818" s="14" t="s">
        <v>4490</v>
      </c>
      <c r="E1818" s="14" t="s">
        <v>4500</v>
      </c>
      <c r="F1818" s="21">
        <v>1460.3</v>
      </c>
      <c r="G1818" s="14">
        <v>220</v>
      </c>
      <c r="H1818" s="14">
        <v>1</v>
      </c>
      <c r="I1818" s="14">
        <v>9</v>
      </c>
      <c r="J1818" s="22">
        <v>9.3852451605901804E-2</v>
      </c>
      <c r="K1818" s="22">
        <v>0.90614754839409795</v>
      </c>
      <c r="L1818" s="14">
        <v>0</v>
      </c>
    </row>
    <row r="1819" spans="1:12" x14ac:dyDescent="0.25">
      <c r="A1819" s="13" t="s">
        <v>4501</v>
      </c>
      <c r="B1819" s="14" t="s">
        <v>547</v>
      </c>
      <c r="C1819" s="14" t="s">
        <v>4489</v>
      </c>
      <c r="D1819" s="14" t="s">
        <v>4490</v>
      </c>
      <c r="E1819" s="14" t="s">
        <v>4502</v>
      </c>
      <c r="F1819" s="21">
        <v>1476.47</v>
      </c>
      <c r="G1819" s="14">
        <v>79</v>
      </c>
      <c r="H1819" s="14">
        <v>0</v>
      </c>
      <c r="I1819" s="14">
        <v>45</v>
      </c>
      <c r="J1819" s="22">
        <v>0.49637114848776898</v>
      </c>
      <c r="K1819" s="22">
        <v>0.50362885151223102</v>
      </c>
      <c r="L1819" s="14">
        <v>0</v>
      </c>
    </row>
    <row r="1820" spans="1:12" ht="39.6" x14ac:dyDescent="0.25">
      <c r="A1820" s="20" t="s">
        <v>7283</v>
      </c>
      <c r="B1820" s="14" t="s">
        <v>547</v>
      </c>
      <c r="C1820" s="14" t="s">
        <v>5759</v>
      </c>
      <c r="D1820" s="14" t="s">
        <v>4490</v>
      </c>
      <c r="E1820" s="14" t="s">
        <v>4504</v>
      </c>
      <c r="F1820" s="21">
        <v>1570.87</v>
      </c>
      <c r="H1820" s="14">
        <v>0</v>
      </c>
      <c r="I1820" s="14">
        <v>48</v>
      </c>
      <c r="J1820" s="22">
        <v>0.75099927430958902</v>
      </c>
      <c r="K1820" s="22">
        <v>0.24900072569041101</v>
      </c>
      <c r="L1820" s="14">
        <v>0</v>
      </c>
    </row>
    <row r="1821" spans="1:12" ht="39.6" x14ac:dyDescent="0.25">
      <c r="A1821" s="20" t="s">
        <v>7284</v>
      </c>
      <c r="B1821" s="14" t="s">
        <v>547</v>
      </c>
      <c r="C1821" s="14" t="s">
        <v>4489</v>
      </c>
      <c r="D1821" s="14" t="s">
        <v>4490</v>
      </c>
      <c r="E1821" s="14" t="s">
        <v>4506</v>
      </c>
      <c r="F1821" s="21">
        <v>1600.25</v>
      </c>
      <c r="G1821" s="14">
        <v>834</v>
      </c>
      <c r="H1821" s="14">
        <v>0</v>
      </c>
      <c r="I1821" s="14">
        <v>22</v>
      </c>
      <c r="J1821" s="22">
        <v>0.13631613495710099</v>
      </c>
      <c r="K1821" s="22">
        <v>0.86368386504289896</v>
      </c>
      <c r="L1821" s="14">
        <v>0</v>
      </c>
    </row>
    <row r="1822" spans="1:12" ht="26.4" x14ac:dyDescent="0.25">
      <c r="A1822" s="20" t="s">
        <v>7285</v>
      </c>
      <c r="B1822" s="14" t="s">
        <v>547</v>
      </c>
      <c r="C1822" s="14" t="s">
        <v>4489</v>
      </c>
      <c r="D1822" s="14" t="s">
        <v>4490</v>
      </c>
      <c r="E1822" s="14" t="s">
        <v>4508</v>
      </c>
      <c r="F1822" s="21">
        <v>1600.25</v>
      </c>
      <c r="G1822" s="14">
        <v>288</v>
      </c>
      <c r="H1822" s="14">
        <v>1</v>
      </c>
      <c r="I1822" s="14">
        <v>42</v>
      </c>
      <c r="J1822" s="22">
        <v>0.21509582512643899</v>
      </c>
      <c r="K1822" s="22">
        <v>0.78490417487356101</v>
      </c>
      <c r="L1822" s="14">
        <v>0</v>
      </c>
    </row>
    <row r="1823" spans="1:12" ht="26.4" x14ac:dyDescent="0.25">
      <c r="A1823" s="20" t="s">
        <v>7286</v>
      </c>
      <c r="B1823" s="14" t="s">
        <v>547</v>
      </c>
      <c r="C1823" s="14" t="s">
        <v>4489</v>
      </c>
      <c r="D1823" s="14" t="s">
        <v>4490</v>
      </c>
      <c r="E1823" s="14" t="s">
        <v>4510</v>
      </c>
      <c r="F1823" s="21">
        <v>1600.79</v>
      </c>
      <c r="G1823" s="14">
        <v>174</v>
      </c>
      <c r="H1823" s="14">
        <v>0</v>
      </c>
      <c r="I1823" s="14">
        <v>1</v>
      </c>
      <c r="J1823" s="22">
        <v>0.70299181719482895</v>
      </c>
      <c r="K1823" s="22">
        <v>0.29700818280517099</v>
      </c>
      <c r="L1823" s="14">
        <v>0</v>
      </c>
    </row>
    <row r="1824" spans="1:12" ht="26.4" x14ac:dyDescent="0.25">
      <c r="A1824" s="20" t="s">
        <v>7287</v>
      </c>
      <c r="B1824" s="14" t="s">
        <v>547</v>
      </c>
      <c r="C1824" s="14" t="s">
        <v>5759</v>
      </c>
      <c r="D1824" s="14" t="s">
        <v>4490</v>
      </c>
      <c r="E1824" s="14" t="s">
        <v>4512</v>
      </c>
      <c r="F1824" s="21">
        <v>1602.17</v>
      </c>
      <c r="G1824" s="14">
        <v>504</v>
      </c>
      <c r="H1824" s="14">
        <v>0</v>
      </c>
      <c r="I1824" s="14">
        <v>8</v>
      </c>
      <c r="J1824" s="22">
        <v>0.16334938850609801</v>
      </c>
      <c r="K1824" s="22">
        <v>0.83665061149390296</v>
      </c>
      <c r="L1824" s="14">
        <v>0</v>
      </c>
    </row>
    <row r="1825" spans="1:12" ht="39.6" x14ac:dyDescent="0.25">
      <c r="A1825" s="20" t="s">
        <v>7288</v>
      </c>
      <c r="B1825" s="14" t="s">
        <v>547</v>
      </c>
      <c r="C1825" s="14" t="s">
        <v>4489</v>
      </c>
      <c r="D1825" s="14" t="s">
        <v>4490</v>
      </c>
      <c r="E1825" s="14" t="s">
        <v>4514</v>
      </c>
      <c r="F1825" s="21">
        <v>1602.8</v>
      </c>
      <c r="H1825" s="14">
        <v>0</v>
      </c>
      <c r="I1825" s="14">
        <v>3</v>
      </c>
      <c r="J1825" s="22">
        <v>8.1313824672159002E-2</v>
      </c>
      <c r="K1825" s="22">
        <v>0.91868617532784103</v>
      </c>
      <c r="L1825" s="14">
        <v>0</v>
      </c>
    </row>
    <row r="1826" spans="1:12" ht="26.4" x14ac:dyDescent="0.25">
      <c r="A1826" s="20" t="s">
        <v>7289</v>
      </c>
      <c r="B1826" s="14" t="s">
        <v>547</v>
      </c>
      <c r="C1826" s="14" t="s">
        <v>4489</v>
      </c>
      <c r="D1826" s="14" t="s">
        <v>4490</v>
      </c>
      <c r="E1826" s="14" t="s">
        <v>4516</v>
      </c>
      <c r="F1826" s="21">
        <v>1644.84</v>
      </c>
      <c r="G1826" s="14">
        <v>491</v>
      </c>
      <c r="H1826" s="14">
        <v>0</v>
      </c>
      <c r="I1826" s="14">
        <v>23</v>
      </c>
      <c r="J1826" s="22">
        <v>0.66416915496090601</v>
      </c>
      <c r="K1826" s="22">
        <v>0.33583084503909399</v>
      </c>
      <c r="L1826" s="14">
        <v>0</v>
      </c>
    </row>
    <row r="1827" spans="1:12" x14ac:dyDescent="0.25">
      <c r="A1827" s="13" t="s">
        <v>7290</v>
      </c>
      <c r="B1827" s="14" t="s">
        <v>547</v>
      </c>
      <c r="C1827" s="14" t="s">
        <v>5759</v>
      </c>
      <c r="D1827" s="14" t="s">
        <v>4490</v>
      </c>
      <c r="E1827" s="14" t="s">
        <v>4518</v>
      </c>
      <c r="F1827" s="21">
        <v>1723.16</v>
      </c>
      <c r="G1827" s="14">
        <v>57</v>
      </c>
      <c r="H1827" s="14">
        <v>1</v>
      </c>
      <c r="I1827" s="14">
        <v>37</v>
      </c>
      <c r="J1827" s="22">
        <v>0.59474726924787402</v>
      </c>
      <c r="K1827" s="22">
        <v>0.40525273075212598</v>
      </c>
      <c r="L1827" s="14">
        <v>0</v>
      </c>
    </row>
    <row r="1828" spans="1:12" x14ac:dyDescent="0.25">
      <c r="A1828" s="13">
        <v>24098129</v>
      </c>
      <c r="B1828" s="14" t="s">
        <v>547</v>
      </c>
      <c r="C1828" s="14" t="s">
        <v>5760</v>
      </c>
      <c r="D1828" s="14" t="s">
        <v>4490</v>
      </c>
      <c r="E1828" s="14" t="s">
        <v>4519</v>
      </c>
      <c r="F1828" s="21">
        <v>1735.2</v>
      </c>
      <c r="G1828" s="14">
        <v>111</v>
      </c>
      <c r="H1828" s="14">
        <v>1</v>
      </c>
      <c r="I1828" s="14">
        <v>9</v>
      </c>
      <c r="J1828" s="22">
        <v>0.30311450639384002</v>
      </c>
      <c r="K1828" s="22">
        <v>0.69688549360616003</v>
      </c>
      <c r="L1828" s="14">
        <v>0</v>
      </c>
    </row>
    <row r="1829" spans="1:12" x14ac:dyDescent="0.25">
      <c r="A1829" s="13" t="s">
        <v>7291</v>
      </c>
      <c r="B1829" s="14" t="s">
        <v>547</v>
      </c>
      <c r="C1829" s="14" t="s">
        <v>4489</v>
      </c>
      <c r="D1829" s="14" t="s">
        <v>4490</v>
      </c>
      <c r="E1829" s="14" t="s">
        <v>4521</v>
      </c>
      <c r="F1829" s="21">
        <v>1758.16</v>
      </c>
      <c r="G1829" s="14">
        <v>371</v>
      </c>
      <c r="H1829" s="14">
        <v>0</v>
      </c>
      <c r="I1829" s="14">
        <v>28</v>
      </c>
      <c r="J1829" s="22">
        <v>0.59921843915661199</v>
      </c>
      <c r="K1829" s="22">
        <v>0.40078156084338801</v>
      </c>
      <c r="L1829" s="14">
        <v>0</v>
      </c>
    </row>
    <row r="1830" spans="1:12" x14ac:dyDescent="0.25">
      <c r="A1830" s="13" t="s">
        <v>4522</v>
      </c>
      <c r="B1830" s="14" t="s">
        <v>547</v>
      </c>
      <c r="C1830" s="14" t="s">
        <v>5759</v>
      </c>
      <c r="D1830" s="14" t="s">
        <v>4490</v>
      </c>
      <c r="E1830" s="14" t="s">
        <v>4523</v>
      </c>
      <c r="F1830" s="21">
        <v>1766.76</v>
      </c>
      <c r="G1830" s="14">
        <v>21</v>
      </c>
      <c r="H1830" s="14">
        <v>1</v>
      </c>
      <c r="I1830" s="14" t="s">
        <v>6314</v>
      </c>
      <c r="J1830" s="22">
        <v>0.13375893907799999</v>
      </c>
      <c r="K1830" s="22">
        <v>0.86624106092200104</v>
      </c>
      <c r="L1830" s="14">
        <v>0</v>
      </c>
    </row>
    <row r="1831" spans="1:12" ht="26.4" x14ac:dyDescent="0.25">
      <c r="A1831" s="20" t="s">
        <v>7292</v>
      </c>
      <c r="B1831" s="14" t="s">
        <v>547</v>
      </c>
      <c r="C1831" s="14" t="s">
        <v>4489</v>
      </c>
      <c r="D1831" s="14" t="s">
        <v>4490</v>
      </c>
      <c r="E1831" s="14" t="s">
        <v>4525</v>
      </c>
      <c r="F1831" s="21">
        <v>1780</v>
      </c>
      <c r="G1831" s="14">
        <v>314</v>
      </c>
      <c r="H1831" s="14">
        <v>0</v>
      </c>
      <c r="I1831" s="14">
        <v>6</v>
      </c>
      <c r="J1831" s="22">
        <v>7.3897360664610598E-2</v>
      </c>
      <c r="K1831" s="22">
        <v>0.92610263933538906</v>
      </c>
      <c r="L1831" s="14">
        <v>0</v>
      </c>
    </row>
    <row r="1832" spans="1:12" x14ac:dyDescent="0.25">
      <c r="A1832" s="13">
        <v>23505371</v>
      </c>
      <c r="B1832" s="14" t="s">
        <v>547</v>
      </c>
      <c r="C1832" s="14" t="s">
        <v>5760</v>
      </c>
      <c r="D1832" s="14" t="s">
        <v>4490</v>
      </c>
      <c r="E1832" s="14" t="s">
        <v>4526</v>
      </c>
      <c r="F1832" s="21">
        <v>1782</v>
      </c>
      <c r="G1832" s="14">
        <v>118</v>
      </c>
      <c r="H1832" s="14">
        <v>0</v>
      </c>
      <c r="I1832" s="14">
        <v>11</v>
      </c>
      <c r="J1832" s="22">
        <v>0.212044468824061</v>
      </c>
      <c r="K1832" s="22">
        <v>0.78795553117593897</v>
      </c>
      <c r="L1832" s="14">
        <v>0</v>
      </c>
    </row>
    <row r="1833" spans="1:12" x14ac:dyDescent="0.25">
      <c r="A1833" s="13" t="s">
        <v>4527</v>
      </c>
      <c r="B1833" s="14" t="s">
        <v>547</v>
      </c>
      <c r="C1833" s="14" t="s">
        <v>4489</v>
      </c>
      <c r="D1833" s="14" t="s">
        <v>4490</v>
      </c>
      <c r="E1833" s="14" t="s">
        <v>4528</v>
      </c>
      <c r="F1833" s="21">
        <v>1784.65</v>
      </c>
      <c r="G1833" s="14">
        <v>446</v>
      </c>
      <c r="H1833" s="14">
        <v>1</v>
      </c>
      <c r="I1833" s="14">
        <v>6</v>
      </c>
      <c r="J1833" s="22">
        <v>0.17228310396636001</v>
      </c>
      <c r="K1833" s="22">
        <v>0.82771689603363996</v>
      </c>
      <c r="L1833" s="14">
        <v>0</v>
      </c>
    </row>
    <row r="1834" spans="1:12" x14ac:dyDescent="0.25">
      <c r="A1834" s="13" t="s">
        <v>7293</v>
      </c>
      <c r="B1834" s="14" t="s">
        <v>547</v>
      </c>
      <c r="C1834" s="14" t="s">
        <v>4489</v>
      </c>
      <c r="D1834" s="14" t="s">
        <v>4490</v>
      </c>
      <c r="E1834" s="14" t="s">
        <v>4530</v>
      </c>
      <c r="F1834" s="21">
        <v>1817.87</v>
      </c>
      <c r="H1834" s="14">
        <v>0</v>
      </c>
      <c r="I1834" s="14">
        <v>49</v>
      </c>
      <c r="J1834" s="22">
        <v>0.58377028584455504</v>
      </c>
      <c r="K1834" s="22">
        <v>0.41622971415544502</v>
      </c>
      <c r="L1834" s="14">
        <v>0</v>
      </c>
    </row>
    <row r="1835" spans="1:12" x14ac:dyDescent="0.25">
      <c r="A1835" s="13" t="s">
        <v>4531</v>
      </c>
      <c r="B1835" s="14" t="s">
        <v>547</v>
      </c>
      <c r="C1835" s="14" t="s">
        <v>5755</v>
      </c>
      <c r="D1835" s="14" t="s">
        <v>4532</v>
      </c>
      <c r="E1835" s="14" t="s">
        <v>4533</v>
      </c>
      <c r="F1835" s="21">
        <v>842.54</v>
      </c>
      <c r="G1835" s="14">
        <v>798</v>
      </c>
      <c r="H1835" s="14">
        <v>1</v>
      </c>
      <c r="I1835" s="14" t="s">
        <v>6314</v>
      </c>
      <c r="J1835" s="22">
        <v>0.38263041524057401</v>
      </c>
      <c r="K1835" s="22">
        <v>0.61736958475942605</v>
      </c>
      <c r="L1835" s="14">
        <v>0</v>
      </c>
    </row>
    <row r="1836" spans="1:12" x14ac:dyDescent="0.25">
      <c r="A1836" s="13" t="s">
        <v>4534</v>
      </c>
      <c r="B1836" s="14" t="s">
        <v>547</v>
      </c>
      <c r="C1836" s="14" t="s">
        <v>5755</v>
      </c>
      <c r="D1836" s="14" t="s">
        <v>4532</v>
      </c>
      <c r="E1836" s="14" t="s">
        <v>4535</v>
      </c>
      <c r="F1836" s="21">
        <v>842.54</v>
      </c>
      <c r="G1836" s="14">
        <v>506</v>
      </c>
      <c r="H1836" s="14">
        <v>0</v>
      </c>
      <c r="I1836" s="14">
        <v>29</v>
      </c>
      <c r="J1836" s="22">
        <v>0.25630346616055499</v>
      </c>
      <c r="K1836" s="22">
        <v>0.74369653383944501</v>
      </c>
      <c r="L1836" s="14">
        <v>0</v>
      </c>
    </row>
    <row r="1837" spans="1:12" x14ac:dyDescent="0.25">
      <c r="A1837" s="13" t="s">
        <v>4536</v>
      </c>
      <c r="B1837" s="14" t="s">
        <v>547</v>
      </c>
      <c r="C1837" s="14" t="s">
        <v>5756</v>
      </c>
      <c r="D1837" s="14" t="s">
        <v>4532</v>
      </c>
      <c r="E1837" s="14" t="s">
        <v>4537</v>
      </c>
      <c r="F1837" s="21">
        <v>850.88</v>
      </c>
      <c r="G1837" s="14">
        <v>468</v>
      </c>
      <c r="H1837" s="14">
        <v>0</v>
      </c>
      <c r="I1837" s="14">
        <v>40</v>
      </c>
      <c r="J1837" s="22">
        <v>0.41703867068866801</v>
      </c>
      <c r="K1837" s="22">
        <v>0.58296132931133204</v>
      </c>
      <c r="L1837" s="14">
        <v>0</v>
      </c>
    </row>
    <row r="1838" spans="1:12" x14ac:dyDescent="0.25">
      <c r="A1838" s="13" t="s">
        <v>4538</v>
      </c>
      <c r="B1838" s="14" t="s">
        <v>547</v>
      </c>
      <c r="C1838" s="14" t="s">
        <v>5756</v>
      </c>
      <c r="D1838" s="14" t="s">
        <v>4532</v>
      </c>
      <c r="E1838" s="14" t="s">
        <v>4539</v>
      </c>
      <c r="F1838" s="21">
        <v>871.42</v>
      </c>
      <c r="G1838" s="14">
        <v>654</v>
      </c>
      <c r="H1838" s="14">
        <v>0</v>
      </c>
      <c r="I1838" s="14">
        <v>46</v>
      </c>
      <c r="J1838" s="22">
        <v>0.76569279274597402</v>
      </c>
      <c r="K1838" s="22">
        <v>0.23430720725402601</v>
      </c>
      <c r="L1838" s="14">
        <v>0</v>
      </c>
    </row>
    <row r="1839" spans="1:12" ht="26.4" x14ac:dyDescent="0.25">
      <c r="A1839" s="20" t="s">
        <v>7294</v>
      </c>
      <c r="B1839" s="14" t="s">
        <v>547</v>
      </c>
      <c r="C1839" s="14" t="s">
        <v>5756</v>
      </c>
      <c r="D1839" s="14" t="s">
        <v>4532</v>
      </c>
      <c r="E1839" s="14" t="s">
        <v>4541</v>
      </c>
      <c r="F1839" s="21">
        <v>878.28</v>
      </c>
      <c r="G1839" s="14">
        <v>199</v>
      </c>
      <c r="H1839" s="14">
        <v>0</v>
      </c>
      <c r="I1839" s="14">
        <v>48</v>
      </c>
      <c r="J1839" s="22">
        <v>7.8716551237216804E-3</v>
      </c>
      <c r="K1839" s="22">
        <v>0.99212834487627799</v>
      </c>
      <c r="L1839" s="14">
        <v>0</v>
      </c>
    </row>
    <row r="1840" spans="1:12" x14ac:dyDescent="0.25">
      <c r="A1840" s="13" t="s">
        <v>4542</v>
      </c>
      <c r="B1840" s="14" t="s">
        <v>547</v>
      </c>
      <c r="C1840" s="14" t="s">
        <v>5756</v>
      </c>
      <c r="D1840" s="14" t="s">
        <v>4532</v>
      </c>
      <c r="E1840" s="14" t="s">
        <v>4543</v>
      </c>
      <c r="F1840" s="21">
        <v>879.36</v>
      </c>
      <c r="H1840" s="14">
        <v>0</v>
      </c>
      <c r="I1840" s="14">
        <v>5</v>
      </c>
      <c r="J1840" s="22">
        <v>0.731159435930826</v>
      </c>
      <c r="K1840" s="22">
        <v>0.268840564069174</v>
      </c>
      <c r="L1840" s="14">
        <v>0</v>
      </c>
    </row>
    <row r="1841" spans="1:12" x14ac:dyDescent="0.25">
      <c r="A1841" s="13" t="s">
        <v>4544</v>
      </c>
      <c r="B1841" s="14" t="s">
        <v>547</v>
      </c>
      <c r="C1841" s="14" t="s">
        <v>5756</v>
      </c>
      <c r="D1841" s="14" t="s">
        <v>4532</v>
      </c>
      <c r="E1841" s="14" t="s">
        <v>4545</v>
      </c>
      <c r="F1841" s="21">
        <v>879.36</v>
      </c>
      <c r="G1841" s="14">
        <v>38</v>
      </c>
      <c r="H1841" s="14">
        <v>0</v>
      </c>
      <c r="I1841" s="14" t="s">
        <v>6314</v>
      </c>
      <c r="J1841" s="22">
        <v>5.57527957596042E-2</v>
      </c>
      <c r="K1841" s="22">
        <v>0.94424720424039599</v>
      </c>
      <c r="L1841" s="14">
        <v>0</v>
      </c>
    </row>
    <row r="1842" spans="1:12" x14ac:dyDescent="0.25">
      <c r="A1842" s="13" t="s">
        <v>4546</v>
      </c>
      <c r="B1842" s="14" t="s">
        <v>547</v>
      </c>
      <c r="C1842" s="14" t="s">
        <v>5756</v>
      </c>
      <c r="D1842" s="14" t="s">
        <v>4532</v>
      </c>
      <c r="E1842" s="14" t="s">
        <v>4547</v>
      </c>
      <c r="F1842" s="21">
        <v>884.67</v>
      </c>
      <c r="G1842" s="14">
        <v>352</v>
      </c>
      <c r="H1842" s="14">
        <v>1</v>
      </c>
      <c r="I1842" s="14">
        <v>14</v>
      </c>
      <c r="J1842" s="22">
        <v>9.7511997159801505E-3</v>
      </c>
      <c r="K1842" s="22">
        <v>0.99024880028401996</v>
      </c>
      <c r="L1842" s="14">
        <v>0</v>
      </c>
    </row>
    <row r="1843" spans="1:12" ht="26.4" x14ac:dyDescent="0.25">
      <c r="A1843" s="20" t="s">
        <v>7295</v>
      </c>
      <c r="B1843" s="14" t="s">
        <v>547</v>
      </c>
      <c r="C1843" s="14" t="s">
        <v>5756</v>
      </c>
      <c r="D1843" s="14" t="s">
        <v>4532</v>
      </c>
      <c r="E1843" s="14" t="s">
        <v>4549</v>
      </c>
      <c r="F1843" s="21">
        <v>904.34</v>
      </c>
      <c r="G1843" s="14">
        <v>413</v>
      </c>
      <c r="H1843" s="14">
        <v>1</v>
      </c>
      <c r="I1843" s="14">
        <v>32</v>
      </c>
      <c r="J1843" s="22">
        <v>0.72503531412966404</v>
      </c>
      <c r="K1843" s="22">
        <v>0.27496468587033601</v>
      </c>
      <c r="L1843" s="14">
        <v>0</v>
      </c>
    </row>
    <row r="1844" spans="1:12" x14ac:dyDescent="0.25">
      <c r="A1844" s="13" t="s">
        <v>7296</v>
      </c>
      <c r="B1844" s="14" t="s">
        <v>547</v>
      </c>
      <c r="C1844" s="14" t="s">
        <v>5741</v>
      </c>
      <c r="E1844" s="14" t="s">
        <v>4551</v>
      </c>
      <c r="F1844" s="21">
        <v>1919.88</v>
      </c>
      <c r="G1844" s="14">
        <v>115</v>
      </c>
      <c r="H1844" s="14">
        <v>1</v>
      </c>
      <c r="I1844" s="14">
        <v>37</v>
      </c>
      <c r="J1844" s="22">
        <v>0.50621511970237099</v>
      </c>
      <c r="K1844" s="22">
        <v>0.49378488029762901</v>
      </c>
      <c r="L1844" s="14">
        <v>0</v>
      </c>
    </row>
    <row r="1845" spans="1:12" x14ac:dyDescent="0.25">
      <c r="A1845" s="13">
        <v>3549118</v>
      </c>
      <c r="B1845" s="14" t="s">
        <v>5372</v>
      </c>
      <c r="C1845" s="14" t="s">
        <v>4615</v>
      </c>
      <c r="D1845" s="14" t="s">
        <v>4554</v>
      </c>
      <c r="E1845" s="14" t="s">
        <v>4555</v>
      </c>
      <c r="F1845" s="21">
        <v>625</v>
      </c>
      <c r="G1845" s="14">
        <v>627</v>
      </c>
      <c r="H1845" s="14">
        <v>0</v>
      </c>
      <c r="I1845" s="14">
        <v>8</v>
      </c>
      <c r="J1845" s="22">
        <v>0.18356893856230899</v>
      </c>
      <c r="K1845" s="22">
        <v>0.81643106143769095</v>
      </c>
      <c r="L1845" s="14">
        <v>0</v>
      </c>
    </row>
    <row r="1846" spans="1:12" x14ac:dyDescent="0.25">
      <c r="A1846" s="13" t="s">
        <v>7297</v>
      </c>
      <c r="B1846" s="14" t="s">
        <v>3510</v>
      </c>
      <c r="C1846" s="14" t="s">
        <v>4615</v>
      </c>
      <c r="D1846" s="14" t="s">
        <v>4554</v>
      </c>
      <c r="E1846" s="14" t="s">
        <v>4557</v>
      </c>
      <c r="F1846" s="21">
        <v>667.74</v>
      </c>
      <c r="G1846" s="14">
        <v>243</v>
      </c>
      <c r="H1846" s="14">
        <v>1</v>
      </c>
      <c r="I1846" s="14">
        <v>46</v>
      </c>
      <c r="J1846" s="22">
        <v>0.41117421276417998</v>
      </c>
      <c r="K1846" s="22">
        <v>0.58882578723582002</v>
      </c>
      <c r="L1846" s="14">
        <v>0</v>
      </c>
    </row>
    <row r="1847" spans="1:12" x14ac:dyDescent="0.25">
      <c r="A1847" s="13" t="s">
        <v>7298</v>
      </c>
      <c r="B1847" s="14" t="s">
        <v>5408</v>
      </c>
      <c r="C1847" s="14" t="s">
        <v>4615</v>
      </c>
      <c r="D1847" s="14" t="s">
        <v>4554</v>
      </c>
      <c r="E1847" s="14" t="s">
        <v>4559</v>
      </c>
      <c r="F1847" s="21">
        <v>725.4</v>
      </c>
      <c r="G1847" s="14">
        <v>301</v>
      </c>
      <c r="H1847" s="14">
        <v>0</v>
      </c>
      <c r="I1847" s="14">
        <v>38</v>
      </c>
      <c r="J1847" s="22">
        <v>0.32094026441764401</v>
      </c>
      <c r="K1847" s="22">
        <v>0.67905973558235699</v>
      </c>
      <c r="L1847" s="14">
        <v>0</v>
      </c>
    </row>
    <row r="1848" spans="1:12" x14ac:dyDescent="0.25">
      <c r="A1848" s="13" t="s">
        <v>7299</v>
      </c>
      <c r="B1848" s="14" t="s">
        <v>5408</v>
      </c>
      <c r="C1848" s="14" t="s">
        <v>4615</v>
      </c>
      <c r="D1848" s="14" t="s">
        <v>4554</v>
      </c>
      <c r="E1848" s="14" t="s">
        <v>4561</v>
      </c>
      <c r="F1848" s="21">
        <v>1069.8</v>
      </c>
      <c r="G1848" s="14">
        <v>787</v>
      </c>
      <c r="H1848" s="14">
        <v>0</v>
      </c>
      <c r="I1848" s="14">
        <v>25</v>
      </c>
      <c r="J1848" s="22">
        <v>0.32166566076064801</v>
      </c>
      <c r="K1848" s="22">
        <v>0.67833433923935205</v>
      </c>
      <c r="L1848" s="14">
        <v>0</v>
      </c>
    </row>
    <row r="1849" spans="1:12" x14ac:dyDescent="0.25">
      <c r="A1849" s="13" t="s">
        <v>4562</v>
      </c>
      <c r="B1849" s="14" t="s">
        <v>4615</v>
      </c>
      <c r="C1849" s="14" t="s">
        <v>4615</v>
      </c>
      <c r="D1849" s="14" t="s">
        <v>4554</v>
      </c>
      <c r="E1849" s="14" t="s">
        <v>4563</v>
      </c>
      <c r="F1849" s="21">
        <v>734</v>
      </c>
      <c r="G1849" s="14">
        <v>716</v>
      </c>
      <c r="H1849" s="14">
        <v>1</v>
      </c>
      <c r="I1849" s="14">
        <v>16</v>
      </c>
      <c r="J1849" s="22">
        <v>0.598522767674187</v>
      </c>
      <c r="K1849" s="22">
        <v>0.401477232325813</v>
      </c>
      <c r="L1849" s="14">
        <v>0</v>
      </c>
    </row>
    <row r="1850" spans="1:12" x14ac:dyDescent="0.25">
      <c r="A1850" s="13">
        <v>2294692</v>
      </c>
      <c r="B1850" s="14" t="s">
        <v>4615</v>
      </c>
      <c r="C1850" s="14" t="s">
        <v>4615</v>
      </c>
      <c r="D1850" s="14" t="s">
        <v>4554</v>
      </c>
      <c r="E1850" s="14" t="s">
        <v>4565</v>
      </c>
      <c r="F1850" s="21">
        <v>1420</v>
      </c>
      <c r="G1850" s="14">
        <v>336</v>
      </c>
      <c r="H1850" s="14">
        <v>1</v>
      </c>
      <c r="I1850" s="14">
        <v>37</v>
      </c>
      <c r="J1850" s="22">
        <v>0.98155366842027603</v>
      </c>
      <c r="K1850" s="22">
        <v>1.8446331579723599E-2</v>
      </c>
      <c r="L1850" s="14">
        <v>0</v>
      </c>
    </row>
    <row r="1851" spans="1:12" x14ac:dyDescent="0.25">
      <c r="A1851" s="13" t="s">
        <v>7300</v>
      </c>
      <c r="B1851" s="14" t="s">
        <v>3510</v>
      </c>
      <c r="C1851" s="14" t="s">
        <v>5761</v>
      </c>
      <c r="D1851" s="14" t="s">
        <v>4567</v>
      </c>
      <c r="E1851" s="14" t="s">
        <v>4568</v>
      </c>
      <c r="F1851" s="21">
        <v>853.64</v>
      </c>
      <c r="G1851" s="14">
        <v>12</v>
      </c>
      <c r="H1851" s="14">
        <v>1</v>
      </c>
      <c r="I1851" s="14">
        <v>41</v>
      </c>
      <c r="J1851" s="22">
        <v>0.50590420197516295</v>
      </c>
      <c r="K1851" s="22">
        <v>0.494095798024837</v>
      </c>
      <c r="L1851" s="14">
        <v>0</v>
      </c>
    </row>
    <row r="1852" spans="1:12" x14ac:dyDescent="0.25">
      <c r="A1852" s="13" t="s">
        <v>4569</v>
      </c>
      <c r="B1852" s="14" t="s">
        <v>4615</v>
      </c>
      <c r="C1852" s="14" t="s">
        <v>5762</v>
      </c>
      <c r="D1852" s="14" t="s">
        <v>4570</v>
      </c>
      <c r="E1852" s="14" t="s">
        <v>4571</v>
      </c>
      <c r="F1852" s="21">
        <v>651.58000000000004</v>
      </c>
      <c r="G1852" s="14">
        <v>922</v>
      </c>
      <c r="H1852" s="14">
        <v>1</v>
      </c>
      <c r="I1852" s="14">
        <v>40</v>
      </c>
      <c r="J1852" s="22">
        <v>0.62563989767880901</v>
      </c>
      <c r="K1852" s="22">
        <v>0.37436010232119099</v>
      </c>
      <c r="L1852" s="14">
        <v>0</v>
      </c>
    </row>
    <row r="1853" spans="1:12" x14ac:dyDescent="0.25">
      <c r="A1853" s="13" t="s">
        <v>4572</v>
      </c>
      <c r="B1853" s="14" t="s">
        <v>547</v>
      </c>
      <c r="C1853" s="14" t="s">
        <v>5745</v>
      </c>
      <c r="D1853" s="14" t="s">
        <v>4573</v>
      </c>
      <c r="E1853" s="14" t="s">
        <v>4574</v>
      </c>
      <c r="F1853" s="21">
        <v>1488.29</v>
      </c>
      <c r="G1853" s="14">
        <v>955</v>
      </c>
      <c r="H1853" s="14">
        <v>0</v>
      </c>
      <c r="I1853" s="14">
        <v>17</v>
      </c>
      <c r="J1853" s="22">
        <v>0.61370523360488305</v>
      </c>
      <c r="K1853" s="22">
        <v>0.38629476639511701</v>
      </c>
      <c r="L1853" s="14">
        <v>0</v>
      </c>
    </row>
    <row r="1854" spans="1:12" x14ac:dyDescent="0.25">
      <c r="A1854" s="13" t="s">
        <v>7301</v>
      </c>
      <c r="B1854" s="14" t="s">
        <v>547</v>
      </c>
      <c r="C1854" s="14" t="s">
        <v>5757</v>
      </c>
      <c r="D1854" s="14" t="s">
        <v>4576</v>
      </c>
      <c r="E1854" s="14" t="s">
        <v>4577</v>
      </c>
      <c r="F1854" s="21">
        <v>852.04</v>
      </c>
      <c r="G1854" s="14">
        <v>783</v>
      </c>
      <c r="H1854" s="14">
        <v>1</v>
      </c>
      <c r="I1854" s="14">
        <v>40</v>
      </c>
      <c r="J1854" s="22">
        <v>0.44530843351590099</v>
      </c>
      <c r="K1854" s="22">
        <v>0.55469156648409901</v>
      </c>
      <c r="L1854" s="14">
        <v>0</v>
      </c>
    </row>
    <row r="1855" spans="1:12" x14ac:dyDescent="0.25">
      <c r="A1855" s="13" t="s">
        <v>7302</v>
      </c>
      <c r="B1855" s="14" t="s">
        <v>5481</v>
      </c>
      <c r="C1855" s="14" t="s">
        <v>4578</v>
      </c>
      <c r="D1855" s="14" t="s">
        <v>4579</v>
      </c>
      <c r="E1855" s="14" t="s">
        <v>4580</v>
      </c>
      <c r="F1855" s="21">
        <v>1836.92</v>
      </c>
      <c r="G1855" s="14">
        <v>167</v>
      </c>
      <c r="H1855" s="14">
        <v>0</v>
      </c>
      <c r="I1855" s="14">
        <v>20</v>
      </c>
      <c r="J1855" s="22">
        <v>0.47418519499619799</v>
      </c>
      <c r="K1855" s="22">
        <v>0.52581480500380195</v>
      </c>
      <c r="L1855" s="14">
        <v>0</v>
      </c>
    </row>
    <row r="1856" spans="1:12" x14ac:dyDescent="0.25">
      <c r="A1856" s="13" t="s">
        <v>7303</v>
      </c>
      <c r="B1856" s="14" t="s">
        <v>5351</v>
      </c>
      <c r="C1856" s="14" t="s">
        <v>4582</v>
      </c>
      <c r="D1856" s="14" t="s">
        <v>4583</v>
      </c>
      <c r="E1856" s="14" t="s">
        <v>4584</v>
      </c>
      <c r="F1856" s="21">
        <v>2040</v>
      </c>
      <c r="G1856" s="14">
        <v>31</v>
      </c>
      <c r="H1856" s="14">
        <v>1</v>
      </c>
      <c r="I1856" s="14">
        <v>15</v>
      </c>
      <c r="J1856" s="22">
        <v>3.1235798415777401E-2</v>
      </c>
      <c r="K1856" s="22">
        <v>0.96876420158422305</v>
      </c>
      <c r="L1856" s="14">
        <v>0</v>
      </c>
    </row>
    <row r="1857" spans="1:12" x14ac:dyDescent="0.25">
      <c r="A1857" s="13" t="s">
        <v>7304</v>
      </c>
      <c r="B1857" s="14" t="s">
        <v>352</v>
      </c>
      <c r="C1857" s="14" t="s">
        <v>4582</v>
      </c>
      <c r="D1857" s="14" t="s">
        <v>4583</v>
      </c>
      <c r="E1857" s="14" t="s">
        <v>4586</v>
      </c>
      <c r="F1857" s="21">
        <v>2040</v>
      </c>
      <c r="G1857" s="14">
        <v>170</v>
      </c>
      <c r="H1857" s="14">
        <v>0</v>
      </c>
      <c r="I1857" s="14">
        <v>42</v>
      </c>
      <c r="J1857" s="22">
        <v>0.61438216144209701</v>
      </c>
      <c r="K1857" s="22">
        <v>0.38561783855790299</v>
      </c>
      <c r="L1857" s="14">
        <v>0</v>
      </c>
    </row>
    <row r="1858" spans="1:12" x14ac:dyDescent="0.25">
      <c r="A1858" s="13" t="s">
        <v>7305</v>
      </c>
      <c r="B1858" s="14" t="s">
        <v>17</v>
      </c>
      <c r="C1858" s="14" t="s">
        <v>4588</v>
      </c>
      <c r="D1858" s="14" t="s">
        <v>4589</v>
      </c>
      <c r="E1858" s="14" t="s">
        <v>4590</v>
      </c>
      <c r="F1858" s="21">
        <v>1160.6199999999999</v>
      </c>
      <c r="G1858" s="14">
        <v>785</v>
      </c>
      <c r="H1858" s="14">
        <v>0</v>
      </c>
      <c r="I1858" s="14">
        <v>23</v>
      </c>
      <c r="J1858" s="22">
        <v>0.39393044359152901</v>
      </c>
      <c r="K1858" s="22">
        <v>0.60606955640847104</v>
      </c>
      <c r="L1858" s="14">
        <v>0</v>
      </c>
    </row>
    <row r="1859" spans="1:12" x14ac:dyDescent="0.25">
      <c r="A1859" s="13" t="s">
        <v>7306</v>
      </c>
      <c r="B1859" s="14" t="s">
        <v>17</v>
      </c>
      <c r="C1859" s="14" t="s">
        <v>4588</v>
      </c>
      <c r="D1859" s="14" t="s">
        <v>4589</v>
      </c>
      <c r="E1859" s="14" t="s">
        <v>4591</v>
      </c>
      <c r="F1859" s="21">
        <v>1188.83</v>
      </c>
      <c r="G1859" s="14">
        <v>432</v>
      </c>
      <c r="H1859" s="14">
        <v>0</v>
      </c>
      <c r="I1859" s="14" t="s">
        <v>6314</v>
      </c>
      <c r="J1859" s="22">
        <v>0.84015995364232199</v>
      </c>
      <c r="K1859" s="22">
        <v>0.15984004635767801</v>
      </c>
      <c r="L1859" s="14">
        <v>0</v>
      </c>
    </row>
    <row r="1860" spans="1:12" x14ac:dyDescent="0.25">
      <c r="A1860" s="13" t="s">
        <v>7307</v>
      </c>
      <c r="B1860" s="14" t="s">
        <v>17</v>
      </c>
      <c r="C1860" s="14" t="s">
        <v>4588</v>
      </c>
      <c r="D1860" s="14" t="s">
        <v>4589</v>
      </c>
      <c r="E1860" s="14" t="s">
        <v>4593</v>
      </c>
      <c r="F1860" s="21">
        <v>1273.1500000000001</v>
      </c>
      <c r="G1860" s="14">
        <v>752</v>
      </c>
      <c r="H1860" s="14">
        <v>0</v>
      </c>
      <c r="I1860" s="14">
        <v>9</v>
      </c>
      <c r="J1860" s="22">
        <v>0.86969809475719295</v>
      </c>
      <c r="K1860" s="22">
        <v>0.13030190524280699</v>
      </c>
      <c r="L1860" s="14">
        <v>0</v>
      </c>
    </row>
    <row r="1861" spans="1:12" x14ac:dyDescent="0.25">
      <c r="A1861" s="13" t="s">
        <v>7308</v>
      </c>
      <c r="B1861" s="14" t="s">
        <v>17</v>
      </c>
      <c r="C1861" s="14" t="s">
        <v>4588</v>
      </c>
      <c r="D1861" s="14" t="s">
        <v>4589</v>
      </c>
      <c r="E1861" s="14" t="s">
        <v>4595</v>
      </c>
      <c r="F1861" s="21">
        <v>2321.23</v>
      </c>
      <c r="G1861" s="14">
        <v>528</v>
      </c>
      <c r="H1861" s="14">
        <v>0</v>
      </c>
      <c r="I1861" s="14">
        <v>2</v>
      </c>
      <c r="J1861" s="22">
        <v>0.31343753902550198</v>
      </c>
      <c r="K1861" s="22">
        <v>0.68656246097449902</v>
      </c>
      <c r="L1861" s="14">
        <v>0</v>
      </c>
    </row>
    <row r="1862" spans="1:12" x14ac:dyDescent="0.25">
      <c r="A1862" s="13" t="s">
        <v>7309</v>
      </c>
      <c r="B1862" s="14" t="s">
        <v>17</v>
      </c>
      <c r="C1862" s="14" t="s">
        <v>4588</v>
      </c>
      <c r="D1862" s="14" t="s">
        <v>4589</v>
      </c>
      <c r="E1862" s="14" t="s">
        <v>4597</v>
      </c>
      <c r="F1862" s="21">
        <v>2377.65</v>
      </c>
      <c r="G1862" s="14">
        <v>4</v>
      </c>
      <c r="I1862" s="14">
        <v>28</v>
      </c>
      <c r="J1862" s="22">
        <v>0.426536328135458</v>
      </c>
      <c r="K1862" s="22">
        <v>0.57346367186454195</v>
      </c>
      <c r="L1862" s="14">
        <v>0</v>
      </c>
    </row>
    <row r="1863" spans="1:12" x14ac:dyDescent="0.25">
      <c r="A1863" s="13" t="s">
        <v>7310</v>
      </c>
      <c r="B1863" s="14" t="s">
        <v>17</v>
      </c>
      <c r="C1863" s="14" t="s">
        <v>4588</v>
      </c>
      <c r="D1863" s="14" t="s">
        <v>4589</v>
      </c>
      <c r="E1863" s="14" t="s">
        <v>4599</v>
      </c>
      <c r="F1863" s="21">
        <v>2475.13</v>
      </c>
      <c r="G1863" s="14">
        <v>318</v>
      </c>
      <c r="H1863" s="14">
        <v>1</v>
      </c>
      <c r="I1863" s="14">
        <v>42</v>
      </c>
      <c r="J1863" s="22">
        <v>0.48804315979198798</v>
      </c>
      <c r="K1863" s="22">
        <v>0.51195684020801202</v>
      </c>
      <c r="L1863" s="14">
        <v>0</v>
      </c>
    </row>
    <row r="1864" spans="1:12" x14ac:dyDescent="0.25">
      <c r="A1864" s="13" t="s">
        <v>4600</v>
      </c>
      <c r="B1864" s="14" t="s">
        <v>5409</v>
      </c>
      <c r="C1864" s="14" t="s">
        <v>5763</v>
      </c>
      <c r="D1864" s="14" t="s">
        <v>4601</v>
      </c>
      <c r="E1864" s="14" t="s">
        <v>4602</v>
      </c>
      <c r="F1864" s="21">
        <v>731.77</v>
      </c>
      <c r="G1864" s="14">
        <v>379</v>
      </c>
      <c r="H1864" s="14">
        <v>1</v>
      </c>
      <c r="I1864" s="14">
        <v>44</v>
      </c>
      <c r="J1864" s="22">
        <v>8.6462652547716803E-2</v>
      </c>
      <c r="K1864" s="22">
        <v>0.91353734745228299</v>
      </c>
      <c r="L1864" s="14">
        <v>0</v>
      </c>
    </row>
    <row r="1865" spans="1:12" x14ac:dyDescent="0.25">
      <c r="A1865" s="13" t="s">
        <v>7311</v>
      </c>
      <c r="B1865" s="14" t="s">
        <v>3510</v>
      </c>
      <c r="C1865" s="14" t="s">
        <v>5764</v>
      </c>
      <c r="D1865" s="14" t="s">
        <v>4601</v>
      </c>
      <c r="E1865" s="14" t="s">
        <v>7312</v>
      </c>
      <c r="F1865" s="21">
        <v>619.83000000000004</v>
      </c>
      <c r="G1865" s="14">
        <v>548</v>
      </c>
      <c r="H1865" s="14">
        <v>0</v>
      </c>
      <c r="I1865" s="14" t="s">
        <v>6314</v>
      </c>
      <c r="J1865" s="22">
        <v>0.59233880440715003</v>
      </c>
      <c r="K1865" s="22">
        <v>0.40766119559285002</v>
      </c>
      <c r="L1865" s="14">
        <v>0</v>
      </c>
    </row>
    <row r="1866" spans="1:12" x14ac:dyDescent="0.25">
      <c r="A1866" s="13" t="s">
        <v>4605</v>
      </c>
      <c r="B1866" s="14" t="s">
        <v>5473</v>
      </c>
      <c r="C1866" s="14" t="s">
        <v>5769</v>
      </c>
      <c r="D1866" s="14" t="s">
        <v>4607</v>
      </c>
      <c r="E1866" s="14" t="s">
        <v>4608</v>
      </c>
      <c r="F1866" s="21">
        <v>1260</v>
      </c>
      <c r="G1866" s="14">
        <v>167</v>
      </c>
      <c r="H1866" s="14">
        <v>1</v>
      </c>
      <c r="I1866" s="14">
        <v>33</v>
      </c>
      <c r="J1866" s="22">
        <v>4.8715832260761899E-2</v>
      </c>
      <c r="K1866" s="22">
        <v>0.95128416773923796</v>
      </c>
      <c r="L1866" s="14">
        <v>0</v>
      </c>
    </row>
    <row r="1867" spans="1:12" x14ac:dyDescent="0.25">
      <c r="A1867" s="13" t="s">
        <v>4609</v>
      </c>
      <c r="B1867" s="14" t="s">
        <v>552</v>
      </c>
      <c r="C1867" s="14" t="s">
        <v>5769</v>
      </c>
      <c r="D1867" s="14" t="s">
        <v>4607</v>
      </c>
      <c r="E1867" s="14" t="s">
        <v>4610</v>
      </c>
      <c r="F1867" s="21">
        <v>1680</v>
      </c>
      <c r="G1867" s="14">
        <v>133</v>
      </c>
      <c r="H1867" s="14">
        <v>1</v>
      </c>
      <c r="I1867" s="14">
        <v>7</v>
      </c>
      <c r="J1867" s="22">
        <v>0.34526469418498201</v>
      </c>
      <c r="K1867" s="22">
        <v>0.65473530581501804</v>
      </c>
      <c r="L1867" s="14">
        <v>0</v>
      </c>
    </row>
    <row r="1868" spans="1:12" x14ac:dyDescent="0.25">
      <c r="A1868" s="13">
        <v>23282992</v>
      </c>
      <c r="B1868" s="14" t="s">
        <v>5473</v>
      </c>
      <c r="C1868" s="14" t="s">
        <v>5768</v>
      </c>
      <c r="D1868" s="14" t="s">
        <v>4612</v>
      </c>
      <c r="E1868" s="14" t="s">
        <v>4613</v>
      </c>
      <c r="F1868" s="21">
        <v>1296</v>
      </c>
      <c r="G1868" s="14">
        <v>201</v>
      </c>
      <c r="H1868" s="14">
        <v>0</v>
      </c>
      <c r="I1868" s="14">
        <v>2</v>
      </c>
      <c r="J1868" s="22">
        <v>0.73616321340865598</v>
      </c>
      <c r="K1868" s="22">
        <v>0.26383678659134402</v>
      </c>
      <c r="L1868" s="14">
        <v>0</v>
      </c>
    </row>
    <row r="1869" spans="1:12" x14ac:dyDescent="0.25">
      <c r="A1869" s="13" t="s">
        <v>4614</v>
      </c>
      <c r="B1869" s="14" t="s">
        <v>191</v>
      </c>
      <c r="C1869" s="14" t="s">
        <v>4553</v>
      </c>
      <c r="D1869" s="14" t="s">
        <v>4615</v>
      </c>
      <c r="E1869" s="14" t="s">
        <v>4616</v>
      </c>
      <c r="F1869" s="21">
        <v>603.41999999999996</v>
      </c>
      <c r="G1869" s="14">
        <v>34</v>
      </c>
      <c r="H1869" s="14">
        <v>1</v>
      </c>
      <c r="I1869" s="14">
        <v>28</v>
      </c>
      <c r="J1869" s="22">
        <v>0.75485142148384199</v>
      </c>
      <c r="K1869" s="22">
        <v>0.24514857851615801</v>
      </c>
      <c r="L1869" s="14">
        <v>0</v>
      </c>
    </row>
    <row r="1870" spans="1:12" x14ac:dyDescent="0.25">
      <c r="A1870" s="13">
        <v>3704016</v>
      </c>
      <c r="B1870" s="14" t="s">
        <v>191</v>
      </c>
      <c r="C1870" s="14" t="s">
        <v>4553</v>
      </c>
      <c r="D1870" s="14" t="s">
        <v>4615</v>
      </c>
      <c r="E1870" s="14" t="s">
        <v>4618</v>
      </c>
      <c r="F1870" s="21">
        <v>660.59</v>
      </c>
      <c r="G1870" s="14">
        <v>794</v>
      </c>
      <c r="H1870" s="14">
        <v>0</v>
      </c>
      <c r="I1870" s="14">
        <v>46</v>
      </c>
      <c r="J1870" s="22">
        <v>0.99560110831781001</v>
      </c>
      <c r="K1870" s="22">
        <v>4.39889168219021E-3</v>
      </c>
      <c r="L1870" s="14">
        <v>0</v>
      </c>
    </row>
    <row r="1871" spans="1:12" x14ac:dyDescent="0.25">
      <c r="A1871" s="13">
        <v>2766312</v>
      </c>
      <c r="B1871" s="14" t="s">
        <v>191</v>
      </c>
      <c r="C1871" s="14" t="s">
        <v>4553</v>
      </c>
      <c r="D1871" s="14" t="s">
        <v>4615</v>
      </c>
      <c r="E1871" s="14" t="s">
        <v>4620</v>
      </c>
      <c r="F1871" s="21">
        <v>1241.0999999999999</v>
      </c>
      <c r="G1871" s="14">
        <v>546</v>
      </c>
      <c r="H1871" s="14">
        <v>0</v>
      </c>
      <c r="I1871" s="14">
        <v>39</v>
      </c>
      <c r="J1871" s="22">
        <v>0.59127904788855301</v>
      </c>
      <c r="K1871" s="22">
        <v>0.40872095211144699</v>
      </c>
      <c r="L1871" s="14">
        <v>0</v>
      </c>
    </row>
    <row r="1872" spans="1:12" ht="39.6" x14ac:dyDescent="0.25">
      <c r="A1872" s="20" t="s">
        <v>7313</v>
      </c>
      <c r="B1872" s="14" t="s">
        <v>3510</v>
      </c>
      <c r="C1872" s="14" t="s">
        <v>4553</v>
      </c>
      <c r="D1872" s="14" t="s">
        <v>4615</v>
      </c>
      <c r="E1872" s="14" t="s">
        <v>4622</v>
      </c>
      <c r="F1872" s="21">
        <v>395.6</v>
      </c>
      <c r="G1872" s="14">
        <v>558</v>
      </c>
      <c r="H1872" s="14">
        <v>1</v>
      </c>
      <c r="I1872" s="14">
        <v>12</v>
      </c>
      <c r="J1872" s="22">
        <v>5.1409412634942697E-2</v>
      </c>
      <c r="K1872" s="22">
        <v>0.94859058736505697</v>
      </c>
      <c r="L1872" s="14">
        <v>0</v>
      </c>
    </row>
    <row r="1873" spans="1:12" ht="39.6" x14ac:dyDescent="0.25">
      <c r="A1873" s="20" t="s">
        <v>7314</v>
      </c>
      <c r="B1873" s="14" t="s">
        <v>3510</v>
      </c>
      <c r="C1873" s="14" t="s">
        <v>4553</v>
      </c>
      <c r="D1873" s="14" t="s">
        <v>4615</v>
      </c>
      <c r="E1873" s="14" t="s">
        <v>4624</v>
      </c>
      <c r="F1873" s="21">
        <v>605.16999999999996</v>
      </c>
      <c r="G1873" s="14">
        <v>49</v>
      </c>
      <c r="H1873" s="14">
        <v>1</v>
      </c>
      <c r="I1873" s="14">
        <v>20</v>
      </c>
      <c r="J1873" s="22">
        <v>0.87250391378095804</v>
      </c>
      <c r="K1873" s="22">
        <v>0.12749608621904199</v>
      </c>
      <c r="L1873" s="14">
        <v>0</v>
      </c>
    </row>
    <row r="1874" spans="1:12" ht="26.4" x14ac:dyDescent="0.25">
      <c r="A1874" s="20" t="s">
        <v>7315</v>
      </c>
      <c r="B1874" s="14" t="s">
        <v>3510</v>
      </c>
      <c r="C1874" s="14" t="s">
        <v>4553</v>
      </c>
      <c r="D1874" s="14" t="s">
        <v>4615</v>
      </c>
      <c r="E1874" s="14" t="s">
        <v>4626</v>
      </c>
      <c r="F1874" s="21">
        <v>614.95000000000005</v>
      </c>
      <c r="G1874" s="14">
        <v>233</v>
      </c>
      <c r="H1874" s="14">
        <v>1</v>
      </c>
      <c r="I1874" s="14">
        <v>14</v>
      </c>
      <c r="J1874" s="22">
        <v>0.18324350497002101</v>
      </c>
      <c r="K1874" s="22">
        <v>0.81675649502997905</v>
      </c>
      <c r="L1874" s="14">
        <v>0</v>
      </c>
    </row>
    <row r="1875" spans="1:12" x14ac:dyDescent="0.25">
      <c r="A1875" s="13" t="s">
        <v>4627</v>
      </c>
      <c r="B1875" s="14" t="s">
        <v>3510</v>
      </c>
      <c r="C1875" s="14" t="s">
        <v>4553</v>
      </c>
      <c r="D1875" s="14" t="s">
        <v>4615</v>
      </c>
      <c r="E1875" s="14" t="s">
        <v>7316</v>
      </c>
      <c r="F1875" s="21">
        <v>617.79</v>
      </c>
      <c r="G1875" s="14">
        <v>406</v>
      </c>
      <c r="H1875" s="14">
        <v>1</v>
      </c>
      <c r="I1875" s="14">
        <v>37</v>
      </c>
      <c r="J1875" s="22">
        <v>0.98768973284821704</v>
      </c>
      <c r="K1875" s="22">
        <v>1.2310267151782701E-2</v>
      </c>
      <c r="L1875" s="14">
        <v>0</v>
      </c>
    </row>
    <row r="1876" spans="1:12" x14ac:dyDescent="0.25">
      <c r="A1876" s="13" t="s">
        <v>4629</v>
      </c>
      <c r="B1876" s="14" t="s">
        <v>3510</v>
      </c>
      <c r="C1876" s="14" t="s">
        <v>4553</v>
      </c>
      <c r="D1876" s="14" t="s">
        <v>4615</v>
      </c>
      <c r="E1876" s="14" t="s">
        <v>4630</v>
      </c>
      <c r="F1876" s="21">
        <v>662.09</v>
      </c>
      <c r="G1876" s="14">
        <v>373</v>
      </c>
      <c r="H1876" s="14">
        <v>0</v>
      </c>
      <c r="I1876" s="14">
        <v>25</v>
      </c>
      <c r="J1876" s="22">
        <v>0.86329734402625402</v>
      </c>
      <c r="K1876" s="22">
        <v>0.13670265597374601</v>
      </c>
      <c r="L1876" s="14">
        <v>0</v>
      </c>
    </row>
    <row r="1877" spans="1:12" x14ac:dyDescent="0.25">
      <c r="A1877" s="13" t="s">
        <v>4631</v>
      </c>
      <c r="B1877" s="14" t="s">
        <v>3510</v>
      </c>
      <c r="C1877" s="14" t="s">
        <v>4553</v>
      </c>
      <c r="D1877" s="14" t="s">
        <v>4615</v>
      </c>
      <c r="E1877" s="14" t="s">
        <v>4632</v>
      </c>
      <c r="F1877" s="21">
        <v>664.89</v>
      </c>
      <c r="G1877" s="14">
        <v>891</v>
      </c>
      <c r="H1877" s="14">
        <v>0</v>
      </c>
      <c r="I1877" s="14">
        <v>47</v>
      </c>
      <c r="J1877" s="22">
        <v>0.42868259499052602</v>
      </c>
      <c r="K1877" s="22">
        <v>0.57131740500947403</v>
      </c>
      <c r="L1877" s="14">
        <v>0</v>
      </c>
    </row>
    <row r="1878" spans="1:12" x14ac:dyDescent="0.25">
      <c r="A1878" s="13">
        <v>3666720</v>
      </c>
      <c r="B1878" s="14" t="s">
        <v>3510</v>
      </c>
      <c r="C1878" s="14" t="s">
        <v>4553</v>
      </c>
      <c r="D1878" s="14" t="s">
        <v>4615</v>
      </c>
      <c r="E1878" s="14" t="s">
        <v>4634</v>
      </c>
      <c r="F1878" s="21">
        <v>765.36</v>
      </c>
      <c r="G1878" s="14">
        <v>244</v>
      </c>
      <c r="H1878" s="14">
        <v>0</v>
      </c>
      <c r="I1878" s="14">
        <v>3</v>
      </c>
      <c r="J1878" s="22">
        <v>0.32584603806941997</v>
      </c>
      <c r="K1878" s="22">
        <v>0.67415396193057997</v>
      </c>
      <c r="L1878" s="14">
        <v>0</v>
      </c>
    </row>
    <row r="1879" spans="1:12" ht="26.4" x14ac:dyDescent="0.25">
      <c r="A1879" s="20" t="s">
        <v>7317</v>
      </c>
      <c r="B1879" s="14" t="s">
        <v>3510</v>
      </c>
      <c r="C1879" s="14" t="s">
        <v>4553</v>
      </c>
      <c r="D1879" s="14" t="s">
        <v>4615</v>
      </c>
      <c r="E1879" s="14" t="s">
        <v>4636</v>
      </c>
      <c r="F1879" s="21">
        <v>770.75</v>
      </c>
      <c r="G1879" s="14">
        <v>950</v>
      </c>
      <c r="H1879" s="14">
        <v>1</v>
      </c>
      <c r="I1879" s="14">
        <v>25</v>
      </c>
      <c r="J1879" s="22">
        <v>0.599935718351014</v>
      </c>
      <c r="K1879" s="22">
        <v>0.400064281648986</v>
      </c>
      <c r="L1879" s="14">
        <v>0</v>
      </c>
    </row>
    <row r="1880" spans="1:12" x14ac:dyDescent="0.25">
      <c r="A1880" s="13" t="s">
        <v>7318</v>
      </c>
      <c r="B1880" s="14" t="s">
        <v>3510</v>
      </c>
      <c r="C1880" s="14" t="s">
        <v>4553</v>
      </c>
      <c r="D1880" s="14" t="s">
        <v>4615</v>
      </c>
      <c r="E1880" s="14" t="s">
        <v>4638</v>
      </c>
      <c r="F1880" s="21">
        <v>792</v>
      </c>
      <c r="G1880" s="14">
        <v>795</v>
      </c>
      <c r="H1880" s="14">
        <v>0</v>
      </c>
      <c r="I1880" s="14">
        <v>8</v>
      </c>
      <c r="J1880" s="22">
        <v>0.24574096626581701</v>
      </c>
      <c r="K1880" s="22">
        <v>0.75425903373418302</v>
      </c>
      <c r="L1880" s="14">
        <v>0</v>
      </c>
    </row>
    <row r="1881" spans="1:12" x14ac:dyDescent="0.25">
      <c r="A1881" s="13">
        <v>3752214</v>
      </c>
      <c r="B1881" s="14" t="s">
        <v>3510</v>
      </c>
      <c r="C1881" s="14" t="s">
        <v>4553</v>
      </c>
      <c r="D1881" s="14" t="s">
        <v>4615</v>
      </c>
      <c r="E1881" s="14" t="s">
        <v>4640</v>
      </c>
      <c r="F1881" s="21">
        <v>793.02</v>
      </c>
      <c r="G1881" s="14">
        <v>67</v>
      </c>
      <c r="I1881" s="14">
        <v>19</v>
      </c>
      <c r="J1881" s="22">
        <v>0.82426857192586001</v>
      </c>
      <c r="K1881" s="22">
        <v>0.17573142807413999</v>
      </c>
      <c r="L1881" s="14">
        <v>0</v>
      </c>
    </row>
    <row r="1882" spans="1:12" x14ac:dyDescent="0.25">
      <c r="A1882" s="13" t="s">
        <v>7319</v>
      </c>
      <c r="B1882" s="14" t="s">
        <v>5406</v>
      </c>
      <c r="C1882" s="14" t="s">
        <v>4553</v>
      </c>
      <c r="D1882" s="14" t="s">
        <v>4615</v>
      </c>
      <c r="E1882" s="14" t="s">
        <v>4642</v>
      </c>
      <c r="F1882" s="21">
        <v>751.84</v>
      </c>
      <c r="G1882" s="14">
        <v>875</v>
      </c>
      <c r="H1882" s="14">
        <v>1</v>
      </c>
      <c r="I1882" s="14">
        <v>24</v>
      </c>
      <c r="J1882" s="22">
        <v>0.80016386711939702</v>
      </c>
      <c r="K1882" s="22">
        <v>0.19983613288060301</v>
      </c>
      <c r="L1882" s="14">
        <v>0</v>
      </c>
    </row>
    <row r="1883" spans="1:12" x14ac:dyDescent="0.25">
      <c r="A1883" s="13" t="s">
        <v>7320</v>
      </c>
      <c r="B1883" s="14" t="s">
        <v>5408</v>
      </c>
      <c r="C1883" s="14" t="s">
        <v>4553</v>
      </c>
      <c r="D1883" s="14" t="s">
        <v>4615</v>
      </c>
      <c r="E1883" s="14" t="s">
        <v>4644</v>
      </c>
      <c r="F1883" s="21">
        <v>732.25</v>
      </c>
      <c r="H1883" s="14">
        <v>1</v>
      </c>
      <c r="I1883" s="14">
        <v>22</v>
      </c>
      <c r="J1883" s="22">
        <v>0.15716488778898</v>
      </c>
      <c r="K1883" s="22">
        <v>0.84283511221102003</v>
      </c>
      <c r="L1883" s="14">
        <v>0</v>
      </c>
    </row>
    <row r="1884" spans="1:12" x14ac:dyDescent="0.25">
      <c r="A1884" s="13" t="s">
        <v>7321</v>
      </c>
      <c r="B1884" s="14" t="s">
        <v>5408</v>
      </c>
      <c r="C1884" s="14" t="s">
        <v>4553</v>
      </c>
      <c r="D1884" s="14" t="s">
        <v>4615</v>
      </c>
      <c r="E1884" s="14" t="s">
        <v>4646</v>
      </c>
      <c r="F1884" s="21">
        <v>759.3</v>
      </c>
      <c r="G1884" s="14">
        <v>458</v>
      </c>
      <c r="I1884" s="14">
        <v>14</v>
      </c>
      <c r="J1884" s="22">
        <v>5.3758308549325402E-2</v>
      </c>
      <c r="K1884" s="22">
        <v>0.94624169145067505</v>
      </c>
      <c r="L1884" s="14">
        <v>0</v>
      </c>
    </row>
    <row r="1885" spans="1:12" x14ac:dyDescent="0.25">
      <c r="A1885" s="13" t="s">
        <v>6267</v>
      </c>
      <c r="B1885" s="14" t="s">
        <v>5408</v>
      </c>
      <c r="C1885" s="14" t="s">
        <v>4553</v>
      </c>
      <c r="D1885" s="14" t="s">
        <v>4615</v>
      </c>
      <c r="E1885" s="14" t="s">
        <v>4647</v>
      </c>
      <c r="F1885" s="21">
        <v>786.98</v>
      </c>
      <c r="G1885" s="14">
        <v>684</v>
      </c>
      <c r="H1885" s="14">
        <v>0</v>
      </c>
      <c r="I1885" s="14">
        <v>7</v>
      </c>
      <c r="J1885" s="22">
        <v>0.90028275482487197</v>
      </c>
      <c r="K1885" s="22">
        <v>9.9717245175128297E-2</v>
      </c>
      <c r="L1885" s="14">
        <v>0</v>
      </c>
    </row>
    <row r="1886" spans="1:12" x14ac:dyDescent="0.25">
      <c r="A1886" s="13">
        <v>3396515</v>
      </c>
      <c r="B1886" s="14" t="s">
        <v>4615</v>
      </c>
      <c r="C1886" s="14" t="s">
        <v>4553</v>
      </c>
      <c r="D1886" s="14" t="s">
        <v>4615</v>
      </c>
      <c r="E1886" s="14" t="s">
        <v>4649</v>
      </c>
      <c r="F1886" s="21">
        <v>206.32</v>
      </c>
      <c r="G1886" s="14">
        <v>757</v>
      </c>
      <c r="H1886" s="14">
        <v>1</v>
      </c>
      <c r="I1886" s="14">
        <v>45</v>
      </c>
      <c r="J1886" s="22">
        <v>0.41611278329060097</v>
      </c>
      <c r="K1886" s="22">
        <v>0.58388721670939903</v>
      </c>
      <c r="L1886" s="14">
        <v>0</v>
      </c>
    </row>
    <row r="1887" spans="1:12" x14ac:dyDescent="0.25">
      <c r="A1887" s="13" t="s">
        <v>6269</v>
      </c>
      <c r="B1887" s="14" t="s">
        <v>4615</v>
      </c>
      <c r="C1887" s="14" t="s">
        <v>4553</v>
      </c>
      <c r="D1887" s="14" t="s">
        <v>4615</v>
      </c>
      <c r="E1887" s="14" t="s">
        <v>7322</v>
      </c>
      <c r="F1887" s="21">
        <v>663.3</v>
      </c>
      <c r="G1887" s="14">
        <v>240</v>
      </c>
      <c r="H1887" s="14">
        <v>0</v>
      </c>
      <c r="I1887" s="14">
        <v>33</v>
      </c>
      <c r="J1887" s="22">
        <v>0.390696405112329</v>
      </c>
      <c r="K1887" s="22">
        <v>0.60930359488767105</v>
      </c>
      <c r="L1887" s="14">
        <v>0</v>
      </c>
    </row>
    <row r="1888" spans="1:12" x14ac:dyDescent="0.25">
      <c r="A1888" s="13" t="s">
        <v>4652</v>
      </c>
      <c r="B1888" s="14" t="s">
        <v>5409</v>
      </c>
      <c r="C1888" s="14" t="s">
        <v>5765</v>
      </c>
      <c r="D1888" s="14" t="s">
        <v>4615</v>
      </c>
      <c r="E1888" s="14" t="s">
        <v>4653</v>
      </c>
      <c r="F1888" s="21">
        <v>779.69</v>
      </c>
      <c r="G1888" s="14">
        <v>268</v>
      </c>
      <c r="H1888" s="14">
        <v>1</v>
      </c>
      <c r="I1888" s="14" t="s">
        <v>6314</v>
      </c>
      <c r="J1888" s="22">
        <v>0.409689847145004</v>
      </c>
      <c r="K1888" s="22">
        <v>0.590310152854996</v>
      </c>
      <c r="L1888" s="14">
        <v>0</v>
      </c>
    </row>
    <row r="1889" spans="1:12" x14ac:dyDescent="0.25">
      <c r="A1889" s="13" t="s">
        <v>7323</v>
      </c>
      <c r="B1889" s="14" t="s">
        <v>3510</v>
      </c>
      <c r="C1889" s="14" t="s">
        <v>7324</v>
      </c>
      <c r="D1889" s="14" t="s">
        <v>4615</v>
      </c>
      <c r="E1889" s="14" t="s">
        <v>4655</v>
      </c>
      <c r="F1889" s="21">
        <v>888.18</v>
      </c>
      <c r="G1889" s="14">
        <v>366</v>
      </c>
      <c r="H1889" s="14">
        <v>1</v>
      </c>
      <c r="I1889" s="14">
        <v>13</v>
      </c>
      <c r="J1889" s="22">
        <v>0.15073787462874599</v>
      </c>
      <c r="K1889" s="22">
        <v>0.84926212537125401</v>
      </c>
      <c r="L1889" s="14">
        <v>0</v>
      </c>
    </row>
    <row r="1890" spans="1:12" x14ac:dyDescent="0.25">
      <c r="A1890" s="13" t="s">
        <v>4656</v>
      </c>
      <c r="B1890" s="14" t="s">
        <v>7325</v>
      </c>
      <c r="C1890" s="14" t="s">
        <v>7324</v>
      </c>
      <c r="D1890" s="14" t="s">
        <v>4615</v>
      </c>
      <c r="E1890" s="14" t="s">
        <v>4657</v>
      </c>
      <c r="F1890" s="21">
        <v>2691.68</v>
      </c>
      <c r="G1890" s="14">
        <v>561</v>
      </c>
      <c r="H1890" s="14">
        <v>1</v>
      </c>
      <c r="I1890" s="14">
        <v>47</v>
      </c>
      <c r="J1890" s="22">
        <v>9.5174725225689497E-2</v>
      </c>
      <c r="K1890" s="22">
        <v>0.90482527477431096</v>
      </c>
      <c r="L1890" s="14">
        <v>0</v>
      </c>
    </row>
    <row r="1891" spans="1:12" x14ac:dyDescent="0.25">
      <c r="A1891" s="13" t="s">
        <v>7326</v>
      </c>
      <c r="B1891" s="14" t="s">
        <v>5410</v>
      </c>
      <c r="C1891" s="14" t="s">
        <v>5410</v>
      </c>
      <c r="D1891" s="14" t="s">
        <v>4659</v>
      </c>
      <c r="E1891" s="14" t="s">
        <v>4660</v>
      </c>
      <c r="F1891" s="21">
        <v>831.09</v>
      </c>
      <c r="G1891" s="14">
        <v>667</v>
      </c>
      <c r="H1891" s="14">
        <v>1</v>
      </c>
      <c r="I1891" s="14">
        <v>11</v>
      </c>
      <c r="J1891" s="22">
        <v>0.98480763303287799</v>
      </c>
      <c r="K1891" s="22">
        <v>1.51923669671221E-2</v>
      </c>
      <c r="L1891" s="14">
        <v>0</v>
      </c>
    </row>
    <row r="1892" spans="1:12" x14ac:dyDescent="0.25">
      <c r="A1892" s="13" t="s">
        <v>4661</v>
      </c>
      <c r="B1892" s="14" t="s">
        <v>3510</v>
      </c>
      <c r="C1892" s="14" t="s">
        <v>5766</v>
      </c>
      <c r="D1892" s="14" t="s">
        <v>4601</v>
      </c>
      <c r="E1892" s="14" t="s">
        <v>4662</v>
      </c>
      <c r="F1892" s="21">
        <v>601.70000000000005</v>
      </c>
      <c r="G1892" s="14">
        <v>22</v>
      </c>
      <c r="H1892" s="14">
        <v>0</v>
      </c>
      <c r="I1892" s="14">
        <v>25</v>
      </c>
      <c r="J1892" s="22">
        <v>1.30291956241982E-2</v>
      </c>
      <c r="K1892" s="22">
        <v>0.98697080437580198</v>
      </c>
      <c r="L1892" s="14">
        <v>0</v>
      </c>
    </row>
    <row r="1893" spans="1:12" ht="26.4" x14ac:dyDescent="0.25">
      <c r="A1893" s="20" t="s">
        <v>7327</v>
      </c>
      <c r="B1893" s="14" t="s">
        <v>5406</v>
      </c>
      <c r="C1893" s="14" t="s">
        <v>5766</v>
      </c>
      <c r="D1893" s="14" t="s">
        <v>4601</v>
      </c>
      <c r="E1893" s="14" t="s">
        <v>4664</v>
      </c>
      <c r="F1893" s="21">
        <v>567.65</v>
      </c>
      <c r="G1893" s="14">
        <v>439</v>
      </c>
      <c r="H1893" s="14">
        <v>0</v>
      </c>
      <c r="I1893" s="14">
        <v>50</v>
      </c>
      <c r="J1893" s="22">
        <v>0.19043971514955399</v>
      </c>
      <c r="K1893" s="22">
        <v>0.80956028485044595</v>
      </c>
      <c r="L1893" s="14">
        <v>0</v>
      </c>
    </row>
    <row r="1894" spans="1:12" x14ac:dyDescent="0.25">
      <c r="A1894" s="13" t="s">
        <v>7328</v>
      </c>
      <c r="B1894" s="14" t="s">
        <v>5407</v>
      </c>
      <c r="C1894" s="14" t="s">
        <v>7329</v>
      </c>
      <c r="D1894" s="14" t="s">
        <v>4601</v>
      </c>
      <c r="E1894" s="14" t="s">
        <v>4666</v>
      </c>
      <c r="F1894" s="21">
        <v>890</v>
      </c>
      <c r="G1894" s="14">
        <v>849</v>
      </c>
      <c r="H1894" s="14">
        <v>1</v>
      </c>
      <c r="I1894" s="14">
        <v>15</v>
      </c>
      <c r="J1894" s="22">
        <v>0.95071595219869698</v>
      </c>
      <c r="K1894" s="22">
        <v>4.9284047801302799E-2</v>
      </c>
      <c r="L1894" s="14">
        <v>0</v>
      </c>
    </row>
    <row r="1895" spans="1:12" x14ac:dyDescent="0.25">
      <c r="A1895" s="13" t="s">
        <v>4667</v>
      </c>
      <c r="B1895" s="14" t="s">
        <v>4615</v>
      </c>
      <c r="C1895" s="14" t="s">
        <v>5767</v>
      </c>
      <c r="D1895" s="14" t="s">
        <v>4601</v>
      </c>
      <c r="E1895" s="14" t="s">
        <v>4668</v>
      </c>
      <c r="F1895" s="21">
        <v>809.62</v>
      </c>
      <c r="G1895" s="14">
        <v>156</v>
      </c>
      <c r="H1895" s="14">
        <v>0</v>
      </c>
      <c r="I1895" s="14">
        <v>24</v>
      </c>
      <c r="J1895" s="22">
        <v>0.20228004689742801</v>
      </c>
      <c r="K1895" s="22">
        <v>0.79771995310257204</v>
      </c>
      <c r="L1895" s="14">
        <v>0</v>
      </c>
    </row>
    <row r="1896" spans="1:12" x14ac:dyDescent="0.25">
      <c r="A1896" s="13" t="s">
        <v>6270</v>
      </c>
      <c r="B1896" s="14" t="s">
        <v>5473</v>
      </c>
      <c r="C1896" s="14" t="s">
        <v>4611</v>
      </c>
      <c r="D1896" s="14" t="s">
        <v>4612</v>
      </c>
      <c r="E1896" s="14" t="s">
        <v>4670</v>
      </c>
      <c r="F1896" s="21">
        <v>1260</v>
      </c>
      <c r="G1896" s="14">
        <v>716</v>
      </c>
      <c r="H1896" s="14">
        <v>0</v>
      </c>
      <c r="I1896" s="14">
        <v>16</v>
      </c>
      <c r="J1896" s="22">
        <v>0.65984231745791699</v>
      </c>
      <c r="K1896" s="22">
        <v>0.34015768254208301</v>
      </c>
      <c r="L1896" s="14">
        <v>0</v>
      </c>
    </row>
    <row r="1897" spans="1:12" x14ac:dyDescent="0.25">
      <c r="A1897" s="13" t="s">
        <v>4671</v>
      </c>
      <c r="B1897" s="14" t="s">
        <v>5473</v>
      </c>
      <c r="C1897" s="14" t="s">
        <v>4606</v>
      </c>
      <c r="D1897" s="14" t="s">
        <v>4672</v>
      </c>
      <c r="E1897" s="14" t="s">
        <v>4673</v>
      </c>
      <c r="F1897" s="21">
        <v>1050</v>
      </c>
      <c r="G1897" s="14">
        <v>986</v>
      </c>
      <c r="H1897" s="14">
        <v>0</v>
      </c>
      <c r="I1897" s="14">
        <v>35</v>
      </c>
      <c r="J1897" s="22">
        <v>0.17673511467374001</v>
      </c>
      <c r="K1897" s="22">
        <v>0.82326488532625997</v>
      </c>
      <c r="L1897" s="14">
        <v>0</v>
      </c>
    </row>
    <row r="1898" spans="1:12" x14ac:dyDescent="0.25">
      <c r="A1898" s="13" t="s">
        <v>4674</v>
      </c>
      <c r="B1898" s="14" t="s">
        <v>5473</v>
      </c>
      <c r="C1898" s="14" t="s">
        <v>4606</v>
      </c>
      <c r="D1898" s="14" t="s">
        <v>4672</v>
      </c>
      <c r="E1898" s="14" t="s">
        <v>4675</v>
      </c>
      <c r="F1898" s="21">
        <v>1400</v>
      </c>
      <c r="H1898" s="14">
        <v>0</v>
      </c>
      <c r="I1898" s="14">
        <v>34</v>
      </c>
      <c r="J1898" s="22">
        <v>0.91842897822599201</v>
      </c>
      <c r="K1898" s="22">
        <v>8.1571021774007907E-2</v>
      </c>
      <c r="L1898" s="14">
        <v>0</v>
      </c>
    </row>
    <row r="1899" spans="1:12" x14ac:dyDescent="0.25">
      <c r="A1899" s="13" t="s">
        <v>4676</v>
      </c>
      <c r="B1899" s="14" t="s">
        <v>5473</v>
      </c>
      <c r="C1899" s="14" t="s">
        <v>4606</v>
      </c>
      <c r="D1899" s="14" t="s">
        <v>4672</v>
      </c>
      <c r="E1899" s="14" t="s">
        <v>4677</v>
      </c>
      <c r="F1899" s="21">
        <v>1680</v>
      </c>
      <c r="G1899" s="14">
        <v>93</v>
      </c>
      <c r="H1899" s="14">
        <v>1</v>
      </c>
      <c r="I1899" s="14">
        <v>19</v>
      </c>
      <c r="J1899" s="22">
        <v>0.88206104376290395</v>
      </c>
      <c r="K1899" s="22">
        <v>0.11793895623709599</v>
      </c>
      <c r="L1899" s="14">
        <v>0</v>
      </c>
    </row>
    <row r="1900" spans="1:12" x14ac:dyDescent="0.25">
      <c r="A1900" s="13" t="s">
        <v>4678</v>
      </c>
      <c r="B1900" s="14" t="s">
        <v>5473</v>
      </c>
      <c r="C1900" s="14" t="s">
        <v>4606</v>
      </c>
      <c r="D1900" s="14" t="s">
        <v>4672</v>
      </c>
      <c r="E1900" s="14" t="s">
        <v>4679</v>
      </c>
      <c r="F1900" s="21">
        <v>1680</v>
      </c>
      <c r="G1900" s="14">
        <v>394</v>
      </c>
      <c r="H1900" s="14">
        <v>1</v>
      </c>
      <c r="I1900" s="14">
        <v>23</v>
      </c>
      <c r="J1900" s="22">
        <v>0.74949115362494401</v>
      </c>
      <c r="K1900" s="22">
        <v>0.25050884637505599</v>
      </c>
      <c r="L1900" s="14">
        <v>0</v>
      </c>
    </row>
    <row r="1901" spans="1:12" ht="52.8" x14ac:dyDescent="0.25">
      <c r="A1901" s="20" t="s">
        <v>7330</v>
      </c>
      <c r="B1901" s="14" t="s">
        <v>5473</v>
      </c>
      <c r="C1901" s="14" t="s">
        <v>4606</v>
      </c>
      <c r="D1901" s="14" t="s">
        <v>4672</v>
      </c>
      <c r="E1901" s="14" t="s">
        <v>4681</v>
      </c>
      <c r="F1901" s="21">
        <v>1680</v>
      </c>
      <c r="G1901" s="14">
        <v>306</v>
      </c>
      <c r="H1901" s="14">
        <v>0</v>
      </c>
      <c r="I1901" s="14">
        <v>17</v>
      </c>
      <c r="J1901" s="22">
        <v>0.104263259552325</v>
      </c>
      <c r="K1901" s="22">
        <v>0.89573674044767504</v>
      </c>
      <c r="L1901" s="14">
        <v>0</v>
      </c>
    </row>
    <row r="1902" spans="1:12" x14ac:dyDescent="0.25">
      <c r="A1902" s="13" t="s">
        <v>4682</v>
      </c>
      <c r="B1902" s="14" t="s">
        <v>552</v>
      </c>
      <c r="C1902" s="14" t="s">
        <v>4606</v>
      </c>
      <c r="D1902" s="14" t="s">
        <v>4672</v>
      </c>
      <c r="E1902" s="14" t="s">
        <v>4683</v>
      </c>
      <c r="F1902" s="24">
        <v>1260</v>
      </c>
      <c r="G1902" s="14">
        <v>70</v>
      </c>
      <c r="H1902" s="14">
        <v>0</v>
      </c>
      <c r="I1902" s="14">
        <v>38</v>
      </c>
      <c r="J1902" s="22">
        <v>0.33392939713720399</v>
      </c>
      <c r="K1902" s="22">
        <v>0.66607060286279596</v>
      </c>
      <c r="L1902" s="14">
        <v>0</v>
      </c>
    </row>
    <row r="1903" spans="1:12" x14ac:dyDescent="0.25">
      <c r="A1903" s="13" t="s">
        <v>7331</v>
      </c>
      <c r="B1903" s="14" t="s">
        <v>552</v>
      </c>
      <c r="C1903" s="14" t="s">
        <v>4606</v>
      </c>
      <c r="D1903" s="14" t="s">
        <v>4672</v>
      </c>
      <c r="E1903" s="14" t="s">
        <v>4685</v>
      </c>
      <c r="F1903" s="21">
        <v>1680</v>
      </c>
      <c r="G1903" s="14">
        <v>812</v>
      </c>
      <c r="H1903" s="14">
        <v>0</v>
      </c>
      <c r="I1903" s="14">
        <v>26</v>
      </c>
      <c r="J1903" s="22">
        <v>0.83952744256954004</v>
      </c>
      <c r="K1903" s="22">
        <v>0.16047255743045999</v>
      </c>
      <c r="L1903" s="14">
        <v>0</v>
      </c>
    </row>
    <row r="1904" spans="1:12" x14ac:dyDescent="0.25">
      <c r="A1904" s="13" t="s">
        <v>4686</v>
      </c>
      <c r="B1904" s="14" t="s">
        <v>552</v>
      </c>
      <c r="C1904" s="14" t="s">
        <v>4606</v>
      </c>
      <c r="D1904" s="14" t="s">
        <v>4672</v>
      </c>
      <c r="E1904" s="14" t="s">
        <v>4687</v>
      </c>
      <c r="F1904" s="21">
        <v>1680</v>
      </c>
      <c r="G1904" s="14">
        <v>399</v>
      </c>
      <c r="H1904" s="14">
        <v>0</v>
      </c>
      <c r="I1904" s="14">
        <v>2</v>
      </c>
      <c r="J1904" s="22">
        <v>0.754671738161385</v>
      </c>
      <c r="K1904" s="22">
        <v>0.245328261838615</v>
      </c>
      <c r="L1904" s="14">
        <v>0</v>
      </c>
    </row>
    <row r="1905" spans="1:12" ht="39.6" x14ac:dyDescent="0.25">
      <c r="A1905" s="20" t="s">
        <v>7332</v>
      </c>
      <c r="B1905" s="14" t="s">
        <v>110</v>
      </c>
      <c r="C1905" s="14" t="s">
        <v>5770</v>
      </c>
      <c r="D1905" s="14" t="s">
        <v>4690</v>
      </c>
      <c r="E1905" s="14" t="s">
        <v>4691</v>
      </c>
      <c r="F1905" s="21">
        <v>2040</v>
      </c>
      <c r="G1905" s="14">
        <v>771</v>
      </c>
      <c r="H1905" s="14">
        <v>1</v>
      </c>
      <c r="I1905" s="14">
        <v>11</v>
      </c>
      <c r="J1905" s="22">
        <v>0.222081619218084</v>
      </c>
      <c r="K1905" s="22">
        <v>0.777918380781916</v>
      </c>
      <c r="L1905" s="14">
        <v>0</v>
      </c>
    </row>
    <row r="1906" spans="1:12" x14ac:dyDescent="0.25">
      <c r="A1906" s="13" t="s">
        <v>4692</v>
      </c>
      <c r="B1906" s="14" t="s">
        <v>17</v>
      </c>
      <c r="C1906" s="14" t="s">
        <v>5771</v>
      </c>
      <c r="D1906" s="14" t="s">
        <v>4694</v>
      </c>
      <c r="E1906" s="14" t="s">
        <v>4695</v>
      </c>
      <c r="F1906" s="21">
        <v>1938.38</v>
      </c>
      <c r="H1906" s="14">
        <v>0</v>
      </c>
      <c r="I1906" s="14" t="s">
        <v>6314</v>
      </c>
      <c r="J1906" s="22">
        <v>0.30380202930581901</v>
      </c>
      <c r="K1906" s="22">
        <v>0.69619797069418099</v>
      </c>
      <c r="L1906" s="14">
        <v>0</v>
      </c>
    </row>
    <row r="1907" spans="1:12" x14ac:dyDescent="0.25">
      <c r="A1907" s="13" t="s">
        <v>4696</v>
      </c>
      <c r="B1907" s="14" t="s">
        <v>86</v>
      </c>
      <c r="C1907" s="14" t="s">
        <v>4697</v>
      </c>
      <c r="D1907" s="14" t="s">
        <v>4698</v>
      </c>
      <c r="E1907" s="14" t="s">
        <v>4699</v>
      </c>
      <c r="F1907" s="21">
        <v>1935.6</v>
      </c>
      <c r="H1907" s="14">
        <v>1</v>
      </c>
      <c r="I1907" s="14">
        <v>3</v>
      </c>
      <c r="J1907" s="22">
        <v>0.314759695132666</v>
      </c>
      <c r="K1907" s="22">
        <v>0.685240304867334</v>
      </c>
      <c r="L1907" s="14">
        <v>0</v>
      </c>
    </row>
    <row r="1908" spans="1:12" x14ac:dyDescent="0.25">
      <c r="A1908" s="13" t="s">
        <v>7333</v>
      </c>
      <c r="B1908" s="14" t="s">
        <v>86</v>
      </c>
      <c r="C1908" s="14" t="s">
        <v>4697</v>
      </c>
      <c r="D1908" s="14" t="s">
        <v>4698</v>
      </c>
      <c r="E1908" s="14" t="s">
        <v>4700</v>
      </c>
      <c r="F1908" s="21">
        <v>1954.66</v>
      </c>
      <c r="H1908" s="14">
        <v>1</v>
      </c>
      <c r="I1908" s="14">
        <v>29</v>
      </c>
      <c r="J1908" s="22">
        <v>0.76665731148985095</v>
      </c>
      <c r="K1908" s="22">
        <v>0.233342688510149</v>
      </c>
      <c r="L1908" s="14">
        <v>0</v>
      </c>
    </row>
    <row r="1909" spans="1:12" x14ac:dyDescent="0.25">
      <c r="A1909" s="13" t="s">
        <v>7334</v>
      </c>
      <c r="B1909" s="14" t="s">
        <v>5495</v>
      </c>
      <c r="C1909" s="14" t="s">
        <v>5772</v>
      </c>
      <c r="D1909" s="14" t="s">
        <v>4589</v>
      </c>
      <c r="E1909" s="14" t="s">
        <v>4703</v>
      </c>
      <c r="F1909" s="21">
        <v>1409.96</v>
      </c>
      <c r="G1909" s="14">
        <v>490</v>
      </c>
      <c r="H1909" s="14">
        <v>0</v>
      </c>
      <c r="I1909" s="14">
        <v>50</v>
      </c>
      <c r="J1909" s="22">
        <v>0.79264764946475497</v>
      </c>
      <c r="K1909" s="22">
        <v>0.20735235053524601</v>
      </c>
      <c r="L1909" s="14">
        <v>0</v>
      </c>
    </row>
    <row r="1910" spans="1:12" x14ac:dyDescent="0.25">
      <c r="A1910" s="13" t="s">
        <v>4704</v>
      </c>
      <c r="B1910" s="14" t="s">
        <v>17</v>
      </c>
      <c r="C1910" s="14" t="s">
        <v>4705</v>
      </c>
      <c r="D1910" s="14" t="s">
        <v>4706</v>
      </c>
      <c r="E1910" s="14" t="s">
        <v>4707</v>
      </c>
      <c r="F1910" s="21">
        <v>2177.87</v>
      </c>
      <c r="G1910" s="14">
        <v>220</v>
      </c>
      <c r="H1910" s="14">
        <v>0</v>
      </c>
      <c r="I1910" s="14">
        <v>8</v>
      </c>
      <c r="J1910" s="22">
        <v>0.60696235293782697</v>
      </c>
      <c r="K1910" s="22">
        <v>0.39303764706217298</v>
      </c>
      <c r="L1910" s="14">
        <v>0</v>
      </c>
    </row>
    <row r="1911" spans="1:12" x14ac:dyDescent="0.25">
      <c r="A1911" s="13" t="s">
        <v>4708</v>
      </c>
      <c r="B1911" s="14" t="s">
        <v>406</v>
      </c>
      <c r="C1911" s="14" t="s">
        <v>4709</v>
      </c>
      <c r="D1911" s="14" t="s">
        <v>4710</v>
      </c>
      <c r="E1911" s="14" t="s">
        <v>4711</v>
      </c>
      <c r="F1911" s="21">
        <v>2973.32</v>
      </c>
      <c r="G1911" s="14">
        <v>791</v>
      </c>
      <c r="H1911" s="14">
        <v>0</v>
      </c>
      <c r="I1911" s="14">
        <v>35</v>
      </c>
      <c r="J1911" s="22">
        <v>6.6901176005457197E-3</v>
      </c>
      <c r="K1911" s="22">
        <v>0.99330988239945395</v>
      </c>
      <c r="L1911" s="14">
        <v>0</v>
      </c>
    </row>
    <row r="1912" spans="1:12" x14ac:dyDescent="0.25">
      <c r="A1912" s="13" t="s">
        <v>4712</v>
      </c>
      <c r="B1912" s="14" t="s">
        <v>113</v>
      </c>
      <c r="C1912" s="14" t="s">
        <v>4713</v>
      </c>
      <c r="D1912" s="14" t="s">
        <v>4714</v>
      </c>
      <c r="E1912" s="14" t="s">
        <v>4715</v>
      </c>
      <c r="F1912" s="21">
        <v>1800</v>
      </c>
      <c r="G1912" s="14">
        <v>132</v>
      </c>
      <c r="H1912" s="14">
        <v>1</v>
      </c>
      <c r="I1912" s="14">
        <v>37</v>
      </c>
      <c r="J1912" s="22">
        <v>0.91614553098269802</v>
      </c>
      <c r="K1912" s="22">
        <v>8.3854469017302397E-2</v>
      </c>
      <c r="L1912" s="14">
        <v>0</v>
      </c>
    </row>
    <row r="1913" spans="1:12" x14ac:dyDescent="0.25">
      <c r="A1913" s="13" t="s">
        <v>6556</v>
      </c>
      <c r="B1913" s="14" t="s">
        <v>5362</v>
      </c>
      <c r="C1913" s="14" t="s">
        <v>4713</v>
      </c>
      <c r="D1913" s="14" t="s">
        <v>4714</v>
      </c>
      <c r="E1913" s="14" t="s">
        <v>4716</v>
      </c>
      <c r="F1913" s="21">
        <v>2034</v>
      </c>
      <c r="G1913" s="14">
        <v>445</v>
      </c>
      <c r="H1913" s="14">
        <v>0</v>
      </c>
      <c r="I1913" s="14">
        <v>33</v>
      </c>
      <c r="J1913" s="22">
        <v>0.35652457883951399</v>
      </c>
      <c r="K1913" s="22">
        <v>0.64347542116048695</v>
      </c>
      <c r="L1913" s="14">
        <v>0</v>
      </c>
    </row>
    <row r="1914" spans="1:12" x14ac:dyDescent="0.25">
      <c r="A1914" s="13" t="s">
        <v>6271</v>
      </c>
      <c r="B1914" s="14" t="s">
        <v>5362</v>
      </c>
      <c r="C1914" s="14" t="s">
        <v>4713</v>
      </c>
      <c r="D1914" s="14" t="s">
        <v>4714</v>
      </c>
      <c r="E1914" s="14" t="s">
        <v>4717</v>
      </c>
      <c r="F1914" s="21">
        <v>2034</v>
      </c>
      <c r="G1914" s="14">
        <v>26</v>
      </c>
      <c r="H1914" s="14">
        <v>1</v>
      </c>
      <c r="I1914" s="14">
        <v>49</v>
      </c>
      <c r="J1914" s="22">
        <v>0.74423782057754195</v>
      </c>
      <c r="K1914" s="22">
        <v>0.25576217942245899</v>
      </c>
      <c r="L1914" s="14">
        <v>0</v>
      </c>
    </row>
    <row r="1915" spans="1:12" x14ac:dyDescent="0.25">
      <c r="B1915" s="14" t="s">
        <v>5362</v>
      </c>
      <c r="C1915" s="14" t="s">
        <v>4713</v>
      </c>
      <c r="D1915" s="14" t="s">
        <v>4714</v>
      </c>
      <c r="E1915" s="14" t="s">
        <v>4718</v>
      </c>
      <c r="F1915" s="21">
        <v>2034</v>
      </c>
      <c r="G1915" s="14">
        <v>594</v>
      </c>
      <c r="H1915" s="14">
        <v>0</v>
      </c>
      <c r="I1915" s="14">
        <v>6</v>
      </c>
      <c r="J1915" s="22">
        <v>0.357608563190009</v>
      </c>
      <c r="K1915" s="22">
        <v>0.642391436809991</v>
      </c>
      <c r="L1915" s="14">
        <v>0</v>
      </c>
    </row>
    <row r="1916" spans="1:12" x14ac:dyDescent="0.25">
      <c r="B1916" s="14" t="s">
        <v>5362</v>
      </c>
      <c r="C1916" s="14" t="s">
        <v>4713</v>
      </c>
      <c r="D1916" s="14" t="s">
        <v>4714</v>
      </c>
      <c r="E1916" s="14" t="s">
        <v>4719</v>
      </c>
      <c r="F1916" s="21">
        <v>2034</v>
      </c>
      <c r="G1916" s="14">
        <v>331</v>
      </c>
      <c r="H1916" s="14">
        <v>0</v>
      </c>
      <c r="I1916" s="14">
        <v>16</v>
      </c>
      <c r="J1916" s="22">
        <v>0.98393209406503301</v>
      </c>
      <c r="K1916" s="22">
        <v>1.6067905934967201E-2</v>
      </c>
      <c r="L1916" s="14">
        <v>0</v>
      </c>
    </row>
    <row r="1917" spans="1:12" x14ac:dyDescent="0.25">
      <c r="A1917" s="13" t="s">
        <v>4720</v>
      </c>
      <c r="B1917" s="14" t="s">
        <v>406</v>
      </c>
      <c r="C1917" s="14" t="s">
        <v>4721</v>
      </c>
      <c r="D1917" s="14" t="s">
        <v>4722</v>
      </c>
      <c r="E1917" s="14" t="s">
        <v>4723</v>
      </c>
      <c r="F1917" s="21">
        <v>2534.5300000000002</v>
      </c>
      <c r="G1917" s="14">
        <v>300</v>
      </c>
      <c r="H1917" s="14">
        <v>0</v>
      </c>
      <c r="I1917" s="14">
        <v>20</v>
      </c>
      <c r="J1917" s="22">
        <v>0.35475575548649801</v>
      </c>
      <c r="K1917" s="22">
        <v>0.64524424451350204</v>
      </c>
      <c r="L1917" s="14">
        <v>0</v>
      </c>
    </row>
    <row r="1918" spans="1:12" x14ac:dyDescent="0.25">
      <c r="A1918" s="13" t="s">
        <v>4724</v>
      </c>
      <c r="B1918" s="14" t="s">
        <v>5438</v>
      </c>
      <c r="C1918" s="14" t="s">
        <v>4725</v>
      </c>
      <c r="D1918" s="14" t="s">
        <v>4726</v>
      </c>
      <c r="E1918" s="14" t="s">
        <v>4727</v>
      </c>
      <c r="F1918" s="21">
        <v>2297.8200000000002</v>
      </c>
      <c r="G1918" s="14">
        <v>172</v>
      </c>
      <c r="H1918" s="14">
        <v>0</v>
      </c>
      <c r="I1918" s="14">
        <v>40</v>
      </c>
      <c r="J1918" s="22">
        <v>0.59786913042204204</v>
      </c>
      <c r="K1918" s="22">
        <v>0.40213086957795802</v>
      </c>
      <c r="L1918" s="14">
        <v>0</v>
      </c>
    </row>
    <row r="1919" spans="1:12" x14ac:dyDescent="0.25">
      <c r="B1919" s="14" t="s">
        <v>5440</v>
      </c>
      <c r="C1919" s="14" t="s">
        <v>4725</v>
      </c>
      <c r="D1919" s="14" t="s">
        <v>4726</v>
      </c>
      <c r="E1919" s="14" t="s">
        <v>4728</v>
      </c>
      <c r="F1919" s="21">
        <v>1944.14</v>
      </c>
      <c r="G1919" s="14">
        <v>970</v>
      </c>
      <c r="H1919" s="14">
        <v>0</v>
      </c>
      <c r="I1919" s="14">
        <v>43</v>
      </c>
      <c r="J1919" s="22">
        <v>0.15011394446242299</v>
      </c>
      <c r="K1919" s="22">
        <v>0.84988605553757701</v>
      </c>
      <c r="L1919" s="14">
        <v>0</v>
      </c>
    </row>
    <row r="1920" spans="1:12" x14ac:dyDescent="0.25">
      <c r="A1920" s="13" t="s">
        <v>4729</v>
      </c>
      <c r="B1920" s="14" t="s">
        <v>406</v>
      </c>
      <c r="C1920" s="14" t="s">
        <v>5774</v>
      </c>
      <c r="D1920" s="14" t="s">
        <v>4731</v>
      </c>
      <c r="E1920" s="14" t="s">
        <v>4732</v>
      </c>
      <c r="F1920" s="21">
        <v>2973.32</v>
      </c>
      <c r="G1920" s="14">
        <v>475</v>
      </c>
      <c r="H1920" s="14">
        <v>0</v>
      </c>
      <c r="I1920" s="14">
        <v>35</v>
      </c>
      <c r="J1920" s="22">
        <v>0.14219851840331399</v>
      </c>
      <c r="K1920" s="22">
        <v>0.85780148159668601</v>
      </c>
      <c r="L1920" s="14">
        <v>0</v>
      </c>
    </row>
    <row r="1921" spans="1:12" x14ac:dyDescent="0.25">
      <c r="A1921" s="13" t="s">
        <v>7335</v>
      </c>
      <c r="B1921" s="14" t="s">
        <v>69</v>
      </c>
      <c r="C1921" s="14" t="s">
        <v>4734</v>
      </c>
      <c r="D1921" s="14" t="s">
        <v>4735</v>
      </c>
      <c r="E1921" s="14" t="s">
        <v>4736</v>
      </c>
      <c r="F1921" s="21">
        <v>1142.79</v>
      </c>
      <c r="G1921" s="14">
        <v>745</v>
      </c>
      <c r="H1921" s="14">
        <v>1</v>
      </c>
      <c r="I1921" s="14">
        <v>38</v>
      </c>
      <c r="J1921" s="22">
        <v>0.453078535813352</v>
      </c>
      <c r="K1921" s="22">
        <v>0.546921464186648</v>
      </c>
      <c r="L1921" s="14">
        <v>0</v>
      </c>
    </row>
    <row r="1922" spans="1:12" x14ac:dyDescent="0.25">
      <c r="A1922" s="13" t="s">
        <v>7336</v>
      </c>
      <c r="B1922" s="14" t="s">
        <v>69</v>
      </c>
      <c r="C1922" s="14" t="s">
        <v>4734</v>
      </c>
      <c r="D1922" s="14" t="s">
        <v>4735</v>
      </c>
      <c r="E1922" s="14" t="s">
        <v>4738</v>
      </c>
      <c r="F1922" s="21">
        <v>2075.0500000000002</v>
      </c>
      <c r="G1922" s="14">
        <v>881</v>
      </c>
      <c r="H1922" s="14">
        <v>0</v>
      </c>
      <c r="I1922" s="14">
        <v>34</v>
      </c>
      <c r="J1922" s="22">
        <v>0.56283916376006804</v>
      </c>
      <c r="K1922" s="22">
        <v>0.43716083623993202</v>
      </c>
      <c r="L1922" s="14">
        <v>0</v>
      </c>
    </row>
    <row r="1923" spans="1:12" x14ac:dyDescent="0.25">
      <c r="A1923" s="13" t="s">
        <v>7337</v>
      </c>
      <c r="B1923" s="14" t="s">
        <v>69</v>
      </c>
      <c r="C1923" s="14" t="s">
        <v>4734</v>
      </c>
      <c r="D1923" s="14" t="s">
        <v>4735</v>
      </c>
      <c r="E1923" s="14" t="s">
        <v>7338</v>
      </c>
      <c r="F1923" s="21">
        <v>2265.88</v>
      </c>
      <c r="G1923" s="14">
        <v>220</v>
      </c>
      <c r="H1923" s="14">
        <v>0</v>
      </c>
      <c r="I1923" s="14">
        <v>47</v>
      </c>
      <c r="J1923" s="22">
        <v>0.88953348323835302</v>
      </c>
      <c r="K1923" s="22">
        <v>0.110466516761647</v>
      </c>
      <c r="L1923" s="14">
        <v>0</v>
      </c>
    </row>
    <row r="1924" spans="1:12" x14ac:dyDescent="0.25">
      <c r="A1924" s="13" t="s">
        <v>7339</v>
      </c>
      <c r="B1924" s="14" t="s">
        <v>148</v>
      </c>
      <c r="C1924" s="14" t="s">
        <v>4742</v>
      </c>
      <c r="D1924" s="14" t="s">
        <v>4743</v>
      </c>
      <c r="E1924" s="14" t="s">
        <v>4744</v>
      </c>
      <c r="F1924" s="21">
        <v>384</v>
      </c>
      <c r="H1924" s="14">
        <v>1</v>
      </c>
      <c r="I1924" s="14">
        <v>41</v>
      </c>
      <c r="J1924" s="22">
        <v>0.67983170141400096</v>
      </c>
      <c r="K1924" s="22">
        <v>0.32016829858599899</v>
      </c>
      <c r="L1924" s="14">
        <v>0</v>
      </c>
    </row>
    <row r="1925" spans="1:12" x14ac:dyDescent="0.25">
      <c r="A1925" s="13" t="s">
        <v>7340</v>
      </c>
      <c r="B1925" s="14" t="s">
        <v>17</v>
      </c>
      <c r="C1925" s="14" t="s">
        <v>4742</v>
      </c>
      <c r="D1925" s="14" t="s">
        <v>4743</v>
      </c>
      <c r="E1925" s="14" t="s">
        <v>4746</v>
      </c>
      <c r="F1925" s="21">
        <v>2321.23</v>
      </c>
      <c r="H1925" s="14">
        <v>1</v>
      </c>
      <c r="I1925" s="14">
        <v>25</v>
      </c>
      <c r="J1925" s="22">
        <v>0.46228400227808403</v>
      </c>
      <c r="K1925" s="22">
        <v>0.53771599772191603</v>
      </c>
      <c r="L1925" s="14">
        <v>0</v>
      </c>
    </row>
    <row r="1926" spans="1:12" x14ac:dyDescent="0.25">
      <c r="B1926" s="14" t="s">
        <v>5417</v>
      </c>
      <c r="C1926" s="14" t="s">
        <v>4747</v>
      </c>
      <c r="D1926" s="14" t="s">
        <v>4748</v>
      </c>
      <c r="E1926" s="14" t="s">
        <v>4749</v>
      </c>
      <c r="F1926" s="21">
        <v>1800</v>
      </c>
      <c r="G1926" s="14">
        <v>561</v>
      </c>
      <c r="H1926" s="14">
        <v>1</v>
      </c>
      <c r="I1926" s="14">
        <v>1</v>
      </c>
      <c r="J1926" s="22">
        <v>0.327432666753668</v>
      </c>
      <c r="K1926" s="22">
        <v>0.672567333246332</v>
      </c>
      <c r="L1926" s="14">
        <v>0</v>
      </c>
    </row>
    <row r="1927" spans="1:12" x14ac:dyDescent="0.25">
      <c r="A1927" s="13" t="s">
        <v>4750</v>
      </c>
      <c r="B1927" s="14" t="s">
        <v>113</v>
      </c>
      <c r="C1927" s="14" t="s">
        <v>4751</v>
      </c>
      <c r="D1927" s="14" t="s">
        <v>4752</v>
      </c>
      <c r="E1927" s="14" t="s">
        <v>4753</v>
      </c>
      <c r="F1927" s="21">
        <v>2034</v>
      </c>
      <c r="G1927" s="14">
        <v>19</v>
      </c>
      <c r="H1927" s="14">
        <v>1</v>
      </c>
      <c r="I1927" s="14">
        <v>28</v>
      </c>
      <c r="J1927" s="22">
        <v>0.60047926951180197</v>
      </c>
      <c r="K1927" s="22">
        <v>0.39952073048819797</v>
      </c>
      <c r="L1927" s="14">
        <v>0</v>
      </c>
    </row>
    <row r="1928" spans="1:12" x14ac:dyDescent="0.25">
      <c r="A1928" s="13" t="s">
        <v>4754</v>
      </c>
      <c r="B1928" s="14" t="s">
        <v>5362</v>
      </c>
      <c r="C1928" s="14" t="s">
        <v>4751</v>
      </c>
      <c r="D1928" s="14" t="s">
        <v>4752</v>
      </c>
      <c r="E1928" s="14" t="s">
        <v>4755</v>
      </c>
      <c r="F1928" s="21">
        <v>2034</v>
      </c>
      <c r="G1928" s="14">
        <v>383</v>
      </c>
      <c r="H1928" s="14">
        <v>1</v>
      </c>
      <c r="I1928" s="14">
        <v>15</v>
      </c>
      <c r="J1928" s="22">
        <v>0.95454468835737405</v>
      </c>
      <c r="K1928" s="22">
        <v>4.5455311642625597E-2</v>
      </c>
      <c r="L1928" s="14">
        <v>0</v>
      </c>
    </row>
    <row r="1929" spans="1:12" x14ac:dyDescent="0.25">
      <c r="A1929" s="13">
        <v>23166732</v>
      </c>
      <c r="B1929" s="14" t="s">
        <v>547</v>
      </c>
      <c r="C1929" s="14" t="s">
        <v>547</v>
      </c>
      <c r="D1929" s="14" t="s">
        <v>4756</v>
      </c>
      <c r="E1929" s="14" t="s">
        <v>4757</v>
      </c>
      <c r="F1929" s="21">
        <v>1016.24</v>
      </c>
      <c r="G1929" s="14">
        <v>317</v>
      </c>
      <c r="H1929" s="14">
        <v>0</v>
      </c>
      <c r="I1929" s="14">
        <v>23</v>
      </c>
      <c r="J1929" s="22">
        <v>0.78416061817947802</v>
      </c>
      <c r="K1929" s="22">
        <v>0.21583938182052301</v>
      </c>
      <c r="L1929" s="14">
        <v>0</v>
      </c>
    </row>
    <row r="1930" spans="1:12" x14ac:dyDescent="0.25">
      <c r="A1930" s="13" t="s">
        <v>4758</v>
      </c>
      <c r="B1930" s="14" t="s">
        <v>547</v>
      </c>
      <c r="C1930" s="14" t="s">
        <v>5758</v>
      </c>
      <c r="D1930" s="14" t="s">
        <v>4759</v>
      </c>
      <c r="E1930" s="14" t="s">
        <v>4760</v>
      </c>
      <c r="F1930" s="21">
        <v>1053.4100000000001</v>
      </c>
      <c r="G1930" s="14">
        <v>933</v>
      </c>
      <c r="H1930" s="14">
        <v>0</v>
      </c>
      <c r="I1930" s="14">
        <v>41</v>
      </c>
      <c r="J1930" s="22">
        <v>0.72090539651261198</v>
      </c>
      <c r="K1930" s="22">
        <v>0.27909460348738802</v>
      </c>
      <c r="L1930" s="14">
        <v>0</v>
      </c>
    </row>
    <row r="1931" spans="1:12" x14ac:dyDescent="0.25">
      <c r="A1931" s="13">
        <v>543219</v>
      </c>
      <c r="B1931" s="14" t="s">
        <v>5432</v>
      </c>
      <c r="C1931" s="14" t="s">
        <v>4762</v>
      </c>
      <c r="D1931" s="14" t="s">
        <v>4763</v>
      </c>
      <c r="E1931" s="14" t="s">
        <v>4764</v>
      </c>
      <c r="F1931" s="21">
        <v>6000</v>
      </c>
      <c r="G1931" s="14">
        <v>792</v>
      </c>
      <c r="H1931" s="14">
        <v>1</v>
      </c>
      <c r="I1931" s="14">
        <v>19</v>
      </c>
      <c r="J1931" s="22">
        <v>0.64385178665592102</v>
      </c>
      <c r="K1931" s="22">
        <v>0.35614821334407898</v>
      </c>
      <c r="L1931" s="14">
        <v>0</v>
      </c>
    </row>
    <row r="1932" spans="1:12" ht="26.4" x14ac:dyDescent="0.25">
      <c r="A1932" s="20" t="s">
        <v>7341</v>
      </c>
      <c r="B1932" s="14" t="s">
        <v>17</v>
      </c>
      <c r="C1932" s="14" t="s">
        <v>5775</v>
      </c>
      <c r="D1932" s="14" t="s">
        <v>4767</v>
      </c>
      <c r="E1932" s="14" t="s">
        <v>4768</v>
      </c>
      <c r="F1932" s="21">
        <v>2421.77</v>
      </c>
      <c r="G1932" s="14">
        <v>401</v>
      </c>
      <c r="H1932" s="14">
        <v>0</v>
      </c>
      <c r="I1932" s="14">
        <v>20</v>
      </c>
      <c r="J1932" s="22">
        <v>9.2548514938278398E-2</v>
      </c>
      <c r="K1932" s="22">
        <v>0.90745148506172202</v>
      </c>
      <c r="L1932" s="14">
        <v>0</v>
      </c>
    </row>
    <row r="1933" spans="1:12" x14ac:dyDescent="0.25">
      <c r="A1933" s="13" t="s">
        <v>4769</v>
      </c>
      <c r="B1933" s="14" t="s">
        <v>113</v>
      </c>
      <c r="C1933" s="14" t="s">
        <v>5773</v>
      </c>
      <c r="D1933" s="14" t="s">
        <v>4770</v>
      </c>
      <c r="E1933" s="14" t="s">
        <v>4771</v>
      </c>
      <c r="F1933" s="21">
        <v>1800</v>
      </c>
      <c r="G1933" s="14">
        <v>595</v>
      </c>
      <c r="H1933" s="14">
        <v>0</v>
      </c>
      <c r="I1933" s="14">
        <v>16</v>
      </c>
      <c r="J1933" s="22">
        <v>0.96638538297104604</v>
      </c>
      <c r="K1933" s="22">
        <v>3.36146170289542E-2</v>
      </c>
      <c r="L1933" s="14">
        <v>0</v>
      </c>
    </row>
    <row r="1934" spans="1:12" x14ac:dyDescent="0.25">
      <c r="A1934" s="13" t="s">
        <v>4772</v>
      </c>
      <c r="B1934" s="14" t="s">
        <v>110</v>
      </c>
      <c r="C1934" s="14" t="s">
        <v>5776</v>
      </c>
      <c r="D1934" s="14" t="s">
        <v>4774</v>
      </c>
      <c r="E1934" s="14" t="s">
        <v>4775</v>
      </c>
      <c r="F1934" s="21">
        <v>1700</v>
      </c>
      <c r="H1934" s="14">
        <v>0</v>
      </c>
      <c r="I1934" s="14">
        <v>14</v>
      </c>
      <c r="J1934" s="22">
        <v>0.14818798892605201</v>
      </c>
      <c r="K1934" s="22">
        <v>0.85181201107394799</v>
      </c>
      <c r="L1934" s="14">
        <v>0</v>
      </c>
    </row>
    <row r="1935" spans="1:12" x14ac:dyDescent="0.25">
      <c r="A1935" s="13" t="s">
        <v>7342</v>
      </c>
      <c r="B1935" s="14" t="s">
        <v>110</v>
      </c>
      <c r="C1935" s="14" t="s">
        <v>5776</v>
      </c>
      <c r="D1935" s="14" t="s">
        <v>4774</v>
      </c>
      <c r="E1935" s="14" t="s">
        <v>4776</v>
      </c>
      <c r="F1935" s="21">
        <v>2400</v>
      </c>
      <c r="G1935" s="14">
        <v>589</v>
      </c>
      <c r="H1935" s="14">
        <v>0</v>
      </c>
      <c r="I1935" s="14">
        <v>30</v>
      </c>
      <c r="J1935" s="22">
        <v>0.77124058255704597</v>
      </c>
      <c r="K1935" s="22">
        <v>0.228759417442955</v>
      </c>
      <c r="L1935" s="14">
        <v>0</v>
      </c>
    </row>
    <row r="1936" spans="1:12" x14ac:dyDescent="0.25">
      <c r="A1936" s="13" t="s">
        <v>5830</v>
      </c>
      <c r="B1936" s="14" t="s">
        <v>5443</v>
      </c>
      <c r="C1936" s="14" t="s">
        <v>4777</v>
      </c>
      <c r="D1936" s="14" t="s">
        <v>4778</v>
      </c>
      <c r="E1936" s="14" t="s">
        <v>4779</v>
      </c>
      <c r="F1936" s="21">
        <v>480</v>
      </c>
      <c r="G1936" s="14">
        <v>363</v>
      </c>
      <c r="H1936" s="14">
        <v>0</v>
      </c>
      <c r="I1936" s="14">
        <v>37</v>
      </c>
      <c r="J1936" s="22">
        <v>0.27720419057720402</v>
      </c>
      <c r="K1936" s="22">
        <v>0.72279580942279598</v>
      </c>
      <c r="L1936" s="14">
        <v>0</v>
      </c>
    </row>
    <row r="1937" spans="1:12" x14ac:dyDescent="0.25">
      <c r="A1937" s="13" t="s">
        <v>7343</v>
      </c>
      <c r="B1937" s="14" t="s">
        <v>86</v>
      </c>
      <c r="C1937" s="14" t="s">
        <v>4781</v>
      </c>
      <c r="D1937" s="14" t="s">
        <v>4782</v>
      </c>
      <c r="E1937" s="14" t="s">
        <v>4783</v>
      </c>
      <c r="F1937" s="21">
        <v>1853</v>
      </c>
      <c r="G1937" s="14">
        <v>625</v>
      </c>
      <c r="H1937" s="14">
        <v>0</v>
      </c>
      <c r="I1937" s="14">
        <v>2</v>
      </c>
      <c r="J1937" s="22">
        <v>0.17733958051871301</v>
      </c>
      <c r="K1937" s="22">
        <v>0.82266041948128699</v>
      </c>
      <c r="L1937" s="14">
        <v>0</v>
      </c>
    </row>
    <row r="1938" spans="1:12" x14ac:dyDescent="0.25">
      <c r="A1938" s="13" t="s">
        <v>4784</v>
      </c>
      <c r="B1938" s="14" t="s">
        <v>1593</v>
      </c>
      <c r="C1938" s="14" t="s">
        <v>5777</v>
      </c>
      <c r="D1938" s="14" t="s">
        <v>4786</v>
      </c>
      <c r="E1938" s="14" t="s">
        <v>4787</v>
      </c>
      <c r="F1938" s="21">
        <v>1200</v>
      </c>
      <c r="G1938" s="14">
        <v>594</v>
      </c>
      <c r="H1938" s="14">
        <v>1</v>
      </c>
      <c r="I1938" s="14" t="s">
        <v>6314</v>
      </c>
      <c r="J1938" s="22">
        <v>0.50128327862902899</v>
      </c>
      <c r="K1938" s="22">
        <v>0.49871672137097101</v>
      </c>
      <c r="L1938" s="14">
        <v>0</v>
      </c>
    </row>
    <row r="1939" spans="1:12" x14ac:dyDescent="0.25">
      <c r="A1939" s="13" t="s">
        <v>7344</v>
      </c>
      <c r="B1939" s="14" t="s">
        <v>69</v>
      </c>
      <c r="C1939" s="14" t="s">
        <v>4789</v>
      </c>
      <c r="D1939" s="14" t="s">
        <v>4790</v>
      </c>
      <c r="E1939" s="14" t="s">
        <v>4791</v>
      </c>
      <c r="F1939" s="21">
        <v>2242.9899999999998</v>
      </c>
      <c r="G1939" s="14">
        <v>28</v>
      </c>
      <c r="H1939" s="14">
        <v>0</v>
      </c>
      <c r="I1939" s="14">
        <v>32</v>
      </c>
      <c r="J1939" s="22">
        <v>0.43296294206040897</v>
      </c>
      <c r="K1939" s="22">
        <v>0.56703705793959203</v>
      </c>
      <c r="L1939" s="14">
        <v>0</v>
      </c>
    </row>
    <row r="1940" spans="1:12" x14ac:dyDescent="0.25">
      <c r="A1940" s="13" t="s">
        <v>4792</v>
      </c>
      <c r="B1940" s="14" t="s">
        <v>1163</v>
      </c>
      <c r="C1940" s="14" t="s">
        <v>4793</v>
      </c>
      <c r="D1940" s="14" t="s">
        <v>4794</v>
      </c>
      <c r="E1940" s="14" t="s">
        <v>7345</v>
      </c>
      <c r="F1940" s="21">
        <v>2373.77</v>
      </c>
      <c r="G1940" s="14">
        <v>299</v>
      </c>
      <c r="H1940" s="14">
        <v>1</v>
      </c>
      <c r="I1940" s="14">
        <v>43</v>
      </c>
      <c r="J1940" s="22">
        <v>0.45558899838540901</v>
      </c>
      <c r="K1940" s="22">
        <v>0.54441100161459199</v>
      </c>
      <c r="L1940" s="14">
        <v>0</v>
      </c>
    </row>
    <row r="1941" spans="1:12" x14ac:dyDescent="0.25">
      <c r="A1941" s="13" t="s">
        <v>4796</v>
      </c>
      <c r="B1941" s="14" t="s">
        <v>17</v>
      </c>
      <c r="C1941" s="14" t="s">
        <v>5778</v>
      </c>
      <c r="D1941" s="14" t="s">
        <v>4798</v>
      </c>
      <c r="E1941" s="14" t="s">
        <v>4799</v>
      </c>
      <c r="F1941" s="21">
        <v>2476.85</v>
      </c>
      <c r="G1941" s="14">
        <v>738</v>
      </c>
      <c r="H1941" s="14">
        <v>1</v>
      </c>
      <c r="I1941" s="14">
        <v>16</v>
      </c>
      <c r="J1941" s="22">
        <v>0.25315570350591698</v>
      </c>
      <c r="K1941" s="22">
        <v>0.74684429649408302</v>
      </c>
      <c r="L1941" s="14">
        <v>0</v>
      </c>
    </row>
    <row r="1942" spans="1:12" x14ac:dyDescent="0.25">
      <c r="B1942" s="14" t="s">
        <v>3577</v>
      </c>
      <c r="C1942" s="14" t="s">
        <v>4800</v>
      </c>
      <c r="D1942" s="14" t="s">
        <v>4801</v>
      </c>
      <c r="E1942" s="14" t="s">
        <v>7346</v>
      </c>
      <c r="F1942" s="21">
        <v>2134.67</v>
      </c>
      <c r="G1942" s="14">
        <v>205</v>
      </c>
      <c r="H1942" s="14">
        <v>1</v>
      </c>
      <c r="I1942" s="14">
        <v>41</v>
      </c>
      <c r="J1942" s="22">
        <v>0.114687403053205</v>
      </c>
      <c r="K1942" s="22">
        <v>0.88531259694679498</v>
      </c>
      <c r="L1942" s="14">
        <v>0</v>
      </c>
    </row>
    <row r="1943" spans="1:12" x14ac:dyDescent="0.25">
      <c r="A1943" s="13" t="s">
        <v>7347</v>
      </c>
      <c r="B1943" s="14" t="s">
        <v>148</v>
      </c>
      <c r="C1943" s="14" t="s">
        <v>4804</v>
      </c>
      <c r="D1943" s="14" t="s">
        <v>4805</v>
      </c>
      <c r="E1943" s="14" t="s">
        <v>4806</v>
      </c>
      <c r="F1943" s="21">
        <v>1524.9</v>
      </c>
      <c r="G1943" s="14">
        <v>516</v>
      </c>
      <c r="H1943" s="14">
        <v>0</v>
      </c>
      <c r="I1943" s="14">
        <v>46</v>
      </c>
      <c r="J1943" s="22">
        <v>0.54389661339776996</v>
      </c>
      <c r="K1943" s="22">
        <v>0.45610338660222999</v>
      </c>
      <c r="L1943" s="14">
        <v>0</v>
      </c>
    </row>
    <row r="1944" spans="1:12" ht="52.8" x14ac:dyDescent="0.25">
      <c r="A1944" s="20" t="s">
        <v>7348</v>
      </c>
      <c r="B1944" s="14" t="s">
        <v>148</v>
      </c>
      <c r="C1944" s="14" t="s">
        <v>4804</v>
      </c>
      <c r="D1944" s="14" t="s">
        <v>4805</v>
      </c>
      <c r="E1944" s="14" t="s">
        <v>4808</v>
      </c>
      <c r="F1944" s="21">
        <v>1902</v>
      </c>
      <c r="G1944" s="14">
        <v>593</v>
      </c>
      <c r="H1944" s="14">
        <v>1</v>
      </c>
      <c r="I1944" s="14">
        <v>27</v>
      </c>
      <c r="J1944" s="22">
        <v>0.91952883142017305</v>
      </c>
      <c r="K1944" s="22">
        <v>8.0471168579827404E-2</v>
      </c>
      <c r="L1944" s="14">
        <v>0</v>
      </c>
    </row>
    <row r="1945" spans="1:12" x14ac:dyDescent="0.25">
      <c r="A1945" s="13" t="s">
        <v>4809</v>
      </c>
      <c r="B1945" s="14" t="s">
        <v>6445</v>
      </c>
      <c r="C1945" s="14" t="s">
        <v>5779</v>
      </c>
      <c r="D1945" s="14" t="s">
        <v>4805</v>
      </c>
      <c r="E1945" s="14" t="s">
        <v>4810</v>
      </c>
      <c r="F1945" s="21">
        <v>1854</v>
      </c>
      <c r="G1945" s="14">
        <v>327</v>
      </c>
      <c r="H1945" s="14">
        <v>1</v>
      </c>
      <c r="I1945" s="14">
        <v>11</v>
      </c>
      <c r="J1945" s="22">
        <v>0.85440508050123998</v>
      </c>
      <c r="K1945" s="22">
        <v>0.14559491949875999</v>
      </c>
      <c r="L1945" s="14">
        <v>0</v>
      </c>
    </row>
    <row r="1946" spans="1:12" x14ac:dyDescent="0.25">
      <c r="A1946" s="13">
        <v>3281495</v>
      </c>
      <c r="B1946" s="14" t="s">
        <v>5417</v>
      </c>
      <c r="C1946" s="14" t="s">
        <v>4812</v>
      </c>
      <c r="D1946" s="14" t="s">
        <v>4813</v>
      </c>
      <c r="E1946" s="14" t="s">
        <v>4814</v>
      </c>
      <c r="F1946" s="21">
        <v>2040</v>
      </c>
      <c r="G1946" s="14">
        <v>651</v>
      </c>
      <c r="H1946" s="14">
        <v>1</v>
      </c>
      <c r="I1946" s="14">
        <v>12</v>
      </c>
      <c r="J1946" s="22">
        <v>0.75807922408960604</v>
      </c>
      <c r="K1946" s="22">
        <v>0.24192077591039399</v>
      </c>
      <c r="L1946" s="14">
        <v>0</v>
      </c>
    </row>
    <row r="1947" spans="1:12" x14ac:dyDescent="0.25">
      <c r="A1947" s="13">
        <v>3651613</v>
      </c>
      <c r="B1947" s="14" t="s">
        <v>5417</v>
      </c>
      <c r="C1947" s="14" t="s">
        <v>4812</v>
      </c>
      <c r="D1947" s="14" t="s">
        <v>4813</v>
      </c>
      <c r="E1947" s="14" t="s">
        <v>4816</v>
      </c>
      <c r="F1947" s="21">
        <v>2040</v>
      </c>
      <c r="G1947" s="14">
        <v>196</v>
      </c>
      <c r="H1947" s="14">
        <v>0</v>
      </c>
      <c r="I1947" s="14">
        <v>38</v>
      </c>
      <c r="J1947" s="22">
        <v>0.208396849038679</v>
      </c>
      <c r="K1947" s="22">
        <v>0.79160315096132094</v>
      </c>
      <c r="L1947" s="14">
        <v>0</v>
      </c>
    </row>
    <row r="1948" spans="1:12" x14ac:dyDescent="0.25">
      <c r="A1948" s="13" t="s">
        <v>4817</v>
      </c>
      <c r="B1948" s="14" t="s">
        <v>5367</v>
      </c>
      <c r="C1948" s="14" t="s">
        <v>4818</v>
      </c>
      <c r="D1948" s="14" t="s">
        <v>4819</v>
      </c>
      <c r="E1948" s="14" t="s">
        <v>4820</v>
      </c>
      <c r="F1948" s="21">
        <v>910.05</v>
      </c>
      <c r="G1948" s="14">
        <v>242</v>
      </c>
      <c r="H1948" s="14">
        <v>1</v>
      </c>
      <c r="I1948" s="14">
        <v>44</v>
      </c>
      <c r="J1948" s="22">
        <v>0.77131110531677605</v>
      </c>
      <c r="K1948" s="22">
        <v>0.22868889468322401</v>
      </c>
      <c r="L1948" s="14">
        <v>0</v>
      </c>
    </row>
    <row r="1949" spans="1:12" x14ac:dyDescent="0.25">
      <c r="A1949" s="13" t="s">
        <v>4821</v>
      </c>
      <c r="B1949" s="14" t="s">
        <v>5368</v>
      </c>
      <c r="C1949" s="14" t="s">
        <v>4818</v>
      </c>
      <c r="D1949" s="14" t="s">
        <v>4819</v>
      </c>
      <c r="E1949" s="14" t="s">
        <v>4822</v>
      </c>
      <c r="F1949" s="21">
        <v>1107.57</v>
      </c>
      <c r="H1949" s="14">
        <v>0</v>
      </c>
      <c r="I1949" s="14" t="s">
        <v>6314</v>
      </c>
      <c r="J1949" s="22">
        <v>0.86166352532962498</v>
      </c>
      <c r="K1949" s="22">
        <v>0.13833647467037499</v>
      </c>
      <c r="L1949" s="14">
        <v>0</v>
      </c>
    </row>
    <row r="1950" spans="1:12" x14ac:dyDescent="0.25">
      <c r="A1950" s="13" t="s">
        <v>7349</v>
      </c>
      <c r="B1950" s="14" t="s">
        <v>388</v>
      </c>
      <c r="C1950" s="14" t="s">
        <v>4823</v>
      </c>
      <c r="D1950" s="14" t="s">
        <v>4824</v>
      </c>
      <c r="E1950" s="14" t="s">
        <v>4825</v>
      </c>
      <c r="F1950" s="21">
        <v>402.42</v>
      </c>
      <c r="G1950" s="14">
        <v>540</v>
      </c>
      <c r="H1950" s="14">
        <v>0</v>
      </c>
      <c r="I1950" s="14">
        <v>5</v>
      </c>
      <c r="J1950" s="22">
        <v>0.58427652434721999</v>
      </c>
      <c r="K1950" s="22">
        <v>0.41572347565278001</v>
      </c>
      <c r="L1950" s="14">
        <v>0</v>
      </c>
    </row>
    <row r="1951" spans="1:12" x14ac:dyDescent="0.25">
      <c r="A1951" s="13" t="s">
        <v>7350</v>
      </c>
      <c r="B1951" s="14" t="s">
        <v>388</v>
      </c>
      <c r="C1951" s="14" t="s">
        <v>5780</v>
      </c>
      <c r="D1951" s="14" t="s">
        <v>4824</v>
      </c>
      <c r="E1951" s="14" t="s">
        <v>4827</v>
      </c>
      <c r="F1951" s="21">
        <v>494.96</v>
      </c>
      <c r="G1951" s="14">
        <v>716</v>
      </c>
      <c r="H1951" s="14">
        <v>0</v>
      </c>
      <c r="I1951" s="14">
        <v>27</v>
      </c>
      <c r="J1951" s="22">
        <v>0.19903502494898201</v>
      </c>
      <c r="K1951" s="22">
        <v>0.80096497505101805</v>
      </c>
      <c r="L1951" s="14">
        <v>0</v>
      </c>
    </row>
    <row r="1952" spans="1:12" x14ac:dyDescent="0.25">
      <c r="A1952" s="13" t="s">
        <v>7351</v>
      </c>
      <c r="B1952" s="14" t="s">
        <v>388</v>
      </c>
      <c r="C1952" s="14" t="s">
        <v>4823</v>
      </c>
      <c r="D1952" s="14" t="s">
        <v>4824</v>
      </c>
      <c r="E1952" s="14" t="s">
        <v>4829</v>
      </c>
      <c r="F1952" s="21">
        <v>572.99</v>
      </c>
      <c r="G1952" s="14">
        <v>94</v>
      </c>
      <c r="H1952" s="14">
        <v>0</v>
      </c>
      <c r="I1952" s="14">
        <v>22</v>
      </c>
      <c r="J1952" s="22">
        <v>0.23440505708440601</v>
      </c>
      <c r="K1952" s="22">
        <v>0.76559494291559405</v>
      </c>
      <c r="L1952" s="14">
        <v>0</v>
      </c>
    </row>
    <row r="1953" spans="1:12" x14ac:dyDescent="0.25">
      <c r="A1953" s="13" t="s">
        <v>7352</v>
      </c>
      <c r="B1953" s="14" t="s">
        <v>5474</v>
      </c>
      <c r="C1953" s="14" t="s">
        <v>5733</v>
      </c>
      <c r="D1953" s="14" t="s">
        <v>7353</v>
      </c>
      <c r="E1953" s="14" t="s">
        <v>4832</v>
      </c>
      <c r="F1953" s="21">
        <v>1680</v>
      </c>
      <c r="G1953" s="14">
        <v>821</v>
      </c>
      <c r="H1953" s="14">
        <v>0</v>
      </c>
      <c r="I1953" s="14">
        <v>18</v>
      </c>
      <c r="J1953" s="22">
        <v>0.68925322309918502</v>
      </c>
      <c r="K1953" s="22">
        <v>0.31074677690081498</v>
      </c>
      <c r="L1953" s="14">
        <v>0</v>
      </c>
    </row>
    <row r="1954" spans="1:12" x14ac:dyDescent="0.25">
      <c r="A1954" s="13" t="s">
        <v>4833</v>
      </c>
      <c r="B1954" s="14" t="s">
        <v>5417</v>
      </c>
      <c r="C1954" s="14" t="s">
        <v>4834</v>
      </c>
      <c r="D1954" s="14" t="s">
        <v>4835</v>
      </c>
      <c r="E1954" s="14" t="s">
        <v>4836</v>
      </c>
      <c r="F1954" s="21">
        <v>2047.5</v>
      </c>
      <c r="G1954" s="14">
        <v>407</v>
      </c>
      <c r="H1954" s="14">
        <v>0</v>
      </c>
      <c r="I1954" s="14">
        <v>22</v>
      </c>
      <c r="J1954" s="22">
        <v>0.91516454967114003</v>
      </c>
      <c r="K1954" s="22">
        <v>8.4835450328860099E-2</v>
      </c>
      <c r="L1954" s="14">
        <v>0</v>
      </c>
    </row>
    <row r="1955" spans="1:12" x14ac:dyDescent="0.25">
      <c r="A1955" s="13" t="s">
        <v>7354</v>
      </c>
      <c r="B1955" s="14" t="s">
        <v>110</v>
      </c>
      <c r="C1955" s="14" t="s">
        <v>4834</v>
      </c>
      <c r="D1955" s="14" t="s">
        <v>4835</v>
      </c>
      <c r="E1955" s="14" t="s">
        <v>4837</v>
      </c>
      <c r="F1955" s="21">
        <v>2040</v>
      </c>
      <c r="G1955" s="14">
        <v>544</v>
      </c>
      <c r="H1955" s="14">
        <v>0</v>
      </c>
      <c r="I1955" s="14" t="s">
        <v>6314</v>
      </c>
      <c r="J1955" s="22">
        <v>0.54204053547779496</v>
      </c>
      <c r="K1955" s="22">
        <v>0.45795946452220498</v>
      </c>
      <c r="L1955" s="14">
        <v>0</v>
      </c>
    </row>
    <row r="1956" spans="1:12" x14ac:dyDescent="0.25">
      <c r="A1956" s="13" t="s">
        <v>4838</v>
      </c>
      <c r="B1956" s="14" t="s">
        <v>5421</v>
      </c>
      <c r="C1956" s="14" t="s">
        <v>7355</v>
      </c>
      <c r="D1956" s="14" t="s">
        <v>4835</v>
      </c>
      <c r="E1956" s="14" t="s">
        <v>4839</v>
      </c>
      <c r="F1956" s="21">
        <v>2048</v>
      </c>
      <c r="G1956" s="14">
        <v>678</v>
      </c>
      <c r="H1956" s="14">
        <v>1</v>
      </c>
      <c r="I1956" s="14" t="s">
        <v>6314</v>
      </c>
      <c r="J1956" s="22">
        <v>0.19968713168142099</v>
      </c>
      <c r="K1956" s="22">
        <v>0.80031286831857895</v>
      </c>
      <c r="L1956" s="14">
        <v>0</v>
      </c>
    </row>
    <row r="1957" spans="1:12" x14ac:dyDescent="0.25">
      <c r="A1957" s="13" t="s">
        <v>7356</v>
      </c>
      <c r="B1957" s="14" t="s">
        <v>17</v>
      </c>
      <c r="C1957" s="14" t="s">
        <v>4841</v>
      </c>
      <c r="D1957" s="14" t="s">
        <v>4842</v>
      </c>
      <c r="E1957" s="14" t="s">
        <v>4843</v>
      </c>
      <c r="F1957" s="21">
        <v>2222.09</v>
      </c>
      <c r="G1957" s="14">
        <v>887</v>
      </c>
      <c r="H1957" s="14">
        <v>1</v>
      </c>
      <c r="I1957" s="14" t="s">
        <v>6314</v>
      </c>
      <c r="J1957" s="22">
        <v>0.111505850099839</v>
      </c>
      <c r="K1957" s="22">
        <v>0.88849414990016196</v>
      </c>
      <c r="L1957" s="14">
        <v>0</v>
      </c>
    </row>
    <row r="1958" spans="1:12" x14ac:dyDescent="0.25">
      <c r="A1958" s="13" t="s">
        <v>7357</v>
      </c>
      <c r="B1958" s="14" t="s">
        <v>17</v>
      </c>
      <c r="C1958" s="14" t="s">
        <v>4841</v>
      </c>
      <c r="D1958" s="14" t="s">
        <v>4842</v>
      </c>
      <c r="E1958" s="14" t="s">
        <v>4845</v>
      </c>
      <c r="F1958" s="21">
        <v>2222.09</v>
      </c>
      <c r="H1958" s="14">
        <v>0</v>
      </c>
      <c r="I1958" s="14">
        <v>7</v>
      </c>
      <c r="J1958" s="22">
        <v>4.3739736637812797E-2</v>
      </c>
      <c r="K1958" s="22">
        <v>0.95626026336218695</v>
      </c>
      <c r="L1958" s="14">
        <v>0</v>
      </c>
    </row>
    <row r="1959" spans="1:12" x14ac:dyDescent="0.25">
      <c r="A1959" s="13" t="s">
        <v>7358</v>
      </c>
      <c r="B1959" s="14" t="s">
        <v>607</v>
      </c>
      <c r="C1959" s="14" t="s">
        <v>5783</v>
      </c>
      <c r="D1959" s="14" t="s">
        <v>4847</v>
      </c>
      <c r="E1959" s="14" t="s">
        <v>4848</v>
      </c>
      <c r="F1959" s="21">
        <v>1068</v>
      </c>
      <c r="G1959" s="14">
        <v>839</v>
      </c>
      <c r="H1959" s="14">
        <v>1</v>
      </c>
      <c r="I1959" s="14">
        <v>35</v>
      </c>
      <c r="J1959" s="22">
        <v>0.92135865315064303</v>
      </c>
      <c r="K1959" s="22">
        <v>7.8641346849357405E-2</v>
      </c>
      <c r="L1959" s="14">
        <v>0</v>
      </c>
    </row>
    <row r="1960" spans="1:12" x14ac:dyDescent="0.25">
      <c r="A1960" s="13" t="s">
        <v>5952</v>
      </c>
      <c r="B1960" s="14" t="s">
        <v>5460</v>
      </c>
      <c r="C1960" s="14" t="s">
        <v>5781</v>
      </c>
      <c r="D1960" s="14" t="s">
        <v>4850</v>
      </c>
      <c r="E1960" s="14" t="s">
        <v>4851</v>
      </c>
      <c r="F1960" s="21">
        <v>2145.6</v>
      </c>
      <c r="H1960" s="14">
        <v>0</v>
      </c>
      <c r="I1960" s="14">
        <v>28</v>
      </c>
      <c r="J1960" s="22">
        <v>0.75148963521095902</v>
      </c>
      <c r="K1960" s="22">
        <v>0.24851036478904101</v>
      </c>
      <c r="L1960" s="14">
        <v>0</v>
      </c>
    </row>
    <row r="1961" spans="1:12" x14ac:dyDescent="0.25">
      <c r="B1961" s="14" t="s">
        <v>172</v>
      </c>
      <c r="C1961" s="14" t="s">
        <v>4852</v>
      </c>
      <c r="D1961" s="14" t="s">
        <v>4847</v>
      </c>
      <c r="E1961" s="14" t="s">
        <v>4853</v>
      </c>
      <c r="F1961" s="21">
        <v>949.52</v>
      </c>
      <c r="G1961" s="14">
        <v>289</v>
      </c>
      <c r="H1961" s="14">
        <v>0</v>
      </c>
      <c r="I1961" s="14">
        <v>16</v>
      </c>
      <c r="J1961" s="22">
        <v>0.287562547180022</v>
      </c>
      <c r="K1961" s="22">
        <v>0.71243745281997795</v>
      </c>
      <c r="L1961" s="14">
        <v>0</v>
      </c>
    </row>
    <row r="1962" spans="1:12" x14ac:dyDescent="0.25">
      <c r="B1962" s="14" t="s">
        <v>172</v>
      </c>
      <c r="C1962" s="14" t="s">
        <v>4852</v>
      </c>
      <c r="D1962" s="14" t="s">
        <v>4847</v>
      </c>
      <c r="E1962" s="14" t="s">
        <v>4854</v>
      </c>
      <c r="F1962" s="21">
        <v>1224.6099999999999</v>
      </c>
      <c r="G1962" s="14">
        <v>468</v>
      </c>
      <c r="H1962" s="14">
        <v>0</v>
      </c>
      <c r="I1962" s="14">
        <v>38</v>
      </c>
      <c r="J1962" s="22">
        <v>0.95746164512534504</v>
      </c>
      <c r="K1962" s="22">
        <v>4.2538354874654703E-2</v>
      </c>
      <c r="L1962" s="14">
        <v>0</v>
      </c>
    </row>
    <row r="1963" spans="1:12" x14ac:dyDescent="0.25">
      <c r="A1963" s="13" t="s">
        <v>4855</v>
      </c>
      <c r="B1963" s="14" t="s">
        <v>5411</v>
      </c>
      <c r="C1963" s="14" t="s">
        <v>3560</v>
      </c>
      <c r="D1963" s="14" t="s">
        <v>4847</v>
      </c>
      <c r="E1963" s="14" t="s">
        <v>4856</v>
      </c>
      <c r="F1963" s="21">
        <v>1068</v>
      </c>
      <c r="G1963" s="14">
        <v>260</v>
      </c>
      <c r="H1963" s="14">
        <v>0</v>
      </c>
      <c r="I1963" s="14">
        <v>50</v>
      </c>
      <c r="J1963" s="22">
        <v>0.73446514373330896</v>
      </c>
      <c r="K1963" s="22">
        <v>0.26553485626669199</v>
      </c>
      <c r="L1963" s="14">
        <v>0</v>
      </c>
    </row>
    <row r="1964" spans="1:12" ht="39.6" x14ac:dyDescent="0.25">
      <c r="A1964" s="20" t="s">
        <v>7359</v>
      </c>
      <c r="B1964" s="14" t="s">
        <v>5411</v>
      </c>
      <c r="C1964" s="14" t="s">
        <v>3560</v>
      </c>
      <c r="D1964" s="14" t="s">
        <v>4847</v>
      </c>
      <c r="E1964" s="14" t="s">
        <v>4858</v>
      </c>
      <c r="F1964" s="21">
        <v>1068</v>
      </c>
      <c r="G1964" s="14">
        <v>934</v>
      </c>
      <c r="H1964" s="14">
        <v>0</v>
      </c>
      <c r="I1964" s="14">
        <v>43</v>
      </c>
      <c r="J1964" s="22">
        <v>0.58017200275290504</v>
      </c>
      <c r="K1964" s="22">
        <v>0.41982799724709502</v>
      </c>
      <c r="L1964" s="14">
        <v>0</v>
      </c>
    </row>
    <row r="1965" spans="1:12" x14ac:dyDescent="0.25">
      <c r="A1965" s="13" t="s">
        <v>4859</v>
      </c>
      <c r="B1965" s="14" t="s">
        <v>607</v>
      </c>
      <c r="C1965" s="14" t="s">
        <v>3560</v>
      </c>
      <c r="D1965" s="14" t="s">
        <v>4847</v>
      </c>
      <c r="E1965" s="14" t="s">
        <v>4860</v>
      </c>
      <c r="F1965" s="21">
        <v>1068</v>
      </c>
      <c r="G1965" s="14">
        <v>13</v>
      </c>
      <c r="H1965" s="14">
        <v>0</v>
      </c>
      <c r="I1965" s="14" t="s">
        <v>6314</v>
      </c>
      <c r="J1965" s="22">
        <v>0.69592577181090998</v>
      </c>
      <c r="K1965" s="22">
        <v>0.30407422818909102</v>
      </c>
      <c r="L1965" s="14">
        <v>0</v>
      </c>
    </row>
    <row r="1966" spans="1:12" x14ac:dyDescent="0.25">
      <c r="A1966" s="13" t="s">
        <v>4861</v>
      </c>
      <c r="B1966" s="14" t="s">
        <v>607</v>
      </c>
      <c r="C1966" s="14" t="s">
        <v>5784</v>
      </c>
      <c r="D1966" s="14" t="s">
        <v>4862</v>
      </c>
      <c r="E1966" s="14" t="s">
        <v>4863</v>
      </c>
      <c r="F1966" s="21">
        <v>1068</v>
      </c>
      <c r="G1966" s="14">
        <v>680</v>
      </c>
      <c r="H1966" s="14">
        <v>1</v>
      </c>
      <c r="I1966" s="14">
        <v>48</v>
      </c>
      <c r="J1966" s="22">
        <v>0.47805546800430199</v>
      </c>
      <c r="K1966" s="22">
        <v>0.52194453199569801</v>
      </c>
      <c r="L1966" s="14">
        <v>0</v>
      </c>
    </row>
    <row r="1967" spans="1:12" x14ac:dyDescent="0.25">
      <c r="A1967" s="13" t="s">
        <v>4864</v>
      </c>
      <c r="B1967" s="14" t="s">
        <v>17</v>
      </c>
      <c r="C1967" s="14" t="s">
        <v>4865</v>
      </c>
      <c r="D1967" s="14" t="s">
        <v>4866</v>
      </c>
      <c r="E1967" s="14" t="s">
        <v>4867</v>
      </c>
      <c r="F1967" s="21">
        <v>2369.6999999999998</v>
      </c>
      <c r="G1967" s="14">
        <v>467</v>
      </c>
      <c r="H1967" s="14">
        <v>0</v>
      </c>
      <c r="I1967" s="14">
        <v>12</v>
      </c>
      <c r="J1967" s="22">
        <v>0.94165581395737297</v>
      </c>
      <c r="K1967" s="22">
        <v>5.8344186042627401E-2</v>
      </c>
      <c r="L1967" s="14">
        <v>0</v>
      </c>
    </row>
    <row r="1968" spans="1:12" x14ac:dyDescent="0.25">
      <c r="A1968" s="13" t="s">
        <v>4868</v>
      </c>
      <c r="B1968" s="14" t="s">
        <v>69</v>
      </c>
      <c r="C1968" s="14" t="s">
        <v>4869</v>
      </c>
      <c r="D1968" s="14" t="s">
        <v>4870</v>
      </c>
      <c r="E1968" s="14" t="s">
        <v>4871</v>
      </c>
      <c r="F1968" s="21">
        <v>1894.6</v>
      </c>
      <c r="G1968" s="14">
        <v>157</v>
      </c>
      <c r="H1968" s="14">
        <v>1</v>
      </c>
      <c r="I1968" s="14">
        <v>3</v>
      </c>
      <c r="J1968" s="22">
        <v>0.91292434652252696</v>
      </c>
      <c r="K1968" s="22">
        <v>8.7075653477473203E-2</v>
      </c>
      <c r="L1968" s="14">
        <v>0</v>
      </c>
    </row>
    <row r="1969" spans="1:12" x14ac:dyDescent="0.25">
      <c r="A1969" s="13" t="s">
        <v>7360</v>
      </c>
      <c r="B1969" s="14" t="s">
        <v>17</v>
      </c>
      <c r="C1969" s="14" t="s">
        <v>4873</v>
      </c>
      <c r="D1969" s="14" t="s">
        <v>4874</v>
      </c>
      <c r="E1969" s="14" t="s">
        <v>4875</v>
      </c>
      <c r="F1969" s="21">
        <v>2379.79</v>
      </c>
      <c r="G1969" s="14">
        <v>795</v>
      </c>
      <c r="H1969" s="14">
        <v>0</v>
      </c>
      <c r="I1969" s="14">
        <v>46</v>
      </c>
      <c r="J1969" s="22">
        <v>5.16273491636332E-2</v>
      </c>
      <c r="K1969" s="22">
        <v>0.94837265083636701</v>
      </c>
      <c r="L1969" s="14">
        <v>0</v>
      </c>
    </row>
    <row r="1970" spans="1:12" ht="26.4" x14ac:dyDescent="0.25">
      <c r="A1970" s="20" t="s">
        <v>7361</v>
      </c>
      <c r="B1970" s="14" t="s">
        <v>2307</v>
      </c>
      <c r="C1970" s="14" t="s">
        <v>4877</v>
      </c>
      <c r="D1970" s="14" t="s">
        <v>4878</v>
      </c>
      <c r="E1970" s="14" t="s">
        <v>7362</v>
      </c>
      <c r="F1970" s="21">
        <v>1290.4100000000001</v>
      </c>
      <c r="G1970" s="14">
        <v>152</v>
      </c>
      <c r="H1970" s="14">
        <v>0</v>
      </c>
      <c r="I1970" s="14">
        <v>43</v>
      </c>
      <c r="J1970" s="22">
        <v>0.53710918380968098</v>
      </c>
      <c r="K1970" s="22">
        <v>0.46289081619031902</v>
      </c>
      <c r="L1970" s="14">
        <v>0</v>
      </c>
    </row>
    <row r="1971" spans="1:12" x14ac:dyDescent="0.25">
      <c r="A1971" s="13" t="s">
        <v>6281</v>
      </c>
      <c r="B1971" s="14" t="s">
        <v>7363</v>
      </c>
      <c r="C1971" s="14" t="s">
        <v>5785</v>
      </c>
      <c r="E1971" s="14" t="s">
        <v>4882</v>
      </c>
      <c r="F1971" s="21">
        <v>1700</v>
      </c>
      <c r="G1971" s="14">
        <v>700</v>
      </c>
      <c r="H1971" s="14">
        <v>0</v>
      </c>
      <c r="I1971" s="14">
        <v>23</v>
      </c>
      <c r="J1971" s="22">
        <v>0.65549312383978098</v>
      </c>
      <c r="K1971" s="22">
        <v>0.34450687616021902</v>
      </c>
      <c r="L1971" s="14">
        <v>0</v>
      </c>
    </row>
    <row r="1972" spans="1:12" x14ac:dyDescent="0.25">
      <c r="A1972" s="13" t="s">
        <v>4883</v>
      </c>
      <c r="B1972" s="14" t="s">
        <v>758</v>
      </c>
      <c r="C1972" s="14" t="s">
        <v>4881</v>
      </c>
      <c r="D1972" s="14" t="s">
        <v>4884</v>
      </c>
      <c r="E1972" s="14" t="s">
        <v>4885</v>
      </c>
      <c r="F1972" s="21">
        <v>2340</v>
      </c>
      <c r="G1972" s="14">
        <v>566</v>
      </c>
      <c r="H1972" s="14">
        <v>0</v>
      </c>
      <c r="I1972" s="14">
        <v>12</v>
      </c>
      <c r="J1972" s="22">
        <v>0.51738311891775202</v>
      </c>
      <c r="K1972" s="22">
        <v>0.48261688108224798</v>
      </c>
      <c r="L1972" s="14">
        <v>0</v>
      </c>
    </row>
    <row r="1973" spans="1:12" ht="26.4" x14ac:dyDescent="0.25">
      <c r="A1973" s="20" t="s">
        <v>7364</v>
      </c>
      <c r="B1973" s="14" t="s">
        <v>5348</v>
      </c>
      <c r="C1973" s="14" t="s">
        <v>7365</v>
      </c>
      <c r="D1973" s="14" t="s">
        <v>4884</v>
      </c>
      <c r="E1973" s="14" t="s">
        <v>4887</v>
      </c>
      <c r="F1973" s="21">
        <v>2040</v>
      </c>
      <c r="G1973" s="14">
        <v>567</v>
      </c>
      <c r="H1973" s="14">
        <v>1</v>
      </c>
      <c r="I1973" s="14">
        <v>49</v>
      </c>
      <c r="J1973" s="22">
        <v>0.67966907148490296</v>
      </c>
      <c r="K1973" s="22">
        <v>0.32033092851509698</v>
      </c>
      <c r="L1973" s="14">
        <v>0</v>
      </c>
    </row>
    <row r="1974" spans="1:12" x14ac:dyDescent="0.25">
      <c r="A1974" s="13" t="s">
        <v>7366</v>
      </c>
      <c r="B1974" s="14" t="s">
        <v>2772</v>
      </c>
      <c r="C1974" s="14" t="s">
        <v>4889</v>
      </c>
      <c r="D1974" s="14" t="s">
        <v>4890</v>
      </c>
      <c r="E1974" s="14" t="s">
        <v>4891</v>
      </c>
      <c r="F1974" s="21">
        <v>1750</v>
      </c>
      <c r="G1974" s="14">
        <v>917</v>
      </c>
      <c r="H1974" s="14">
        <v>0</v>
      </c>
      <c r="I1974" s="14" t="s">
        <v>6314</v>
      </c>
      <c r="J1974" s="22">
        <v>0.51370581084078704</v>
      </c>
      <c r="K1974" s="22">
        <v>0.48629418915921402</v>
      </c>
      <c r="L1974" s="14">
        <v>0</v>
      </c>
    </row>
    <row r="1975" spans="1:12" x14ac:dyDescent="0.25">
      <c r="B1975" s="14" t="s">
        <v>5417</v>
      </c>
      <c r="C1975" s="14" t="s">
        <v>4892</v>
      </c>
      <c r="D1975" s="14" t="s">
        <v>4893</v>
      </c>
      <c r="E1975" s="14" t="s">
        <v>4894</v>
      </c>
      <c r="F1975" s="21">
        <v>1800</v>
      </c>
      <c r="G1975" s="14">
        <v>529</v>
      </c>
      <c r="H1975" s="14">
        <v>1</v>
      </c>
      <c r="I1975" s="14">
        <v>1</v>
      </c>
      <c r="J1975" s="22">
        <v>0.79251461808304002</v>
      </c>
      <c r="K1975" s="22">
        <v>0.20748538191696</v>
      </c>
      <c r="L1975" s="14">
        <v>0</v>
      </c>
    </row>
    <row r="1976" spans="1:12" x14ac:dyDescent="0.25">
      <c r="A1976" s="13" t="s">
        <v>6282</v>
      </c>
      <c r="B1976" s="14" t="s">
        <v>5417</v>
      </c>
      <c r="C1976" s="14" t="s">
        <v>4892</v>
      </c>
      <c r="D1976" s="14" t="s">
        <v>4893</v>
      </c>
      <c r="E1976" s="14" t="s">
        <v>4895</v>
      </c>
      <c r="F1976" s="21">
        <v>2040</v>
      </c>
      <c r="G1976" s="14">
        <v>626</v>
      </c>
      <c r="H1976" s="14">
        <v>1</v>
      </c>
      <c r="I1976" s="14">
        <v>14</v>
      </c>
      <c r="J1976" s="22">
        <v>8.6060527412365598E-2</v>
      </c>
      <c r="K1976" s="22">
        <v>0.91393947258763397</v>
      </c>
      <c r="L1976" s="14">
        <v>0</v>
      </c>
    </row>
    <row r="1977" spans="1:12" x14ac:dyDescent="0.25">
      <c r="A1977" s="13" t="s">
        <v>7367</v>
      </c>
      <c r="B1977" s="14" t="s">
        <v>110</v>
      </c>
      <c r="C1977" s="14" t="s">
        <v>4892</v>
      </c>
      <c r="D1977" s="14" t="s">
        <v>4893</v>
      </c>
      <c r="E1977" s="14" t="s">
        <v>4896</v>
      </c>
      <c r="F1977" s="21">
        <v>2040</v>
      </c>
      <c r="G1977" s="14">
        <v>624</v>
      </c>
      <c r="H1977" s="14">
        <v>1</v>
      </c>
      <c r="I1977" s="14">
        <v>20</v>
      </c>
      <c r="J1977" s="22">
        <v>0.97386613924558596</v>
      </c>
      <c r="K1977" s="22">
        <v>2.6133860754414401E-2</v>
      </c>
      <c r="L1977" s="14">
        <v>0</v>
      </c>
    </row>
    <row r="1978" spans="1:12" x14ac:dyDescent="0.25">
      <c r="A1978" s="13" t="s">
        <v>4897</v>
      </c>
      <c r="B1978" s="14" t="s">
        <v>3900</v>
      </c>
      <c r="C1978" s="14" t="s">
        <v>4898</v>
      </c>
      <c r="D1978" s="14" t="s">
        <v>4899</v>
      </c>
      <c r="E1978" s="14" t="s">
        <v>4900</v>
      </c>
      <c r="F1978" s="21">
        <v>2040</v>
      </c>
      <c r="H1978" s="14">
        <v>1</v>
      </c>
      <c r="I1978" s="14">
        <v>39</v>
      </c>
      <c r="J1978" s="22">
        <v>0.30541638125246801</v>
      </c>
      <c r="K1978" s="22">
        <v>0.69458361874753205</v>
      </c>
      <c r="L1978" s="14">
        <v>0</v>
      </c>
    </row>
    <row r="1979" spans="1:12" x14ac:dyDescent="0.25">
      <c r="B1979" s="14" t="s">
        <v>3900</v>
      </c>
      <c r="C1979" s="14" t="s">
        <v>4898</v>
      </c>
      <c r="D1979" s="14" t="s">
        <v>4899</v>
      </c>
      <c r="E1979" s="14" t="s">
        <v>4901</v>
      </c>
      <c r="F1979" s="21">
        <v>2040</v>
      </c>
      <c r="G1979" s="14">
        <v>431</v>
      </c>
      <c r="H1979" s="14">
        <v>0</v>
      </c>
      <c r="I1979" s="14">
        <v>31</v>
      </c>
      <c r="J1979" s="22">
        <v>0.53353102917809103</v>
      </c>
      <c r="K1979" s="22">
        <v>0.46646897082191002</v>
      </c>
      <c r="L1979" s="14">
        <v>0</v>
      </c>
    </row>
    <row r="1980" spans="1:12" x14ac:dyDescent="0.25">
      <c r="A1980" s="13" t="s">
        <v>7368</v>
      </c>
      <c r="B1980" s="14" t="s">
        <v>110</v>
      </c>
      <c r="C1980" s="14" t="s">
        <v>4898</v>
      </c>
      <c r="D1980" s="14" t="s">
        <v>4899</v>
      </c>
      <c r="E1980" s="14" t="s">
        <v>4903</v>
      </c>
      <c r="F1980" s="21">
        <v>2040</v>
      </c>
      <c r="G1980" s="14">
        <v>299</v>
      </c>
      <c r="H1980" s="14">
        <v>1</v>
      </c>
      <c r="I1980" s="14">
        <v>3</v>
      </c>
      <c r="J1980" s="22">
        <v>0.83997004973834999</v>
      </c>
      <c r="K1980" s="22">
        <v>0.16002995026165001</v>
      </c>
      <c r="L1980" s="14">
        <v>0</v>
      </c>
    </row>
    <row r="1981" spans="1:12" x14ac:dyDescent="0.25">
      <c r="B1981" s="14" t="s">
        <v>110</v>
      </c>
      <c r="C1981" s="14" t="s">
        <v>4898</v>
      </c>
      <c r="D1981" s="14" t="s">
        <v>4899</v>
      </c>
      <c r="E1981" s="14" t="s">
        <v>4904</v>
      </c>
      <c r="F1981" s="21">
        <v>2100</v>
      </c>
      <c r="G1981" s="14">
        <v>891</v>
      </c>
      <c r="H1981" s="14">
        <v>0</v>
      </c>
      <c r="I1981" s="14">
        <v>3</v>
      </c>
      <c r="J1981" s="22">
        <v>0.61797434297387399</v>
      </c>
      <c r="K1981" s="22">
        <v>0.38202565702612601</v>
      </c>
      <c r="L1981" s="14">
        <v>0</v>
      </c>
    </row>
    <row r="1982" spans="1:12" x14ac:dyDescent="0.25">
      <c r="A1982" s="13" t="s">
        <v>4905</v>
      </c>
      <c r="B1982" s="14" t="s">
        <v>69</v>
      </c>
      <c r="C1982" s="14" t="s">
        <v>5786</v>
      </c>
      <c r="D1982" s="14" t="s">
        <v>4907</v>
      </c>
      <c r="E1982" s="14" t="s">
        <v>4908</v>
      </c>
      <c r="F1982" s="21">
        <v>1739.13</v>
      </c>
      <c r="G1982" s="14">
        <v>194</v>
      </c>
      <c r="H1982" s="14">
        <v>0</v>
      </c>
      <c r="I1982" s="14">
        <v>17</v>
      </c>
      <c r="J1982" s="22">
        <v>0.71132373851240704</v>
      </c>
      <c r="K1982" s="22">
        <v>0.28867626148759301</v>
      </c>
      <c r="L1982" s="14">
        <v>0</v>
      </c>
    </row>
    <row r="1983" spans="1:12" x14ac:dyDescent="0.25">
      <c r="A1983" s="13" t="s">
        <v>4909</v>
      </c>
      <c r="B1983" s="14" t="s">
        <v>69</v>
      </c>
      <c r="C1983" s="14" t="s">
        <v>5787</v>
      </c>
      <c r="D1983" s="14" t="s">
        <v>4907</v>
      </c>
      <c r="E1983" s="14" t="s">
        <v>4910</v>
      </c>
      <c r="F1983" s="21">
        <v>1739.13</v>
      </c>
      <c r="G1983" s="14">
        <v>172</v>
      </c>
      <c r="H1983" s="14">
        <v>1</v>
      </c>
      <c r="I1983" s="14">
        <v>17</v>
      </c>
      <c r="J1983" s="22">
        <v>0.96988642866610097</v>
      </c>
      <c r="K1983" s="22">
        <v>3.0113571333898598E-2</v>
      </c>
      <c r="L1983" s="14">
        <v>0</v>
      </c>
    </row>
    <row r="1984" spans="1:12" x14ac:dyDescent="0.25">
      <c r="A1984" s="13" t="s">
        <v>4911</v>
      </c>
      <c r="B1984" s="14" t="s">
        <v>69</v>
      </c>
      <c r="C1984" s="14" t="s">
        <v>5787</v>
      </c>
      <c r="D1984" s="14" t="s">
        <v>4907</v>
      </c>
      <c r="E1984" s="14" t="s">
        <v>4912</v>
      </c>
      <c r="F1984" s="21">
        <v>1739.13</v>
      </c>
      <c r="G1984" s="14">
        <v>330</v>
      </c>
      <c r="H1984" s="14">
        <v>1</v>
      </c>
      <c r="I1984" s="14">
        <v>47</v>
      </c>
      <c r="J1984" s="22">
        <v>0.427904882132846</v>
      </c>
      <c r="K1984" s="22">
        <v>0.57209511786715395</v>
      </c>
      <c r="L1984" s="14">
        <v>0</v>
      </c>
    </row>
    <row r="1985" spans="1:12" ht="39.6" x14ac:dyDescent="0.25">
      <c r="A1985" s="13" t="s">
        <v>4905</v>
      </c>
      <c r="B1985" s="14" t="s">
        <v>69</v>
      </c>
      <c r="C1985" s="14" t="s">
        <v>4906</v>
      </c>
      <c r="D1985" s="14" t="s">
        <v>4907</v>
      </c>
      <c r="E1985" s="23" t="s">
        <v>7369</v>
      </c>
      <c r="F1985" s="21">
        <v>1905.98</v>
      </c>
      <c r="G1985" s="14">
        <v>944</v>
      </c>
      <c r="H1985" s="14">
        <v>1</v>
      </c>
      <c r="I1985" s="14">
        <v>14</v>
      </c>
      <c r="J1985" s="22">
        <v>0.93286124494397804</v>
      </c>
      <c r="K1985" s="22">
        <v>6.7138755056022098E-2</v>
      </c>
      <c r="L1985" s="14">
        <v>0</v>
      </c>
    </row>
    <row r="1986" spans="1:12" x14ac:dyDescent="0.25">
      <c r="A1986" s="13" t="s">
        <v>4911</v>
      </c>
      <c r="B1986" s="14" t="s">
        <v>69</v>
      </c>
      <c r="C1986" s="14" t="s">
        <v>4906</v>
      </c>
      <c r="D1986" s="14" t="s">
        <v>4907</v>
      </c>
      <c r="E1986" s="14" t="s">
        <v>4914</v>
      </c>
      <c r="F1986" s="21">
        <v>1944.88</v>
      </c>
      <c r="G1986" s="14">
        <v>161</v>
      </c>
      <c r="I1986" s="14">
        <v>34</v>
      </c>
      <c r="J1986" s="22">
        <v>0.52171187655005602</v>
      </c>
      <c r="K1986" s="22">
        <v>0.47828812344994398</v>
      </c>
      <c r="L1986" s="14">
        <v>0</v>
      </c>
    </row>
    <row r="1987" spans="1:12" x14ac:dyDescent="0.25">
      <c r="A1987" s="13" t="s">
        <v>4909</v>
      </c>
      <c r="B1987" s="14" t="s">
        <v>69</v>
      </c>
      <c r="C1987" s="14" t="s">
        <v>4906</v>
      </c>
      <c r="D1987" s="14" t="s">
        <v>4907</v>
      </c>
      <c r="E1987" s="14" t="s">
        <v>4915</v>
      </c>
      <c r="F1987" s="21">
        <v>1944.88</v>
      </c>
      <c r="G1987" s="14">
        <v>7</v>
      </c>
      <c r="H1987" s="14">
        <v>1</v>
      </c>
      <c r="I1987" s="14">
        <v>1</v>
      </c>
      <c r="J1987" s="22">
        <v>0.55731869040266802</v>
      </c>
      <c r="K1987" s="22">
        <v>0.44268130959733198</v>
      </c>
      <c r="L1987" s="14">
        <v>0</v>
      </c>
    </row>
    <row r="1988" spans="1:12" x14ac:dyDescent="0.25">
      <c r="A1988" s="13" t="s">
        <v>7370</v>
      </c>
      <c r="B1988" s="14" t="s">
        <v>69</v>
      </c>
      <c r="C1988" s="14" t="s">
        <v>4906</v>
      </c>
      <c r="D1988" s="14" t="s">
        <v>4907</v>
      </c>
      <c r="E1988" s="14" t="s">
        <v>4917</v>
      </c>
      <c r="F1988" s="21">
        <v>2274.4899999999998</v>
      </c>
      <c r="G1988" s="14">
        <v>17</v>
      </c>
      <c r="H1988" s="14">
        <v>0</v>
      </c>
      <c r="I1988" s="14">
        <v>30</v>
      </c>
      <c r="J1988" s="22">
        <v>0.42788811456060299</v>
      </c>
      <c r="K1988" s="22">
        <v>0.57211188543939695</v>
      </c>
      <c r="L1988" s="14">
        <v>0</v>
      </c>
    </row>
    <row r="1989" spans="1:12" x14ac:dyDescent="0.25">
      <c r="A1989" s="13" t="s">
        <v>4918</v>
      </c>
      <c r="B1989" s="14" t="s">
        <v>17</v>
      </c>
      <c r="C1989" s="14" t="s">
        <v>5788</v>
      </c>
      <c r="D1989" s="14" t="s">
        <v>4920</v>
      </c>
      <c r="E1989" s="14" t="s">
        <v>4921</v>
      </c>
      <c r="F1989" s="21">
        <v>2392.77</v>
      </c>
      <c r="G1989" s="14">
        <v>685</v>
      </c>
      <c r="H1989" s="14">
        <v>0</v>
      </c>
      <c r="I1989" s="14">
        <v>29</v>
      </c>
      <c r="J1989" s="22">
        <v>0.97940929095581997</v>
      </c>
      <c r="K1989" s="22">
        <v>2.0590709044179801E-2</v>
      </c>
      <c r="L1989" s="14">
        <v>0</v>
      </c>
    </row>
    <row r="1990" spans="1:12" x14ac:dyDescent="0.25">
      <c r="A1990" s="13">
        <v>3778404</v>
      </c>
      <c r="B1990" s="14" t="s">
        <v>6355</v>
      </c>
      <c r="C1990" s="14" t="s">
        <v>7371</v>
      </c>
      <c r="D1990" s="14" t="s">
        <v>4920</v>
      </c>
      <c r="E1990" s="14" t="s">
        <v>7372</v>
      </c>
      <c r="F1990" s="21">
        <v>1834.77</v>
      </c>
      <c r="G1990" s="14">
        <v>781</v>
      </c>
      <c r="H1990" s="14">
        <v>0</v>
      </c>
      <c r="I1990" s="14" t="s">
        <v>6314</v>
      </c>
      <c r="J1990" s="22">
        <v>0.99534473173927496</v>
      </c>
      <c r="K1990" s="22">
        <v>4.6552682607245996E-3</v>
      </c>
      <c r="L1990" s="14">
        <v>0</v>
      </c>
    </row>
    <row r="1991" spans="1:12" x14ac:dyDescent="0.25">
      <c r="A1991" s="13" t="s">
        <v>4924</v>
      </c>
      <c r="B1991" s="14" t="s">
        <v>17</v>
      </c>
      <c r="C1991" s="14" t="s">
        <v>4919</v>
      </c>
      <c r="D1991" s="14" t="s">
        <v>4920</v>
      </c>
      <c r="E1991" s="14" t="s">
        <v>4925</v>
      </c>
      <c r="F1991" s="21">
        <v>1189.77</v>
      </c>
      <c r="G1991" s="14">
        <v>347</v>
      </c>
      <c r="H1991" s="14">
        <v>0</v>
      </c>
      <c r="I1991" s="14">
        <v>24</v>
      </c>
      <c r="J1991" s="22">
        <v>0.28675561208757999</v>
      </c>
      <c r="K1991" s="22">
        <v>0.71324438791241995</v>
      </c>
      <c r="L1991" s="14">
        <v>0</v>
      </c>
    </row>
    <row r="1992" spans="1:12" x14ac:dyDescent="0.25">
      <c r="A1992" s="13" t="s">
        <v>4926</v>
      </c>
      <c r="B1992" s="14" t="s">
        <v>17</v>
      </c>
      <c r="C1992" s="14" t="s">
        <v>4919</v>
      </c>
      <c r="D1992" s="14" t="s">
        <v>4920</v>
      </c>
      <c r="E1992" s="14" t="s">
        <v>4927</v>
      </c>
      <c r="F1992" s="21">
        <v>1189.77</v>
      </c>
      <c r="G1992" s="14">
        <v>483</v>
      </c>
      <c r="H1992" s="14">
        <v>0</v>
      </c>
      <c r="I1992" s="14">
        <v>18</v>
      </c>
      <c r="J1992" s="22">
        <v>0.36042201597360202</v>
      </c>
      <c r="K1992" s="22">
        <v>0.63957798402639798</v>
      </c>
      <c r="L1992" s="14">
        <v>0</v>
      </c>
    </row>
    <row r="1993" spans="1:12" x14ac:dyDescent="0.25">
      <c r="A1993" s="13" t="s">
        <v>7373</v>
      </c>
      <c r="B1993" s="14" t="s">
        <v>17</v>
      </c>
      <c r="C1993" s="14" t="s">
        <v>4919</v>
      </c>
      <c r="D1993" s="14" t="s">
        <v>4920</v>
      </c>
      <c r="E1993" s="14" t="s">
        <v>4929</v>
      </c>
      <c r="F1993" s="21">
        <v>1836.92</v>
      </c>
      <c r="G1993" s="14">
        <v>298</v>
      </c>
      <c r="H1993" s="14">
        <v>1</v>
      </c>
      <c r="I1993" s="14">
        <v>50</v>
      </c>
      <c r="J1993" s="22">
        <v>5.1252670532576802E-2</v>
      </c>
      <c r="K1993" s="22">
        <v>0.94874732946742302</v>
      </c>
      <c r="L1993" s="14">
        <v>0</v>
      </c>
    </row>
    <row r="1994" spans="1:12" ht="52.8" x14ac:dyDescent="0.25">
      <c r="A1994" s="20" t="s">
        <v>7374</v>
      </c>
      <c r="B1994" s="14" t="s">
        <v>17</v>
      </c>
      <c r="C1994" s="14" t="s">
        <v>4919</v>
      </c>
      <c r="D1994" s="14" t="s">
        <v>4920</v>
      </c>
      <c r="E1994" s="14" t="s">
        <v>4931</v>
      </c>
      <c r="F1994" s="21">
        <v>2281.5100000000002</v>
      </c>
      <c r="G1994" s="14">
        <v>517</v>
      </c>
      <c r="H1994" s="14">
        <v>0</v>
      </c>
      <c r="I1994" s="14">
        <v>20</v>
      </c>
      <c r="J1994" s="22">
        <v>0.33246793168934702</v>
      </c>
      <c r="K1994" s="22">
        <v>0.66753206831065304</v>
      </c>
      <c r="L1994" s="14">
        <v>0</v>
      </c>
    </row>
    <row r="1995" spans="1:12" x14ac:dyDescent="0.25">
      <c r="A1995" s="13" t="s">
        <v>7375</v>
      </c>
      <c r="B1995" s="14" t="s">
        <v>17</v>
      </c>
      <c r="C1995" s="14" t="s">
        <v>4919</v>
      </c>
      <c r="D1995" s="14" t="s">
        <v>4920</v>
      </c>
      <c r="E1995" s="14" t="s">
        <v>4933</v>
      </c>
      <c r="F1995" s="21">
        <v>2480.56</v>
      </c>
      <c r="G1995" s="14">
        <v>524</v>
      </c>
      <c r="H1995" s="14">
        <v>0</v>
      </c>
      <c r="I1995" s="14">
        <v>1</v>
      </c>
      <c r="J1995" s="22">
        <v>0.64239829765636502</v>
      </c>
      <c r="K1995" s="22">
        <v>0.35760170234363498</v>
      </c>
      <c r="L1995" s="14">
        <v>0</v>
      </c>
    </row>
    <row r="1996" spans="1:12" ht="145.19999999999999" x14ac:dyDescent="0.25">
      <c r="A1996" s="13" t="s">
        <v>4934</v>
      </c>
      <c r="B1996" s="14" t="s">
        <v>5438</v>
      </c>
      <c r="C1996" s="14" t="s">
        <v>4935</v>
      </c>
      <c r="D1996" s="14" t="s">
        <v>4936</v>
      </c>
      <c r="E1996" s="23" t="s">
        <v>7376</v>
      </c>
      <c r="F1996" s="21">
        <v>1920</v>
      </c>
      <c r="G1996" s="14">
        <v>272</v>
      </c>
      <c r="H1996" s="14">
        <v>0</v>
      </c>
      <c r="I1996" s="14">
        <v>36</v>
      </c>
      <c r="J1996" s="22">
        <v>0.53373637167325905</v>
      </c>
      <c r="K1996" s="22">
        <v>0.46626362832674101</v>
      </c>
      <c r="L1996" s="14">
        <v>0</v>
      </c>
    </row>
    <row r="1997" spans="1:12" x14ac:dyDescent="0.25">
      <c r="A1997" s="13" t="s">
        <v>7377</v>
      </c>
      <c r="B1997" s="14" t="s">
        <v>86</v>
      </c>
      <c r="C1997" s="14" t="s">
        <v>5789</v>
      </c>
      <c r="D1997" s="14" t="s">
        <v>4939</v>
      </c>
      <c r="E1997" s="14" t="s">
        <v>4940</v>
      </c>
      <c r="F1997" s="21">
        <v>1514.1</v>
      </c>
      <c r="G1997" s="14">
        <v>49</v>
      </c>
      <c r="H1997" s="14">
        <v>0</v>
      </c>
      <c r="I1997" s="14">
        <v>36</v>
      </c>
      <c r="J1997" s="22">
        <v>7.5705396215342002E-3</v>
      </c>
      <c r="K1997" s="22">
        <v>0.99242946037846602</v>
      </c>
      <c r="L1997" s="14">
        <v>0</v>
      </c>
    </row>
    <row r="1998" spans="1:12" x14ac:dyDescent="0.25">
      <c r="A1998" s="13" t="s">
        <v>7378</v>
      </c>
      <c r="B1998" s="14" t="s">
        <v>5488</v>
      </c>
      <c r="C1998" s="14" t="s">
        <v>5789</v>
      </c>
      <c r="D1998" s="14" t="s">
        <v>4939</v>
      </c>
      <c r="E1998" s="14" t="s">
        <v>4942</v>
      </c>
      <c r="F1998" s="21">
        <v>1598.18</v>
      </c>
      <c r="G1998" s="14">
        <v>337</v>
      </c>
      <c r="H1998" s="14">
        <v>1</v>
      </c>
      <c r="I1998" s="14">
        <v>41</v>
      </c>
      <c r="J1998" s="22">
        <v>0.28800940979732498</v>
      </c>
      <c r="K1998" s="22">
        <v>0.71199059020267497</v>
      </c>
      <c r="L1998" s="14">
        <v>0</v>
      </c>
    </row>
    <row r="1999" spans="1:12" x14ac:dyDescent="0.25">
      <c r="A1999" s="13" t="s">
        <v>5830</v>
      </c>
      <c r="B1999" s="14" t="s">
        <v>133</v>
      </c>
      <c r="C1999" s="14" t="s">
        <v>4943</v>
      </c>
      <c r="D1999" s="14" t="s">
        <v>4944</v>
      </c>
      <c r="E1999" s="14" t="s">
        <v>4945</v>
      </c>
      <c r="F1999" s="21">
        <v>2145.6</v>
      </c>
      <c r="H1999" s="14">
        <v>1</v>
      </c>
      <c r="I1999" s="14">
        <v>12</v>
      </c>
      <c r="J1999" s="22">
        <v>0.98513197717651002</v>
      </c>
      <c r="K1999" s="22">
        <v>1.4868022823490401E-2</v>
      </c>
      <c r="L1999" s="14">
        <v>0</v>
      </c>
    </row>
    <row r="2000" spans="1:12" x14ac:dyDescent="0.25">
      <c r="B2000" s="14" t="s">
        <v>4946</v>
      </c>
      <c r="C2000" s="14" t="s">
        <v>4947</v>
      </c>
      <c r="D2000" s="14" t="s">
        <v>4948</v>
      </c>
      <c r="E2000" s="14" t="s">
        <v>4949</v>
      </c>
      <c r="F2000" s="21">
        <v>1969.02</v>
      </c>
      <c r="H2000" s="14">
        <v>0</v>
      </c>
      <c r="I2000" s="14">
        <v>26</v>
      </c>
      <c r="J2000" s="22">
        <v>0.30504460724781801</v>
      </c>
      <c r="K2000" s="22">
        <v>0.69495539275218199</v>
      </c>
      <c r="L2000" s="14">
        <v>0</v>
      </c>
    </row>
    <row r="2001" spans="1:12" x14ac:dyDescent="0.25">
      <c r="A2001" s="13" t="s">
        <v>6288</v>
      </c>
      <c r="B2001" s="14" t="s">
        <v>69</v>
      </c>
      <c r="C2001" s="14" t="s">
        <v>69</v>
      </c>
      <c r="D2001" s="14" t="s">
        <v>4951</v>
      </c>
      <c r="E2001" s="14" t="s">
        <v>7379</v>
      </c>
      <c r="F2001" s="21">
        <v>1981.19</v>
      </c>
      <c r="G2001" s="14">
        <v>531</v>
      </c>
      <c r="I2001" s="14">
        <v>7</v>
      </c>
      <c r="J2001" s="22">
        <v>0.97932923781848902</v>
      </c>
      <c r="K2001" s="22">
        <v>2.0670762181510999E-2</v>
      </c>
      <c r="L2001" s="14">
        <v>0</v>
      </c>
    </row>
    <row r="2002" spans="1:12" x14ac:dyDescent="0.25">
      <c r="A2002" s="13" t="s">
        <v>6289</v>
      </c>
      <c r="B2002" s="14" t="s">
        <v>4954</v>
      </c>
      <c r="C2002" s="14" t="s">
        <v>4954</v>
      </c>
      <c r="D2002" s="14" t="s">
        <v>4955</v>
      </c>
      <c r="E2002" s="14" t="s">
        <v>4956</v>
      </c>
      <c r="F2002" s="21">
        <v>1117.3699999999999</v>
      </c>
      <c r="G2002" s="14">
        <v>873</v>
      </c>
      <c r="H2002" s="14">
        <v>1</v>
      </c>
      <c r="I2002" s="14" t="s">
        <v>6314</v>
      </c>
      <c r="J2002" s="22">
        <v>0.38423584928541399</v>
      </c>
      <c r="K2002" s="22">
        <v>0.61576415071458601</v>
      </c>
      <c r="L2002" s="14">
        <v>0</v>
      </c>
    </row>
    <row r="2003" spans="1:12" x14ac:dyDescent="0.25">
      <c r="A2003" s="13" t="s">
        <v>7380</v>
      </c>
      <c r="B2003" s="14" t="s">
        <v>5493</v>
      </c>
      <c r="C2003" s="14" t="s">
        <v>4957</v>
      </c>
      <c r="D2003" s="14" t="s">
        <v>4958</v>
      </c>
      <c r="E2003" s="14" t="s">
        <v>4959</v>
      </c>
      <c r="F2003" s="21">
        <v>791.19</v>
      </c>
      <c r="G2003" s="14">
        <v>361</v>
      </c>
      <c r="H2003" s="14">
        <v>0</v>
      </c>
      <c r="I2003" s="14" t="s">
        <v>6314</v>
      </c>
      <c r="J2003" s="22">
        <v>0.57423644436870402</v>
      </c>
      <c r="K2003" s="22">
        <v>0.42576355563129598</v>
      </c>
      <c r="L2003" s="14">
        <v>0</v>
      </c>
    </row>
    <row r="2004" spans="1:12" x14ac:dyDescent="0.25">
      <c r="A2004" s="13" t="s">
        <v>7381</v>
      </c>
      <c r="B2004" s="14" t="s">
        <v>213</v>
      </c>
      <c r="C2004" s="14" t="s">
        <v>4961</v>
      </c>
      <c r="D2004" s="14" t="s">
        <v>4962</v>
      </c>
      <c r="E2004" s="14" t="s">
        <v>4963</v>
      </c>
      <c r="F2004" s="21">
        <v>2340.5500000000002</v>
      </c>
      <c r="G2004" s="14">
        <v>689</v>
      </c>
      <c r="H2004" s="14">
        <v>1</v>
      </c>
      <c r="I2004" s="14">
        <v>34</v>
      </c>
      <c r="J2004" s="22">
        <v>0.98447671139995097</v>
      </c>
      <c r="K2004" s="22">
        <v>1.5523288600049199E-2</v>
      </c>
      <c r="L2004" s="14">
        <v>0</v>
      </c>
    </row>
    <row r="2005" spans="1:12" x14ac:dyDescent="0.25">
      <c r="A2005" s="13">
        <v>3223522</v>
      </c>
      <c r="B2005" s="14" t="s">
        <v>17</v>
      </c>
      <c r="C2005" s="14" t="s">
        <v>4965</v>
      </c>
      <c r="D2005" s="14" t="s">
        <v>4962</v>
      </c>
      <c r="E2005" s="14" t="s">
        <v>4966</v>
      </c>
      <c r="F2005" s="21">
        <v>2215.7600000000002</v>
      </c>
      <c r="G2005" s="14">
        <v>975</v>
      </c>
      <c r="H2005" s="14">
        <v>0</v>
      </c>
      <c r="I2005" s="14">
        <v>4</v>
      </c>
      <c r="J2005" s="22">
        <v>0.275195231047759</v>
      </c>
      <c r="K2005" s="22">
        <v>0.724804768952241</v>
      </c>
      <c r="L2005" s="14">
        <v>0</v>
      </c>
    </row>
    <row r="2006" spans="1:12" x14ac:dyDescent="0.25">
      <c r="A2006" s="13">
        <v>3813980</v>
      </c>
      <c r="B2006" s="14" t="s">
        <v>86</v>
      </c>
      <c r="C2006" s="14" t="s">
        <v>4968</v>
      </c>
      <c r="E2006" s="14" t="s">
        <v>4969</v>
      </c>
      <c r="F2006" s="21">
        <v>1287.75</v>
      </c>
      <c r="G2006" s="14">
        <v>616</v>
      </c>
      <c r="H2006" s="14">
        <v>1</v>
      </c>
      <c r="I2006" s="14" t="s">
        <v>6314</v>
      </c>
      <c r="J2006" s="22">
        <v>5.0576877694856998E-2</v>
      </c>
      <c r="K2006" s="22">
        <v>0.94942312230514303</v>
      </c>
      <c r="L2006" s="14">
        <v>0</v>
      </c>
    </row>
    <row r="2007" spans="1:12" x14ac:dyDescent="0.25">
      <c r="B2007" s="14" t="s">
        <v>86</v>
      </c>
      <c r="C2007" s="14" t="s">
        <v>4968</v>
      </c>
      <c r="E2007" s="14" t="s">
        <v>4970</v>
      </c>
      <c r="F2007" s="21">
        <v>1826</v>
      </c>
      <c r="H2007" s="14">
        <v>0</v>
      </c>
      <c r="I2007" s="14">
        <v>45</v>
      </c>
      <c r="J2007" s="22">
        <v>0.295343192760329</v>
      </c>
      <c r="K2007" s="22">
        <v>0.70465680723967095</v>
      </c>
      <c r="L2007" s="14">
        <v>0</v>
      </c>
    </row>
    <row r="2008" spans="1:12" x14ac:dyDescent="0.25">
      <c r="A2008" s="13" t="s">
        <v>4971</v>
      </c>
      <c r="B2008" s="14" t="s">
        <v>5491</v>
      </c>
      <c r="C2008" s="14" t="s">
        <v>4968</v>
      </c>
      <c r="E2008" s="14" t="s">
        <v>7382</v>
      </c>
      <c r="F2008" s="21">
        <v>1533.71</v>
      </c>
      <c r="G2008" s="14">
        <v>90</v>
      </c>
      <c r="H2008" s="14">
        <v>0</v>
      </c>
      <c r="I2008" s="14">
        <v>23</v>
      </c>
      <c r="J2008" s="22">
        <v>0.62982550556654504</v>
      </c>
      <c r="K2008" s="22">
        <v>0.37017449443345501</v>
      </c>
      <c r="L2008" s="14">
        <v>0</v>
      </c>
    </row>
    <row r="2009" spans="1:12" x14ac:dyDescent="0.25">
      <c r="A2009" s="13" t="s">
        <v>7383</v>
      </c>
      <c r="B2009" s="14" t="s">
        <v>5493</v>
      </c>
      <c r="C2009" s="14" t="s">
        <v>4968</v>
      </c>
      <c r="E2009" s="14" t="s">
        <v>4974</v>
      </c>
      <c r="F2009" s="21">
        <v>1551.49</v>
      </c>
      <c r="G2009" s="14">
        <v>829</v>
      </c>
      <c r="H2009" s="14">
        <v>0</v>
      </c>
      <c r="I2009" s="14">
        <v>45</v>
      </c>
      <c r="J2009" s="22">
        <v>0.90888610209488496</v>
      </c>
      <c r="K2009" s="22">
        <v>9.1113897905115399E-2</v>
      </c>
      <c r="L2009" s="14">
        <v>0</v>
      </c>
    </row>
    <row r="2010" spans="1:12" x14ac:dyDescent="0.25">
      <c r="A2010" s="13" t="s">
        <v>7384</v>
      </c>
      <c r="B2010" s="14" t="s">
        <v>5403</v>
      </c>
      <c r="C2010" s="14" t="s">
        <v>4976</v>
      </c>
      <c r="D2010" s="14" t="s">
        <v>4977</v>
      </c>
      <c r="E2010" s="14" t="s">
        <v>7385</v>
      </c>
      <c r="F2010" s="21">
        <v>1371.54</v>
      </c>
      <c r="G2010" s="14">
        <v>217</v>
      </c>
      <c r="H2010" s="14">
        <v>1</v>
      </c>
      <c r="I2010" s="14">
        <v>20</v>
      </c>
      <c r="J2010" s="22">
        <v>0.75604179043418995</v>
      </c>
      <c r="K2010" s="22">
        <v>0.24395820956580999</v>
      </c>
      <c r="L2010" s="14">
        <v>0</v>
      </c>
    </row>
    <row r="2011" spans="1:12" x14ac:dyDescent="0.25">
      <c r="A2011" s="13" t="s">
        <v>4979</v>
      </c>
      <c r="B2011" s="14" t="s">
        <v>17</v>
      </c>
      <c r="C2011" s="14" t="s">
        <v>4980</v>
      </c>
      <c r="D2011" s="14" t="s">
        <v>4981</v>
      </c>
      <c r="E2011" s="14" t="s">
        <v>4982</v>
      </c>
      <c r="F2011" s="21">
        <v>3628.83</v>
      </c>
      <c r="G2011" s="14">
        <v>980</v>
      </c>
      <c r="H2011" s="14">
        <v>0</v>
      </c>
      <c r="I2011" s="14">
        <v>38</v>
      </c>
      <c r="J2011" s="22">
        <v>0.66705212707376904</v>
      </c>
      <c r="K2011" s="22">
        <v>0.33294787292623101</v>
      </c>
      <c r="L2011" s="14">
        <v>0</v>
      </c>
    </row>
    <row r="2012" spans="1:12" x14ac:dyDescent="0.25">
      <c r="A2012" s="13" t="s">
        <v>7386</v>
      </c>
      <c r="B2012" s="14" t="s">
        <v>17</v>
      </c>
      <c r="C2012" s="14" t="s">
        <v>4980</v>
      </c>
      <c r="D2012" s="14" t="s">
        <v>4981</v>
      </c>
      <c r="E2012" s="14" t="s">
        <v>4984</v>
      </c>
      <c r="F2012" s="21">
        <v>3748</v>
      </c>
      <c r="H2012" s="14">
        <v>0</v>
      </c>
      <c r="I2012" s="14">
        <v>24</v>
      </c>
      <c r="J2012" s="22">
        <v>0.96780519987411395</v>
      </c>
      <c r="K2012" s="22">
        <v>3.21948001258857E-2</v>
      </c>
      <c r="L2012" s="14">
        <v>0</v>
      </c>
    </row>
    <row r="2013" spans="1:12" x14ac:dyDescent="0.25">
      <c r="A2013" s="13" t="s">
        <v>7387</v>
      </c>
      <c r="B2013" s="14" t="s">
        <v>17</v>
      </c>
      <c r="C2013" s="14" t="s">
        <v>4980</v>
      </c>
      <c r="D2013" s="14" t="s">
        <v>4981</v>
      </c>
      <c r="E2013" s="14" t="s">
        <v>4986</v>
      </c>
      <c r="F2013" s="21">
        <v>3832.72</v>
      </c>
      <c r="G2013" s="14">
        <v>539</v>
      </c>
      <c r="H2013" s="14">
        <v>1</v>
      </c>
      <c r="I2013" s="14">
        <v>41</v>
      </c>
      <c r="J2013" s="22">
        <v>0.82785263957465605</v>
      </c>
      <c r="K2013" s="22">
        <v>0.17214736042534401</v>
      </c>
      <c r="L2013" s="14">
        <v>0</v>
      </c>
    </row>
    <row r="2014" spans="1:12" x14ac:dyDescent="0.25">
      <c r="A2014" s="13" t="s">
        <v>7388</v>
      </c>
      <c r="B2014" s="14" t="s">
        <v>17</v>
      </c>
      <c r="C2014" s="14" t="s">
        <v>4980</v>
      </c>
      <c r="D2014" s="14" t="s">
        <v>4981</v>
      </c>
      <c r="E2014" s="14" t="s">
        <v>7389</v>
      </c>
      <c r="F2014" s="21">
        <v>3899.19</v>
      </c>
      <c r="G2014" s="14">
        <v>166</v>
      </c>
      <c r="H2014" s="14">
        <v>0</v>
      </c>
      <c r="I2014" s="14">
        <v>38</v>
      </c>
      <c r="J2014" s="22">
        <v>0.29249241093426298</v>
      </c>
      <c r="K2014" s="22">
        <v>0.70750758906573696</v>
      </c>
      <c r="L2014" s="14">
        <v>0</v>
      </c>
    </row>
    <row r="2015" spans="1:12" x14ac:dyDescent="0.25">
      <c r="A2015" s="13" t="s">
        <v>7390</v>
      </c>
      <c r="B2015" s="14" t="s">
        <v>17</v>
      </c>
      <c r="C2015" s="14" t="s">
        <v>4980</v>
      </c>
      <c r="D2015" s="14" t="s">
        <v>4981</v>
      </c>
      <c r="E2015" s="14" t="s">
        <v>4990</v>
      </c>
      <c r="F2015" s="21">
        <v>4072.42</v>
      </c>
      <c r="G2015" s="14">
        <v>806</v>
      </c>
      <c r="H2015" s="14">
        <v>1</v>
      </c>
      <c r="I2015" s="14">
        <v>36</v>
      </c>
      <c r="J2015" s="22">
        <v>7.9524075490521096E-2</v>
      </c>
      <c r="K2015" s="22">
        <v>0.92047592450947902</v>
      </c>
      <c r="L2015" s="14">
        <v>0</v>
      </c>
    </row>
    <row r="2016" spans="1:12" x14ac:dyDescent="0.25">
      <c r="A2016" s="13" t="s">
        <v>7391</v>
      </c>
      <c r="B2016" s="14" t="s">
        <v>17</v>
      </c>
      <c r="C2016" s="14" t="s">
        <v>4980</v>
      </c>
      <c r="D2016" s="14" t="s">
        <v>4981</v>
      </c>
      <c r="E2016" s="14" t="s">
        <v>4992</v>
      </c>
      <c r="F2016" s="21">
        <v>4095.97</v>
      </c>
      <c r="G2016" s="14">
        <v>169</v>
      </c>
      <c r="H2016" s="14">
        <v>1</v>
      </c>
      <c r="I2016" s="14">
        <v>40</v>
      </c>
      <c r="J2016" s="22">
        <v>0.28285435895597499</v>
      </c>
      <c r="K2016" s="22">
        <v>0.71714564104402501</v>
      </c>
      <c r="L2016" s="14">
        <v>0</v>
      </c>
    </row>
    <row r="2017" spans="1:12" x14ac:dyDescent="0.25">
      <c r="A2017" s="13" t="s">
        <v>4993</v>
      </c>
      <c r="B2017" s="14" t="s">
        <v>5377</v>
      </c>
      <c r="C2017" s="14" t="s">
        <v>5790</v>
      </c>
      <c r="D2017" s="14" t="s">
        <v>4981</v>
      </c>
      <c r="E2017" s="14" t="s">
        <v>4994</v>
      </c>
      <c r="F2017" s="21">
        <v>3895.64</v>
      </c>
      <c r="G2017" s="14">
        <v>484</v>
      </c>
      <c r="H2017" s="14">
        <v>0</v>
      </c>
      <c r="I2017" s="14">
        <v>7</v>
      </c>
      <c r="J2017" s="22">
        <v>0.35291751336634702</v>
      </c>
      <c r="K2017" s="22">
        <v>0.64708248663365298</v>
      </c>
      <c r="L2017" s="14">
        <v>0</v>
      </c>
    </row>
    <row r="2018" spans="1:12" x14ac:dyDescent="0.25">
      <c r="A2018" s="13">
        <v>3635120</v>
      </c>
      <c r="B2018" s="14" t="s">
        <v>17</v>
      </c>
      <c r="C2018" s="14" t="s">
        <v>5791</v>
      </c>
      <c r="D2018" s="14" t="s">
        <v>4997</v>
      </c>
      <c r="E2018" s="14" t="s">
        <v>4998</v>
      </c>
      <c r="F2018" s="21">
        <v>2467.88</v>
      </c>
      <c r="G2018" s="14">
        <v>371</v>
      </c>
      <c r="H2018" s="14">
        <v>1</v>
      </c>
      <c r="I2018" s="14">
        <v>16</v>
      </c>
      <c r="J2018" s="22">
        <v>0.258655738370693</v>
      </c>
      <c r="K2018" s="22">
        <v>0.741344261629307</v>
      </c>
      <c r="L2018" s="14">
        <v>0</v>
      </c>
    </row>
    <row r="2019" spans="1:12" x14ac:dyDescent="0.25">
      <c r="A2019" s="13" t="s">
        <v>5952</v>
      </c>
      <c r="B2019" s="14" t="s">
        <v>17</v>
      </c>
      <c r="C2019" s="14" t="s">
        <v>4996</v>
      </c>
      <c r="D2019" s="14" t="s">
        <v>4999</v>
      </c>
      <c r="E2019" s="14" t="s">
        <v>5000</v>
      </c>
      <c r="F2019" s="21">
        <v>2395</v>
      </c>
      <c r="G2019" s="14">
        <v>224</v>
      </c>
      <c r="I2019" s="14" t="s">
        <v>6314</v>
      </c>
      <c r="J2019" s="22">
        <v>0.94626394081465404</v>
      </c>
      <c r="K2019" s="22">
        <v>5.3736059185346498E-2</v>
      </c>
      <c r="L2019" s="14">
        <v>0</v>
      </c>
    </row>
    <row r="2020" spans="1:12" x14ac:dyDescent="0.25">
      <c r="A2020" s="13" t="s">
        <v>7392</v>
      </c>
      <c r="B2020" s="14" t="s">
        <v>5493</v>
      </c>
      <c r="C2020" s="14" t="s">
        <v>5001</v>
      </c>
      <c r="D2020" s="14" t="s">
        <v>5002</v>
      </c>
      <c r="E2020" s="14" t="s">
        <v>5003</v>
      </c>
      <c r="F2020" s="21">
        <v>1961.68</v>
      </c>
      <c r="G2020" s="14">
        <v>455</v>
      </c>
      <c r="H2020" s="14">
        <v>0</v>
      </c>
      <c r="I2020" s="14">
        <v>30</v>
      </c>
      <c r="J2020" s="22">
        <v>0.20588171656104201</v>
      </c>
      <c r="K2020" s="22">
        <v>0.79411828343895796</v>
      </c>
      <c r="L2020" s="14">
        <v>0</v>
      </c>
    </row>
    <row r="2021" spans="1:12" x14ac:dyDescent="0.25">
      <c r="A2021" s="13" t="s">
        <v>5004</v>
      </c>
      <c r="B2021" s="14" t="s">
        <v>17</v>
      </c>
      <c r="C2021" s="14" t="s">
        <v>5005</v>
      </c>
      <c r="D2021" s="14" t="s">
        <v>5006</v>
      </c>
      <c r="E2021" s="14" t="s">
        <v>5007</v>
      </c>
      <c r="F2021" s="21">
        <v>1457.41</v>
      </c>
      <c r="G2021" s="14">
        <v>288</v>
      </c>
      <c r="H2021" s="14">
        <v>0</v>
      </c>
      <c r="I2021" s="14">
        <v>5</v>
      </c>
      <c r="J2021" s="22">
        <v>0.32730676599846298</v>
      </c>
      <c r="K2021" s="22">
        <v>0.67269323400153702</v>
      </c>
      <c r="L2021" s="14">
        <v>0</v>
      </c>
    </row>
    <row r="2022" spans="1:12" x14ac:dyDescent="0.25">
      <c r="A2022" s="13" t="s">
        <v>7393</v>
      </c>
      <c r="B2022" s="14" t="s">
        <v>17</v>
      </c>
      <c r="C2022" s="14" t="s">
        <v>5519</v>
      </c>
      <c r="D2022" s="14" t="s">
        <v>5009</v>
      </c>
      <c r="E2022" s="14" t="s">
        <v>5010</v>
      </c>
      <c r="F2022" s="21">
        <v>2433.9</v>
      </c>
      <c r="H2022" s="14">
        <v>0</v>
      </c>
      <c r="I2022" s="14">
        <v>19</v>
      </c>
      <c r="J2022" s="22">
        <v>0.63140542066713501</v>
      </c>
      <c r="K2022" s="22">
        <v>0.36859457933286499</v>
      </c>
      <c r="L2022" s="14">
        <v>0</v>
      </c>
    </row>
    <row r="2023" spans="1:12" x14ac:dyDescent="0.25">
      <c r="A2023" s="13" t="s">
        <v>5011</v>
      </c>
      <c r="B2023" s="14" t="s">
        <v>5373</v>
      </c>
      <c r="C2023" s="14" t="s">
        <v>5520</v>
      </c>
      <c r="D2023" s="14" t="s">
        <v>5012</v>
      </c>
      <c r="E2023" s="14" t="s">
        <v>5013</v>
      </c>
      <c r="F2023" s="21">
        <v>2181.09</v>
      </c>
      <c r="G2023" s="14">
        <v>26</v>
      </c>
      <c r="H2023" s="14">
        <v>0</v>
      </c>
      <c r="I2023" s="14">
        <v>50</v>
      </c>
      <c r="J2023" s="22">
        <v>0.14736660220337799</v>
      </c>
      <c r="K2023" s="22">
        <v>0.85263339779662195</v>
      </c>
      <c r="L2023" s="14">
        <v>0</v>
      </c>
    </row>
    <row r="2024" spans="1:12" x14ac:dyDescent="0.25">
      <c r="A2024" s="13" t="s">
        <v>7394</v>
      </c>
      <c r="B2024" s="14" t="s">
        <v>17</v>
      </c>
      <c r="C2024" s="14" t="s">
        <v>5521</v>
      </c>
      <c r="D2024" s="14" t="s">
        <v>5012</v>
      </c>
      <c r="E2024" s="14" t="s">
        <v>5015</v>
      </c>
      <c r="F2024" s="21">
        <v>1773.74</v>
      </c>
      <c r="G2024" s="14">
        <v>644</v>
      </c>
      <c r="H2024" s="14">
        <v>1</v>
      </c>
      <c r="I2024" s="14">
        <v>7</v>
      </c>
      <c r="J2024" s="22">
        <v>0.36290479977396101</v>
      </c>
      <c r="K2024" s="22">
        <v>0.63709520022603905</v>
      </c>
      <c r="L2024" s="14">
        <v>0</v>
      </c>
    </row>
    <row r="2025" spans="1:12" x14ac:dyDescent="0.25">
      <c r="A2025" s="13" t="s">
        <v>5016</v>
      </c>
      <c r="B2025" s="14" t="s">
        <v>17</v>
      </c>
      <c r="C2025" s="14" t="s">
        <v>5521</v>
      </c>
      <c r="D2025" s="14" t="s">
        <v>5012</v>
      </c>
      <c r="E2025" s="14" t="s">
        <v>5017</v>
      </c>
      <c r="F2025" s="21">
        <v>2080.69</v>
      </c>
      <c r="G2025" s="14">
        <v>185</v>
      </c>
      <c r="H2025" s="14">
        <v>1</v>
      </c>
      <c r="I2025" s="14">
        <v>4</v>
      </c>
      <c r="J2025" s="22">
        <v>0.50061061156481201</v>
      </c>
      <c r="K2025" s="22">
        <v>0.49938938843518799</v>
      </c>
      <c r="L2025" s="14">
        <v>0</v>
      </c>
    </row>
    <row r="2026" spans="1:12" x14ac:dyDescent="0.25">
      <c r="A2026" s="13" t="s">
        <v>5018</v>
      </c>
      <c r="B2026" s="14" t="s">
        <v>17</v>
      </c>
      <c r="C2026" s="14" t="s">
        <v>5521</v>
      </c>
      <c r="D2026" s="14" t="s">
        <v>5012</v>
      </c>
      <c r="E2026" s="14" t="s">
        <v>5019</v>
      </c>
      <c r="F2026" s="21">
        <v>3714.29</v>
      </c>
      <c r="G2026" s="14">
        <v>524</v>
      </c>
      <c r="H2026" s="14">
        <v>0</v>
      </c>
      <c r="I2026" s="14" t="s">
        <v>6314</v>
      </c>
      <c r="J2026" s="22">
        <v>0.31762544316866698</v>
      </c>
      <c r="K2026" s="22">
        <v>0.68237455683133297</v>
      </c>
      <c r="L2026" s="14">
        <v>0</v>
      </c>
    </row>
    <row r="2027" spans="1:12" x14ac:dyDescent="0.25">
      <c r="A2027" s="13" t="s">
        <v>7395</v>
      </c>
      <c r="B2027" s="14" t="s">
        <v>378</v>
      </c>
      <c r="C2027" s="14" t="s">
        <v>5537</v>
      </c>
      <c r="D2027" s="14" t="s">
        <v>5021</v>
      </c>
      <c r="E2027" s="14" t="s">
        <v>5022</v>
      </c>
      <c r="F2027" s="21">
        <v>1800</v>
      </c>
      <c r="G2027" s="14">
        <v>210</v>
      </c>
      <c r="H2027" s="14">
        <v>0</v>
      </c>
      <c r="I2027" s="14">
        <v>49</v>
      </c>
      <c r="J2027" s="22">
        <v>0.61803208533828902</v>
      </c>
      <c r="K2027" s="22">
        <v>0.38196791466171098</v>
      </c>
      <c r="L2027" s="14">
        <v>0</v>
      </c>
    </row>
    <row r="2028" spans="1:12" ht="39.6" x14ac:dyDescent="0.25">
      <c r="A2028" s="20" t="s">
        <v>7396</v>
      </c>
      <c r="B2028" s="14" t="s">
        <v>378</v>
      </c>
      <c r="C2028" s="14" t="s">
        <v>5537</v>
      </c>
      <c r="D2028" s="14" t="s">
        <v>5021</v>
      </c>
      <c r="E2028" s="14" t="s">
        <v>5024</v>
      </c>
      <c r="F2028" s="21">
        <v>1800</v>
      </c>
      <c r="G2028" s="14">
        <v>205</v>
      </c>
      <c r="H2028" s="14">
        <v>1</v>
      </c>
      <c r="I2028" s="14">
        <v>1</v>
      </c>
      <c r="J2028" s="22">
        <v>0.87227614924659103</v>
      </c>
      <c r="K2028" s="22">
        <v>0.127723850753409</v>
      </c>
      <c r="L2028" s="14">
        <v>0</v>
      </c>
    </row>
    <row r="2029" spans="1:12" x14ac:dyDescent="0.25">
      <c r="A2029" s="13" t="s">
        <v>5025</v>
      </c>
      <c r="B2029" s="14" t="s">
        <v>626</v>
      </c>
      <c r="C2029" s="14" t="s">
        <v>5563</v>
      </c>
      <c r="D2029" s="14" t="s">
        <v>5026</v>
      </c>
      <c r="E2029" s="14" t="s">
        <v>5027</v>
      </c>
      <c r="F2029" s="21">
        <v>3000</v>
      </c>
      <c r="G2029" s="14">
        <v>509</v>
      </c>
      <c r="H2029" s="14">
        <v>0</v>
      </c>
      <c r="I2029" s="14">
        <v>10</v>
      </c>
      <c r="J2029" s="22">
        <v>0.645407091624709</v>
      </c>
      <c r="K2029" s="22">
        <v>0.354592908375291</v>
      </c>
      <c r="L2029" s="14">
        <v>0</v>
      </c>
    </row>
    <row r="2030" spans="1:12" x14ac:dyDescent="0.25">
      <c r="B2030" s="14" t="s">
        <v>626</v>
      </c>
      <c r="C2030" s="14" t="s">
        <v>5563</v>
      </c>
      <c r="D2030" s="14" t="s">
        <v>5026</v>
      </c>
      <c r="E2030" s="14" t="s">
        <v>5028</v>
      </c>
      <c r="F2030" s="21">
        <v>3000</v>
      </c>
      <c r="G2030" s="14">
        <v>667</v>
      </c>
      <c r="H2030" s="14">
        <v>0</v>
      </c>
      <c r="I2030" s="14">
        <v>25</v>
      </c>
      <c r="J2030" s="22">
        <v>0.62756435529267995</v>
      </c>
      <c r="K2030" s="22">
        <v>0.37243564470732099</v>
      </c>
      <c r="L2030" s="14">
        <v>0</v>
      </c>
    </row>
    <row r="2031" spans="1:12" ht="26.4" x14ac:dyDescent="0.25">
      <c r="A2031" s="20" t="s">
        <v>7397</v>
      </c>
      <c r="B2031" s="14" t="s">
        <v>607</v>
      </c>
      <c r="C2031" s="14" t="s">
        <v>5591</v>
      </c>
      <c r="D2031" s="14" t="s">
        <v>5030</v>
      </c>
      <c r="E2031" s="14" t="s">
        <v>5031</v>
      </c>
      <c r="F2031" s="21">
        <v>1560</v>
      </c>
      <c r="G2031" s="14">
        <v>65</v>
      </c>
      <c r="H2031" s="14">
        <v>0</v>
      </c>
      <c r="I2031" s="14">
        <v>41</v>
      </c>
      <c r="J2031" s="22">
        <v>0.73104692818037498</v>
      </c>
      <c r="K2031" s="22">
        <v>0.26895307181962502</v>
      </c>
      <c r="L2031" s="14">
        <v>0</v>
      </c>
    </row>
    <row r="2032" spans="1:12" x14ac:dyDescent="0.25">
      <c r="A2032" s="13" t="s">
        <v>7398</v>
      </c>
      <c r="B2032" s="14" t="s">
        <v>607</v>
      </c>
      <c r="C2032" s="14" t="s">
        <v>5592</v>
      </c>
      <c r="D2032" s="14" t="s">
        <v>5030</v>
      </c>
      <c r="E2032" s="14" t="s">
        <v>5033</v>
      </c>
      <c r="F2032" s="21">
        <v>3120</v>
      </c>
      <c r="G2032" s="14">
        <v>837</v>
      </c>
      <c r="H2032" s="14">
        <v>1</v>
      </c>
      <c r="I2032" s="14">
        <v>23</v>
      </c>
      <c r="J2032" s="22">
        <v>0.55848951938316904</v>
      </c>
      <c r="K2032" s="22">
        <v>0.44151048061683101</v>
      </c>
      <c r="L2032" s="14">
        <v>0</v>
      </c>
    </row>
    <row r="2033" spans="1:12" x14ac:dyDescent="0.25">
      <c r="A2033" s="13" t="s">
        <v>5034</v>
      </c>
      <c r="B2033" s="14" t="s">
        <v>5493</v>
      </c>
      <c r="C2033" s="14" t="s">
        <v>5601</v>
      </c>
      <c r="D2033" s="14" t="s">
        <v>5035</v>
      </c>
      <c r="E2033" s="14" t="s">
        <v>5036</v>
      </c>
      <c r="F2033" s="21">
        <v>1982.35</v>
      </c>
      <c r="G2033" s="14">
        <v>584</v>
      </c>
      <c r="H2033" s="14">
        <v>0</v>
      </c>
      <c r="I2033" s="14" t="s">
        <v>6314</v>
      </c>
      <c r="J2033" s="22">
        <v>8.4392473564055603E-2</v>
      </c>
      <c r="K2033" s="22">
        <v>0.91560752643594501</v>
      </c>
      <c r="L2033" s="14">
        <v>0</v>
      </c>
    </row>
    <row r="2034" spans="1:12" x14ac:dyDescent="0.25">
      <c r="B2034" s="14" t="s">
        <v>5382</v>
      </c>
      <c r="C2034" s="14" t="s">
        <v>5603</v>
      </c>
      <c r="D2034" s="14" t="s">
        <v>5021</v>
      </c>
      <c r="E2034" s="14" t="s">
        <v>5037</v>
      </c>
      <c r="F2034" s="21">
        <v>824.16</v>
      </c>
      <c r="G2034" s="14">
        <v>652</v>
      </c>
      <c r="H2034" s="14">
        <v>1</v>
      </c>
      <c r="I2034" s="14">
        <v>4</v>
      </c>
      <c r="J2034" s="22">
        <v>0.518824766833754</v>
      </c>
      <c r="K2034" s="22">
        <v>0.481175233166246</v>
      </c>
      <c r="L2034" s="14">
        <v>0</v>
      </c>
    </row>
    <row r="2035" spans="1:12" x14ac:dyDescent="0.25">
      <c r="A2035" s="13" t="s">
        <v>7399</v>
      </c>
      <c r="B2035" s="14" t="s">
        <v>1722</v>
      </c>
      <c r="C2035" s="14" t="s">
        <v>5603</v>
      </c>
      <c r="D2035" s="14" t="s">
        <v>5021</v>
      </c>
      <c r="E2035" s="14" t="s">
        <v>5039</v>
      </c>
      <c r="F2035" s="21">
        <v>1652.9</v>
      </c>
      <c r="G2035" s="14">
        <v>668</v>
      </c>
      <c r="H2035" s="14">
        <v>1</v>
      </c>
      <c r="I2035" s="14">
        <v>44</v>
      </c>
      <c r="J2035" s="22">
        <v>0.56091206676568495</v>
      </c>
      <c r="K2035" s="22">
        <v>0.439087933234316</v>
      </c>
      <c r="L2035" s="14">
        <v>0</v>
      </c>
    </row>
    <row r="2036" spans="1:12" x14ac:dyDescent="0.25">
      <c r="A2036" s="13" t="s">
        <v>5040</v>
      </c>
      <c r="B2036" s="14" t="s">
        <v>5383</v>
      </c>
      <c r="C2036" s="14" t="s">
        <v>5603</v>
      </c>
      <c r="D2036" s="14" t="s">
        <v>5021</v>
      </c>
      <c r="E2036" s="14" t="s">
        <v>5041</v>
      </c>
      <c r="F2036" s="21">
        <v>1578.93</v>
      </c>
      <c r="H2036" s="14">
        <v>0</v>
      </c>
      <c r="I2036" s="14">
        <v>6</v>
      </c>
      <c r="J2036" s="22">
        <v>0.23154323860074799</v>
      </c>
      <c r="K2036" s="22">
        <v>0.76845676139925201</v>
      </c>
      <c r="L2036" s="14">
        <v>0</v>
      </c>
    </row>
    <row r="2037" spans="1:12" x14ac:dyDescent="0.25">
      <c r="A2037" s="13" t="s">
        <v>5042</v>
      </c>
      <c r="B2037" s="14" t="s">
        <v>5383</v>
      </c>
      <c r="C2037" s="14" t="s">
        <v>5603</v>
      </c>
      <c r="D2037" s="14" t="s">
        <v>5021</v>
      </c>
      <c r="E2037" s="14" t="s">
        <v>5043</v>
      </c>
      <c r="F2037" s="21">
        <v>1670.77</v>
      </c>
      <c r="G2037" s="14">
        <v>219</v>
      </c>
      <c r="H2037" s="14">
        <v>1</v>
      </c>
      <c r="I2037" s="14">
        <v>41</v>
      </c>
      <c r="J2037" s="22">
        <v>6.0716212101175497E-2</v>
      </c>
      <c r="K2037" s="22">
        <v>0.93928378789882505</v>
      </c>
      <c r="L2037" s="14">
        <v>0</v>
      </c>
    </row>
    <row r="2038" spans="1:12" x14ac:dyDescent="0.25">
      <c r="A2038" s="13">
        <v>23253866</v>
      </c>
      <c r="B2038" s="14" t="s">
        <v>86</v>
      </c>
      <c r="C2038" s="14" t="s">
        <v>5605</v>
      </c>
      <c r="D2038" s="14" t="s">
        <v>5021</v>
      </c>
      <c r="E2038" s="14" t="s">
        <v>5044</v>
      </c>
      <c r="F2038" s="21">
        <v>1879.96</v>
      </c>
      <c r="G2038" s="14">
        <v>729</v>
      </c>
      <c r="H2038" s="14">
        <v>0</v>
      </c>
      <c r="I2038" s="14">
        <v>47</v>
      </c>
      <c r="J2038" s="22">
        <v>0.68173363651311403</v>
      </c>
      <c r="K2038" s="22">
        <v>0.31826636348688597</v>
      </c>
      <c r="L2038" s="14">
        <v>0</v>
      </c>
    </row>
    <row r="2039" spans="1:12" x14ac:dyDescent="0.25">
      <c r="A2039" s="13" t="s">
        <v>5830</v>
      </c>
      <c r="B2039" s="14" t="s">
        <v>133</v>
      </c>
      <c r="C2039" s="14" t="s">
        <v>5617</v>
      </c>
      <c r="D2039" s="14" t="s">
        <v>5046</v>
      </c>
      <c r="E2039" s="14" t="s">
        <v>5047</v>
      </c>
      <c r="F2039" s="21">
        <v>2316.79</v>
      </c>
      <c r="G2039" s="14">
        <v>71</v>
      </c>
      <c r="H2039" s="14">
        <v>0</v>
      </c>
      <c r="I2039" s="14">
        <v>46</v>
      </c>
      <c r="J2039" s="22">
        <v>0.70921683885186804</v>
      </c>
      <c r="K2039" s="22">
        <v>0.29078316114813202</v>
      </c>
      <c r="L2039" s="14">
        <v>0</v>
      </c>
    </row>
    <row r="2040" spans="1:12" x14ac:dyDescent="0.25">
      <c r="A2040" s="13" t="s">
        <v>7400</v>
      </c>
      <c r="B2040" s="14" t="s">
        <v>17</v>
      </c>
      <c r="C2040" s="14" t="s">
        <v>5631</v>
      </c>
      <c r="D2040" s="14" t="s">
        <v>5049</v>
      </c>
      <c r="E2040" s="14" t="s">
        <v>5050</v>
      </c>
      <c r="F2040" s="21">
        <v>2410.8200000000002</v>
      </c>
      <c r="G2040" s="14">
        <v>49</v>
      </c>
      <c r="H2040" s="14">
        <v>1</v>
      </c>
      <c r="I2040" s="14">
        <v>40</v>
      </c>
      <c r="J2040" s="22">
        <v>0.22763599856209099</v>
      </c>
      <c r="K2040" s="22">
        <v>0.77236400143790895</v>
      </c>
      <c r="L2040" s="14">
        <v>0</v>
      </c>
    </row>
    <row r="2041" spans="1:12" x14ac:dyDescent="0.25">
      <c r="A2041" s="13" t="s">
        <v>7401</v>
      </c>
      <c r="B2041" s="14" t="s">
        <v>69</v>
      </c>
      <c r="C2041" s="14" t="s">
        <v>7402</v>
      </c>
      <c r="D2041" s="14" t="s">
        <v>5053</v>
      </c>
      <c r="E2041" s="14" t="s">
        <v>5054</v>
      </c>
      <c r="F2041" s="21">
        <v>2247.34</v>
      </c>
      <c r="G2041" s="14">
        <v>804</v>
      </c>
      <c r="H2041" s="14">
        <v>0</v>
      </c>
      <c r="I2041" s="14">
        <v>11</v>
      </c>
      <c r="J2041" s="22">
        <v>0.57766415941468097</v>
      </c>
      <c r="K2041" s="22">
        <v>0.42233584058531898</v>
      </c>
      <c r="L2041" s="14">
        <v>0</v>
      </c>
    </row>
    <row r="2042" spans="1:12" x14ac:dyDescent="0.25">
      <c r="A2042" s="13" t="s">
        <v>7403</v>
      </c>
      <c r="B2042" s="14" t="s">
        <v>7404</v>
      </c>
      <c r="C2042" s="14" t="s">
        <v>5654</v>
      </c>
      <c r="D2042" s="14" t="s">
        <v>5056</v>
      </c>
      <c r="E2042" s="14" t="s">
        <v>5057</v>
      </c>
      <c r="F2042" s="21">
        <v>1166.5999999999999</v>
      </c>
      <c r="G2042" s="14">
        <v>789</v>
      </c>
      <c r="H2042" s="14">
        <v>0</v>
      </c>
      <c r="I2042" s="14">
        <v>3</v>
      </c>
      <c r="J2042" s="22">
        <v>0.49291278543753902</v>
      </c>
      <c r="K2042" s="22">
        <v>0.50708721456246098</v>
      </c>
      <c r="L2042" s="14">
        <v>0</v>
      </c>
    </row>
    <row r="2043" spans="1:12" x14ac:dyDescent="0.25">
      <c r="A2043" s="13" t="s">
        <v>2573</v>
      </c>
      <c r="B2043" s="14" t="s">
        <v>5325</v>
      </c>
      <c r="C2043" s="14" t="s">
        <v>5655</v>
      </c>
      <c r="D2043" s="14" t="s">
        <v>5056</v>
      </c>
      <c r="E2043" s="14" t="s">
        <v>5058</v>
      </c>
      <c r="F2043" s="21">
        <v>1281.1500000000001</v>
      </c>
      <c r="G2043" s="14">
        <v>59</v>
      </c>
      <c r="H2043" s="14">
        <v>0</v>
      </c>
      <c r="I2043" s="14">
        <v>9</v>
      </c>
      <c r="J2043" s="22">
        <v>0.60957481712793204</v>
      </c>
      <c r="K2043" s="22">
        <v>0.39042518287206801</v>
      </c>
      <c r="L2043" s="14">
        <v>0</v>
      </c>
    </row>
    <row r="2044" spans="1:12" x14ac:dyDescent="0.25">
      <c r="A2044" s="13" t="s">
        <v>7405</v>
      </c>
      <c r="B2044" s="14" t="s">
        <v>5325</v>
      </c>
      <c r="C2044" s="14" t="s">
        <v>5654</v>
      </c>
      <c r="D2044" s="14" t="s">
        <v>5056</v>
      </c>
      <c r="E2044" s="14" t="s">
        <v>5060</v>
      </c>
      <c r="F2044" s="21">
        <v>1311.73</v>
      </c>
      <c r="G2044" s="14">
        <v>161</v>
      </c>
      <c r="H2044" s="14">
        <v>1</v>
      </c>
      <c r="I2044" s="14">
        <v>22</v>
      </c>
      <c r="J2044" s="22">
        <v>0.20792635283240901</v>
      </c>
      <c r="K2044" s="22">
        <v>0.79207364716759099</v>
      </c>
      <c r="L2044" s="14">
        <v>0</v>
      </c>
    </row>
    <row r="2045" spans="1:12" x14ac:dyDescent="0.25">
      <c r="A2045" s="13" t="s">
        <v>7406</v>
      </c>
      <c r="B2045" s="14" t="s">
        <v>5325</v>
      </c>
      <c r="C2045" s="14" t="s">
        <v>5654</v>
      </c>
      <c r="D2045" s="14" t="s">
        <v>5056</v>
      </c>
      <c r="E2045" s="14" t="s">
        <v>5062</v>
      </c>
      <c r="F2045" s="21">
        <v>1324.57</v>
      </c>
      <c r="G2045" s="14">
        <v>700</v>
      </c>
      <c r="H2045" s="14">
        <v>0</v>
      </c>
      <c r="I2045" s="14">
        <v>30</v>
      </c>
      <c r="J2045" s="22">
        <v>0.25678267174458902</v>
      </c>
      <c r="K2045" s="22">
        <v>0.74321732825541098</v>
      </c>
      <c r="L2045" s="14">
        <v>0</v>
      </c>
    </row>
    <row r="2046" spans="1:12" x14ac:dyDescent="0.25">
      <c r="A2046" s="13" t="s">
        <v>7407</v>
      </c>
      <c r="B2046" s="14" t="s">
        <v>5325</v>
      </c>
      <c r="C2046" s="14" t="s">
        <v>5654</v>
      </c>
      <c r="D2046" s="14" t="s">
        <v>5056</v>
      </c>
      <c r="E2046" s="14" t="s">
        <v>5064</v>
      </c>
      <c r="F2046" s="21">
        <v>1340.75</v>
      </c>
      <c r="G2046" s="14">
        <v>113</v>
      </c>
      <c r="H2046" s="14">
        <v>1</v>
      </c>
      <c r="I2046" s="14">
        <v>19</v>
      </c>
      <c r="J2046" s="22">
        <v>0.56766121269554703</v>
      </c>
      <c r="K2046" s="22">
        <v>0.43233878730445302</v>
      </c>
      <c r="L2046" s="14">
        <v>0</v>
      </c>
    </row>
    <row r="2047" spans="1:12" x14ac:dyDescent="0.25">
      <c r="A2047" s="13" t="s">
        <v>5065</v>
      </c>
      <c r="B2047" s="14" t="s">
        <v>5325</v>
      </c>
      <c r="C2047" s="14" t="s">
        <v>5654</v>
      </c>
      <c r="D2047" s="14" t="s">
        <v>5056</v>
      </c>
      <c r="E2047" s="14" t="s">
        <v>5066</v>
      </c>
      <c r="F2047" s="21">
        <v>1518.46</v>
      </c>
      <c r="G2047" s="14">
        <v>734</v>
      </c>
      <c r="H2047" s="14">
        <v>1</v>
      </c>
      <c r="I2047" s="14">
        <v>28</v>
      </c>
      <c r="J2047" s="22">
        <v>0.73298072089836697</v>
      </c>
      <c r="K2047" s="22">
        <v>0.26701927910163298</v>
      </c>
      <c r="L2047" s="14">
        <v>0</v>
      </c>
    </row>
    <row r="2048" spans="1:12" x14ac:dyDescent="0.25">
      <c r="A2048" s="13" t="s">
        <v>6295</v>
      </c>
      <c r="B2048" s="14" t="s">
        <v>5325</v>
      </c>
      <c r="C2048" s="14" t="s">
        <v>5654</v>
      </c>
      <c r="D2048" s="14" t="s">
        <v>5056</v>
      </c>
      <c r="E2048" s="14" t="s">
        <v>5068</v>
      </c>
      <c r="F2048" s="21">
        <v>1566.89</v>
      </c>
      <c r="G2048" s="14">
        <v>786</v>
      </c>
      <c r="H2048" s="14">
        <v>1</v>
      </c>
      <c r="I2048" s="14" t="s">
        <v>6314</v>
      </c>
      <c r="J2048" s="22">
        <v>0.25044397664478302</v>
      </c>
      <c r="K2048" s="22">
        <v>0.74955602335521698</v>
      </c>
      <c r="L2048" s="14">
        <v>0</v>
      </c>
    </row>
    <row r="2049" spans="1:12" x14ac:dyDescent="0.25">
      <c r="A2049" s="13" t="s">
        <v>7408</v>
      </c>
      <c r="B2049" s="14" t="s">
        <v>5404</v>
      </c>
      <c r="C2049" s="14" t="s">
        <v>5663</v>
      </c>
      <c r="D2049" s="14" t="s">
        <v>5070</v>
      </c>
      <c r="E2049" s="14" t="s">
        <v>5071</v>
      </c>
      <c r="F2049" s="21">
        <v>797.88</v>
      </c>
      <c r="G2049" s="14">
        <v>443</v>
      </c>
      <c r="H2049" s="14">
        <v>1</v>
      </c>
      <c r="I2049" s="14">
        <v>22</v>
      </c>
      <c r="J2049" s="22">
        <v>0.70754583090518897</v>
      </c>
      <c r="K2049" s="22">
        <v>0.29245416909481098</v>
      </c>
      <c r="L2049" s="14">
        <v>0</v>
      </c>
    </row>
    <row r="2050" spans="1:12" x14ac:dyDescent="0.25">
      <c r="A2050" s="13" t="s">
        <v>5072</v>
      </c>
      <c r="B2050" s="14" t="s">
        <v>191</v>
      </c>
      <c r="C2050" s="14" t="s">
        <v>5669</v>
      </c>
      <c r="D2050" s="14" t="s">
        <v>5073</v>
      </c>
      <c r="E2050" s="14" t="s">
        <v>5074</v>
      </c>
      <c r="F2050" s="21">
        <v>2025.65</v>
      </c>
      <c r="G2050" s="14">
        <v>296</v>
      </c>
      <c r="H2050" s="14">
        <v>0</v>
      </c>
      <c r="I2050" s="14">
        <v>13</v>
      </c>
      <c r="J2050" s="22">
        <v>0.87948704622895602</v>
      </c>
      <c r="K2050" s="22">
        <v>0.120512953771044</v>
      </c>
      <c r="L2050" s="14">
        <v>0</v>
      </c>
    </row>
    <row r="2051" spans="1:12" x14ac:dyDescent="0.25">
      <c r="A2051" s="13" t="s">
        <v>7409</v>
      </c>
      <c r="B2051" s="14" t="s">
        <v>110</v>
      </c>
      <c r="C2051" s="14" t="s">
        <v>5671</v>
      </c>
      <c r="D2051" s="14" t="s">
        <v>5076</v>
      </c>
      <c r="E2051" s="14" t="s">
        <v>5077</v>
      </c>
      <c r="F2051" s="21">
        <v>2040</v>
      </c>
      <c r="G2051" s="14">
        <v>288</v>
      </c>
      <c r="H2051" s="14">
        <v>1</v>
      </c>
      <c r="I2051" s="14">
        <v>14</v>
      </c>
      <c r="J2051" s="22">
        <v>0.63442539288377298</v>
      </c>
      <c r="K2051" s="22">
        <v>0.36557460711622802</v>
      </c>
      <c r="L2051" s="14">
        <v>0</v>
      </c>
    </row>
    <row r="2052" spans="1:12" ht="52.8" x14ac:dyDescent="0.25">
      <c r="A2052" s="20" t="s">
        <v>7410</v>
      </c>
      <c r="B2052" s="14" t="s">
        <v>5414</v>
      </c>
      <c r="C2052" s="14" t="s">
        <v>5672</v>
      </c>
      <c r="D2052" s="14" t="s">
        <v>5079</v>
      </c>
      <c r="E2052" s="14" t="s">
        <v>5080</v>
      </c>
      <c r="F2052" s="21">
        <v>2520</v>
      </c>
      <c r="G2052" s="14">
        <v>234</v>
      </c>
      <c r="H2052" s="14">
        <v>1</v>
      </c>
      <c r="I2052" s="14">
        <v>45</v>
      </c>
      <c r="J2052" s="22">
        <v>6.01257384516152E-3</v>
      </c>
      <c r="K2052" s="22">
        <v>0.99398742615483904</v>
      </c>
      <c r="L2052" s="14">
        <v>0</v>
      </c>
    </row>
    <row r="2053" spans="1:12" x14ac:dyDescent="0.25">
      <c r="A2053" s="13" t="s">
        <v>6296</v>
      </c>
      <c r="B2053" s="14" t="s">
        <v>2483</v>
      </c>
      <c r="C2053" s="14" t="s">
        <v>5680</v>
      </c>
      <c r="D2053" s="14" t="s">
        <v>5082</v>
      </c>
      <c r="E2053" s="14" t="s">
        <v>5083</v>
      </c>
      <c r="F2053" s="21">
        <v>1276.5999999999999</v>
      </c>
      <c r="G2053" s="14">
        <v>182</v>
      </c>
      <c r="H2053" s="14">
        <v>0</v>
      </c>
      <c r="I2053" s="14" t="s">
        <v>6314</v>
      </c>
      <c r="J2053" s="22">
        <v>0.66702176146023995</v>
      </c>
      <c r="K2053" s="22">
        <v>0.33297823853976</v>
      </c>
      <c r="L2053" s="14">
        <v>0</v>
      </c>
    </row>
    <row r="2054" spans="1:12" x14ac:dyDescent="0.25">
      <c r="A2054" s="13" t="s">
        <v>7411</v>
      </c>
      <c r="B2054" s="14" t="s">
        <v>2981</v>
      </c>
      <c r="C2054" s="14" t="s">
        <v>5681</v>
      </c>
      <c r="D2054" s="14" t="s">
        <v>5082</v>
      </c>
      <c r="E2054" s="14" t="s">
        <v>5085</v>
      </c>
      <c r="F2054" s="21">
        <v>2531.56</v>
      </c>
      <c r="G2054" s="14">
        <v>589</v>
      </c>
      <c r="H2054" s="14">
        <v>0</v>
      </c>
      <c r="I2054" s="14" t="s">
        <v>6314</v>
      </c>
      <c r="J2054" s="22">
        <v>0.79697888589321897</v>
      </c>
      <c r="K2054" s="22">
        <v>0.203021114106781</v>
      </c>
      <c r="L2054" s="14">
        <v>0</v>
      </c>
    </row>
    <row r="2055" spans="1:12" x14ac:dyDescent="0.25">
      <c r="A2055" s="13" t="s">
        <v>6298</v>
      </c>
      <c r="B2055" s="14" t="s">
        <v>5449</v>
      </c>
      <c r="C2055" s="14" t="s">
        <v>5681</v>
      </c>
      <c r="D2055" s="14" t="s">
        <v>5082</v>
      </c>
      <c r="E2055" s="14" t="s">
        <v>5086</v>
      </c>
      <c r="F2055" s="21">
        <v>1694.68</v>
      </c>
      <c r="G2055" s="14">
        <v>194</v>
      </c>
      <c r="H2055" s="14">
        <v>1</v>
      </c>
      <c r="I2055" s="14">
        <v>49</v>
      </c>
      <c r="J2055" s="22">
        <v>0.90471200320813705</v>
      </c>
      <c r="K2055" s="22">
        <v>9.5287996791863505E-2</v>
      </c>
      <c r="L2055" s="14">
        <v>0</v>
      </c>
    </row>
    <row r="2056" spans="1:12" x14ac:dyDescent="0.25">
      <c r="A2056" s="13" t="s">
        <v>5087</v>
      </c>
      <c r="B2056" s="14" t="s">
        <v>5477</v>
      </c>
      <c r="C2056" s="14" t="s">
        <v>5684</v>
      </c>
      <c r="D2056" s="14" t="s">
        <v>5088</v>
      </c>
      <c r="E2056" s="14" t="s">
        <v>5089</v>
      </c>
      <c r="F2056" s="21">
        <v>2248.94</v>
      </c>
      <c r="G2056" s="14">
        <v>822</v>
      </c>
      <c r="H2056" s="14">
        <v>0</v>
      </c>
      <c r="I2056" s="14">
        <v>37</v>
      </c>
      <c r="J2056" s="22">
        <v>0.89303225294578104</v>
      </c>
      <c r="K2056" s="22">
        <v>0.10696774705421901</v>
      </c>
      <c r="L2056" s="14">
        <v>0</v>
      </c>
    </row>
    <row r="2057" spans="1:12" x14ac:dyDescent="0.25">
      <c r="B2057" s="14" t="s">
        <v>7412</v>
      </c>
      <c r="C2057" s="14" t="s">
        <v>5685</v>
      </c>
      <c r="D2057" s="14" t="s">
        <v>5088</v>
      </c>
      <c r="E2057" s="14" t="s">
        <v>5090</v>
      </c>
      <c r="F2057" s="21">
        <v>1870.74</v>
      </c>
      <c r="G2057" s="14">
        <v>964</v>
      </c>
      <c r="H2057" s="14">
        <v>1</v>
      </c>
      <c r="I2057" s="14">
        <v>32</v>
      </c>
      <c r="J2057" s="22">
        <v>0.31209931626607601</v>
      </c>
      <c r="K2057" s="22">
        <v>0.68790068373392399</v>
      </c>
      <c r="L2057" s="14">
        <v>0</v>
      </c>
    </row>
    <row r="2058" spans="1:12" x14ac:dyDescent="0.25">
      <c r="B2058" s="14" t="s">
        <v>17</v>
      </c>
      <c r="C2058" s="14" t="s">
        <v>5687</v>
      </c>
      <c r="D2058" s="14" t="s">
        <v>5091</v>
      </c>
      <c r="E2058" s="14" t="s">
        <v>5092</v>
      </c>
      <c r="F2058" s="21">
        <v>2488.17</v>
      </c>
      <c r="G2058" s="14">
        <v>23</v>
      </c>
      <c r="H2058" s="14">
        <v>0</v>
      </c>
      <c r="I2058" s="14">
        <v>47</v>
      </c>
      <c r="J2058" s="22">
        <v>0.122859982193199</v>
      </c>
      <c r="K2058" s="22">
        <v>0.87714001780680095</v>
      </c>
      <c r="L2058" s="14">
        <v>0</v>
      </c>
    </row>
    <row r="2059" spans="1:12" x14ac:dyDescent="0.25">
      <c r="B2059" s="14" t="s">
        <v>5399</v>
      </c>
      <c r="C2059" s="14" t="s">
        <v>5399</v>
      </c>
      <c r="D2059" s="14" t="s">
        <v>5093</v>
      </c>
      <c r="E2059" s="14" t="s">
        <v>5094</v>
      </c>
      <c r="F2059" s="21">
        <v>1424.71</v>
      </c>
      <c r="H2059" s="14">
        <v>0</v>
      </c>
      <c r="I2059" s="14">
        <v>23</v>
      </c>
      <c r="J2059" s="22">
        <v>0.52063465241863904</v>
      </c>
      <c r="K2059" s="22">
        <v>0.47936534758136101</v>
      </c>
      <c r="L2059" s="14">
        <v>0</v>
      </c>
    </row>
    <row r="2060" spans="1:12" x14ac:dyDescent="0.25">
      <c r="A2060" s="13" t="s">
        <v>5095</v>
      </c>
      <c r="B2060" s="14" t="s">
        <v>17</v>
      </c>
      <c r="C2060" s="14" t="s">
        <v>5696</v>
      </c>
      <c r="D2060" s="14" t="s">
        <v>5096</v>
      </c>
      <c r="E2060" s="14" t="s">
        <v>5097</v>
      </c>
      <c r="F2060" s="21">
        <v>4320</v>
      </c>
      <c r="G2060" s="14">
        <v>115</v>
      </c>
      <c r="H2060" s="14">
        <v>1</v>
      </c>
      <c r="I2060" s="14" t="s">
        <v>6314</v>
      </c>
      <c r="J2060" s="22">
        <v>0.72563565665334195</v>
      </c>
      <c r="K2060" s="22">
        <v>0.27436434334665799</v>
      </c>
      <c r="L2060" s="14">
        <v>0</v>
      </c>
    </row>
    <row r="2061" spans="1:12" x14ac:dyDescent="0.25">
      <c r="B2061" s="14" t="s">
        <v>17</v>
      </c>
      <c r="C2061" s="14" t="s">
        <v>5696</v>
      </c>
      <c r="D2061" s="14" t="s">
        <v>5096</v>
      </c>
      <c r="E2061" s="14" t="s">
        <v>5098</v>
      </c>
      <c r="F2061" s="21">
        <v>4554.01</v>
      </c>
      <c r="G2061" s="14">
        <v>131</v>
      </c>
      <c r="H2061" s="14">
        <v>1</v>
      </c>
      <c r="I2061" s="14">
        <v>32</v>
      </c>
      <c r="J2061" s="22">
        <v>0.61670055203303098</v>
      </c>
      <c r="K2061" s="22">
        <v>0.38329944796697002</v>
      </c>
      <c r="L2061" s="14">
        <v>0</v>
      </c>
    </row>
    <row r="2062" spans="1:12" ht="39.6" x14ac:dyDescent="0.25">
      <c r="A2062" s="20" t="s">
        <v>7413</v>
      </c>
      <c r="B2062" s="14" t="s">
        <v>17</v>
      </c>
      <c r="C2062" s="14" t="s">
        <v>5696</v>
      </c>
      <c r="D2062" s="14" t="s">
        <v>5096</v>
      </c>
      <c r="E2062" s="14" t="s">
        <v>5100</v>
      </c>
      <c r="F2062" s="21">
        <v>4800</v>
      </c>
      <c r="G2062" s="14">
        <v>703</v>
      </c>
      <c r="H2062" s="14">
        <v>1</v>
      </c>
      <c r="I2062" s="14">
        <v>24</v>
      </c>
      <c r="J2062" s="22">
        <v>0.94565260898454295</v>
      </c>
      <c r="K2062" s="22">
        <v>5.4347391015456603E-2</v>
      </c>
      <c r="L2062" s="14">
        <v>0</v>
      </c>
    </row>
    <row r="2063" spans="1:12" x14ac:dyDescent="0.25">
      <c r="B2063" s="14" t="s">
        <v>17</v>
      </c>
      <c r="C2063" s="14" t="s">
        <v>5698</v>
      </c>
      <c r="D2063" s="14" t="s">
        <v>5102</v>
      </c>
      <c r="E2063" s="14" t="s">
        <v>5103</v>
      </c>
      <c r="F2063" s="21">
        <v>4320</v>
      </c>
      <c r="G2063" s="14">
        <v>526</v>
      </c>
      <c r="H2063" s="14">
        <v>0</v>
      </c>
      <c r="I2063" s="14">
        <v>5</v>
      </c>
      <c r="J2063" s="22">
        <v>0.14772829170014101</v>
      </c>
      <c r="K2063" s="22">
        <v>0.85227170829985899</v>
      </c>
      <c r="L2063" s="14">
        <v>0</v>
      </c>
    </row>
    <row r="2064" spans="1:12" x14ac:dyDescent="0.25">
      <c r="A2064" s="13" t="s">
        <v>7414</v>
      </c>
      <c r="B2064" s="14" t="s">
        <v>17</v>
      </c>
      <c r="C2064" s="14" t="s">
        <v>5698</v>
      </c>
      <c r="D2064" s="14" t="s">
        <v>5102</v>
      </c>
      <c r="E2064" s="14" t="s">
        <v>5105</v>
      </c>
      <c r="F2064" s="21">
        <v>5760</v>
      </c>
      <c r="G2064" s="14">
        <v>465</v>
      </c>
      <c r="H2064" s="14">
        <v>0</v>
      </c>
      <c r="I2064" s="14">
        <v>21</v>
      </c>
      <c r="J2064" s="22">
        <v>0.397801094628496</v>
      </c>
      <c r="K2064" s="22">
        <v>0.602198905371504</v>
      </c>
      <c r="L2064" s="14">
        <v>0</v>
      </c>
    </row>
    <row r="2065" spans="1:12" x14ac:dyDescent="0.25">
      <c r="A2065" s="13" t="s">
        <v>7415</v>
      </c>
      <c r="B2065" s="14" t="s">
        <v>17</v>
      </c>
      <c r="C2065" s="14" t="s">
        <v>5798</v>
      </c>
      <c r="D2065" s="14" t="s">
        <v>5021</v>
      </c>
      <c r="E2065" s="14" t="s">
        <v>5107</v>
      </c>
      <c r="F2065" s="21">
        <v>2480.06</v>
      </c>
      <c r="G2065" s="14">
        <v>755</v>
      </c>
      <c r="H2065" s="14">
        <v>0</v>
      </c>
      <c r="I2065" s="14">
        <v>39</v>
      </c>
      <c r="J2065" s="22">
        <v>0.981478096520503</v>
      </c>
      <c r="K2065" s="22">
        <v>1.8521903479497101E-2</v>
      </c>
      <c r="L2065" s="14">
        <v>0</v>
      </c>
    </row>
    <row r="2066" spans="1:12" x14ac:dyDescent="0.25">
      <c r="A2066" s="13" t="s">
        <v>7416</v>
      </c>
      <c r="B2066" s="14" t="s">
        <v>5109</v>
      </c>
      <c r="C2066" s="14" t="s">
        <v>5110</v>
      </c>
      <c r="D2066" s="14" t="s">
        <v>5111</v>
      </c>
      <c r="E2066" s="14" t="s">
        <v>5112</v>
      </c>
      <c r="F2066" s="21">
        <v>543.29</v>
      </c>
      <c r="G2066" s="14">
        <v>49</v>
      </c>
      <c r="H2066" s="14">
        <v>0</v>
      </c>
      <c r="I2066" s="14">
        <v>28</v>
      </c>
      <c r="J2066" s="22">
        <v>0.49591936680174398</v>
      </c>
      <c r="K2066" s="22">
        <v>0.50408063319825602</v>
      </c>
      <c r="L2066" s="14">
        <v>0</v>
      </c>
    </row>
    <row r="2067" spans="1:12" ht="39.6" x14ac:dyDescent="0.25">
      <c r="A2067" s="20" t="s">
        <v>7417</v>
      </c>
      <c r="B2067" s="14" t="s">
        <v>5349</v>
      </c>
      <c r="C2067" s="14" t="s">
        <v>5114</v>
      </c>
      <c r="D2067" s="14" t="s">
        <v>5115</v>
      </c>
      <c r="E2067" s="14" t="s">
        <v>5116</v>
      </c>
      <c r="F2067" s="21">
        <v>2040</v>
      </c>
      <c r="G2067" s="14">
        <v>772</v>
      </c>
      <c r="H2067" s="14">
        <v>0</v>
      </c>
      <c r="I2067" s="14">
        <v>7</v>
      </c>
      <c r="J2067" s="22">
        <v>0.82645792315019795</v>
      </c>
      <c r="K2067" s="22">
        <v>0.173542076849802</v>
      </c>
      <c r="L2067" s="14">
        <v>0</v>
      </c>
    </row>
    <row r="2068" spans="1:12" ht="26.4" x14ac:dyDescent="0.25">
      <c r="A2068" s="20" t="s">
        <v>7418</v>
      </c>
      <c r="B2068" s="14" t="s">
        <v>5349</v>
      </c>
      <c r="C2068" s="14" t="s">
        <v>5114</v>
      </c>
      <c r="D2068" s="14" t="s">
        <v>5115</v>
      </c>
      <c r="E2068" s="14" t="s">
        <v>5118</v>
      </c>
      <c r="F2068" s="21">
        <v>2040</v>
      </c>
      <c r="G2068" s="14">
        <v>462</v>
      </c>
      <c r="H2068" s="14">
        <v>0</v>
      </c>
      <c r="I2068" s="14" t="s">
        <v>6314</v>
      </c>
      <c r="J2068" s="22">
        <v>0.59684325853723497</v>
      </c>
      <c r="K2068" s="22">
        <v>0.40315674146276498</v>
      </c>
      <c r="L2068" s="14">
        <v>0</v>
      </c>
    </row>
    <row r="2069" spans="1:12" x14ac:dyDescent="0.25">
      <c r="A2069" s="13" t="s">
        <v>7419</v>
      </c>
      <c r="B2069" s="14" t="s">
        <v>5353</v>
      </c>
      <c r="C2069" s="14" t="s">
        <v>5792</v>
      </c>
      <c r="D2069" s="14" t="s">
        <v>5120</v>
      </c>
      <c r="E2069" s="14" t="s">
        <v>7420</v>
      </c>
      <c r="F2069" s="21">
        <v>2340</v>
      </c>
      <c r="G2069" s="14">
        <v>502</v>
      </c>
      <c r="H2069" s="14">
        <v>1</v>
      </c>
      <c r="I2069" s="14" t="s">
        <v>6314</v>
      </c>
      <c r="J2069" s="22">
        <v>0.27832597304122098</v>
      </c>
      <c r="K2069" s="22">
        <v>0.72167402695877902</v>
      </c>
      <c r="L2069" s="14">
        <v>0</v>
      </c>
    </row>
    <row r="2070" spans="1:12" x14ac:dyDescent="0.25">
      <c r="A2070" s="13" t="s">
        <v>5122</v>
      </c>
      <c r="B2070" s="14" t="s">
        <v>17</v>
      </c>
      <c r="C2070" s="14" t="s">
        <v>5123</v>
      </c>
      <c r="D2070" s="14" t="s">
        <v>5124</v>
      </c>
      <c r="E2070" s="14" t="s">
        <v>7421</v>
      </c>
      <c r="F2070" s="21">
        <v>2863.73</v>
      </c>
      <c r="G2070" s="14">
        <v>468</v>
      </c>
      <c r="H2070" s="14">
        <v>0</v>
      </c>
      <c r="I2070" s="14">
        <v>19</v>
      </c>
      <c r="J2070" s="22">
        <v>0.77483466592031502</v>
      </c>
      <c r="K2070" s="22">
        <v>0.225165334079685</v>
      </c>
      <c r="L2070" s="14">
        <v>0</v>
      </c>
    </row>
    <row r="2071" spans="1:12" ht="26.4" x14ac:dyDescent="0.25">
      <c r="A2071" s="20" t="s">
        <v>7422</v>
      </c>
      <c r="B2071" s="14" t="s">
        <v>343</v>
      </c>
      <c r="C2071" s="14" t="s">
        <v>5793</v>
      </c>
      <c r="D2071" s="14" t="s">
        <v>5128</v>
      </c>
      <c r="E2071" s="14" t="s">
        <v>5129</v>
      </c>
      <c r="F2071" s="21">
        <v>1741.32</v>
      </c>
      <c r="G2071" s="14">
        <v>1</v>
      </c>
      <c r="H2071" s="14">
        <v>0</v>
      </c>
      <c r="I2071" s="14">
        <v>17</v>
      </c>
      <c r="J2071" s="22">
        <v>0.87606991479739504</v>
      </c>
      <c r="K2071" s="22">
        <v>0.123930085202605</v>
      </c>
      <c r="L2071" s="14">
        <v>0</v>
      </c>
    </row>
    <row r="2072" spans="1:12" x14ac:dyDescent="0.25">
      <c r="A2072" s="13" t="s">
        <v>7423</v>
      </c>
      <c r="B2072" s="14" t="s">
        <v>5481</v>
      </c>
      <c r="C2072" s="14" t="s">
        <v>5131</v>
      </c>
      <c r="D2072" s="14" t="s">
        <v>5132</v>
      </c>
      <c r="E2072" s="14" t="s">
        <v>5133</v>
      </c>
      <c r="F2072" s="21">
        <v>1982.81</v>
      </c>
      <c r="G2072" s="14">
        <v>267</v>
      </c>
      <c r="H2072" s="14">
        <v>1</v>
      </c>
      <c r="I2072" s="14">
        <v>12</v>
      </c>
      <c r="J2072" s="22">
        <v>0.70837242252759003</v>
      </c>
      <c r="K2072" s="22">
        <v>0.29162757747241003</v>
      </c>
      <c r="L2072" s="14">
        <v>0</v>
      </c>
    </row>
    <row r="2073" spans="1:12" x14ac:dyDescent="0.25">
      <c r="A2073" s="13" t="s">
        <v>7424</v>
      </c>
      <c r="B2073" s="14" t="s">
        <v>86</v>
      </c>
      <c r="C2073" s="14" t="s">
        <v>5131</v>
      </c>
      <c r="D2073" s="14" t="s">
        <v>5132</v>
      </c>
      <c r="E2073" s="14" t="s">
        <v>5135</v>
      </c>
      <c r="F2073" s="21">
        <v>1500</v>
      </c>
      <c r="G2073" s="14">
        <v>338</v>
      </c>
      <c r="H2073" s="14">
        <v>1</v>
      </c>
      <c r="I2073" s="14">
        <v>40</v>
      </c>
      <c r="J2073" s="22">
        <v>0.211861911756141</v>
      </c>
      <c r="K2073" s="22">
        <v>0.788138088243859</v>
      </c>
      <c r="L2073" s="14">
        <v>0</v>
      </c>
    </row>
    <row r="2074" spans="1:12" x14ac:dyDescent="0.25">
      <c r="B2074" s="14" t="s">
        <v>6348</v>
      </c>
      <c r="C2074" s="14" t="s">
        <v>5131</v>
      </c>
      <c r="D2074" s="14" t="s">
        <v>5132</v>
      </c>
      <c r="E2074" s="14" t="s">
        <v>5136</v>
      </c>
      <c r="F2074" s="21">
        <v>2368.66</v>
      </c>
      <c r="G2074" s="14">
        <v>478</v>
      </c>
      <c r="H2074" s="14">
        <v>0</v>
      </c>
      <c r="I2074" s="14">
        <v>9</v>
      </c>
      <c r="J2074" s="22">
        <v>0.35355190440001699</v>
      </c>
      <c r="K2074" s="22">
        <v>0.64644809559998295</v>
      </c>
      <c r="L2074" s="14">
        <v>0</v>
      </c>
    </row>
    <row r="2075" spans="1:12" x14ac:dyDescent="0.25">
      <c r="A2075" s="13" t="s">
        <v>6300</v>
      </c>
      <c r="B2075" s="14" t="s">
        <v>5486</v>
      </c>
      <c r="C2075" s="14" t="s">
        <v>5131</v>
      </c>
      <c r="D2075" s="14" t="s">
        <v>5132</v>
      </c>
      <c r="E2075" s="14" t="s">
        <v>5138</v>
      </c>
      <c r="F2075" s="21">
        <v>2307.69</v>
      </c>
      <c r="G2075" s="14">
        <v>663</v>
      </c>
      <c r="H2075" s="14">
        <v>1</v>
      </c>
      <c r="I2075" s="14" t="s">
        <v>6314</v>
      </c>
      <c r="J2075" s="22">
        <v>0.16455322712686099</v>
      </c>
      <c r="K2075" s="22">
        <v>0.83544677287313895</v>
      </c>
      <c r="L2075" s="14">
        <v>0</v>
      </c>
    </row>
    <row r="2076" spans="1:12" x14ac:dyDescent="0.25">
      <c r="A2076" s="13" t="s">
        <v>7425</v>
      </c>
      <c r="B2076" s="14" t="s">
        <v>5493</v>
      </c>
      <c r="C2076" s="14" t="s">
        <v>5131</v>
      </c>
      <c r="D2076" s="14" t="s">
        <v>5132</v>
      </c>
      <c r="E2076" s="14" t="s">
        <v>5140</v>
      </c>
      <c r="F2076" s="21">
        <v>2239.2199999999998</v>
      </c>
      <c r="H2076" s="14">
        <v>1</v>
      </c>
      <c r="I2076" s="14">
        <v>5</v>
      </c>
      <c r="J2076" s="22">
        <v>0.74229272942850799</v>
      </c>
      <c r="K2076" s="22">
        <v>0.25770727057149201</v>
      </c>
      <c r="L2076" s="14">
        <v>0</v>
      </c>
    </row>
    <row r="2077" spans="1:12" x14ac:dyDescent="0.25">
      <c r="A2077" s="13" t="s">
        <v>7426</v>
      </c>
      <c r="B2077" s="14" t="s">
        <v>5493</v>
      </c>
      <c r="C2077" s="14" t="s">
        <v>5131</v>
      </c>
      <c r="D2077" s="14" t="s">
        <v>5132</v>
      </c>
      <c r="E2077" s="14" t="s">
        <v>5141</v>
      </c>
      <c r="F2077" s="21">
        <v>2377.65</v>
      </c>
      <c r="G2077" s="14">
        <v>636</v>
      </c>
      <c r="H2077" s="14">
        <v>1</v>
      </c>
      <c r="I2077" s="14">
        <v>49</v>
      </c>
      <c r="J2077" s="22">
        <v>0.85229629727544398</v>
      </c>
      <c r="K2077" s="22">
        <v>0.14770370272455599</v>
      </c>
      <c r="L2077" s="14">
        <v>0</v>
      </c>
    </row>
    <row r="2078" spans="1:12" x14ac:dyDescent="0.25">
      <c r="A2078" s="13" t="s">
        <v>5142</v>
      </c>
      <c r="B2078" s="14" t="s">
        <v>17</v>
      </c>
      <c r="C2078" s="14" t="s">
        <v>5143</v>
      </c>
      <c r="D2078" s="14" t="s">
        <v>5144</v>
      </c>
      <c r="E2078" s="14" t="s">
        <v>5145</v>
      </c>
      <c r="F2078" s="21">
        <v>1524.08</v>
      </c>
      <c r="G2078" s="14">
        <v>217</v>
      </c>
      <c r="H2078" s="14">
        <v>1</v>
      </c>
      <c r="I2078" s="14" t="s">
        <v>6314</v>
      </c>
      <c r="J2078" s="22">
        <v>7.7762183272998803E-2</v>
      </c>
      <c r="K2078" s="22">
        <v>0.922237816727001</v>
      </c>
      <c r="L2078" s="14">
        <v>0</v>
      </c>
    </row>
    <row r="2079" spans="1:12" x14ac:dyDescent="0.25">
      <c r="A2079" s="13" t="s">
        <v>5146</v>
      </c>
      <c r="B2079" s="14" t="s">
        <v>607</v>
      </c>
      <c r="C2079" s="14" t="s">
        <v>5147</v>
      </c>
      <c r="D2079" s="14" t="s">
        <v>5148</v>
      </c>
      <c r="E2079" s="14" t="s">
        <v>5149</v>
      </c>
      <c r="F2079" s="21">
        <v>2880</v>
      </c>
      <c r="G2079" s="14">
        <v>419</v>
      </c>
      <c r="H2079" s="14">
        <v>1</v>
      </c>
      <c r="I2079" s="14" t="s">
        <v>6314</v>
      </c>
      <c r="J2079" s="22">
        <v>0.65662615880425301</v>
      </c>
      <c r="K2079" s="22">
        <v>0.34337384119574699</v>
      </c>
      <c r="L2079" s="14">
        <v>0</v>
      </c>
    </row>
    <row r="2080" spans="1:12" x14ac:dyDescent="0.25">
      <c r="A2080" s="13" t="s">
        <v>7427</v>
      </c>
      <c r="B2080" s="14" t="s">
        <v>607</v>
      </c>
      <c r="C2080" s="14" t="s">
        <v>5147</v>
      </c>
      <c r="D2080" s="14" t="s">
        <v>5148</v>
      </c>
      <c r="E2080" s="14" t="s">
        <v>5151</v>
      </c>
      <c r="F2080" s="21">
        <v>2880</v>
      </c>
      <c r="G2080" s="14">
        <v>923</v>
      </c>
      <c r="H2080" s="14">
        <v>1</v>
      </c>
      <c r="I2080" s="14">
        <v>50</v>
      </c>
      <c r="J2080" s="22">
        <v>4.8708999548634502E-2</v>
      </c>
      <c r="K2080" s="22">
        <v>0.95129100045136605</v>
      </c>
      <c r="L2080" s="14">
        <v>0</v>
      </c>
    </row>
    <row r="2081" spans="1:12" x14ac:dyDescent="0.25">
      <c r="A2081" s="13" t="s">
        <v>5863</v>
      </c>
      <c r="B2081" s="14" t="s">
        <v>17</v>
      </c>
      <c r="C2081" s="14" t="s">
        <v>5794</v>
      </c>
      <c r="D2081" s="14" t="s">
        <v>5153</v>
      </c>
      <c r="E2081" s="14" t="s">
        <v>5154</v>
      </c>
      <c r="F2081" s="21">
        <v>2340.63</v>
      </c>
      <c r="G2081" s="14">
        <v>554</v>
      </c>
      <c r="H2081" s="14">
        <v>0</v>
      </c>
      <c r="I2081" s="14">
        <v>10</v>
      </c>
      <c r="J2081" s="22">
        <v>0.62268540444439302</v>
      </c>
      <c r="K2081" s="22">
        <v>0.37731459555560698</v>
      </c>
      <c r="L2081" s="14">
        <v>0</v>
      </c>
    </row>
    <row r="2082" spans="1:12" x14ac:dyDescent="0.25">
      <c r="A2082" s="13" t="s">
        <v>7428</v>
      </c>
      <c r="B2082" s="14" t="s">
        <v>17</v>
      </c>
      <c r="C2082" s="14" t="s">
        <v>5156</v>
      </c>
      <c r="D2082" s="14" t="s">
        <v>5157</v>
      </c>
      <c r="E2082" s="14" t="s">
        <v>5158</v>
      </c>
      <c r="F2082" s="21">
        <v>2368.11</v>
      </c>
      <c r="G2082" s="14">
        <v>705</v>
      </c>
      <c r="H2082" s="14">
        <v>1</v>
      </c>
      <c r="I2082" s="14">
        <v>41</v>
      </c>
      <c r="J2082" s="22">
        <v>0.84413087790765096</v>
      </c>
      <c r="K2082" s="22">
        <v>0.15586912209234899</v>
      </c>
      <c r="L2082" s="14">
        <v>0</v>
      </c>
    </row>
    <row r="2083" spans="1:12" x14ac:dyDescent="0.25">
      <c r="A2083" s="13" t="s">
        <v>5159</v>
      </c>
      <c r="B2083" s="14" t="s">
        <v>17</v>
      </c>
      <c r="C2083" s="14" t="s">
        <v>5156</v>
      </c>
      <c r="D2083" s="14" t="s">
        <v>5157</v>
      </c>
      <c r="E2083" s="14" t="s">
        <v>5160</v>
      </c>
      <c r="F2083" s="21">
        <v>2373.7600000000002</v>
      </c>
      <c r="G2083" s="14">
        <v>891</v>
      </c>
      <c r="H2083" s="14">
        <v>0</v>
      </c>
      <c r="I2083" s="14">
        <v>3</v>
      </c>
      <c r="J2083" s="22">
        <v>0.77075894113810495</v>
      </c>
      <c r="K2083" s="22">
        <v>0.229241058861895</v>
      </c>
      <c r="L2083" s="14">
        <v>0</v>
      </c>
    </row>
    <row r="2084" spans="1:12" x14ac:dyDescent="0.25">
      <c r="A2084" s="13" t="s">
        <v>5161</v>
      </c>
      <c r="B2084" s="14" t="s">
        <v>17</v>
      </c>
      <c r="C2084" s="14" t="s">
        <v>5162</v>
      </c>
      <c r="D2084" s="14" t="s">
        <v>5163</v>
      </c>
      <c r="E2084" s="14" t="s">
        <v>5164</v>
      </c>
      <c r="F2084" s="21">
        <v>2291.33</v>
      </c>
      <c r="G2084" s="14">
        <v>305</v>
      </c>
      <c r="H2084" s="14">
        <v>1</v>
      </c>
      <c r="I2084" s="14">
        <v>34</v>
      </c>
      <c r="J2084" s="22">
        <v>0.30778405139852499</v>
      </c>
      <c r="K2084" s="22">
        <v>0.69221594860147495</v>
      </c>
      <c r="L2084" s="14">
        <v>0</v>
      </c>
    </row>
    <row r="2085" spans="1:12" x14ac:dyDescent="0.25">
      <c r="A2085" s="13" t="s">
        <v>7429</v>
      </c>
      <c r="B2085" s="14" t="s">
        <v>17</v>
      </c>
      <c r="C2085" s="14" t="s">
        <v>5166</v>
      </c>
      <c r="D2085" s="14" t="s">
        <v>5167</v>
      </c>
      <c r="E2085" s="14" t="s">
        <v>5168</v>
      </c>
      <c r="F2085" s="21">
        <v>2248.33</v>
      </c>
      <c r="G2085" s="14">
        <v>99</v>
      </c>
      <c r="H2085" s="14">
        <v>0</v>
      </c>
      <c r="I2085" s="14">
        <v>21</v>
      </c>
      <c r="J2085" s="22">
        <v>0.85083413222909399</v>
      </c>
      <c r="K2085" s="22">
        <v>0.14916586777090601</v>
      </c>
      <c r="L2085" s="14">
        <v>0</v>
      </c>
    </row>
    <row r="2086" spans="1:12" x14ac:dyDescent="0.25">
      <c r="A2086" s="13" t="s">
        <v>7430</v>
      </c>
      <c r="B2086" s="14" t="s">
        <v>17</v>
      </c>
      <c r="C2086" s="14" t="s">
        <v>5795</v>
      </c>
      <c r="D2086" s="14" t="s">
        <v>5171</v>
      </c>
      <c r="E2086" s="14" t="s">
        <v>5172</v>
      </c>
      <c r="F2086" s="21">
        <v>2402.81</v>
      </c>
      <c r="G2086" s="14">
        <v>128</v>
      </c>
      <c r="H2086" s="14">
        <v>0</v>
      </c>
      <c r="I2086" s="14">
        <v>48</v>
      </c>
      <c r="J2086" s="22">
        <v>0.48036445228969998</v>
      </c>
      <c r="K2086" s="22">
        <v>0.51963554771029996</v>
      </c>
      <c r="L2086" s="14">
        <v>0</v>
      </c>
    </row>
    <row r="2087" spans="1:12" x14ac:dyDescent="0.25">
      <c r="B2087" s="14" t="s">
        <v>17</v>
      </c>
      <c r="C2087" s="14" t="s">
        <v>5170</v>
      </c>
      <c r="D2087" s="14" t="s">
        <v>5171</v>
      </c>
      <c r="E2087" s="14" t="s">
        <v>5173</v>
      </c>
      <c r="F2087" s="21">
        <v>2404.4</v>
      </c>
      <c r="G2087" s="14">
        <v>305</v>
      </c>
      <c r="H2087" s="14">
        <v>1</v>
      </c>
      <c r="I2087" s="14">
        <v>20</v>
      </c>
      <c r="J2087" s="22">
        <v>0.75385752336968903</v>
      </c>
      <c r="K2087" s="22">
        <v>0.246142476630311</v>
      </c>
      <c r="L2087" s="14">
        <v>0</v>
      </c>
    </row>
    <row r="2088" spans="1:12" x14ac:dyDescent="0.25">
      <c r="A2088" s="13" t="s">
        <v>5920</v>
      </c>
      <c r="B2088" s="14" t="s">
        <v>17</v>
      </c>
      <c r="C2088" s="14" t="s">
        <v>5170</v>
      </c>
      <c r="D2088" s="14" t="s">
        <v>5171</v>
      </c>
      <c r="E2088" s="14" t="s">
        <v>5174</v>
      </c>
      <c r="F2088" s="21">
        <v>2426.96</v>
      </c>
      <c r="G2088" s="14">
        <v>354</v>
      </c>
      <c r="H2088" s="14">
        <v>0</v>
      </c>
      <c r="I2088" s="14">
        <v>18</v>
      </c>
      <c r="J2088" s="22">
        <v>0.71007819411994</v>
      </c>
      <c r="K2088" s="22">
        <v>0.28992180588006</v>
      </c>
      <c r="L2088" s="14">
        <v>0</v>
      </c>
    </row>
    <row r="2089" spans="1:12" x14ac:dyDescent="0.25">
      <c r="B2089" s="14" t="s">
        <v>17</v>
      </c>
      <c r="C2089" s="14" t="s">
        <v>5175</v>
      </c>
      <c r="E2089" s="14" t="s">
        <v>5176</v>
      </c>
      <c r="F2089" s="21">
        <v>2004.74</v>
      </c>
      <c r="G2089" s="14">
        <v>299</v>
      </c>
      <c r="H2089" s="14">
        <v>0</v>
      </c>
      <c r="I2089" s="14">
        <v>29</v>
      </c>
      <c r="J2089" s="22">
        <v>0.87370652681870298</v>
      </c>
      <c r="K2089" s="22">
        <v>0.12629347318129799</v>
      </c>
      <c r="L2089" s="14">
        <v>0</v>
      </c>
    </row>
    <row r="2090" spans="1:12" x14ac:dyDescent="0.25">
      <c r="B2090" s="14" t="s">
        <v>17</v>
      </c>
      <c r="C2090" s="14" t="s">
        <v>5175</v>
      </c>
      <c r="E2090" s="14" t="s">
        <v>5177</v>
      </c>
      <c r="F2090" s="21">
        <v>2306.7800000000002</v>
      </c>
      <c r="G2090" s="14">
        <v>44</v>
      </c>
      <c r="H2090" s="14">
        <v>0</v>
      </c>
      <c r="I2090" s="14">
        <v>47</v>
      </c>
      <c r="J2090" s="22">
        <v>0.102483476157387</v>
      </c>
      <c r="K2090" s="22">
        <v>0.89751652384261305</v>
      </c>
      <c r="L2090" s="14">
        <v>0</v>
      </c>
    </row>
    <row r="2091" spans="1:12" x14ac:dyDescent="0.25">
      <c r="B2091" s="14" t="s">
        <v>17</v>
      </c>
      <c r="C2091" s="14" t="s">
        <v>5175</v>
      </c>
      <c r="E2091" s="14" t="s">
        <v>5178</v>
      </c>
      <c r="F2091" s="21">
        <v>2422.87</v>
      </c>
      <c r="G2091" s="14">
        <v>643</v>
      </c>
      <c r="H2091" s="14">
        <v>0</v>
      </c>
      <c r="I2091" s="14">
        <v>7</v>
      </c>
      <c r="J2091" s="22">
        <v>0.44672361816696599</v>
      </c>
      <c r="K2091" s="22">
        <v>0.55327638183303396</v>
      </c>
      <c r="L2091" s="14">
        <v>0</v>
      </c>
    </row>
    <row r="2092" spans="1:12" x14ac:dyDescent="0.25">
      <c r="B2092" s="14" t="s">
        <v>17</v>
      </c>
      <c r="C2092" s="14" t="s">
        <v>5175</v>
      </c>
      <c r="E2092" s="14" t="s">
        <v>5179</v>
      </c>
      <c r="F2092" s="21">
        <v>2461.44</v>
      </c>
      <c r="H2092" s="14">
        <v>1</v>
      </c>
      <c r="I2092" s="14">
        <v>18</v>
      </c>
      <c r="J2092" s="22">
        <v>0.35108277701996798</v>
      </c>
      <c r="K2092" s="22">
        <v>0.64891722298003296</v>
      </c>
      <c r="L2092" s="14">
        <v>0</v>
      </c>
    </row>
    <row r="2093" spans="1:12" x14ac:dyDescent="0.25">
      <c r="A2093" s="13" t="s">
        <v>5180</v>
      </c>
      <c r="B2093" s="14" t="s">
        <v>5345</v>
      </c>
      <c r="C2093" s="14" t="s">
        <v>5181</v>
      </c>
      <c r="D2093" s="14" t="s">
        <v>5182</v>
      </c>
      <c r="E2093" s="14" t="s">
        <v>5183</v>
      </c>
      <c r="F2093" s="21">
        <v>1130.4000000000001</v>
      </c>
      <c r="G2093" s="14">
        <v>784</v>
      </c>
      <c r="H2093" s="14">
        <v>1</v>
      </c>
      <c r="I2093" s="14">
        <v>43</v>
      </c>
      <c r="J2093" s="22">
        <v>0.962094491986489</v>
      </c>
      <c r="K2093" s="22">
        <v>3.7905508013511002E-2</v>
      </c>
      <c r="L2093" s="14">
        <v>0</v>
      </c>
    </row>
    <row r="2094" spans="1:12" x14ac:dyDescent="0.25">
      <c r="A2094" s="13" t="s">
        <v>5184</v>
      </c>
      <c r="B2094" s="14" t="s">
        <v>5345</v>
      </c>
      <c r="C2094" s="14" t="s">
        <v>5181</v>
      </c>
      <c r="D2094" s="14" t="s">
        <v>5182</v>
      </c>
      <c r="E2094" s="14" t="s">
        <v>5185</v>
      </c>
      <c r="F2094" s="21">
        <v>1156.5</v>
      </c>
      <c r="G2094" s="14">
        <v>541</v>
      </c>
      <c r="H2094" s="14">
        <v>1</v>
      </c>
      <c r="I2094" s="14">
        <v>41</v>
      </c>
      <c r="J2094" s="22">
        <v>0.64738455948061902</v>
      </c>
      <c r="K2094" s="22">
        <v>0.35261544051938098</v>
      </c>
      <c r="L2094" s="14">
        <v>0</v>
      </c>
    </row>
    <row r="2095" spans="1:12" x14ac:dyDescent="0.25">
      <c r="A2095" s="13" t="s">
        <v>5186</v>
      </c>
      <c r="B2095" s="14" t="s">
        <v>5345</v>
      </c>
      <c r="C2095" s="14" t="s">
        <v>5181</v>
      </c>
      <c r="D2095" s="14" t="s">
        <v>5182</v>
      </c>
      <c r="E2095" s="14" t="s">
        <v>5187</v>
      </c>
      <c r="F2095" s="21">
        <v>1350</v>
      </c>
      <c r="G2095" s="14">
        <v>500</v>
      </c>
      <c r="H2095" s="14">
        <v>0</v>
      </c>
      <c r="I2095" s="14">
        <v>17</v>
      </c>
      <c r="J2095" s="22">
        <v>0.91885631815168201</v>
      </c>
      <c r="K2095" s="22">
        <v>8.1143681848317994E-2</v>
      </c>
      <c r="L2095" s="14">
        <v>0</v>
      </c>
    </row>
    <row r="2096" spans="1:12" x14ac:dyDescent="0.25">
      <c r="A2096" s="13" t="s">
        <v>7431</v>
      </c>
      <c r="B2096" s="14" t="s">
        <v>5345</v>
      </c>
      <c r="C2096" s="14" t="s">
        <v>5181</v>
      </c>
      <c r="D2096" s="14" t="s">
        <v>5182</v>
      </c>
      <c r="E2096" s="14" t="s">
        <v>5189</v>
      </c>
      <c r="F2096" s="21">
        <v>1350</v>
      </c>
      <c r="G2096" s="14">
        <v>424</v>
      </c>
      <c r="H2096" s="14">
        <v>1</v>
      </c>
      <c r="I2096" s="14">
        <v>45</v>
      </c>
      <c r="J2096" s="22">
        <v>0.77825403860627296</v>
      </c>
      <c r="K2096" s="22">
        <v>0.22174596139372801</v>
      </c>
      <c r="L2096" s="14">
        <v>0</v>
      </c>
    </row>
    <row r="2097" spans="1:12" x14ac:dyDescent="0.25">
      <c r="A2097" s="13" t="s">
        <v>7432</v>
      </c>
      <c r="B2097" s="14" t="s">
        <v>5343</v>
      </c>
      <c r="C2097" s="14" t="s">
        <v>7433</v>
      </c>
      <c r="D2097" s="14" t="s">
        <v>5182</v>
      </c>
      <c r="E2097" s="14" t="s">
        <v>7434</v>
      </c>
      <c r="F2097" s="21">
        <v>1165</v>
      </c>
      <c r="G2097" s="14">
        <v>152</v>
      </c>
      <c r="H2097" s="14">
        <v>0</v>
      </c>
      <c r="I2097" s="14">
        <v>7</v>
      </c>
      <c r="J2097" s="22">
        <v>0.39330619834228497</v>
      </c>
      <c r="K2097" s="22">
        <v>0.60669380165771603</v>
      </c>
      <c r="L2097" s="14">
        <v>0</v>
      </c>
    </row>
    <row r="2098" spans="1:12" x14ac:dyDescent="0.25">
      <c r="A2098" s="13">
        <v>22364555</v>
      </c>
      <c r="B2098" s="14" t="s">
        <v>6550</v>
      </c>
      <c r="C2098" s="14" t="s">
        <v>5797</v>
      </c>
      <c r="D2098" s="14" t="s">
        <v>5193</v>
      </c>
      <c r="E2098" s="14" t="s">
        <v>5194</v>
      </c>
      <c r="F2098" s="21">
        <v>1834.77</v>
      </c>
      <c r="G2098" s="14">
        <v>830</v>
      </c>
      <c r="H2098" s="14">
        <v>1</v>
      </c>
      <c r="I2098" s="14" t="s">
        <v>6314</v>
      </c>
      <c r="J2098" s="22">
        <v>0.47505695938704501</v>
      </c>
      <c r="K2098" s="22">
        <v>0.52494304061295505</v>
      </c>
      <c r="L2098" s="14">
        <v>0</v>
      </c>
    </row>
    <row r="2099" spans="1:12" ht="52.8" x14ac:dyDescent="0.25">
      <c r="A2099" s="20" t="s">
        <v>7435</v>
      </c>
      <c r="B2099" s="14" t="s">
        <v>69</v>
      </c>
      <c r="C2099" s="14" t="s">
        <v>5796</v>
      </c>
      <c r="D2099" s="14" t="s">
        <v>5197</v>
      </c>
      <c r="E2099" s="14" t="s">
        <v>5198</v>
      </c>
      <c r="F2099" s="21">
        <v>2054.7800000000002</v>
      </c>
      <c r="G2099" s="14">
        <v>895</v>
      </c>
      <c r="H2099" s="14">
        <v>0</v>
      </c>
      <c r="I2099" s="14">
        <v>18</v>
      </c>
      <c r="J2099" s="22">
        <v>0.194017925984455</v>
      </c>
      <c r="K2099" s="22">
        <v>0.805982074015545</v>
      </c>
      <c r="L2099" s="14">
        <v>0</v>
      </c>
    </row>
    <row r="2100" spans="1:12" x14ac:dyDescent="0.25">
      <c r="A2100" s="13" t="s">
        <v>5199</v>
      </c>
      <c r="B2100" s="14" t="s">
        <v>5481</v>
      </c>
      <c r="C2100" s="14" t="s">
        <v>5192</v>
      </c>
      <c r="D2100" s="14" t="s">
        <v>5193</v>
      </c>
      <c r="E2100" s="14" t="s">
        <v>5200</v>
      </c>
      <c r="F2100" s="21">
        <v>1530.77</v>
      </c>
      <c r="G2100" s="14">
        <v>81</v>
      </c>
      <c r="H2100" s="14">
        <v>1</v>
      </c>
      <c r="I2100" s="14">
        <v>10</v>
      </c>
      <c r="J2100" s="22">
        <v>0.75603394932069801</v>
      </c>
      <c r="K2100" s="22">
        <v>0.24396605067930199</v>
      </c>
      <c r="L2100" s="14">
        <v>0</v>
      </c>
    </row>
    <row r="2101" spans="1:12" x14ac:dyDescent="0.25">
      <c r="A2101" s="13" t="s">
        <v>5201</v>
      </c>
      <c r="B2101" s="14" t="s">
        <v>5481</v>
      </c>
      <c r="C2101" s="14" t="s">
        <v>5192</v>
      </c>
      <c r="D2101" s="14" t="s">
        <v>5193</v>
      </c>
      <c r="E2101" s="14" t="s">
        <v>5202</v>
      </c>
      <c r="F2101" s="21">
        <v>1836.92</v>
      </c>
      <c r="G2101" s="14">
        <v>400</v>
      </c>
      <c r="H2101" s="14">
        <v>0</v>
      </c>
      <c r="I2101" s="14">
        <v>32</v>
      </c>
      <c r="J2101" s="22">
        <v>0.764887557664374</v>
      </c>
      <c r="K2101" s="22">
        <v>0.235112442335626</v>
      </c>
      <c r="L2101" s="14">
        <v>0</v>
      </c>
    </row>
    <row r="2102" spans="1:12" ht="52.8" x14ac:dyDescent="0.25">
      <c r="A2102" s="13" t="s">
        <v>5203</v>
      </c>
      <c r="B2102" s="14" t="s">
        <v>86</v>
      </c>
      <c r="C2102" s="14" t="s">
        <v>5192</v>
      </c>
      <c r="D2102" s="14" t="s">
        <v>5193</v>
      </c>
      <c r="E2102" s="23" t="s">
        <v>7436</v>
      </c>
      <c r="F2102" s="21">
        <v>1870.32</v>
      </c>
      <c r="G2102" s="14">
        <v>977</v>
      </c>
      <c r="H2102" s="14">
        <v>0</v>
      </c>
      <c r="I2102" s="14">
        <v>11</v>
      </c>
      <c r="J2102" s="22">
        <v>0.294394752286121</v>
      </c>
      <c r="K2102" s="22">
        <v>0.705605247713879</v>
      </c>
      <c r="L2102" s="14">
        <v>0</v>
      </c>
    </row>
    <row r="2103" spans="1:12" x14ac:dyDescent="0.25">
      <c r="B2103" s="14" t="s">
        <v>86</v>
      </c>
      <c r="C2103" s="14" t="s">
        <v>5192</v>
      </c>
      <c r="D2103" s="14" t="s">
        <v>5193</v>
      </c>
      <c r="E2103" s="14" t="s">
        <v>5205</v>
      </c>
      <c r="F2103" s="21">
        <v>1949.32</v>
      </c>
      <c r="G2103" s="14">
        <v>788</v>
      </c>
      <c r="H2103" s="14">
        <v>1</v>
      </c>
      <c r="I2103" s="14">
        <v>48</v>
      </c>
      <c r="J2103" s="22">
        <v>0.79790708006509903</v>
      </c>
      <c r="K2103" s="22">
        <v>0.202092919934901</v>
      </c>
      <c r="L2103" s="14">
        <v>0</v>
      </c>
    </row>
    <row r="2104" spans="1:12" x14ac:dyDescent="0.25">
      <c r="A2104" s="13" t="s">
        <v>5206</v>
      </c>
      <c r="B2104" s="14" t="s">
        <v>86</v>
      </c>
      <c r="C2104" s="14" t="s">
        <v>5192</v>
      </c>
      <c r="D2104" s="14" t="s">
        <v>5193</v>
      </c>
      <c r="E2104" s="14" t="s">
        <v>5207</v>
      </c>
      <c r="F2104" s="21">
        <v>1974.72</v>
      </c>
      <c r="G2104" s="14">
        <v>485</v>
      </c>
      <c r="H2104" s="14">
        <v>0</v>
      </c>
      <c r="I2104" s="14">
        <v>6</v>
      </c>
      <c r="J2104" s="22">
        <v>0.181077391093736</v>
      </c>
      <c r="K2104" s="22">
        <v>0.818922608906264</v>
      </c>
      <c r="L2104" s="14">
        <v>0</v>
      </c>
    </row>
    <row r="2105" spans="1:12" x14ac:dyDescent="0.25">
      <c r="A2105" s="13" t="s">
        <v>5208</v>
      </c>
      <c r="B2105" s="14" t="s">
        <v>6348</v>
      </c>
      <c r="C2105" s="14" t="s">
        <v>5192</v>
      </c>
      <c r="D2105" s="14" t="s">
        <v>5193</v>
      </c>
      <c r="E2105" s="14" t="s">
        <v>5209</v>
      </c>
      <c r="F2105" s="21">
        <v>1896.93</v>
      </c>
      <c r="G2105" s="14">
        <v>111</v>
      </c>
      <c r="H2105" s="14">
        <v>1</v>
      </c>
      <c r="I2105" s="14">
        <v>29</v>
      </c>
      <c r="J2105" s="22">
        <v>0.49182510358071901</v>
      </c>
      <c r="K2105" s="22">
        <v>0.50817489641928104</v>
      </c>
      <c r="L2105" s="14">
        <v>0</v>
      </c>
    </row>
    <row r="2106" spans="1:12" ht="26.4" x14ac:dyDescent="0.25">
      <c r="A2106" s="20" t="s">
        <v>7437</v>
      </c>
      <c r="B2106" s="14" t="s">
        <v>17</v>
      </c>
      <c r="C2106" s="14" t="s">
        <v>5211</v>
      </c>
      <c r="D2106" s="14" t="s">
        <v>5212</v>
      </c>
      <c r="E2106" s="14" t="s">
        <v>5213</v>
      </c>
      <c r="F2106" s="21">
        <v>1999.94</v>
      </c>
      <c r="G2106" s="14">
        <v>999</v>
      </c>
      <c r="H2106" s="14">
        <v>0</v>
      </c>
      <c r="I2106" s="14">
        <v>20</v>
      </c>
      <c r="J2106" s="22">
        <v>3.0420576637769901E-2</v>
      </c>
      <c r="K2106" s="22">
        <v>0.96957942336223002</v>
      </c>
      <c r="L2106" s="14">
        <v>0</v>
      </c>
    </row>
    <row r="2107" spans="1:12" ht="26.4" x14ac:dyDescent="0.25">
      <c r="A2107" s="20" t="s">
        <v>7438</v>
      </c>
      <c r="B2107" s="14" t="s">
        <v>17</v>
      </c>
      <c r="C2107" s="14" t="s">
        <v>5211</v>
      </c>
      <c r="D2107" s="14" t="s">
        <v>5212</v>
      </c>
      <c r="E2107" s="14" t="s">
        <v>5215</v>
      </c>
      <c r="F2107" s="21">
        <v>2322.5700000000002</v>
      </c>
      <c r="G2107" s="14">
        <v>50</v>
      </c>
      <c r="H2107" s="14">
        <v>1</v>
      </c>
      <c r="I2107" s="14">
        <v>36</v>
      </c>
      <c r="J2107" s="22">
        <v>0.43863044250984901</v>
      </c>
      <c r="K2107" s="22">
        <v>0.56136955749015105</v>
      </c>
      <c r="L2107" s="14">
        <v>0</v>
      </c>
    </row>
    <row r="2108" spans="1:12" x14ac:dyDescent="0.25">
      <c r="B2108" s="14" t="s">
        <v>113</v>
      </c>
      <c r="C2108" s="14" t="s">
        <v>5216</v>
      </c>
      <c r="D2108" s="14" t="s">
        <v>5217</v>
      </c>
      <c r="E2108" s="14" t="s">
        <v>5218</v>
      </c>
      <c r="F2108" s="21">
        <v>2034</v>
      </c>
      <c r="G2108" s="14">
        <v>91</v>
      </c>
      <c r="H2108" s="14">
        <v>0</v>
      </c>
      <c r="I2108" s="14">
        <v>3</v>
      </c>
      <c r="J2108" s="22">
        <v>0.29682423058879298</v>
      </c>
      <c r="K2108" s="22">
        <v>0.70317576941120696</v>
      </c>
      <c r="L2108" s="14">
        <v>0</v>
      </c>
    </row>
    <row r="2109" spans="1:12" x14ac:dyDescent="0.25">
      <c r="A2109" s="13" t="s">
        <v>7439</v>
      </c>
      <c r="B2109" s="14" t="s">
        <v>69</v>
      </c>
      <c r="C2109" s="14" t="s">
        <v>5220</v>
      </c>
      <c r="D2109" s="14" t="s">
        <v>5221</v>
      </c>
      <c r="E2109" s="14" t="s">
        <v>5222</v>
      </c>
      <c r="F2109" s="21">
        <v>1112.4000000000001</v>
      </c>
      <c r="G2109" s="14">
        <v>204</v>
      </c>
      <c r="H2109" s="14">
        <v>0</v>
      </c>
      <c r="I2109" s="14">
        <v>18</v>
      </c>
      <c r="J2109" s="22">
        <v>0.67436027838864698</v>
      </c>
      <c r="K2109" s="22">
        <v>0.32563972161135302</v>
      </c>
      <c r="L2109" s="14">
        <v>0</v>
      </c>
    </row>
    <row r="2110" spans="1:12" x14ac:dyDescent="0.25">
      <c r="A2110" s="13" t="s">
        <v>5223</v>
      </c>
      <c r="B2110" s="14" t="s">
        <v>17</v>
      </c>
      <c r="C2110" s="14" t="s">
        <v>5224</v>
      </c>
      <c r="D2110" s="14" t="s">
        <v>5225</v>
      </c>
      <c r="E2110" s="14" t="s">
        <v>5226</v>
      </c>
      <c r="F2110" s="21">
        <v>1433.34</v>
      </c>
      <c r="G2110" s="14">
        <v>440</v>
      </c>
      <c r="H2110" s="14">
        <v>0</v>
      </c>
      <c r="I2110" s="14">
        <v>37</v>
      </c>
      <c r="J2110" s="22">
        <v>0.68100951253183495</v>
      </c>
      <c r="K2110" s="22">
        <v>0.318990487468165</v>
      </c>
      <c r="L2110" s="14">
        <v>0</v>
      </c>
    </row>
    <row r="2111" spans="1:12" x14ac:dyDescent="0.25">
      <c r="A2111" s="13" t="s">
        <v>7440</v>
      </c>
      <c r="B2111" s="14" t="s">
        <v>17</v>
      </c>
      <c r="C2111" s="14" t="s">
        <v>5224</v>
      </c>
      <c r="D2111" s="14" t="s">
        <v>5225</v>
      </c>
      <c r="E2111" s="14" t="s">
        <v>5227</v>
      </c>
      <c r="F2111" s="21">
        <v>1448.38</v>
      </c>
      <c r="G2111" s="14">
        <v>852</v>
      </c>
      <c r="H2111" s="14">
        <v>0</v>
      </c>
      <c r="I2111" s="14">
        <v>10</v>
      </c>
      <c r="J2111" s="22">
        <v>0.63125573962409598</v>
      </c>
      <c r="K2111" s="22">
        <v>0.36874426037590402</v>
      </c>
      <c r="L2111" s="14">
        <v>0</v>
      </c>
    </row>
    <row r="2112" spans="1:12" x14ac:dyDescent="0.25">
      <c r="A2112" s="13" t="s">
        <v>5228</v>
      </c>
      <c r="B2112" s="14" t="s">
        <v>17</v>
      </c>
      <c r="C2112" s="14" t="s">
        <v>5224</v>
      </c>
      <c r="D2112" s="14" t="s">
        <v>5225</v>
      </c>
      <c r="E2112" s="14" t="s">
        <v>5229</v>
      </c>
      <c r="F2112" s="21">
        <v>1477.73</v>
      </c>
      <c r="G2112" s="14">
        <v>640</v>
      </c>
      <c r="H2112" s="14">
        <v>1</v>
      </c>
      <c r="I2112" s="14">
        <v>42</v>
      </c>
      <c r="J2112" s="22">
        <v>0.25562598577537998</v>
      </c>
      <c r="K2112" s="22">
        <v>0.74437401422462002</v>
      </c>
      <c r="L2112" s="14">
        <v>0</v>
      </c>
    </row>
    <row r="2113" spans="1:12" x14ac:dyDescent="0.25">
      <c r="A2113" s="13" t="s">
        <v>5230</v>
      </c>
      <c r="B2113" s="14" t="s">
        <v>17</v>
      </c>
      <c r="C2113" s="14" t="s">
        <v>5224</v>
      </c>
      <c r="D2113" s="14" t="s">
        <v>5225</v>
      </c>
      <c r="E2113" s="14" t="s">
        <v>7441</v>
      </c>
      <c r="F2113" s="21">
        <v>2328.84</v>
      </c>
      <c r="G2113" s="14">
        <v>511</v>
      </c>
      <c r="H2113" s="14">
        <v>0</v>
      </c>
      <c r="I2113" s="14">
        <v>22</v>
      </c>
      <c r="J2113" s="22">
        <v>0.37068816920312198</v>
      </c>
      <c r="K2113" s="22">
        <v>0.62931183079687802</v>
      </c>
      <c r="L2113" s="14">
        <v>0</v>
      </c>
    </row>
    <row r="2114" spans="1:12" x14ac:dyDescent="0.25">
      <c r="A2114" s="13" t="s">
        <v>7442</v>
      </c>
      <c r="B2114" s="14" t="s">
        <v>5379</v>
      </c>
      <c r="C2114" s="14" t="s">
        <v>5224</v>
      </c>
      <c r="D2114" s="14" t="s">
        <v>5225</v>
      </c>
      <c r="E2114" s="14" t="s">
        <v>5233</v>
      </c>
      <c r="F2114" s="21">
        <v>1428.68</v>
      </c>
      <c r="G2114" s="14">
        <v>7</v>
      </c>
      <c r="H2114" s="14">
        <v>0</v>
      </c>
      <c r="I2114" s="14">
        <v>28</v>
      </c>
      <c r="J2114" s="22">
        <v>0.24273934929897301</v>
      </c>
      <c r="K2114" s="22">
        <v>0.75726065070102699</v>
      </c>
      <c r="L2114" s="14">
        <v>0</v>
      </c>
    </row>
    <row r="2115" spans="1:12" x14ac:dyDescent="0.25">
      <c r="A2115" s="13">
        <v>23117109</v>
      </c>
      <c r="B2115" s="14" t="s">
        <v>17</v>
      </c>
      <c r="C2115" s="14" t="s">
        <v>5234</v>
      </c>
      <c r="D2115" s="14" t="s">
        <v>5235</v>
      </c>
      <c r="E2115" s="14" t="s">
        <v>5236</v>
      </c>
      <c r="F2115" s="21">
        <v>2352.5300000000002</v>
      </c>
      <c r="G2115" s="14">
        <v>258</v>
      </c>
      <c r="H2115" s="14">
        <v>1</v>
      </c>
      <c r="I2115" s="14">
        <v>22</v>
      </c>
      <c r="J2115" s="22">
        <v>0.91341163218394905</v>
      </c>
      <c r="K2115" s="22">
        <v>8.6588367816050796E-2</v>
      </c>
      <c r="L2115" s="14">
        <v>0</v>
      </c>
    </row>
    <row r="2116" spans="1:12" x14ac:dyDescent="0.25">
      <c r="A2116" s="13" t="s">
        <v>5237</v>
      </c>
      <c r="B2116" s="14" t="s">
        <v>17</v>
      </c>
      <c r="C2116" s="14" t="s">
        <v>5238</v>
      </c>
      <c r="E2116" s="14" t="s">
        <v>5239</v>
      </c>
      <c r="F2116" s="21">
        <v>2451.4899999999998</v>
      </c>
      <c r="G2116" s="14">
        <v>686</v>
      </c>
      <c r="H2116" s="14">
        <v>0</v>
      </c>
      <c r="I2116" s="14">
        <v>14</v>
      </c>
      <c r="J2116" s="22">
        <v>0.75587394162067501</v>
      </c>
      <c r="K2116" s="22">
        <v>0.24412605837932499</v>
      </c>
      <c r="L2116" s="14">
        <v>0</v>
      </c>
    </row>
    <row r="2117" spans="1:12" x14ac:dyDescent="0.25">
      <c r="B2117" s="14" t="s">
        <v>17</v>
      </c>
      <c r="C2117" s="14" t="s">
        <v>5240</v>
      </c>
      <c r="E2117" s="14" t="s">
        <v>7443</v>
      </c>
      <c r="F2117" s="21">
        <v>1811.23</v>
      </c>
      <c r="H2117" s="14">
        <v>1</v>
      </c>
      <c r="I2117" s="14">
        <v>46</v>
      </c>
      <c r="J2117" s="22">
        <v>0.211236071485468</v>
      </c>
      <c r="K2117" s="22">
        <v>0.78876392851453203</v>
      </c>
      <c r="L2117" s="14">
        <v>0</v>
      </c>
    </row>
    <row r="2118" spans="1:12" x14ac:dyDescent="0.25">
      <c r="A2118" s="13" t="s">
        <v>5242</v>
      </c>
      <c r="B2118" s="14" t="s">
        <v>17</v>
      </c>
      <c r="C2118" s="14" t="s">
        <v>5240</v>
      </c>
      <c r="E2118" s="14" t="s">
        <v>5243</v>
      </c>
      <c r="F2118" s="21">
        <v>2488.17</v>
      </c>
      <c r="G2118" s="14">
        <v>986</v>
      </c>
      <c r="H2118" s="14">
        <v>0</v>
      </c>
      <c r="I2118" s="14">
        <v>2</v>
      </c>
      <c r="J2118" s="22">
        <v>0.47483892250106102</v>
      </c>
      <c r="K2118" s="22">
        <v>0.52516107749893903</v>
      </c>
      <c r="L2118" s="14">
        <v>0</v>
      </c>
    </row>
    <row r="2119" spans="1:12" x14ac:dyDescent="0.25">
      <c r="A2119" s="13" t="s">
        <v>5244</v>
      </c>
      <c r="B2119" s="14" t="s">
        <v>352</v>
      </c>
      <c r="C2119" s="14" t="s">
        <v>5245</v>
      </c>
      <c r="D2119" s="14" t="s">
        <v>5246</v>
      </c>
      <c r="E2119" s="14" t="s">
        <v>5247</v>
      </c>
      <c r="F2119" s="21">
        <v>2040</v>
      </c>
      <c r="G2119" s="14">
        <v>274</v>
      </c>
      <c r="H2119" s="14">
        <v>1</v>
      </c>
      <c r="I2119" s="14">
        <v>32</v>
      </c>
      <c r="J2119" s="22">
        <v>0.89902438035840104</v>
      </c>
      <c r="K2119" s="22">
        <v>0.100975619641599</v>
      </c>
      <c r="L2119" s="14">
        <v>0</v>
      </c>
    </row>
    <row r="2120" spans="1:12" x14ac:dyDescent="0.25">
      <c r="A2120" s="13" t="s">
        <v>5248</v>
      </c>
      <c r="B2120" s="14" t="s">
        <v>5344</v>
      </c>
      <c r="C2120" s="14" t="s">
        <v>5249</v>
      </c>
      <c r="D2120" s="14" t="s">
        <v>5246</v>
      </c>
      <c r="E2120" s="14" t="s">
        <v>5250</v>
      </c>
      <c r="F2120" s="21">
        <v>993.3</v>
      </c>
      <c r="G2120" s="14">
        <v>556</v>
      </c>
      <c r="H2120" s="14">
        <v>1</v>
      </c>
      <c r="I2120" s="14" t="s">
        <v>6314</v>
      </c>
      <c r="J2120" s="22">
        <v>0.61170265574946703</v>
      </c>
      <c r="K2120" s="22">
        <v>0.38829734425053303</v>
      </c>
      <c r="L2120" s="14">
        <v>0</v>
      </c>
    </row>
    <row r="2121" spans="1:12" x14ac:dyDescent="0.25">
      <c r="A2121" s="13" t="s">
        <v>7444</v>
      </c>
      <c r="B2121" s="14" t="s">
        <v>17</v>
      </c>
      <c r="C2121" s="14" t="s">
        <v>5252</v>
      </c>
      <c r="D2121" s="14" t="s">
        <v>5253</v>
      </c>
      <c r="E2121" s="14" t="s">
        <v>5254</v>
      </c>
      <c r="F2121" s="21">
        <v>1435.05</v>
      </c>
      <c r="G2121" s="14">
        <v>93</v>
      </c>
      <c r="H2121" s="14">
        <v>1</v>
      </c>
      <c r="I2121" s="14">
        <v>12</v>
      </c>
      <c r="J2121" s="22">
        <v>0.78537373064345495</v>
      </c>
      <c r="K2121" s="22">
        <v>0.214626269356545</v>
      </c>
      <c r="L2121" s="14">
        <v>0</v>
      </c>
    </row>
    <row r="2122" spans="1:12" x14ac:dyDescent="0.25">
      <c r="A2122" s="13">
        <v>23562481</v>
      </c>
      <c r="B2122" s="14" t="s">
        <v>5255</v>
      </c>
      <c r="C2122" s="14" t="s">
        <v>5252</v>
      </c>
      <c r="D2122" s="14" t="s">
        <v>5253</v>
      </c>
      <c r="E2122" s="14" t="s">
        <v>5256</v>
      </c>
      <c r="F2122" s="21">
        <v>2421.96</v>
      </c>
      <c r="G2122" s="14">
        <v>933</v>
      </c>
      <c r="H2122" s="14">
        <v>1</v>
      </c>
      <c r="I2122" s="14">
        <v>29</v>
      </c>
      <c r="J2122" s="22">
        <v>0.24088080915690499</v>
      </c>
      <c r="K2122" s="22">
        <v>0.75911919084309498</v>
      </c>
      <c r="L2122" s="14">
        <v>0</v>
      </c>
    </row>
    <row r="2123" spans="1:12" x14ac:dyDescent="0.25">
      <c r="A2123" s="13" t="s">
        <v>5257</v>
      </c>
      <c r="B2123" s="14" t="s">
        <v>148</v>
      </c>
      <c r="C2123" s="14" t="s">
        <v>5258</v>
      </c>
      <c r="D2123" s="14" t="s">
        <v>5259</v>
      </c>
      <c r="E2123" s="14" t="s">
        <v>5260</v>
      </c>
      <c r="F2123" s="21">
        <v>1242</v>
      </c>
      <c r="G2123" s="14">
        <v>217</v>
      </c>
      <c r="H2123" s="14">
        <v>0</v>
      </c>
      <c r="I2123" s="14">
        <v>5</v>
      </c>
      <c r="J2123" s="22">
        <v>0.380740546085791</v>
      </c>
      <c r="K2123" s="22">
        <v>0.619259453914209</v>
      </c>
      <c r="L2123" s="14">
        <v>0</v>
      </c>
    </row>
    <row r="2124" spans="1:12" x14ac:dyDescent="0.25">
      <c r="A2124" s="13">
        <v>23201205</v>
      </c>
      <c r="B2124" s="14" t="s">
        <v>17</v>
      </c>
      <c r="C2124" s="14" t="s">
        <v>5261</v>
      </c>
      <c r="D2124" s="14" t="s">
        <v>5262</v>
      </c>
      <c r="E2124" s="14" t="s">
        <v>5263</v>
      </c>
      <c r="F2124" s="21">
        <v>1947.09</v>
      </c>
      <c r="G2124" s="14">
        <v>282</v>
      </c>
      <c r="H2124" s="14">
        <v>0</v>
      </c>
      <c r="I2124" s="14">
        <v>24</v>
      </c>
      <c r="J2124" s="22">
        <v>0.30084912643226103</v>
      </c>
      <c r="K2124" s="22">
        <v>0.69915087356773897</v>
      </c>
      <c r="L2124" s="14">
        <v>0</v>
      </c>
    </row>
    <row r="2125" spans="1:12" x14ac:dyDescent="0.25">
      <c r="A2125" s="13" t="s">
        <v>5863</v>
      </c>
      <c r="B2125" s="14" t="s">
        <v>17</v>
      </c>
      <c r="C2125" s="14" t="s">
        <v>5264</v>
      </c>
      <c r="E2125" s="14" t="s">
        <v>5265</v>
      </c>
      <c r="F2125" s="21">
        <v>1456.18</v>
      </c>
      <c r="H2125" s="14">
        <v>0</v>
      </c>
      <c r="I2125" s="14">
        <v>3</v>
      </c>
      <c r="J2125" s="22">
        <v>0.82963693186894405</v>
      </c>
      <c r="K2125" s="22">
        <v>0.17036306813105601</v>
      </c>
      <c r="L2125" s="14">
        <v>0</v>
      </c>
    </row>
    <row r="2126" spans="1:12" x14ac:dyDescent="0.25">
      <c r="A2126" s="13" t="s">
        <v>7445</v>
      </c>
      <c r="B2126" s="14" t="s">
        <v>17</v>
      </c>
      <c r="C2126" s="14" t="s">
        <v>5264</v>
      </c>
      <c r="E2126" s="14" t="s">
        <v>5267</v>
      </c>
      <c r="F2126" s="21">
        <v>2385.25</v>
      </c>
      <c r="G2126" s="14">
        <v>184</v>
      </c>
      <c r="H2126" s="14">
        <v>0</v>
      </c>
      <c r="I2126" s="14">
        <v>47</v>
      </c>
      <c r="J2126" s="22">
        <v>0.53225756494660104</v>
      </c>
      <c r="K2126" s="22">
        <v>0.46774243505339902</v>
      </c>
      <c r="L2126" s="14">
        <v>0</v>
      </c>
    </row>
    <row r="2127" spans="1:12" ht="39.6" x14ac:dyDescent="0.25">
      <c r="A2127" s="20" t="s">
        <v>7446</v>
      </c>
      <c r="B2127" s="14" t="s">
        <v>113</v>
      </c>
      <c r="C2127" s="14" t="s">
        <v>5269</v>
      </c>
      <c r="D2127" s="14" t="s">
        <v>5270</v>
      </c>
      <c r="E2127" s="14" t="s">
        <v>5271</v>
      </c>
      <c r="F2127" s="21">
        <v>2034</v>
      </c>
      <c r="G2127" s="14">
        <v>181</v>
      </c>
      <c r="H2127" s="14">
        <v>0</v>
      </c>
      <c r="I2127" s="14">
        <v>43</v>
      </c>
      <c r="J2127" s="22">
        <v>0.37214839280870599</v>
      </c>
      <c r="K2127" s="22">
        <v>0.62785160719129396</v>
      </c>
      <c r="L2127" s="14">
        <v>0</v>
      </c>
    </row>
    <row r="2128" spans="1:12" x14ac:dyDescent="0.25">
      <c r="A2128" s="13" t="s">
        <v>7447</v>
      </c>
      <c r="B2128" s="14" t="s">
        <v>5493</v>
      </c>
      <c r="C2128" s="14" t="s">
        <v>5273</v>
      </c>
      <c r="D2128" s="14" t="s">
        <v>5274</v>
      </c>
      <c r="E2128" s="14" t="s">
        <v>5275</v>
      </c>
      <c r="F2128" s="21">
        <v>2272.15</v>
      </c>
      <c r="G2128" s="14">
        <v>370</v>
      </c>
      <c r="H2128" s="14">
        <v>1</v>
      </c>
      <c r="I2128" s="14" t="s">
        <v>6314</v>
      </c>
      <c r="J2128" s="22">
        <v>0.22036822888770199</v>
      </c>
      <c r="K2128" s="22">
        <v>0.77963177111229798</v>
      </c>
      <c r="L2128" s="14">
        <v>0</v>
      </c>
    </row>
    <row r="2129" spans="6:6" x14ac:dyDescent="0.25">
      <c r="F2129" s="21"/>
    </row>
  </sheetData>
  <pageMargins left="0.75" right="0.75" top="1" bottom="1" header="0.511811023622047" footer="0.5"/>
  <pageSetup paperSize="9" orientation="landscape" horizontalDpi="300" verticalDpi="300"/>
  <headerFooter>
    <oddFooter>&amp;L&amp;A : &amp;F&amp;C&amp;P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</vt:lpstr>
      <vt:lpstr>Summary</vt:lpstr>
      <vt:lpstr>Review</vt:lpstr>
      <vt:lpstr>Publisher changes</vt:lpstr>
      <vt:lpstr>Journal changes</vt:lpstr>
      <vt:lpstr>ID changes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FRACALOSSI DE KERSAUSON DE PENNENDREFF, AGUSTIN (UG)</cp:lastModifiedBy>
  <dcterms:modified xsi:type="dcterms:W3CDTF">2026-10-16T10:16:16Z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2012-01-11T16:58:53Z</dcterms:created>
  <dc:creator>Dolby, Kevin</dc:creator>
  <dc:description/>
  <dc:language>en-US</dc:language>
  <cp:lastModifiedBy>Mortenson, Michael</cp:lastModifiedBy>
  <dcterms:modified xsi:type="dcterms:W3CDTF">2026-10-16T10:10:29Z</dcterms:modified>
  <cp:revision>0</cp:revision>
  <dc:subject/>
  <dc:title/>
</cp:coreProperties>
</file>